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soncloud-my.sharepoint.com/personal/wimut_c_cdssolution_com/Documents/My Projects/28.AJT New Sale Incentive/1.General Documents/"/>
    </mc:Choice>
  </mc:AlternateContent>
  <xr:revisionPtr revIDLastSave="136" documentId="13_ncr:1_{2D3D5A39-36FE-4990-9243-EDBC6D5780E4}" xr6:coauthVersionLast="47" xr6:coauthVersionMax="47" xr10:uidLastSave="{FB77D234-0FC4-469E-83F1-33049852BD9C}"/>
  <bookViews>
    <workbookView xWindow="-96" yWindow="0" windowWidth="15528" windowHeight="16656" tabRatio="885" firstSheet="6" activeTab="14" xr2:uid="{BD0057FC-F48C-4500-81FB-830C7F4C5BE9}"/>
  </bookViews>
  <sheets>
    <sheet name="M_Month" sheetId="20" r:id="rId1"/>
    <sheet name="T_SectAbove" sheetId="22" r:id="rId2"/>
    <sheet name="Period" sheetId="21" r:id="rId3"/>
    <sheet name="ASTBase" sheetId="19" r:id="rId4"/>
    <sheet name="HR Rep" sheetId="18" r:id="rId5"/>
    <sheet name="Actual" sheetId="15" r:id="rId6"/>
    <sheet name="Top WS" sheetId="2" r:id="rId7"/>
    <sheet name=" WS SF" sheetId="10" r:id="rId8"/>
    <sheet name="WS WH" sheetId="9" r:id="rId9"/>
    <sheet name="Test" sheetId="4" state="hidden" r:id="rId10"/>
    <sheet name="SF WH" sheetId="26" r:id="rId11"/>
    <sheet name="Product" sheetId="28" state="hidden" r:id="rId12"/>
    <sheet name="2) หลักการคำนวน Table" sheetId="16" r:id="rId13"/>
    <sheet name="3)Target &amp; Cal" sheetId="14" r:id="rId14"/>
    <sheet name="1) For HR" sheetId="17" r:id="rId15"/>
    <sheet name="1) For HR (AD)" sheetId="31" r:id="rId16"/>
    <sheet name="Shortage" sheetId="24" r:id="rId17"/>
    <sheet name="Aji Plus" sheetId="1" state="hidden" r:id="rId18"/>
    <sheet name="Actual_Aji Plus" sheetId="3" state="hidden" r:id="rId19"/>
    <sheet name="RDQ" sheetId="5" state="hidden" r:id="rId20"/>
    <sheet name="Actual_RDQ" sheetId="6" state="hidden" r:id="rId21"/>
    <sheet name="RDM" sheetId="7" state="hidden" r:id="rId22"/>
    <sheet name="Actual_RDM" sheetId="8" state="hidden" r:id="rId23"/>
    <sheet name="RDNS" sheetId="12" state="hidden" r:id="rId24"/>
    <sheet name="Actual_RDNS" sheetId="13" state="hidden" r:id="rId25"/>
    <sheet name="Sales Target" sheetId="11" state="hidden" r:id="rId26"/>
  </sheets>
  <externalReferences>
    <externalReference r:id="rId27"/>
  </externalReferences>
  <definedNames>
    <definedName name="_xlnm._FilterDatabase" localSheetId="14" hidden="1">'1) For HR'!$A$1:$Y$23</definedName>
    <definedName name="_xlnm._FilterDatabase" localSheetId="15" hidden="1">'1) For HR (AD)'!$A$1:$X$2</definedName>
    <definedName name="_xlnm._FilterDatabase" localSheetId="13" hidden="1">'3)Target &amp; Cal'!$A$3:$BN$3</definedName>
    <definedName name="_xlnm._FilterDatabase" localSheetId="5" hidden="1">Actual!$A$1:$N$146</definedName>
    <definedName name="_xlnm._FilterDatabase" localSheetId="3" hidden="1">ASTBase!$A$1:$S$23</definedName>
    <definedName name="_xlnm._FilterDatabase" localSheetId="4" hidden="1">'HR Rep'!$A$1:$AC$1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7" l="1"/>
  <c r="Q4" i="17"/>
  <c r="P7" i="17"/>
  <c r="BN73" i="14" a="1"/>
  <c r="AN73" i="14"/>
  <c r="AB73" i="14"/>
  <c r="P6" i="17"/>
  <c r="P5" i="17"/>
  <c r="BF17" i="14"/>
  <c r="AB4" i="14"/>
  <c r="H96" i="16"/>
  <c r="J10" i="2"/>
  <c r="J36" i="2"/>
  <c r="K6" i="9"/>
  <c r="M45" i="2"/>
  <c r="S4" i="17"/>
  <c r="BN4" i="14" a="1"/>
  <c r="R6" i="26"/>
  <c r="G6" i="16"/>
  <c r="I39" i="2"/>
  <c r="R47" i="2"/>
  <c r="K45" i="2"/>
  <c r="B5" i="17"/>
  <c r="C2" i="16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E28" i="2"/>
  <c r="E27" i="2"/>
  <c r="E26" i="2"/>
  <c r="E25" i="2"/>
  <c r="E24" i="2"/>
  <c r="E23" i="2"/>
  <c r="E22" i="2"/>
  <c r="E21" i="2"/>
  <c r="E20" i="2"/>
  <c r="D28" i="2"/>
  <c r="D27" i="2"/>
  <c r="D26" i="2"/>
  <c r="D25" i="2"/>
  <c r="D24" i="2"/>
  <c r="D23" i="2"/>
  <c r="D22" i="2"/>
  <c r="D21" i="2"/>
  <c r="D20" i="2"/>
  <c r="C28" i="2"/>
  <c r="C27" i="2"/>
  <c r="C26" i="2"/>
  <c r="C25" i="2"/>
  <c r="C24" i="2"/>
  <c r="C23" i="2"/>
  <c r="C22" i="2"/>
  <c r="C21" i="2"/>
  <c r="C20" i="2"/>
  <c r="B23" i="2"/>
  <c r="B22" i="2"/>
  <c r="B21" i="2"/>
  <c r="B20" i="2"/>
  <c r="B28" i="2"/>
  <c r="B27" i="2"/>
  <c r="B26" i="2"/>
  <c r="B25" i="2"/>
  <c r="B24" i="2"/>
  <c r="E20" i="10"/>
  <c r="D20" i="10"/>
  <c r="C20" i="10"/>
  <c r="B20" i="10"/>
  <c r="E20" i="9"/>
  <c r="D20" i="9"/>
  <c r="C20" i="9"/>
  <c r="B20" i="9"/>
  <c r="B22" i="26"/>
  <c r="B21" i="26"/>
  <c r="B20" i="26"/>
  <c r="Q15" i="19"/>
  <c r="I2" i="16" l="1"/>
  <c r="S8" i="19"/>
  <c r="S7" i="19"/>
  <c r="O35" i="26"/>
  <c r="M6" i="26"/>
  <c r="M2" i="26"/>
  <c r="K2" i="26"/>
  <c r="J2" i="26"/>
  <c r="L6" i="26"/>
  <c r="K2" i="2"/>
  <c r="J2" i="2"/>
  <c r="Q5" i="14" l="1"/>
  <c r="R5" i="14"/>
  <c r="S5" i="14"/>
  <c r="T5" i="14"/>
  <c r="U5" i="14"/>
  <c r="V5" i="14"/>
  <c r="W5" i="14"/>
  <c r="X5" i="14"/>
  <c r="AJ5" i="14" s="1"/>
  <c r="Y5" i="14"/>
  <c r="Z5" i="14"/>
  <c r="AA5" i="14"/>
  <c r="Q6" i="14"/>
  <c r="R6" i="14"/>
  <c r="S6" i="14"/>
  <c r="T6" i="14"/>
  <c r="U6" i="14"/>
  <c r="V6" i="14"/>
  <c r="W6" i="14"/>
  <c r="X6" i="14"/>
  <c r="AJ6" i="14" s="1"/>
  <c r="Y6" i="14"/>
  <c r="Z6" i="14"/>
  <c r="AA6" i="14"/>
  <c r="Q7" i="14"/>
  <c r="R7" i="14"/>
  <c r="S7" i="14"/>
  <c r="T7" i="14"/>
  <c r="U7" i="14"/>
  <c r="V7" i="14"/>
  <c r="W7" i="14"/>
  <c r="X7" i="14"/>
  <c r="AJ7" i="14" s="1"/>
  <c r="Y7" i="14"/>
  <c r="Z7" i="14"/>
  <c r="AA7" i="14"/>
  <c r="Q8" i="14"/>
  <c r="R8" i="14"/>
  <c r="S8" i="14"/>
  <c r="T8" i="14"/>
  <c r="U8" i="14"/>
  <c r="V8" i="14"/>
  <c r="W8" i="14"/>
  <c r="X8" i="14"/>
  <c r="AJ8" i="14" s="1"/>
  <c r="Y8" i="14"/>
  <c r="Z8" i="14"/>
  <c r="AA8" i="14"/>
  <c r="Q9" i="14"/>
  <c r="R9" i="14"/>
  <c r="S9" i="14"/>
  <c r="T9" i="14"/>
  <c r="U9" i="14"/>
  <c r="V9" i="14"/>
  <c r="W9" i="14"/>
  <c r="X9" i="14"/>
  <c r="AJ9" i="14" s="1"/>
  <c r="Y9" i="14"/>
  <c r="Z9" i="14"/>
  <c r="AA9" i="14"/>
  <c r="Q10" i="14"/>
  <c r="R10" i="14"/>
  <c r="S10" i="14"/>
  <c r="T10" i="14"/>
  <c r="U10" i="14"/>
  <c r="V10" i="14"/>
  <c r="W10" i="14"/>
  <c r="X10" i="14"/>
  <c r="AJ10" i="14" s="1"/>
  <c r="Y10" i="14"/>
  <c r="Z10" i="14"/>
  <c r="AA10" i="14"/>
  <c r="Q11" i="14"/>
  <c r="R11" i="14"/>
  <c r="S11" i="14"/>
  <c r="T11" i="14"/>
  <c r="U11" i="14"/>
  <c r="V11" i="14"/>
  <c r="W11" i="14"/>
  <c r="X11" i="14"/>
  <c r="AJ11" i="14" s="1"/>
  <c r="Y11" i="14"/>
  <c r="Z11" i="14"/>
  <c r="AA11" i="14"/>
  <c r="Q12" i="14"/>
  <c r="R12" i="14"/>
  <c r="S12" i="14"/>
  <c r="T12" i="14"/>
  <c r="U12" i="14"/>
  <c r="V12" i="14"/>
  <c r="W12" i="14"/>
  <c r="X12" i="14"/>
  <c r="AJ12" i="14" s="1"/>
  <c r="Y12" i="14"/>
  <c r="Z12" i="14"/>
  <c r="AA12" i="14"/>
  <c r="Q13" i="14"/>
  <c r="R13" i="14"/>
  <c r="S13" i="14"/>
  <c r="T13" i="14"/>
  <c r="U13" i="14"/>
  <c r="V13" i="14"/>
  <c r="W13" i="14"/>
  <c r="X13" i="14"/>
  <c r="AJ13" i="14" s="1"/>
  <c r="Y13" i="14"/>
  <c r="Z13" i="14"/>
  <c r="AA13" i="14"/>
  <c r="Q14" i="14"/>
  <c r="R14" i="14"/>
  <c r="S14" i="14"/>
  <c r="T14" i="14"/>
  <c r="U14" i="14"/>
  <c r="V14" i="14"/>
  <c r="W14" i="14"/>
  <c r="X14" i="14"/>
  <c r="AJ14" i="14" s="1"/>
  <c r="Y14" i="14"/>
  <c r="Z14" i="14"/>
  <c r="AA14" i="14"/>
  <c r="Q15" i="14"/>
  <c r="R15" i="14"/>
  <c r="S15" i="14"/>
  <c r="T15" i="14"/>
  <c r="U15" i="14"/>
  <c r="V15" i="14"/>
  <c r="W15" i="14"/>
  <c r="X15" i="14"/>
  <c r="AJ15" i="14" s="1"/>
  <c r="Y15" i="14"/>
  <c r="Z15" i="14"/>
  <c r="AA15" i="14"/>
  <c r="Q16" i="14"/>
  <c r="R16" i="14"/>
  <c r="S16" i="14"/>
  <c r="T16" i="14"/>
  <c r="U16" i="14"/>
  <c r="V16" i="14"/>
  <c r="W16" i="14"/>
  <c r="X16" i="14"/>
  <c r="AJ16" i="14" s="1"/>
  <c r="Y16" i="14"/>
  <c r="Z16" i="14"/>
  <c r="AA16" i="14"/>
  <c r="Q17" i="14"/>
  <c r="R17" i="14"/>
  <c r="S17" i="14"/>
  <c r="T17" i="14"/>
  <c r="U17" i="14"/>
  <c r="V17" i="14"/>
  <c r="W17" i="14"/>
  <c r="X17" i="14"/>
  <c r="AJ17" i="14" s="1"/>
  <c r="Y17" i="14"/>
  <c r="Z17" i="14"/>
  <c r="AA17" i="14"/>
  <c r="Q18" i="14"/>
  <c r="R18" i="14"/>
  <c r="S18" i="14"/>
  <c r="T18" i="14"/>
  <c r="U18" i="14"/>
  <c r="V18" i="14"/>
  <c r="W18" i="14"/>
  <c r="X18" i="14"/>
  <c r="AJ18" i="14" s="1"/>
  <c r="Y18" i="14"/>
  <c r="Z18" i="14"/>
  <c r="AA18" i="14"/>
  <c r="Q19" i="14"/>
  <c r="R19" i="14"/>
  <c r="S19" i="14"/>
  <c r="T19" i="14"/>
  <c r="U19" i="14"/>
  <c r="V19" i="14"/>
  <c r="W19" i="14"/>
  <c r="X19" i="14"/>
  <c r="AJ19" i="14" s="1"/>
  <c r="Y19" i="14"/>
  <c r="Z19" i="14"/>
  <c r="AA19" i="14"/>
  <c r="Q20" i="14"/>
  <c r="R20" i="14"/>
  <c r="S20" i="14"/>
  <c r="T20" i="14"/>
  <c r="U20" i="14"/>
  <c r="V20" i="14"/>
  <c r="W20" i="14"/>
  <c r="X20" i="14"/>
  <c r="AJ20" i="14" s="1"/>
  <c r="Y20" i="14"/>
  <c r="Z20" i="14"/>
  <c r="AA20" i="14"/>
  <c r="Q21" i="14"/>
  <c r="R21" i="14"/>
  <c r="S21" i="14"/>
  <c r="T21" i="14"/>
  <c r="U21" i="14"/>
  <c r="V21" i="14"/>
  <c r="W21" i="14"/>
  <c r="X21" i="14"/>
  <c r="AJ21" i="14" s="1"/>
  <c r="Y21" i="14"/>
  <c r="Z21" i="14"/>
  <c r="AA21" i="14"/>
  <c r="Q22" i="14"/>
  <c r="R22" i="14"/>
  <c r="S22" i="14"/>
  <c r="T22" i="14"/>
  <c r="U22" i="14"/>
  <c r="V22" i="14"/>
  <c r="W22" i="14"/>
  <c r="X22" i="14"/>
  <c r="AJ22" i="14" s="1"/>
  <c r="Y22" i="14"/>
  <c r="Z22" i="14"/>
  <c r="AA22" i="14"/>
  <c r="Q23" i="14"/>
  <c r="R23" i="14"/>
  <c r="S23" i="14"/>
  <c r="T23" i="14"/>
  <c r="U23" i="14"/>
  <c r="V23" i="14"/>
  <c r="W23" i="14"/>
  <c r="X23" i="14"/>
  <c r="AJ23" i="14" s="1"/>
  <c r="Y23" i="14"/>
  <c r="Z23" i="14"/>
  <c r="AA23" i="14"/>
  <c r="Q24" i="14"/>
  <c r="R24" i="14"/>
  <c r="S24" i="14"/>
  <c r="T24" i="14"/>
  <c r="U24" i="14"/>
  <c r="V24" i="14"/>
  <c r="W24" i="14"/>
  <c r="X24" i="14"/>
  <c r="AJ24" i="14" s="1"/>
  <c r="Y24" i="14"/>
  <c r="Z24" i="14"/>
  <c r="AA24" i="14"/>
  <c r="Q25" i="14"/>
  <c r="R25" i="14"/>
  <c r="S25" i="14"/>
  <c r="T25" i="14"/>
  <c r="U25" i="14"/>
  <c r="V25" i="14"/>
  <c r="W25" i="14"/>
  <c r="X25" i="14"/>
  <c r="AJ25" i="14" s="1"/>
  <c r="Y25" i="14"/>
  <c r="Z25" i="14"/>
  <c r="AA25" i="14"/>
  <c r="Q26" i="14"/>
  <c r="R26" i="14"/>
  <c r="S26" i="14"/>
  <c r="T26" i="14"/>
  <c r="U26" i="14"/>
  <c r="V26" i="14"/>
  <c r="W26" i="14"/>
  <c r="X26" i="14"/>
  <c r="AJ26" i="14" s="1"/>
  <c r="Y26" i="14"/>
  <c r="Z26" i="14"/>
  <c r="AA26" i="14"/>
  <c r="Q27" i="14"/>
  <c r="R27" i="14"/>
  <c r="S27" i="14"/>
  <c r="T27" i="14"/>
  <c r="U27" i="14"/>
  <c r="V27" i="14"/>
  <c r="W27" i="14"/>
  <c r="X27" i="14"/>
  <c r="AJ27" i="14" s="1"/>
  <c r="Y27" i="14"/>
  <c r="Z27" i="14"/>
  <c r="AA27" i="14"/>
  <c r="Q28" i="14"/>
  <c r="R28" i="14"/>
  <c r="S28" i="14"/>
  <c r="T28" i="14"/>
  <c r="U28" i="14"/>
  <c r="V28" i="14"/>
  <c r="W28" i="14"/>
  <c r="X28" i="14"/>
  <c r="AJ28" i="14" s="1"/>
  <c r="Y28" i="14"/>
  <c r="Z28" i="14"/>
  <c r="AA28" i="14"/>
  <c r="Q29" i="14"/>
  <c r="R29" i="14"/>
  <c r="S29" i="14"/>
  <c r="T29" i="14"/>
  <c r="U29" i="14"/>
  <c r="V29" i="14"/>
  <c r="W29" i="14"/>
  <c r="X29" i="14"/>
  <c r="AJ29" i="14" s="1"/>
  <c r="Y29" i="14"/>
  <c r="Z29" i="14"/>
  <c r="AA29" i="14"/>
  <c r="Q30" i="14"/>
  <c r="R30" i="14"/>
  <c r="S30" i="14"/>
  <c r="T30" i="14"/>
  <c r="U30" i="14"/>
  <c r="V30" i="14"/>
  <c r="W30" i="14"/>
  <c r="X30" i="14"/>
  <c r="AJ30" i="14" s="1"/>
  <c r="Y30" i="14"/>
  <c r="Z30" i="14"/>
  <c r="AA30" i="14"/>
  <c r="Q31" i="14"/>
  <c r="R31" i="14"/>
  <c r="S31" i="14"/>
  <c r="T31" i="14"/>
  <c r="U31" i="14"/>
  <c r="V31" i="14"/>
  <c r="W31" i="14"/>
  <c r="X31" i="14"/>
  <c r="AJ31" i="14" s="1"/>
  <c r="Y31" i="14"/>
  <c r="Z31" i="14"/>
  <c r="AA31" i="14"/>
  <c r="Q32" i="14"/>
  <c r="R32" i="14"/>
  <c r="S32" i="14"/>
  <c r="T32" i="14"/>
  <c r="U32" i="14"/>
  <c r="V32" i="14"/>
  <c r="W32" i="14"/>
  <c r="X32" i="14"/>
  <c r="AJ32" i="14" s="1"/>
  <c r="Y32" i="14"/>
  <c r="Z32" i="14"/>
  <c r="AA32" i="14"/>
  <c r="Q33" i="14"/>
  <c r="R33" i="14"/>
  <c r="S33" i="14"/>
  <c r="T33" i="14"/>
  <c r="U33" i="14"/>
  <c r="V33" i="14"/>
  <c r="W33" i="14"/>
  <c r="X33" i="14"/>
  <c r="AJ33" i="14" s="1"/>
  <c r="Y33" i="14"/>
  <c r="Z33" i="14"/>
  <c r="AA33" i="14"/>
  <c r="Q34" i="14"/>
  <c r="R34" i="14"/>
  <c r="S34" i="14"/>
  <c r="T34" i="14"/>
  <c r="U34" i="14"/>
  <c r="V34" i="14"/>
  <c r="W34" i="14"/>
  <c r="X34" i="14"/>
  <c r="AJ34" i="14" s="1"/>
  <c r="Y34" i="14"/>
  <c r="Z34" i="14"/>
  <c r="AA34" i="14"/>
  <c r="Q35" i="14"/>
  <c r="R35" i="14"/>
  <c r="S35" i="14"/>
  <c r="T35" i="14"/>
  <c r="U35" i="14"/>
  <c r="V35" i="14"/>
  <c r="W35" i="14"/>
  <c r="X35" i="14"/>
  <c r="AJ35" i="14" s="1"/>
  <c r="Y35" i="14"/>
  <c r="Z35" i="14"/>
  <c r="AA35" i="14"/>
  <c r="Q36" i="14"/>
  <c r="R36" i="14"/>
  <c r="S36" i="14"/>
  <c r="T36" i="14"/>
  <c r="U36" i="14"/>
  <c r="V36" i="14"/>
  <c r="W36" i="14"/>
  <c r="X36" i="14"/>
  <c r="AJ36" i="14" s="1"/>
  <c r="Y36" i="14"/>
  <c r="Z36" i="14"/>
  <c r="AA36" i="14"/>
  <c r="Q37" i="14"/>
  <c r="R37" i="14"/>
  <c r="S37" i="14"/>
  <c r="T37" i="14"/>
  <c r="U37" i="14"/>
  <c r="V37" i="14"/>
  <c r="W37" i="14"/>
  <c r="X37" i="14"/>
  <c r="AJ37" i="14" s="1"/>
  <c r="Y37" i="14"/>
  <c r="Z37" i="14"/>
  <c r="AA37" i="14"/>
  <c r="Q38" i="14"/>
  <c r="R38" i="14"/>
  <c r="S38" i="14"/>
  <c r="T38" i="14"/>
  <c r="U38" i="14"/>
  <c r="V38" i="14"/>
  <c r="W38" i="14"/>
  <c r="X38" i="14"/>
  <c r="AJ38" i="14" s="1"/>
  <c r="Y38" i="14"/>
  <c r="Z38" i="14"/>
  <c r="AA38" i="14"/>
  <c r="Q39" i="14"/>
  <c r="R39" i="14"/>
  <c r="S39" i="14"/>
  <c r="T39" i="14"/>
  <c r="U39" i="14"/>
  <c r="V39" i="14"/>
  <c r="W39" i="14"/>
  <c r="X39" i="14"/>
  <c r="AJ39" i="14" s="1"/>
  <c r="Y39" i="14"/>
  <c r="Z39" i="14"/>
  <c r="AA39" i="14"/>
  <c r="Q40" i="14"/>
  <c r="R40" i="14"/>
  <c r="S40" i="14"/>
  <c r="T40" i="14"/>
  <c r="U40" i="14"/>
  <c r="V40" i="14"/>
  <c r="W40" i="14"/>
  <c r="X40" i="14"/>
  <c r="AJ40" i="14" s="1"/>
  <c r="Y40" i="14"/>
  <c r="Z40" i="14"/>
  <c r="AA40" i="14"/>
  <c r="Q41" i="14"/>
  <c r="R41" i="14"/>
  <c r="S41" i="14"/>
  <c r="T41" i="14"/>
  <c r="U41" i="14"/>
  <c r="V41" i="14"/>
  <c r="W41" i="14"/>
  <c r="X41" i="14"/>
  <c r="AJ41" i="14" s="1"/>
  <c r="Y41" i="14"/>
  <c r="Z41" i="14"/>
  <c r="AA41" i="14"/>
  <c r="Q42" i="14"/>
  <c r="R42" i="14"/>
  <c r="S42" i="14"/>
  <c r="T42" i="14"/>
  <c r="U42" i="14"/>
  <c r="V42" i="14"/>
  <c r="W42" i="14"/>
  <c r="X42" i="14"/>
  <c r="AJ42" i="14" s="1"/>
  <c r="Y42" i="14"/>
  <c r="Z42" i="14"/>
  <c r="AA42" i="14"/>
  <c r="Q43" i="14"/>
  <c r="R43" i="14"/>
  <c r="S43" i="14"/>
  <c r="T43" i="14"/>
  <c r="U43" i="14"/>
  <c r="V43" i="14"/>
  <c r="W43" i="14"/>
  <c r="X43" i="14"/>
  <c r="AJ43" i="14" s="1"/>
  <c r="Y43" i="14"/>
  <c r="Z43" i="14"/>
  <c r="AA43" i="14"/>
  <c r="Q44" i="14"/>
  <c r="R44" i="14"/>
  <c r="S44" i="14"/>
  <c r="T44" i="14"/>
  <c r="U44" i="14"/>
  <c r="V44" i="14"/>
  <c r="W44" i="14"/>
  <c r="X44" i="14"/>
  <c r="AJ44" i="14" s="1"/>
  <c r="Y44" i="14"/>
  <c r="Z44" i="14"/>
  <c r="AA44" i="14"/>
  <c r="Q45" i="14"/>
  <c r="R45" i="14"/>
  <c r="S45" i="14"/>
  <c r="T45" i="14"/>
  <c r="U45" i="14"/>
  <c r="V45" i="14"/>
  <c r="W45" i="14"/>
  <c r="X45" i="14"/>
  <c r="AJ45" i="14" s="1"/>
  <c r="Y45" i="14"/>
  <c r="Z45" i="14"/>
  <c r="AA45" i="14"/>
  <c r="Q46" i="14"/>
  <c r="R46" i="14"/>
  <c r="S46" i="14"/>
  <c r="T46" i="14"/>
  <c r="U46" i="14"/>
  <c r="V46" i="14"/>
  <c r="W46" i="14"/>
  <c r="X46" i="14"/>
  <c r="AJ46" i="14" s="1"/>
  <c r="Y46" i="14"/>
  <c r="Z46" i="14"/>
  <c r="AA46" i="14"/>
  <c r="Q47" i="14"/>
  <c r="R47" i="14"/>
  <c r="S47" i="14"/>
  <c r="T47" i="14"/>
  <c r="U47" i="14"/>
  <c r="V47" i="14"/>
  <c r="W47" i="14"/>
  <c r="X47" i="14"/>
  <c r="AJ47" i="14" s="1"/>
  <c r="Y47" i="14"/>
  <c r="Z47" i="14"/>
  <c r="AA47" i="14"/>
  <c r="Q48" i="14"/>
  <c r="R48" i="14"/>
  <c r="S48" i="14"/>
  <c r="T48" i="14"/>
  <c r="U48" i="14"/>
  <c r="V48" i="14"/>
  <c r="W48" i="14"/>
  <c r="X48" i="14"/>
  <c r="AJ48" i="14" s="1"/>
  <c r="Y48" i="14"/>
  <c r="Z48" i="14"/>
  <c r="AA48" i="14"/>
  <c r="Q49" i="14"/>
  <c r="R49" i="14"/>
  <c r="S49" i="14"/>
  <c r="T49" i="14"/>
  <c r="U49" i="14"/>
  <c r="V49" i="14"/>
  <c r="W49" i="14"/>
  <c r="X49" i="14"/>
  <c r="AJ49" i="14" s="1"/>
  <c r="Y49" i="14"/>
  <c r="Z49" i="14"/>
  <c r="AA49" i="14"/>
  <c r="Q50" i="14"/>
  <c r="R50" i="14"/>
  <c r="S50" i="14"/>
  <c r="T50" i="14"/>
  <c r="U50" i="14"/>
  <c r="V50" i="14"/>
  <c r="W50" i="14"/>
  <c r="X50" i="14"/>
  <c r="AJ50" i="14" s="1"/>
  <c r="Y50" i="14"/>
  <c r="Z50" i="14"/>
  <c r="AA50" i="14"/>
  <c r="Q51" i="14"/>
  <c r="R51" i="14"/>
  <c r="S51" i="14"/>
  <c r="T51" i="14"/>
  <c r="U51" i="14"/>
  <c r="V51" i="14"/>
  <c r="W51" i="14"/>
  <c r="X51" i="14"/>
  <c r="AJ51" i="14" s="1"/>
  <c r="Y51" i="14"/>
  <c r="Z51" i="14"/>
  <c r="AA51" i="14"/>
  <c r="Q52" i="14"/>
  <c r="R52" i="14"/>
  <c r="S52" i="14"/>
  <c r="T52" i="14"/>
  <c r="U52" i="14"/>
  <c r="V52" i="14"/>
  <c r="W52" i="14"/>
  <c r="X52" i="14"/>
  <c r="AJ52" i="14" s="1"/>
  <c r="Y52" i="14"/>
  <c r="Z52" i="14"/>
  <c r="AA52" i="14"/>
  <c r="Q53" i="14"/>
  <c r="R53" i="14"/>
  <c r="S53" i="14"/>
  <c r="T53" i="14"/>
  <c r="U53" i="14"/>
  <c r="V53" i="14"/>
  <c r="W53" i="14"/>
  <c r="X53" i="14"/>
  <c r="AJ53" i="14" s="1"/>
  <c r="Y53" i="14"/>
  <c r="Z53" i="14"/>
  <c r="AA53" i="14"/>
  <c r="Q54" i="14"/>
  <c r="R54" i="14"/>
  <c r="S54" i="14"/>
  <c r="T54" i="14"/>
  <c r="U54" i="14"/>
  <c r="V54" i="14"/>
  <c r="W54" i="14"/>
  <c r="X54" i="14"/>
  <c r="AJ54" i="14" s="1"/>
  <c r="Y54" i="14"/>
  <c r="Z54" i="14"/>
  <c r="AA54" i="14"/>
  <c r="Q55" i="14"/>
  <c r="R55" i="14"/>
  <c r="S55" i="14"/>
  <c r="T55" i="14"/>
  <c r="U55" i="14"/>
  <c r="V55" i="14"/>
  <c r="W55" i="14"/>
  <c r="X55" i="14"/>
  <c r="AJ55" i="14" s="1"/>
  <c r="Y55" i="14"/>
  <c r="Z55" i="14"/>
  <c r="AA55" i="14"/>
  <c r="Q56" i="14"/>
  <c r="R56" i="14"/>
  <c r="S56" i="14"/>
  <c r="T56" i="14"/>
  <c r="U56" i="14"/>
  <c r="V56" i="14"/>
  <c r="W56" i="14"/>
  <c r="X56" i="14"/>
  <c r="AJ56" i="14" s="1"/>
  <c r="Y56" i="14"/>
  <c r="Z56" i="14"/>
  <c r="AA56" i="14"/>
  <c r="Q57" i="14"/>
  <c r="R57" i="14"/>
  <c r="S57" i="14"/>
  <c r="T57" i="14"/>
  <c r="U57" i="14"/>
  <c r="V57" i="14"/>
  <c r="W57" i="14"/>
  <c r="X57" i="14"/>
  <c r="AJ57" i="14" s="1"/>
  <c r="Y57" i="14"/>
  <c r="Z57" i="14"/>
  <c r="AA57" i="14"/>
  <c r="Q58" i="14"/>
  <c r="R58" i="14"/>
  <c r="S58" i="14"/>
  <c r="T58" i="14"/>
  <c r="U58" i="14"/>
  <c r="V58" i="14"/>
  <c r="W58" i="14"/>
  <c r="X58" i="14"/>
  <c r="AJ58" i="14" s="1"/>
  <c r="Y58" i="14"/>
  <c r="Z58" i="14"/>
  <c r="AA58" i="14"/>
  <c r="Q59" i="14"/>
  <c r="R59" i="14"/>
  <c r="S59" i="14"/>
  <c r="T59" i="14"/>
  <c r="U59" i="14"/>
  <c r="V59" i="14"/>
  <c r="W59" i="14"/>
  <c r="X59" i="14"/>
  <c r="AJ59" i="14" s="1"/>
  <c r="Y59" i="14"/>
  <c r="Z59" i="14"/>
  <c r="AA59" i="14"/>
  <c r="Q60" i="14"/>
  <c r="R60" i="14"/>
  <c r="S60" i="14"/>
  <c r="T60" i="14"/>
  <c r="U60" i="14"/>
  <c r="V60" i="14"/>
  <c r="W60" i="14"/>
  <c r="X60" i="14"/>
  <c r="AJ60" i="14" s="1"/>
  <c r="Y60" i="14"/>
  <c r="Z60" i="14"/>
  <c r="AA60" i="14"/>
  <c r="Q61" i="14"/>
  <c r="R61" i="14"/>
  <c r="S61" i="14"/>
  <c r="T61" i="14"/>
  <c r="U61" i="14"/>
  <c r="V61" i="14"/>
  <c r="W61" i="14"/>
  <c r="X61" i="14"/>
  <c r="AJ61" i="14" s="1"/>
  <c r="Y61" i="14"/>
  <c r="Z61" i="14"/>
  <c r="AA61" i="14"/>
  <c r="Q62" i="14"/>
  <c r="R62" i="14"/>
  <c r="S62" i="14"/>
  <c r="T62" i="14"/>
  <c r="U62" i="14"/>
  <c r="V62" i="14"/>
  <c r="W62" i="14"/>
  <c r="X62" i="14"/>
  <c r="AJ62" i="14" s="1"/>
  <c r="Y62" i="14"/>
  <c r="Z62" i="14"/>
  <c r="AA62" i="14"/>
  <c r="Q63" i="14"/>
  <c r="R63" i="14"/>
  <c r="S63" i="14"/>
  <c r="T63" i="14"/>
  <c r="U63" i="14"/>
  <c r="V63" i="14"/>
  <c r="W63" i="14"/>
  <c r="X63" i="14"/>
  <c r="AJ63" i="14" s="1"/>
  <c r="Y63" i="14"/>
  <c r="Z63" i="14"/>
  <c r="AA63" i="14"/>
  <c r="Q64" i="14"/>
  <c r="R64" i="14"/>
  <c r="S64" i="14"/>
  <c r="T64" i="14"/>
  <c r="U64" i="14"/>
  <c r="V64" i="14"/>
  <c r="W64" i="14"/>
  <c r="X64" i="14"/>
  <c r="AJ64" i="14" s="1"/>
  <c r="Y64" i="14"/>
  <c r="Z64" i="14"/>
  <c r="AA64" i="14"/>
  <c r="Q65" i="14"/>
  <c r="R65" i="14"/>
  <c r="S65" i="14"/>
  <c r="T65" i="14"/>
  <c r="U65" i="14"/>
  <c r="V65" i="14"/>
  <c r="W65" i="14"/>
  <c r="X65" i="14"/>
  <c r="AJ65" i="14" s="1"/>
  <c r="Y65" i="14"/>
  <c r="Z65" i="14"/>
  <c r="AA65" i="14"/>
  <c r="Q66" i="14"/>
  <c r="R66" i="14"/>
  <c r="S66" i="14"/>
  <c r="T66" i="14"/>
  <c r="U66" i="14"/>
  <c r="V66" i="14"/>
  <c r="W66" i="14"/>
  <c r="X66" i="14"/>
  <c r="AJ66" i="14" s="1"/>
  <c r="Y66" i="14"/>
  <c r="Z66" i="14"/>
  <c r="AA66" i="14"/>
  <c r="Q67" i="14"/>
  <c r="R67" i="14"/>
  <c r="S67" i="14"/>
  <c r="T67" i="14"/>
  <c r="U67" i="14"/>
  <c r="V67" i="14"/>
  <c r="W67" i="14"/>
  <c r="X67" i="14"/>
  <c r="AJ67" i="14" s="1"/>
  <c r="Y67" i="14"/>
  <c r="Z67" i="14"/>
  <c r="AA67" i="14"/>
  <c r="Q68" i="14"/>
  <c r="R68" i="14"/>
  <c r="S68" i="14"/>
  <c r="T68" i="14"/>
  <c r="U68" i="14"/>
  <c r="V68" i="14"/>
  <c r="W68" i="14"/>
  <c r="X68" i="14"/>
  <c r="AJ68" i="14" s="1"/>
  <c r="Y68" i="14"/>
  <c r="Z68" i="14"/>
  <c r="AA68" i="14"/>
  <c r="Q69" i="14"/>
  <c r="R69" i="14"/>
  <c r="S69" i="14"/>
  <c r="T69" i="14"/>
  <c r="U69" i="14"/>
  <c r="V69" i="14"/>
  <c r="W69" i="14"/>
  <c r="X69" i="14"/>
  <c r="AJ69" i="14" s="1"/>
  <c r="Y69" i="14"/>
  <c r="Z69" i="14"/>
  <c r="AA69" i="14"/>
  <c r="Q70" i="14"/>
  <c r="R70" i="14"/>
  <c r="S70" i="14"/>
  <c r="T70" i="14"/>
  <c r="U70" i="14"/>
  <c r="V70" i="14"/>
  <c r="W70" i="14"/>
  <c r="X70" i="14"/>
  <c r="AJ70" i="14" s="1"/>
  <c r="Y70" i="14"/>
  <c r="Z70" i="14"/>
  <c r="AA70" i="14"/>
  <c r="Q71" i="14"/>
  <c r="R71" i="14"/>
  <c r="S71" i="14"/>
  <c r="T71" i="14"/>
  <c r="U71" i="14"/>
  <c r="V71" i="14"/>
  <c r="W71" i="14"/>
  <c r="X71" i="14"/>
  <c r="AJ71" i="14" s="1"/>
  <c r="Y71" i="14"/>
  <c r="Z71" i="14"/>
  <c r="AA71" i="14"/>
  <c r="Q72" i="14"/>
  <c r="R72" i="14"/>
  <c r="S72" i="14"/>
  <c r="T72" i="14"/>
  <c r="U72" i="14"/>
  <c r="V72" i="14"/>
  <c r="W72" i="14"/>
  <c r="X72" i="14"/>
  <c r="AJ72" i="14" s="1"/>
  <c r="Y72" i="14"/>
  <c r="Z72" i="14"/>
  <c r="AA72" i="14"/>
  <c r="Q73" i="14"/>
  <c r="R73" i="14"/>
  <c r="S73" i="14"/>
  <c r="T73" i="14"/>
  <c r="U73" i="14"/>
  <c r="V73" i="14"/>
  <c r="W73" i="14"/>
  <c r="X73" i="14"/>
  <c r="AJ73" i="14" s="1"/>
  <c r="Y73" i="14"/>
  <c r="Z73" i="14"/>
  <c r="AA73" i="14"/>
  <c r="Q74" i="14"/>
  <c r="R74" i="14"/>
  <c r="S74" i="14"/>
  <c r="T74" i="14"/>
  <c r="U74" i="14"/>
  <c r="V74" i="14"/>
  <c r="W74" i="14"/>
  <c r="X74" i="14"/>
  <c r="AJ74" i="14" s="1"/>
  <c r="Y74" i="14"/>
  <c r="Z74" i="14"/>
  <c r="AA74" i="14"/>
  <c r="Q75" i="14"/>
  <c r="R75" i="14"/>
  <c r="S75" i="14"/>
  <c r="T75" i="14"/>
  <c r="U75" i="14"/>
  <c r="V75" i="14"/>
  <c r="W75" i="14"/>
  <c r="X75" i="14"/>
  <c r="AJ75" i="14" s="1"/>
  <c r="Y75" i="14"/>
  <c r="Z75" i="14"/>
  <c r="AA75" i="14"/>
  <c r="Q76" i="14"/>
  <c r="R76" i="14"/>
  <c r="S76" i="14"/>
  <c r="T76" i="14"/>
  <c r="U76" i="14"/>
  <c r="V76" i="14"/>
  <c r="W76" i="14"/>
  <c r="X76" i="14"/>
  <c r="AJ76" i="14" s="1"/>
  <c r="Y76" i="14"/>
  <c r="Z76" i="14"/>
  <c r="AA76" i="14"/>
  <c r="Q77" i="14"/>
  <c r="R77" i="14"/>
  <c r="S77" i="14"/>
  <c r="T77" i="14"/>
  <c r="U77" i="14"/>
  <c r="V77" i="14"/>
  <c r="W77" i="14"/>
  <c r="X77" i="14"/>
  <c r="AJ77" i="14" s="1"/>
  <c r="Y77" i="14"/>
  <c r="Z77" i="14"/>
  <c r="AA77" i="14"/>
  <c r="Q78" i="14"/>
  <c r="R78" i="14"/>
  <c r="S78" i="14"/>
  <c r="T78" i="14"/>
  <c r="U78" i="14"/>
  <c r="V78" i="14"/>
  <c r="W78" i="14"/>
  <c r="X78" i="14"/>
  <c r="AJ78" i="14" s="1"/>
  <c r="Y78" i="14"/>
  <c r="Z78" i="14"/>
  <c r="AA78" i="14"/>
  <c r="Q79" i="14"/>
  <c r="R79" i="14"/>
  <c r="S79" i="14"/>
  <c r="T79" i="14"/>
  <c r="U79" i="14"/>
  <c r="V79" i="14"/>
  <c r="W79" i="14"/>
  <c r="X79" i="14"/>
  <c r="AJ79" i="14" s="1"/>
  <c r="Y79" i="14"/>
  <c r="Z79" i="14"/>
  <c r="AA79" i="14"/>
  <c r="Q80" i="14"/>
  <c r="R80" i="14"/>
  <c r="S80" i="14"/>
  <c r="T80" i="14"/>
  <c r="U80" i="14"/>
  <c r="V80" i="14"/>
  <c r="W80" i="14"/>
  <c r="X80" i="14"/>
  <c r="AJ80" i="14" s="1"/>
  <c r="Y80" i="14"/>
  <c r="Z80" i="14"/>
  <c r="AA80" i="14"/>
  <c r="Q81" i="14"/>
  <c r="R81" i="14"/>
  <c r="S81" i="14"/>
  <c r="T81" i="14"/>
  <c r="U81" i="14"/>
  <c r="V81" i="14"/>
  <c r="W81" i="14"/>
  <c r="X81" i="14"/>
  <c r="AJ81" i="14" s="1"/>
  <c r="Y81" i="14"/>
  <c r="Z81" i="14"/>
  <c r="AA81" i="14"/>
  <c r="Q82" i="14"/>
  <c r="R82" i="14"/>
  <c r="S82" i="14"/>
  <c r="T82" i="14"/>
  <c r="U82" i="14"/>
  <c r="V82" i="14"/>
  <c r="W82" i="14"/>
  <c r="X82" i="14"/>
  <c r="AJ82" i="14" s="1"/>
  <c r="Y82" i="14"/>
  <c r="Z82" i="14"/>
  <c r="AA82" i="14"/>
  <c r="Q83" i="14"/>
  <c r="R83" i="14"/>
  <c r="S83" i="14"/>
  <c r="T83" i="14"/>
  <c r="U83" i="14"/>
  <c r="V83" i="14"/>
  <c r="W83" i="14"/>
  <c r="X83" i="14"/>
  <c r="AJ83" i="14" s="1"/>
  <c r="Y83" i="14"/>
  <c r="Z83" i="14"/>
  <c r="AA83" i="14"/>
  <c r="Q84" i="14"/>
  <c r="R84" i="14"/>
  <c r="S84" i="14"/>
  <c r="T84" i="14"/>
  <c r="U84" i="14"/>
  <c r="V84" i="14"/>
  <c r="W84" i="14"/>
  <c r="X84" i="14"/>
  <c r="AJ84" i="14" s="1"/>
  <c r="Y84" i="14"/>
  <c r="Z84" i="14"/>
  <c r="AA84" i="14"/>
  <c r="Q85" i="14"/>
  <c r="R85" i="14"/>
  <c r="S85" i="14"/>
  <c r="T85" i="14"/>
  <c r="U85" i="14"/>
  <c r="V85" i="14"/>
  <c r="W85" i="14"/>
  <c r="X85" i="14"/>
  <c r="AJ85" i="14" s="1"/>
  <c r="Y85" i="14"/>
  <c r="Z85" i="14"/>
  <c r="AA85" i="14"/>
  <c r="Q86" i="14"/>
  <c r="R86" i="14"/>
  <c r="S86" i="14"/>
  <c r="T86" i="14"/>
  <c r="U86" i="14"/>
  <c r="V86" i="14"/>
  <c r="W86" i="14"/>
  <c r="X86" i="14"/>
  <c r="AJ86" i="14" s="1"/>
  <c r="Y86" i="14"/>
  <c r="Z86" i="14"/>
  <c r="AA86" i="14"/>
  <c r="Q87" i="14"/>
  <c r="R87" i="14"/>
  <c r="S87" i="14"/>
  <c r="T87" i="14"/>
  <c r="U87" i="14"/>
  <c r="V87" i="14"/>
  <c r="W87" i="14"/>
  <c r="X87" i="14"/>
  <c r="AJ87" i="14" s="1"/>
  <c r="Y87" i="14"/>
  <c r="Z87" i="14"/>
  <c r="AA87" i="14"/>
  <c r="Q88" i="14"/>
  <c r="R88" i="14"/>
  <c r="S88" i="14"/>
  <c r="T88" i="14"/>
  <c r="U88" i="14"/>
  <c r="V88" i="14"/>
  <c r="W88" i="14"/>
  <c r="X88" i="14"/>
  <c r="AJ88" i="14" s="1"/>
  <c r="Y88" i="14"/>
  <c r="Z88" i="14"/>
  <c r="AA88" i="14"/>
  <c r="Q89" i="14"/>
  <c r="R89" i="14"/>
  <c r="S89" i="14"/>
  <c r="T89" i="14"/>
  <c r="U89" i="14"/>
  <c r="V89" i="14"/>
  <c r="W89" i="14"/>
  <c r="X89" i="14"/>
  <c r="AJ89" i="14" s="1"/>
  <c r="Y89" i="14"/>
  <c r="Z89" i="14"/>
  <c r="AA89" i="14"/>
  <c r="Q90" i="14"/>
  <c r="R90" i="14"/>
  <c r="S90" i="14"/>
  <c r="T90" i="14"/>
  <c r="U90" i="14"/>
  <c r="V90" i="14"/>
  <c r="W90" i="14"/>
  <c r="X90" i="14"/>
  <c r="AJ90" i="14" s="1"/>
  <c r="Y90" i="14"/>
  <c r="Z90" i="14"/>
  <c r="AA90" i="14"/>
  <c r="Q91" i="14"/>
  <c r="R91" i="14"/>
  <c r="S91" i="14"/>
  <c r="T91" i="14"/>
  <c r="U91" i="14"/>
  <c r="V91" i="14"/>
  <c r="W91" i="14"/>
  <c r="X91" i="14"/>
  <c r="AJ91" i="14" s="1"/>
  <c r="Y91" i="14"/>
  <c r="Z91" i="14"/>
  <c r="AA91" i="14"/>
  <c r="Q92" i="14"/>
  <c r="R92" i="14"/>
  <c r="S92" i="14"/>
  <c r="T92" i="14"/>
  <c r="U92" i="14"/>
  <c r="V92" i="14"/>
  <c r="W92" i="14"/>
  <c r="X92" i="14"/>
  <c r="AJ92" i="14" s="1"/>
  <c r="Y92" i="14"/>
  <c r="Z92" i="14"/>
  <c r="AA92" i="14"/>
  <c r="Q93" i="14"/>
  <c r="R93" i="14"/>
  <c r="S93" i="14"/>
  <c r="T93" i="14"/>
  <c r="U93" i="14"/>
  <c r="V93" i="14"/>
  <c r="W93" i="14"/>
  <c r="X93" i="14"/>
  <c r="AJ93" i="14" s="1"/>
  <c r="Y93" i="14"/>
  <c r="Z93" i="14"/>
  <c r="AA93" i="14"/>
  <c r="Q94" i="14"/>
  <c r="R94" i="14"/>
  <c r="S94" i="14"/>
  <c r="T94" i="14"/>
  <c r="U94" i="14"/>
  <c r="V94" i="14"/>
  <c r="W94" i="14"/>
  <c r="X94" i="14"/>
  <c r="AJ94" i="14" s="1"/>
  <c r="Y94" i="14"/>
  <c r="Z94" i="14"/>
  <c r="AA94" i="14"/>
  <c r="Q95" i="14"/>
  <c r="R95" i="14"/>
  <c r="S95" i="14"/>
  <c r="T95" i="14"/>
  <c r="U95" i="14"/>
  <c r="V95" i="14"/>
  <c r="W95" i="14"/>
  <c r="X95" i="14"/>
  <c r="AJ95" i="14" s="1"/>
  <c r="Y95" i="14"/>
  <c r="Z95" i="14"/>
  <c r="AA95" i="14"/>
  <c r="Q96" i="14"/>
  <c r="R96" i="14"/>
  <c r="S96" i="14"/>
  <c r="T96" i="14"/>
  <c r="U96" i="14"/>
  <c r="V96" i="14"/>
  <c r="W96" i="14"/>
  <c r="X96" i="14"/>
  <c r="AJ96" i="14" s="1"/>
  <c r="Y96" i="14"/>
  <c r="Z96" i="14"/>
  <c r="AA96" i="14"/>
  <c r="Q97" i="14"/>
  <c r="R97" i="14"/>
  <c r="S97" i="14"/>
  <c r="T97" i="14"/>
  <c r="U97" i="14"/>
  <c r="V97" i="14"/>
  <c r="W97" i="14"/>
  <c r="X97" i="14"/>
  <c r="AJ97" i="14" s="1"/>
  <c r="Y97" i="14"/>
  <c r="Z97" i="14"/>
  <c r="AA97" i="14"/>
  <c r="Q98" i="14"/>
  <c r="R98" i="14"/>
  <c r="S98" i="14"/>
  <c r="T98" i="14"/>
  <c r="U98" i="14"/>
  <c r="V98" i="14"/>
  <c r="W98" i="14"/>
  <c r="X98" i="14"/>
  <c r="AJ98" i="14" s="1"/>
  <c r="Y98" i="14"/>
  <c r="Z98" i="14"/>
  <c r="AA98" i="14"/>
  <c r="Q99" i="14"/>
  <c r="R99" i="14"/>
  <c r="S99" i="14"/>
  <c r="T99" i="14"/>
  <c r="U99" i="14"/>
  <c r="V99" i="14"/>
  <c r="W99" i="14"/>
  <c r="X99" i="14"/>
  <c r="AJ99" i="14" s="1"/>
  <c r="Y99" i="14"/>
  <c r="Z99" i="14"/>
  <c r="AA99" i="14"/>
  <c r="Q100" i="14"/>
  <c r="R100" i="14"/>
  <c r="S100" i="14"/>
  <c r="T100" i="14"/>
  <c r="U100" i="14"/>
  <c r="V100" i="14"/>
  <c r="W100" i="14"/>
  <c r="X100" i="14"/>
  <c r="AJ100" i="14" s="1"/>
  <c r="Y100" i="14"/>
  <c r="Z100" i="14"/>
  <c r="AA100" i="14"/>
  <c r="Q101" i="14"/>
  <c r="R101" i="14"/>
  <c r="S101" i="14"/>
  <c r="T101" i="14"/>
  <c r="U101" i="14"/>
  <c r="V101" i="14"/>
  <c r="W101" i="14"/>
  <c r="X101" i="14"/>
  <c r="AJ101" i="14" s="1"/>
  <c r="Y101" i="14"/>
  <c r="Z101" i="14"/>
  <c r="AA101" i="14"/>
  <c r="Q102" i="14"/>
  <c r="R102" i="14"/>
  <c r="S102" i="14"/>
  <c r="T102" i="14"/>
  <c r="U102" i="14"/>
  <c r="V102" i="14"/>
  <c r="W102" i="14"/>
  <c r="X102" i="14"/>
  <c r="AJ102" i="14" s="1"/>
  <c r="Y102" i="14"/>
  <c r="Z102" i="14"/>
  <c r="AA102" i="14"/>
  <c r="Q103" i="14"/>
  <c r="R103" i="14"/>
  <c r="S103" i="14"/>
  <c r="T103" i="14"/>
  <c r="U103" i="14"/>
  <c r="V103" i="14"/>
  <c r="W103" i="14"/>
  <c r="X103" i="14"/>
  <c r="AJ103" i="14" s="1"/>
  <c r="Y103" i="14"/>
  <c r="Z103" i="14"/>
  <c r="AA103" i="14"/>
  <c r="Q104" i="14"/>
  <c r="R104" i="14"/>
  <c r="S104" i="14"/>
  <c r="T104" i="14"/>
  <c r="U104" i="14"/>
  <c r="V104" i="14"/>
  <c r="W104" i="14"/>
  <c r="X104" i="14"/>
  <c r="AJ104" i="14" s="1"/>
  <c r="Y104" i="14"/>
  <c r="Z104" i="14"/>
  <c r="AA104" i="14"/>
  <c r="Q105" i="14"/>
  <c r="R105" i="14"/>
  <c r="S105" i="14"/>
  <c r="T105" i="14"/>
  <c r="U105" i="14"/>
  <c r="V105" i="14"/>
  <c r="W105" i="14"/>
  <c r="X105" i="14"/>
  <c r="AJ105" i="14" s="1"/>
  <c r="Y105" i="14"/>
  <c r="Z105" i="14"/>
  <c r="AA105" i="14"/>
  <c r="Q106" i="14"/>
  <c r="R106" i="14"/>
  <c r="S106" i="14"/>
  <c r="T106" i="14"/>
  <c r="U106" i="14"/>
  <c r="V106" i="14"/>
  <c r="W106" i="14"/>
  <c r="X106" i="14"/>
  <c r="AJ106" i="14" s="1"/>
  <c r="Y106" i="14"/>
  <c r="Z106" i="14"/>
  <c r="AA106" i="14"/>
  <c r="Q107" i="14"/>
  <c r="R107" i="14"/>
  <c r="S107" i="14"/>
  <c r="T107" i="14"/>
  <c r="U107" i="14"/>
  <c r="V107" i="14"/>
  <c r="W107" i="14"/>
  <c r="X107" i="14"/>
  <c r="AJ107" i="14" s="1"/>
  <c r="Y107" i="14"/>
  <c r="Z107" i="14"/>
  <c r="AA107" i="14"/>
  <c r="Q108" i="14"/>
  <c r="R108" i="14"/>
  <c r="S108" i="14"/>
  <c r="T108" i="14"/>
  <c r="U108" i="14"/>
  <c r="V108" i="14"/>
  <c r="W108" i="14"/>
  <c r="X108" i="14"/>
  <c r="AJ108" i="14" s="1"/>
  <c r="Y108" i="14"/>
  <c r="Z108" i="14"/>
  <c r="AA108" i="14"/>
  <c r="Q109" i="14"/>
  <c r="R109" i="14"/>
  <c r="S109" i="14"/>
  <c r="T109" i="14"/>
  <c r="U109" i="14"/>
  <c r="V109" i="14"/>
  <c r="W109" i="14"/>
  <c r="X109" i="14"/>
  <c r="AJ109" i="14" s="1"/>
  <c r="Y109" i="14"/>
  <c r="Z109" i="14"/>
  <c r="AA109" i="14"/>
  <c r="Q110" i="14"/>
  <c r="R110" i="14"/>
  <c r="S110" i="14"/>
  <c r="T110" i="14"/>
  <c r="U110" i="14"/>
  <c r="V110" i="14"/>
  <c r="W110" i="14"/>
  <c r="X110" i="14"/>
  <c r="AJ110" i="14" s="1"/>
  <c r="Y110" i="14"/>
  <c r="Z110" i="14"/>
  <c r="AA110" i="14"/>
  <c r="Q111" i="14"/>
  <c r="R111" i="14"/>
  <c r="S111" i="14"/>
  <c r="T111" i="14"/>
  <c r="U111" i="14"/>
  <c r="V111" i="14"/>
  <c r="W111" i="14"/>
  <c r="X111" i="14"/>
  <c r="AJ111" i="14" s="1"/>
  <c r="Y111" i="14"/>
  <c r="Z111" i="14"/>
  <c r="AA111" i="14"/>
  <c r="Q112" i="14"/>
  <c r="R112" i="14"/>
  <c r="S112" i="14"/>
  <c r="T112" i="14"/>
  <c r="U112" i="14"/>
  <c r="V112" i="14"/>
  <c r="W112" i="14"/>
  <c r="X112" i="14"/>
  <c r="AJ112" i="14" s="1"/>
  <c r="Y112" i="14"/>
  <c r="Z112" i="14"/>
  <c r="AA112" i="14"/>
  <c r="Q113" i="14"/>
  <c r="R113" i="14"/>
  <c r="S113" i="14"/>
  <c r="T113" i="14"/>
  <c r="U113" i="14"/>
  <c r="V113" i="14"/>
  <c r="W113" i="14"/>
  <c r="X113" i="14"/>
  <c r="AJ113" i="14" s="1"/>
  <c r="Y113" i="14"/>
  <c r="Z113" i="14"/>
  <c r="AA113" i="14"/>
  <c r="Q114" i="14"/>
  <c r="R114" i="14"/>
  <c r="S114" i="14"/>
  <c r="T114" i="14"/>
  <c r="U114" i="14"/>
  <c r="V114" i="14"/>
  <c r="W114" i="14"/>
  <c r="X114" i="14"/>
  <c r="AJ114" i="14" s="1"/>
  <c r="Y114" i="14"/>
  <c r="Z114" i="14"/>
  <c r="AA114" i="14"/>
  <c r="Q115" i="14"/>
  <c r="R115" i="14"/>
  <c r="S115" i="14"/>
  <c r="T115" i="14"/>
  <c r="U115" i="14"/>
  <c r="V115" i="14"/>
  <c r="W115" i="14"/>
  <c r="X115" i="14"/>
  <c r="AJ115" i="14" s="1"/>
  <c r="Y115" i="14"/>
  <c r="Z115" i="14"/>
  <c r="AA115" i="14"/>
  <c r="Q116" i="14"/>
  <c r="R116" i="14"/>
  <c r="S116" i="14"/>
  <c r="T116" i="14"/>
  <c r="U116" i="14"/>
  <c r="V116" i="14"/>
  <c r="W116" i="14"/>
  <c r="X116" i="14"/>
  <c r="AJ116" i="14" s="1"/>
  <c r="Y116" i="14"/>
  <c r="Z116" i="14"/>
  <c r="AA116" i="14"/>
  <c r="Q117" i="14"/>
  <c r="R117" i="14"/>
  <c r="S117" i="14"/>
  <c r="T117" i="14"/>
  <c r="U117" i="14"/>
  <c r="V117" i="14"/>
  <c r="W117" i="14"/>
  <c r="X117" i="14"/>
  <c r="AJ117" i="14" s="1"/>
  <c r="Y117" i="14"/>
  <c r="Z117" i="14"/>
  <c r="AA117" i="14"/>
  <c r="Q118" i="14"/>
  <c r="R118" i="14"/>
  <c r="S118" i="14"/>
  <c r="T118" i="14"/>
  <c r="U118" i="14"/>
  <c r="V118" i="14"/>
  <c r="W118" i="14"/>
  <c r="X118" i="14"/>
  <c r="AJ118" i="14" s="1"/>
  <c r="Y118" i="14"/>
  <c r="Z118" i="14"/>
  <c r="AA118" i="14"/>
  <c r="Q119" i="14"/>
  <c r="R119" i="14"/>
  <c r="S119" i="14"/>
  <c r="T119" i="14"/>
  <c r="U119" i="14"/>
  <c r="V119" i="14"/>
  <c r="W119" i="14"/>
  <c r="X119" i="14"/>
  <c r="AJ119" i="14" s="1"/>
  <c r="Y119" i="14"/>
  <c r="Z119" i="14"/>
  <c r="AA119" i="14"/>
  <c r="Q120" i="14"/>
  <c r="R120" i="14"/>
  <c r="S120" i="14"/>
  <c r="T120" i="14"/>
  <c r="U120" i="14"/>
  <c r="V120" i="14"/>
  <c r="W120" i="14"/>
  <c r="X120" i="14"/>
  <c r="AJ120" i="14" s="1"/>
  <c r="Y120" i="14"/>
  <c r="Z120" i="14"/>
  <c r="AA120" i="14"/>
  <c r="Q121" i="14"/>
  <c r="R121" i="14"/>
  <c r="S121" i="14"/>
  <c r="T121" i="14"/>
  <c r="U121" i="14"/>
  <c r="V121" i="14"/>
  <c r="W121" i="14"/>
  <c r="X121" i="14"/>
  <c r="AJ121" i="14" s="1"/>
  <c r="Y121" i="14"/>
  <c r="Z121" i="14"/>
  <c r="AA121" i="14"/>
  <c r="Q122" i="14"/>
  <c r="R122" i="14"/>
  <c r="S122" i="14"/>
  <c r="T122" i="14"/>
  <c r="U122" i="14"/>
  <c r="V122" i="14"/>
  <c r="W122" i="14"/>
  <c r="X122" i="14"/>
  <c r="AJ122" i="14" s="1"/>
  <c r="Y122" i="14"/>
  <c r="Z122" i="14"/>
  <c r="AA122" i="14"/>
  <c r="Q123" i="14"/>
  <c r="R123" i="14"/>
  <c r="S123" i="14"/>
  <c r="T123" i="14"/>
  <c r="U123" i="14"/>
  <c r="V123" i="14"/>
  <c r="W123" i="14"/>
  <c r="X123" i="14"/>
  <c r="AJ123" i="14" s="1"/>
  <c r="Y123" i="14"/>
  <c r="Z123" i="14"/>
  <c r="AA123" i="14"/>
  <c r="Q124" i="14"/>
  <c r="R124" i="14"/>
  <c r="S124" i="14"/>
  <c r="T124" i="14"/>
  <c r="U124" i="14"/>
  <c r="V124" i="14"/>
  <c r="W124" i="14"/>
  <c r="X124" i="14"/>
  <c r="AJ124" i="14" s="1"/>
  <c r="Y124" i="14"/>
  <c r="Z124" i="14"/>
  <c r="AA124" i="14"/>
  <c r="Q125" i="14"/>
  <c r="R125" i="14"/>
  <c r="S125" i="14"/>
  <c r="T125" i="14"/>
  <c r="U125" i="14"/>
  <c r="V125" i="14"/>
  <c r="W125" i="14"/>
  <c r="X125" i="14"/>
  <c r="AJ125" i="14" s="1"/>
  <c r="Y125" i="14"/>
  <c r="Z125" i="14"/>
  <c r="AA125" i="14"/>
  <c r="Q126" i="14"/>
  <c r="R126" i="14"/>
  <c r="S126" i="14"/>
  <c r="T126" i="14"/>
  <c r="U126" i="14"/>
  <c r="V126" i="14"/>
  <c r="W126" i="14"/>
  <c r="X126" i="14"/>
  <c r="AJ126" i="14" s="1"/>
  <c r="Y126" i="14"/>
  <c r="Z126" i="14"/>
  <c r="AA126" i="14"/>
  <c r="Q127" i="14"/>
  <c r="R127" i="14"/>
  <c r="S127" i="14"/>
  <c r="T127" i="14"/>
  <c r="U127" i="14"/>
  <c r="V127" i="14"/>
  <c r="W127" i="14"/>
  <c r="X127" i="14"/>
  <c r="AJ127" i="14" s="1"/>
  <c r="Y127" i="14"/>
  <c r="Z127" i="14"/>
  <c r="AA127" i="14"/>
  <c r="Q128" i="14"/>
  <c r="R128" i="14"/>
  <c r="S128" i="14"/>
  <c r="T128" i="14"/>
  <c r="U128" i="14"/>
  <c r="V128" i="14"/>
  <c r="W128" i="14"/>
  <c r="X128" i="14"/>
  <c r="AJ128" i="14" s="1"/>
  <c r="Y128" i="14"/>
  <c r="Z128" i="14"/>
  <c r="AA128" i="14"/>
  <c r="Q129" i="14"/>
  <c r="R129" i="14"/>
  <c r="S129" i="14"/>
  <c r="T129" i="14"/>
  <c r="U129" i="14"/>
  <c r="V129" i="14"/>
  <c r="W129" i="14"/>
  <c r="X129" i="14"/>
  <c r="AJ129" i="14" s="1"/>
  <c r="Y129" i="14"/>
  <c r="Z129" i="14"/>
  <c r="AA129" i="14"/>
  <c r="Q130" i="14"/>
  <c r="R130" i="14"/>
  <c r="S130" i="14"/>
  <c r="T130" i="14"/>
  <c r="U130" i="14"/>
  <c r="V130" i="14"/>
  <c r="W130" i="14"/>
  <c r="X130" i="14"/>
  <c r="AJ130" i="14" s="1"/>
  <c r="Y130" i="14"/>
  <c r="Z130" i="14"/>
  <c r="AA130" i="14"/>
  <c r="Q131" i="14"/>
  <c r="R131" i="14"/>
  <c r="S131" i="14"/>
  <c r="T131" i="14"/>
  <c r="U131" i="14"/>
  <c r="V131" i="14"/>
  <c r="W131" i="14"/>
  <c r="X131" i="14"/>
  <c r="AJ131" i="14" s="1"/>
  <c r="Y131" i="14"/>
  <c r="Z131" i="14"/>
  <c r="AA131" i="14"/>
  <c r="Q132" i="14"/>
  <c r="R132" i="14"/>
  <c r="S132" i="14"/>
  <c r="T132" i="14"/>
  <c r="U132" i="14"/>
  <c r="V132" i="14"/>
  <c r="W132" i="14"/>
  <c r="X132" i="14"/>
  <c r="AJ132" i="14" s="1"/>
  <c r="Y132" i="14"/>
  <c r="Z132" i="14"/>
  <c r="AA132" i="14"/>
  <c r="Q133" i="14"/>
  <c r="R133" i="14"/>
  <c r="S133" i="14"/>
  <c r="T133" i="14"/>
  <c r="U133" i="14"/>
  <c r="V133" i="14"/>
  <c r="W133" i="14"/>
  <c r="X133" i="14"/>
  <c r="AJ133" i="14" s="1"/>
  <c r="Y133" i="14"/>
  <c r="Z133" i="14"/>
  <c r="AA133" i="14"/>
  <c r="Q134" i="14"/>
  <c r="R134" i="14"/>
  <c r="S134" i="14"/>
  <c r="T134" i="14"/>
  <c r="U134" i="14"/>
  <c r="V134" i="14"/>
  <c r="W134" i="14"/>
  <c r="X134" i="14"/>
  <c r="AJ134" i="14" s="1"/>
  <c r="Y134" i="14"/>
  <c r="Z134" i="14"/>
  <c r="AA134" i="14"/>
  <c r="Q135" i="14"/>
  <c r="R135" i="14"/>
  <c r="S135" i="14"/>
  <c r="T135" i="14"/>
  <c r="U135" i="14"/>
  <c r="V135" i="14"/>
  <c r="W135" i="14"/>
  <c r="X135" i="14"/>
  <c r="AJ135" i="14" s="1"/>
  <c r="Y135" i="14"/>
  <c r="Z135" i="14"/>
  <c r="AA135" i="14"/>
  <c r="Q136" i="14"/>
  <c r="R136" i="14"/>
  <c r="S136" i="14"/>
  <c r="T136" i="14"/>
  <c r="U136" i="14"/>
  <c r="V136" i="14"/>
  <c r="W136" i="14"/>
  <c r="X136" i="14"/>
  <c r="AJ136" i="14" s="1"/>
  <c r="Y136" i="14"/>
  <c r="Z136" i="14"/>
  <c r="AA136" i="14"/>
  <c r="Q137" i="14"/>
  <c r="R137" i="14"/>
  <c r="S137" i="14"/>
  <c r="T137" i="14"/>
  <c r="U137" i="14"/>
  <c r="V137" i="14"/>
  <c r="W137" i="14"/>
  <c r="X137" i="14"/>
  <c r="AJ137" i="14" s="1"/>
  <c r="Y137" i="14"/>
  <c r="Z137" i="14"/>
  <c r="AA137" i="14"/>
  <c r="Q138" i="14"/>
  <c r="R138" i="14"/>
  <c r="S138" i="14"/>
  <c r="T138" i="14"/>
  <c r="U138" i="14"/>
  <c r="V138" i="14"/>
  <c r="W138" i="14"/>
  <c r="X138" i="14"/>
  <c r="AJ138" i="14" s="1"/>
  <c r="Y138" i="14"/>
  <c r="Z138" i="14"/>
  <c r="AA138" i="14"/>
  <c r="Q139" i="14"/>
  <c r="R139" i="14"/>
  <c r="S139" i="14"/>
  <c r="T139" i="14"/>
  <c r="U139" i="14"/>
  <c r="V139" i="14"/>
  <c r="W139" i="14"/>
  <c r="X139" i="14"/>
  <c r="AJ139" i="14" s="1"/>
  <c r="Y139" i="14"/>
  <c r="Z139" i="14"/>
  <c r="AA139" i="14"/>
  <c r="Q140" i="14"/>
  <c r="R140" i="14"/>
  <c r="S140" i="14"/>
  <c r="T140" i="14"/>
  <c r="U140" i="14"/>
  <c r="V140" i="14"/>
  <c r="W140" i="14"/>
  <c r="X140" i="14"/>
  <c r="AJ140" i="14" s="1"/>
  <c r="Y140" i="14"/>
  <c r="Z140" i="14"/>
  <c r="AA140" i="14"/>
  <c r="Q141" i="14"/>
  <c r="R141" i="14"/>
  <c r="S141" i="14"/>
  <c r="T141" i="14"/>
  <c r="U141" i="14"/>
  <c r="V141" i="14"/>
  <c r="W141" i="14"/>
  <c r="X141" i="14"/>
  <c r="AJ141" i="14" s="1"/>
  <c r="Y141" i="14"/>
  <c r="Z141" i="14"/>
  <c r="AA141" i="14"/>
  <c r="Q142" i="14"/>
  <c r="R142" i="14"/>
  <c r="S142" i="14"/>
  <c r="T142" i="14"/>
  <c r="U142" i="14"/>
  <c r="V142" i="14"/>
  <c r="W142" i="14"/>
  <c r="X142" i="14"/>
  <c r="AJ142" i="14" s="1"/>
  <c r="Y142" i="14"/>
  <c r="Z142" i="14"/>
  <c r="AA142" i="14"/>
  <c r="Q143" i="14"/>
  <c r="R143" i="14"/>
  <c r="S143" i="14"/>
  <c r="T143" i="14"/>
  <c r="U143" i="14"/>
  <c r="V143" i="14"/>
  <c r="W143" i="14"/>
  <c r="X143" i="14"/>
  <c r="AJ143" i="14" s="1"/>
  <c r="Y143" i="14"/>
  <c r="Z143" i="14"/>
  <c r="AA143" i="14"/>
  <c r="Q144" i="14"/>
  <c r="R144" i="14"/>
  <c r="S144" i="14"/>
  <c r="T144" i="14"/>
  <c r="U144" i="14"/>
  <c r="V144" i="14"/>
  <c r="W144" i="14"/>
  <c r="X144" i="14"/>
  <c r="AJ144" i="14" s="1"/>
  <c r="Y144" i="14"/>
  <c r="Z144" i="14"/>
  <c r="AA144" i="14"/>
  <c r="Q145" i="14"/>
  <c r="R145" i="14"/>
  <c r="S145" i="14"/>
  <c r="T145" i="14"/>
  <c r="U145" i="14"/>
  <c r="V145" i="14"/>
  <c r="W145" i="14"/>
  <c r="X145" i="14"/>
  <c r="AJ145" i="14" s="1"/>
  <c r="Y145" i="14"/>
  <c r="Z145" i="14"/>
  <c r="AA145" i="14"/>
  <c r="Q146" i="14"/>
  <c r="R146" i="14"/>
  <c r="S146" i="14"/>
  <c r="T146" i="14"/>
  <c r="U146" i="14"/>
  <c r="V146" i="14"/>
  <c r="W146" i="14"/>
  <c r="X146" i="14"/>
  <c r="AJ146" i="14" s="1"/>
  <c r="Y146" i="14"/>
  <c r="Z146" i="14"/>
  <c r="AA146" i="14"/>
  <c r="Q147" i="14"/>
  <c r="R147" i="14"/>
  <c r="S147" i="14"/>
  <c r="T147" i="14"/>
  <c r="U147" i="14"/>
  <c r="V147" i="14"/>
  <c r="W147" i="14"/>
  <c r="X147" i="14"/>
  <c r="AJ147" i="14" s="1"/>
  <c r="Y147" i="14"/>
  <c r="Z147" i="14"/>
  <c r="AA147" i="14"/>
  <c r="Q148" i="14"/>
  <c r="R148" i="14"/>
  <c r="S148" i="14"/>
  <c r="T148" i="14"/>
  <c r="U148" i="14"/>
  <c r="V148" i="14"/>
  <c r="W148" i="14"/>
  <c r="X148" i="14"/>
  <c r="AJ148" i="14" s="1"/>
  <c r="Y148" i="14"/>
  <c r="Z148" i="14"/>
  <c r="AA148" i="14"/>
  <c r="Q149" i="14"/>
  <c r="R149" i="14"/>
  <c r="S149" i="14"/>
  <c r="T149" i="14"/>
  <c r="U149" i="14"/>
  <c r="V149" i="14"/>
  <c r="W149" i="14"/>
  <c r="X149" i="14"/>
  <c r="AJ149" i="14" s="1"/>
  <c r="Y149" i="14"/>
  <c r="Z149" i="14"/>
  <c r="AA149" i="14"/>
  <c r="Q150" i="14"/>
  <c r="R150" i="14"/>
  <c r="S150" i="14"/>
  <c r="T150" i="14"/>
  <c r="U150" i="14"/>
  <c r="V150" i="14"/>
  <c r="W150" i="14"/>
  <c r="X150" i="14"/>
  <c r="AJ150" i="14" s="1"/>
  <c r="Y150" i="14"/>
  <c r="Z150" i="14"/>
  <c r="AA150" i="14"/>
  <c r="Q151" i="14"/>
  <c r="R151" i="14"/>
  <c r="S151" i="14"/>
  <c r="T151" i="14"/>
  <c r="U151" i="14"/>
  <c r="V151" i="14"/>
  <c r="W151" i="14"/>
  <c r="X151" i="14"/>
  <c r="AJ151" i="14" s="1"/>
  <c r="Y151" i="14"/>
  <c r="Z151" i="14"/>
  <c r="AA151" i="14"/>
  <c r="Q152" i="14"/>
  <c r="R152" i="14"/>
  <c r="S152" i="14"/>
  <c r="T152" i="14"/>
  <c r="U152" i="14"/>
  <c r="V152" i="14"/>
  <c r="W152" i="14"/>
  <c r="X152" i="14"/>
  <c r="AJ152" i="14" s="1"/>
  <c r="Y152" i="14"/>
  <c r="Z152" i="14"/>
  <c r="AA152" i="14"/>
  <c r="Q153" i="14"/>
  <c r="R153" i="14"/>
  <c r="S153" i="14"/>
  <c r="T153" i="14"/>
  <c r="U153" i="14"/>
  <c r="V153" i="14"/>
  <c r="W153" i="14"/>
  <c r="X153" i="14"/>
  <c r="AJ153" i="14" s="1"/>
  <c r="Y153" i="14"/>
  <c r="Z153" i="14"/>
  <c r="AA153" i="14"/>
  <c r="Q154" i="14"/>
  <c r="R154" i="14"/>
  <c r="S154" i="14"/>
  <c r="T154" i="14"/>
  <c r="U154" i="14"/>
  <c r="V154" i="14"/>
  <c r="W154" i="14"/>
  <c r="X154" i="14"/>
  <c r="AJ154" i="14" s="1"/>
  <c r="Y154" i="14"/>
  <c r="Z154" i="14"/>
  <c r="AA154" i="14"/>
  <c r="Q155" i="14"/>
  <c r="R155" i="14"/>
  <c r="S155" i="14"/>
  <c r="T155" i="14"/>
  <c r="U155" i="14"/>
  <c r="V155" i="14"/>
  <c r="W155" i="14"/>
  <c r="X155" i="14"/>
  <c r="AJ155" i="14" s="1"/>
  <c r="Y155" i="14"/>
  <c r="Z155" i="14"/>
  <c r="AA155" i="14"/>
  <c r="Q156" i="14"/>
  <c r="R156" i="14"/>
  <c r="S156" i="14"/>
  <c r="T156" i="14"/>
  <c r="U156" i="14"/>
  <c r="V156" i="14"/>
  <c r="W156" i="14"/>
  <c r="X156" i="14"/>
  <c r="AJ156" i="14" s="1"/>
  <c r="Y156" i="14"/>
  <c r="Z156" i="14"/>
  <c r="AA156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AA4" i="14"/>
  <c r="Z4" i="14"/>
  <c r="Y4" i="14"/>
  <c r="X4" i="14"/>
  <c r="AJ4" i="14" s="1"/>
  <c r="W4" i="14"/>
  <c r="V4" i="14"/>
  <c r="U4" i="14"/>
  <c r="T4" i="14"/>
  <c r="S4" i="14"/>
  <c r="R4" i="14"/>
  <c r="Q4" i="14"/>
  <c r="P4" i="14"/>
  <c r="K1" i="26" l="1"/>
  <c r="J1" i="26"/>
  <c r="K2" i="9"/>
  <c r="K1" i="9"/>
  <c r="J2" i="9"/>
  <c r="J1" i="9" s="1"/>
  <c r="K2" i="10"/>
  <c r="K1" i="10"/>
  <c r="J2" i="10"/>
  <c r="J1" i="10"/>
  <c r="K1" i="2"/>
  <c r="J1" i="2"/>
  <c r="I2" i="17"/>
  <c r="L2" i="31" l="1"/>
  <c r="S15" i="19"/>
  <c r="P15" i="19"/>
  <c r="S23" i="19" l="1"/>
  <c r="P23" i="19"/>
  <c r="S22" i="19"/>
  <c r="P22" i="19"/>
  <c r="S21" i="19"/>
  <c r="P21" i="19"/>
  <c r="S20" i="19"/>
  <c r="P20" i="19"/>
  <c r="S19" i="19"/>
  <c r="P19" i="19"/>
  <c r="S18" i="19"/>
  <c r="P18" i="19"/>
  <c r="S17" i="19"/>
  <c r="P17" i="19"/>
  <c r="S16" i="19"/>
  <c r="P16" i="19"/>
  <c r="S14" i="19"/>
  <c r="P14" i="19"/>
  <c r="S13" i="19"/>
  <c r="P13" i="19"/>
  <c r="S12" i="19"/>
  <c r="P12" i="19"/>
  <c r="S11" i="19"/>
  <c r="P11" i="19"/>
  <c r="S10" i="19"/>
  <c r="P10" i="19"/>
  <c r="S9" i="19"/>
  <c r="P9" i="19"/>
  <c r="P8" i="19"/>
  <c r="P7" i="19"/>
  <c r="S6" i="19"/>
  <c r="P6" i="19"/>
  <c r="S5" i="19"/>
  <c r="P5" i="19"/>
  <c r="S4" i="19"/>
  <c r="P4" i="19"/>
  <c r="S3" i="19"/>
  <c r="P3" i="19"/>
  <c r="J2" i="31"/>
  <c r="I2" i="31"/>
  <c r="H2" i="31"/>
  <c r="F2" i="31"/>
  <c r="U2" i="31" s="1"/>
  <c r="E2" i="31"/>
  <c r="D2" i="31"/>
  <c r="C2" i="31"/>
  <c r="B2" i="31"/>
  <c r="L2" i="17"/>
  <c r="P2" i="31" l="1"/>
  <c r="V2" i="31"/>
  <c r="R2" i="31"/>
  <c r="S2" i="31"/>
  <c r="D2" i="21"/>
  <c r="C2" i="21"/>
  <c r="T2" i="31" l="1"/>
  <c r="W2" i="31"/>
  <c r="C95" i="16"/>
  <c r="D95" i="16"/>
  <c r="C96" i="16"/>
  <c r="D96" i="16"/>
  <c r="C97" i="16"/>
  <c r="D97" i="16"/>
  <c r="E97" i="16"/>
  <c r="F97" i="16"/>
  <c r="G97" i="16"/>
  <c r="H97" i="16"/>
  <c r="I97" i="16"/>
  <c r="J97" i="16"/>
  <c r="K97" i="16"/>
  <c r="L97" i="16"/>
  <c r="M97" i="16"/>
  <c r="C98" i="16"/>
  <c r="D98" i="16"/>
  <c r="G98" i="16"/>
  <c r="H98" i="16"/>
  <c r="I98" i="16"/>
  <c r="J98" i="16"/>
  <c r="K98" i="16"/>
  <c r="L98" i="16"/>
  <c r="M98" i="16"/>
  <c r="C99" i="16"/>
  <c r="D99" i="16"/>
  <c r="K99" i="16"/>
  <c r="L99" i="16"/>
  <c r="M99" i="16"/>
  <c r="C100" i="16"/>
  <c r="D100" i="16"/>
  <c r="I100" i="16"/>
  <c r="J100" i="16"/>
  <c r="K100" i="16"/>
  <c r="L100" i="16"/>
  <c r="M100" i="16"/>
  <c r="C101" i="16"/>
  <c r="D101" i="16"/>
  <c r="L101" i="16"/>
  <c r="M101" i="16"/>
  <c r="C102" i="16"/>
  <c r="D102" i="16"/>
  <c r="G102" i="16"/>
  <c r="H102" i="16"/>
  <c r="I102" i="16"/>
  <c r="J102" i="16"/>
  <c r="K102" i="16"/>
  <c r="L102" i="16"/>
  <c r="M102" i="16"/>
  <c r="C103" i="16"/>
  <c r="D103" i="16"/>
  <c r="E103" i="16"/>
  <c r="F103" i="16"/>
  <c r="G103" i="16"/>
  <c r="H103" i="16"/>
  <c r="I103" i="16"/>
  <c r="J103" i="16"/>
  <c r="K103" i="16"/>
  <c r="L103" i="16"/>
  <c r="M103" i="16"/>
  <c r="C104" i="16"/>
  <c r="D104" i="16"/>
  <c r="J104" i="16"/>
  <c r="C105" i="16"/>
  <c r="D105" i="16"/>
  <c r="C106" i="16"/>
  <c r="D106" i="16"/>
  <c r="E106" i="16"/>
  <c r="F106" i="16"/>
  <c r="G106" i="16"/>
  <c r="H106" i="16"/>
  <c r="I106" i="16"/>
  <c r="J106" i="16"/>
  <c r="K106" i="16"/>
  <c r="L106" i="16"/>
  <c r="M106" i="16"/>
  <c r="C107" i="16"/>
  <c r="D107" i="16"/>
  <c r="G107" i="16"/>
  <c r="H107" i="16"/>
  <c r="I107" i="16"/>
  <c r="J107" i="16"/>
  <c r="K107" i="16"/>
  <c r="L107" i="16"/>
  <c r="M107" i="16"/>
  <c r="C108" i="16"/>
  <c r="D108" i="16"/>
  <c r="G108" i="16"/>
  <c r="H108" i="16"/>
  <c r="I108" i="16"/>
  <c r="J108" i="16"/>
  <c r="K108" i="16"/>
  <c r="L108" i="16"/>
  <c r="M108" i="16"/>
  <c r="D94" i="16"/>
  <c r="G94" i="16"/>
  <c r="H94" i="16"/>
  <c r="K94" i="16"/>
  <c r="L94" i="16"/>
  <c r="C94" i="16"/>
  <c r="C64" i="16"/>
  <c r="F92" i="16"/>
  <c r="G92" i="16"/>
  <c r="H92" i="16"/>
  <c r="I92" i="16"/>
  <c r="J92" i="16"/>
  <c r="K92" i="16"/>
  <c r="L92" i="16"/>
  <c r="M92" i="16"/>
  <c r="E92" i="16"/>
  <c r="E62" i="16"/>
  <c r="F91" i="16"/>
  <c r="G91" i="16"/>
  <c r="H91" i="16"/>
  <c r="I91" i="16"/>
  <c r="J91" i="16"/>
  <c r="K91" i="16"/>
  <c r="L91" i="16"/>
  <c r="M91" i="16"/>
  <c r="E91" i="16"/>
  <c r="E61" i="16"/>
  <c r="F90" i="16"/>
  <c r="G90" i="16"/>
  <c r="H90" i="16"/>
  <c r="I90" i="16"/>
  <c r="J90" i="16"/>
  <c r="K90" i="16"/>
  <c r="L90" i="16"/>
  <c r="M90" i="16"/>
  <c r="E90" i="16"/>
  <c r="E60" i="16"/>
  <c r="K14" i="26"/>
  <c r="F102" i="16" s="1"/>
  <c r="J8" i="26"/>
  <c r="E96" i="16" s="1"/>
  <c r="L42" i="26"/>
  <c r="H30" i="26"/>
  <c r="A28" i="26"/>
  <c r="A27" i="26"/>
  <c r="D26" i="26"/>
  <c r="A26" i="26"/>
  <c r="A25" i="26"/>
  <c r="R20" i="26"/>
  <c r="Q20" i="26"/>
  <c r="P20" i="26"/>
  <c r="O20" i="26"/>
  <c r="N20" i="26"/>
  <c r="M20" i="26"/>
  <c r="K20" i="26"/>
  <c r="F108" i="16" s="1"/>
  <c r="R19" i="26"/>
  <c r="R48" i="26" s="1"/>
  <c r="Q19" i="26"/>
  <c r="Q48" i="26" s="1"/>
  <c r="P19" i="26"/>
  <c r="P48" i="26" s="1"/>
  <c r="O19" i="26"/>
  <c r="O48" i="26" s="1"/>
  <c r="N19" i="26"/>
  <c r="N48" i="26" s="1"/>
  <c r="M19" i="26"/>
  <c r="M38" i="26" s="1"/>
  <c r="L19" i="26"/>
  <c r="L48" i="26" s="1"/>
  <c r="K19" i="26"/>
  <c r="K48" i="26" s="1"/>
  <c r="J19" i="26"/>
  <c r="E107" i="16" s="1"/>
  <c r="J17" i="26"/>
  <c r="E105" i="16" s="1"/>
  <c r="R16" i="26"/>
  <c r="R47" i="26" s="1"/>
  <c r="Q16" i="26"/>
  <c r="Q47" i="26" s="1"/>
  <c r="P16" i="26"/>
  <c r="P47" i="26" s="1"/>
  <c r="K16" i="26"/>
  <c r="K47" i="26" s="1"/>
  <c r="J16" i="26"/>
  <c r="J47" i="26" s="1"/>
  <c r="R14" i="26"/>
  <c r="Q14" i="26"/>
  <c r="P14" i="26"/>
  <c r="O14" i="26"/>
  <c r="N14" i="26"/>
  <c r="M14" i="26"/>
  <c r="J14" i="26"/>
  <c r="E102" i="16" s="1"/>
  <c r="R13" i="26"/>
  <c r="E28" i="26" s="1"/>
  <c r="K13" i="26"/>
  <c r="E21" i="26" s="1"/>
  <c r="R12" i="26"/>
  <c r="D28" i="26" s="1"/>
  <c r="Q12" i="26"/>
  <c r="D27" i="26" s="1"/>
  <c r="P12" i="26"/>
  <c r="O12" i="26"/>
  <c r="D25" i="26" s="1"/>
  <c r="K12" i="26"/>
  <c r="D21" i="26" s="1"/>
  <c r="J12" i="26"/>
  <c r="D20" i="26" s="1"/>
  <c r="R11" i="26"/>
  <c r="C28" i="26" s="1"/>
  <c r="Q11" i="26"/>
  <c r="C27" i="26" s="1"/>
  <c r="P11" i="26"/>
  <c r="C26" i="26" s="1"/>
  <c r="O11" i="26"/>
  <c r="C25" i="26" s="1"/>
  <c r="N11" i="26"/>
  <c r="C24" i="26" s="1"/>
  <c r="M11" i="26"/>
  <c r="C23" i="26" s="1"/>
  <c r="L11" i="26"/>
  <c r="C22" i="26" s="1"/>
  <c r="K11" i="26"/>
  <c r="C21" i="26" s="1"/>
  <c r="J11" i="26"/>
  <c r="C20" i="26" s="1"/>
  <c r="Z10" i="26"/>
  <c r="K10" i="26"/>
  <c r="J10" i="26"/>
  <c r="J46" i="26" s="1"/>
  <c r="Z9" i="26"/>
  <c r="AA9" i="26" s="1"/>
  <c r="R8" i="26"/>
  <c r="M96" i="16" s="1"/>
  <c r="K8" i="26"/>
  <c r="F96" i="16" s="1"/>
  <c r="Z7" i="26"/>
  <c r="R7" i="26"/>
  <c r="M95" i="16" s="1"/>
  <c r="Q7" i="26"/>
  <c r="L95" i="16" s="1"/>
  <c r="R45" i="26"/>
  <c r="Q6" i="26"/>
  <c r="Q45" i="26" s="1"/>
  <c r="P6" i="26"/>
  <c r="P45" i="26" s="1"/>
  <c r="O6" i="26"/>
  <c r="N6" i="26"/>
  <c r="N45" i="26" s="1"/>
  <c r="M45" i="26"/>
  <c r="L45" i="26"/>
  <c r="K6" i="26"/>
  <c r="K45" i="26" s="1"/>
  <c r="Z5" i="26"/>
  <c r="R2" i="26"/>
  <c r="R17" i="26" s="1"/>
  <c r="M105" i="16" s="1"/>
  <c r="Q2" i="26"/>
  <c r="Q13" i="26" s="1"/>
  <c r="E27" i="26" s="1"/>
  <c r="P2" i="26"/>
  <c r="P7" i="26" s="1"/>
  <c r="K95" i="16" s="1"/>
  <c r="O2" i="26"/>
  <c r="O16" i="26" s="1"/>
  <c r="O47" i="26" s="1"/>
  <c r="N2" i="26"/>
  <c r="N12" i="26" s="1"/>
  <c r="D24" i="26" s="1"/>
  <c r="M12" i="26"/>
  <c r="D23" i="26" s="1"/>
  <c r="L2" i="26"/>
  <c r="L20" i="26" s="1"/>
  <c r="J6" i="10"/>
  <c r="J6" i="9"/>
  <c r="J6" i="2"/>
  <c r="D13" i="16"/>
  <c r="B13" i="17"/>
  <c r="B14" i="17"/>
  <c r="B15" i="17"/>
  <c r="B16" i="17"/>
  <c r="B17" i="17"/>
  <c r="B18" i="17"/>
  <c r="B19" i="17"/>
  <c r="B20" i="17"/>
  <c r="B21" i="17"/>
  <c r="B22" i="17"/>
  <c r="B23" i="17"/>
  <c r="F99" i="16" l="1"/>
  <c r="F101" i="16"/>
  <c r="F98" i="16"/>
  <c r="E98" i="16"/>
  <c r="E99" i="16"/>
  <c r="F104" i="16"/>
  <c r="F100" i="16"/>
  <c r="X2" i="31"/>
  <c r="M104" i="16"/>
  <c r="L104" i="16"/>
  <c r="K104" i="16"/>
  <c r="E100" i="16"/>
  <c r="H100" i="16"/>
  <c r="J99" i="16"/>
  <c r="I99" i="16"/>
  <c r="H99" i="16"/>
  <c r="G99" i="16"/>
  <c r="J94" i="16"/>
  <c r="I94" i="16"/>
  <c r="M94" i="16"/>
  <c r="F94" i="16"/>
  <c r="F107" i="16"/>
  <c r="I48" i="26"/>
  <c r="J48" i="26"/>
  <c r="E104" i="16"/>
  <c r="K17" i="26"/>
  <c r="F105" i="16" s="1"/>
  <c r="K7" i="26"/>
  <c r="J13" i="26"/>
  <c r="J20" i="26"/>
  <c r="E108" i="16" s="1"/>
  <c r="J7" i="26"/>
  <c r="E95" i="16" s="1"/>
  <c r="J6" i="26"/>
  <c r="E94" i="16" s="1"/>
  <c r="K46" i="26"/>
  <c r="L14" i="26"/>
  <c r="L10" i="26"/>
  <c r="L8" i="26"/>
  <c r="G96" i="16" s="1"/>
  <c r="M10" i="26"/>
  <c r="L17" i="26"/>
  <c r="G105" i="16" s="1"/>
  <c r="M8" i="26"/>
  <c r="N10" i="26"/>
  <c r="L13" i="26"/>
  <c r="M17" i="26"/>
  <c r="H105" i="16" s="1"/>
  <c r="O45" i="26"/>
  <c r="L7" i="26"/>
  <c r="G95" i="16" s="1"/>
  <c r="P8" i="26"/>
  <c r="Q10" i="26"/>
  <c r="O13" i="26"/>
  <c r="P17" i="26"/>
  <c r="K105" i="16" s="1"/>
  <c r="M7" i="26"/>
  <c r="H95" i="16" s="1"/>
  <c r="Q8" i="26"/>
  <c r="R10" i="26"/>
  <c r="P13" i="26"/>
  <c r="L16" i="26"/>
  <c r="Q17" i="26"/>
  <c r="L105" i="16" s="1"/>
  <c r="M13" i="26"/>
  <c r="N17" i="26"/>
  <c r="I105" i="16" s="1"/>
  <c r="O8" i="26"/>
  <c r="J96" i="16" s="1"/>
  <c r="I47" i="26"/>
  <c r="N7" i="26"/>
  <c r="I95" i="16" s="1"/>
  <c r="L12" i="26"/>
  <c r="M16" i="26"/>
  <c r="H104" i="16" s="1"/>
  <c r="J36" i="26"/>
  <c r="N8" i="26"/>
  <c r="I96" i="16" s="1"/>
  <c r="O10" i="26"/>
  <c r="P10" i="26"/>
  <c r="N13" i="26"/>
  <c r="O17" i="26"/>
  <c r="J105" i="16" s="1"/>
  <c r="M48" i="26"/>
  <c r="O7" i="26"/>
  <c r="N16" i="26"/>
  <c r="I46" i="26"/>
  <c r="R2" i="19"/>
  <c r="B2" i="21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B3" i="17"/>
  <c r="B4" i="17"/>
  <c r="B6" i="17"/>
  <c r="B7" i="17"/>
  <c r="B8" i="17"/>
  <c r="B9" i="17"/>
  <c r="B10" i="17"/>
  <c r="B11" i="17"/>
  <c r="B12" i="17"/>
  <c r="P2" i="19"/>
  <c r="B2" i="17" s="1"/>
  <c r="S2" i="19"/>
  <c r="H3" i="17"/>
  <c r="I3" i="17"/>
  <c r="J3" i="17"/>
  <c r="H4" i="17"/>
  <c r="I4" i="17"/>
  <c r="J4" i="17"/>
  <c r="H5" i="17"/>
  <c r="I5" i="17"/>
  <c r="J5" i="17"/>
  <c r="H6" i="17"/>
  <c r="I6" i="17"/>
  <c r="J6" i="17"/>
  <c r="H7" i="17"/>
  <c r="I7" i="17"/>
  <c r="J7" i="17"/>
  <c r="H8" i="17"/>
  <c r="I8" i="17"/>
  <c r="J8" i="17"/>
  <c r="H9" i="17"/>
  <c r="I9" i="17"/>
  <c r="J9" i="17"/>
  <c r="H10" i="17"/>
  <c r="I10" i="17"/>
  <c r="J10" i="17"/>
  <c r="H11" i="17"/>
  <c r="I11" i="17"/>
  <c r="J11" i="17"/>
  <c r="H12" i="17"/>
  <c r="I12" i="17"/>
  <c r="J12" i="17"/>
  <c r="H13" i="17"/>
  <c r="I13" i="17"/>
  <c r="J13" i="17"/>
  <c r="H14" i="17"/>
  <c r="I14" i="17"/>
  <c r="J14" i="17"/>
  <c r="H15" i="17"/>
  <c r="I15" i="17"/>
  <c r="J15" i="17"/>
  <c r="H16" i="17"/>
  <c r="I16" i="17"/>
  <c r="J16" i="17"/>
  <c r="H17" i="17"/>
  <c r="I17" i="17"/>
  <c r="J17" i="17"/>
  <c r="H18" i="17"/>
  <c r="I18" i="17"/>
  <c r="J18" i="17"/>
  <c r="H19" i="17"/>
  <c r="I19" i="17"/>
  <c r="J19" i="17"/>
  <c r="H20" i="17"/>
  <c r="I20" i="17"/>
  <c r="J20" i="17"/>
  <c r="H21" i="17"/>
  <c r="I21" i="17"/>
  <c r="J21" i="17"/>
  <c r="H22" i="17"/>
  <c r="I22" i="17"/>
  <c r="J22" i="17"/>
  <c r="H23" i="17"/>
  <c r="I23" i="17"/>
  <c r="J23" i="17"/>
  <c r="J2" i="17"/>
  <c r="H2" i="17"/>
  <c r="C3" i="17"/>
  <c r="D3" i="17"/>
  <c r="E3" i="17"/>
  <c r="F3" i="17"/>
  <c r="R3" i="17" s="1"/>
  <c r="C4" i="17"/>
  <c r="D4" i="17"/>
  <c r="E4" i="17"/>
  <c r="F4" i="17"/>
  <c r="C5" i="17"/>
  <c r="D5" i="17"/>
  <c r="E5" i="17"/>
  <c r="F5" i="17"/>
  <c r="R5" i="17" s="1"/>
  <c r="C6" i="17"/>
  <c r="D6" i="17"/>
  <c r="E6" i="17"/>
  <c r="F6" i="17"/>
  <c r="C7" i="17"/>
  <c r="D7" i="17"/>
  <c r="E7" i="17"/>
  <c r="F7" i="17"/>
  <c r="R7" i="17" s="1"/>
  <c r="C8" i="17"/>
  <c r="D8" i="17"/>
  <c r="E8" i="17"/>
  <c r="F8" i="17"/>
  <c r="C9" i="17"/>
  <c r="D9" i="17"/>
  <c r="E9" i="17"/>
  <c r="F9" i="17"/>
  <c r="C10" i="17"/>
  <c r="D10" i="17"/>
  <c r="E10" i="17"/>
  <c r="F10" i="17"/>
  <c r="R10" i="17" s="1"/>
  <c r="C11" i="17"/>
  <c r="D11" i="17"/>
  <c r="E11" i="17"/>
  <c r="F11" i="17"/>
  <c r="C12" i="17"/>
  <c r="D12" i="17"/>
  <c r="E12" i="17"/>
  <c r="F12" i="17"/>
  <c r="R12" i="17" s="1"/>
  <c r="C13" i="17"/>
  <c r="D13" i="17"/>
  <c r="E13" i="17"/>
  <c r="F13" i="17"/>
  <c r="C14" i="17"/>
  <c r="D14" i="17"/>
  <c r="E14" i="17"/>
  <c r="F14" i="17"/>
  <c r="R14" i="17" s="1"/>
  <c r="C15" i="17"/>
  <c r="D15" i="17"/>
  <c r="E15" i="17"/>
  <c r="F15" i="17"/>
  <c r="C16" i="17"/>
  <c r="D16" i="17"/>
  <c r="E16" i="17"/>
  <c r="F16" i="17"/>
  <c r="R16" i="17" s="1"/>
  <c r="C17" i="17"/>
  <c r="D17" i="17"/>
  <c r="E17" i="17"/>
  <c r="F17" i="17"/>
  <c r="C18" i="17"/>
  <c r="D18" i="17"/>
  <c r="E18" i="17"/>
  <c r="F18" i="17"/>
  <c r="R18" i="17" s="1"/>
  <c r="C19" i="17"/>
  <c r="D19" i="17"/>
  <c r="E19" i="17"/>
  <c r="F19" i="17"/>
  <c r="C20" i="17"/>
  <c r="D20" i="17"/>
  <c r="E20" i="17"/>
  <c r="F20" i="17"/>
  <c r="C21" i="17"/>
  <c r="D21" i="17"/>
  <c r="E21" i="17"/>
  <c r="F21" i="17"/>
  <c r="C22" i="17"/>
  <c r="D22" i="17"/>
  <c r="E22" i="17"/>
  <c r="F22" i="17"/>
  <c r="C23" i="17"/>
  <c r="D23" i="17"/>
  <c r="E23" i="17"/>
  <c r="F23" i="17"/>
  <c r="R23" i="17" s="1"/>
  <c r="F2" i="17"/>
  <c r="E2" i="17"/>
  <c r="D2" i="17"/>
  <c r="C2" i="17"/>
  <c r="AB118" i="14"/>
  <c r="AC118" i="14"/>
  <c r="AD118" i="14"/>
  <c r="AE118" i="14"/>
  <c r="AF118" i="14"/>
  <c r="AG118" i="14"/>
  <c r="AH118" i="14"/>
  <c r="AI118" i="14"/>
  <c r="AK118" i="14"/>
  <c r="AL118" i="14"/>
  <c r="AM118" i="14"/>
  <c r="AB119" i="14"/>
  <c r="AC119" i="14"/>
  <c r="AD119" i="14"/>
  <c r="AE119" i="14"/>
  <c r="AF119" i="14"/>
  <c r="AG119" i="14"/>
  <c r="AH119" i="14"/>
  <c r="AI119" i="14"/>
  <c r="AK119" i="14"/>
  <c r="AL119" i="14"/>
  <c r="AM119" i="14"/>
  <c r="AB120" i="14"/>
  <c r="AC120" i="14"/>
  <c r="AD120" i="14"/>
  <c r="AE120" i="14"/>
  <c r="AF120" i="14"/>
  <c r="AG120" i="14"/>
  <c r="AH120" i="14"/>
  <c r="AI120" i="14"/>
  <c r="AK120" i="14"/>
  <c r="AL120" i="14"/>
  <c r="AM120" i="14"/>
  <c r="AB121" i="14"/>
  <c r="AC121" i="14"/>
  <c r="AD121" i="14"/>
  <c r="AE121" i="14"/>
  <c r="AF121" i="14"/>
  <c r="AG121" i="14"/>
  <c r="AH121" i="14"/>
  <c r="AI121" i="14"/>
  <c r="AK121" i="14"/>
  <c r="AL121" i="14"/>
  <c r="AM121" i="14"/>
  <c r="AB122" i="14"/>
  <c r="AC122" i="14"/>
  <c r="AD122" i="14"/>
  <c r="AE122" i="14"/>
  <c r="AF122" i="14"/>
  <c r="AG122" i="14"/>
  <c r="AH122" i="14"/>
  <c r="AI122" i="14"/>
  <c r="AK122" i="14"/>
  <c r="AL122" i="14"/>
  <c r="AM122" i="14"/>
  <c r="AB123" i="14"/>
  <c r="AC123" i="14"/>
  <c r="AD123" i="14"/>
  <c r="AE123" i="14"/>
  <c r="AF123" i="14"/>
  <c r="AG123" i="14"/>
  <c r="AH123" i="14"/>
  <c r="AI123" i="14"/>
  <c r="AK123" i="14"/>
  <c r="AL123" i="14"/>
  <c r="AM123" i="14"/>
  <c r="AB124" i="14"/>
  <c r="AC124" i="14"/>
  <c r="AD124" i="14"/>
  <c r="AE124" i="14"/>
  <c r="AF124" i="14"/>
  <c r="AG124" i="14"/>
  <c r="AH124" i="14"/>
  <c r="AI124" i="14"/>
  <c r="AK124" i="14"/>
  <c r="AL124" i="14"/>
  <c r="AM124" i="14"/>
  <c r="AB125" i="14"/>
  <c r="AC125" i="14"/>
  <c r="AD125" i="14"/>
  <c r="AE125" i="14"/>
  <c r="AF125" i="14"/>
  <c r="AG125" i="14"/>
  <c r="AH125" i="14"/>
  <c r="AI125" i="14"/>
  <c r="AK125" i="14"/>
  <c r="AL125" i="14"/>
  <c r="AM125" i="14"/>
  <c r="AB126" i="14"/>
  <c r="AN126" i="14" s="1"/>
  <c r="AC126" i="14"/>
  <c r="AO126" i="14" s="1"/>
  <c r="AD126" i="14"/>
  <c r="AP126" i="14" s="1"/>
  <c r="AE126" i="14"/>
  <c r="AQ126" i="14" s="1"/>
  <c r="AF126" i="14"/>
  <c r="AR126" i="14" s="1"/>
  <c r="AG126" i="14"/>
  <c r="AS126" i="14" s="1"/>
  <c r="AH126" i="14"/>
  <c r="AT126" i="14" s="1"/>
  <c r="AI126" i="14"/>
  <c r="AU126" i="14" s="1"/>
  <c r="AK126" i="14"/>
  <c r="AW126" i="14" s="1"/>
  <c r="AL126" i="14"/>
  <c r="AX126" i="14" s="1"/>
  <c r="AM126" i="14"/>
  <c r="AY126" i="14" s="1"/>
  <c r="AB127" i="14"/>
  <c r="AC127" i="14"/>
  <c r="AD127" i="14"/>
  <c r="AE127" i="14"/>
  <c r="AF127" i="14"/>
  <c r="AG127" i="14"/>
  <c r="AH127" i="14"/>
  <c r="AI127" i="14"/>
  <c r="AK127" i="14"/>
  <c r="AL127" i="14"/>
  <c r="AM127" i="14"/>
  <c r="AB128" i="14"/>
  <c r="AC128" i="14"/>
  <c r="AD128" i="14"/>
  <c r="AE128" i="14"/>
  <c r="AF128" i="14"/>
  <c r="AG128" i="14"/>
  <c r="AH128" i="14"/>
  <c r="AI128" i="14"/>
  <c r="AK128" i="14"/>
  <c r="AL128" i="14"/>
  <c r="AM128" i="14"/>
  <c r="AB129" i="14"/>
  <c r="AC129" i="14"/>
  <c r="AD129" i="14"/>
  <c r="AE129" i="14"/>
  <c r="AF129" i="14"/>
  <c r="AG129" i="14"/>
  <c r="AH129" i="14"/>
  <c r="AI129" i="14"/>
  <c r="AK129" i="14"/>
  <c r="AL129" i="14"/>
  <c r="AM129" i="14"/>
  <c r="AB130" i="14"/>
  <c r="AC130" i="14"/>
  <c r="AD130" i="14"/>
  <c r="AE130" i="14"/>
  <c r="AF130" i="14"/>
  <c r="AG130" i="14"/>
  <c r="AH130" i="14"/>
  <c r="AI130" i="14"/>
  <c r="AK130" i="14"/>
  <c r="AL130" i="14"/>
  <c r="AM130" i="14"/>
  <c r="AB131" i="14"/>
  <c r="AC131" i="14"/>
  <c r="AD131" i="14"/>
  <c r="AE131" i="14"/>
  <c r="AF131" i="14"/>
  <c r="AG131" i="14"/>
  <c r="AH131" i="14"/>
  <c r="AI131" i="14"/>
  <c r="AK131" i="14"/>
  <c r="AL131" i="14"/>
  <c r="AM131" i="14"/>
  <c r="AB132" i="14"/>
  <c r="AC132" i="14"/>
  <c r="AD132" i="14"/>
  <c r="AE132" i="14"/>
  <c r="AF132" i="14"/>
  <c r="AG132" i="14"/>
  <c r="AH132" i="14"/>
  <c r="AI132" i="14"/>
  <c r="AK132" i="14"/>
  <c r="AL132" i="14"/>
  <c r="AM132" i="14"/>
  <c r="AB133" i="14"/>
  <c r="AC133" i="14"/>
  <c r="AD133" i="14"/>
  <c r="AE133" i="14"/>
  <c r="AF133" i="14"/>
  <c r="AG133" i="14"/>
  <c r="AH133" i="14"/>
  <c r="AI133" i="14"/>
  <c r="AK133" i="14"/>
  <c r="AL133" i="14"/>
  <c r="AM133" i="14"/>
  <c r="AB134" i="14"/>
  <c r="AC134" i="14"/>
  <c r="AD134" i="14"/>
  <c r="AE134" i="14"/>
  <c r="AF134" i="14"/>
  <c r="AG134" i="14"/>
  <c r="AH134" i="14"/>
  <c r="AI134" i="14"/>
  <c r="AK134" i="14"/>
  <c r="AL134" i="14"/>
  <c r="AM134" i="14"/>
  <c r="AB135" i="14"/>
  <c r="AC135" i="14"/>
  <c r="AD135" i="14"/>
  <c r="AE135" i="14"/>
  <c r="AF135" i="14"/>
  <c r="AG135" i="14"/>
  <c r="AH135" i="14"/>
  <c r="AI135" i="14"/>
  <c r="AK135" i="14"/>
  <c r="AL135" i="14"/>
  <c r="AM135" i="14"/>
  <c r="AB136" i="14"/>
  <c r="AC136" i="14"/>
  <c r="AD136" i="14"/>
  <c r="AE136" i="14"/>
  <c r="AF136" i="14"/>
  <c r="AG136" i="14"/>
  <c r="AH136" i="14"/>
  <c r="AI136" i="14"/>
  <c r="AK136" i="14"/>
  <c r="AL136" i="14"/>
  <c r="AM136" i="14"/>
  <c r="AB137" i="14"/>
  <c r="AC137" i="14"/>
  <c r="AD137" i="14"/>
  <c r="AE137" i="14"/>
  <c r="AF137" i="14"/>
  <c r="AG137" i="14"/>
  <c r="AH137" i="14"/>
  <c r="AI137" i="14"/>
  <c r="AK137" i="14"/>
  <c r="AL137" i="14"/>
  <c r="AM137" i="14"/>
  <c r="AB138" i="14"/>
  <c r="AC138" i="14"/>
  <c r="AD138" i="14"/>
  <c r="AE138" i="14"/>
  <c r="AF138" i="14"/>
  <c r="AG138" i="14"/>
  <c r="AH138" i="14"/>
  <c r="AI138" i="14"/>
  <c r="AK138" i="14"/>
  <c r="AL138" i="14"/>
  <c r="AM138" i="14"/>
  <c r="AB139" i="14"/>
  <c r="AC139" i="14"/>
  <c r="AD139" i="14"/>
  <c r="AE139" i="14"/>
  <c r="AF139" i="14"/>
  <c r="AG139" i="14"/>
  <c r="AH139" i="14"/>
  <c r="AI139" i="14"/>
  <c r="AK139" i="14"/>
  <c r="AL139" i="14"/>
  <c r="AM139" i="14"/>
  <c r="AB140" i="14"/>
  <c r="AC140" i="14"/>
  <c r="AD140" i="14"/>
  <c r="AE140" i="14"/>
  <c r="AF140" i="14"/>
  <c r="AG140" i="14"/>
  <c r="AH140" i="14"/>
  <c r="AI140" i="14"/>
  <c r="AK140" i="14"/>
  <c r="AL140" i="14"/>
  <c r="AM140" i="14"/>
  <c r="AB141" i="14"/>
  <c r="AC141" i="14"/>
  <c r="AD141" i="14"/>
  <c r="AE141" i="14"/>
  <c r="AF141" i="14"/>
  <c r="AG141" i="14"/>
  <c r="AH141" i="14"/>
  <c r="AI141" i="14"/>
  <c r="AK141" i="14"/>
  <c r="AL141" i="14"/>
  <c r="AM141" i="14"/>
  <c r="AB142" i="14"/>
  <c r="AC142" i="14"/>
  <c r="AD142" i="14"/>
  <c r="AE142" i="14"/>
  <c r="AF142" i="14"/>
  <c r="AG142" i="14"/>
  <c r="AH142" i="14"/>
  <c r="AI142" i="14"/>
  <c r="AK142" i="14"/>
  <c r="AL142" i="14"/>
  <c r="AM142" i="14"/>
  <c r="AB143" i="14"/>
  <c r="AC143" i="14"/>
  <c r="AD143" i="14"/>
  <c r="AE143" i="14"/>
  <c r="AF143" i="14"/>
  <c r="AG143" i="14"/>
  <c r="AH143" i="14"/>
  <c r="AI143" i="14"/>
  <c r="AK143" i="14"/>
  <c r="AL143" i="14"/>
  <c r="AM143" i="14"/>
  <c r="AB144" i="14"/>
  <c r="AC144" i="14"/>
  <c r="AD144" i="14"/>
  <c r="AE144" i="14"/>
  <c r="AF144" i="14"/>
  <c r="AG144" i="14"/>
  <c r="AH144" i="14"/>
  <c r="AI144" i="14"/>
  <c r="AK144" i="14"/>
  <c r="AL144" i="14"/>
  <c r="AM144" i="14"/>
  <c r="AB145" i="14"/>
  <c r="AC145" i="14"/>
  <c r="AD145" i="14"/>
  <c r="AE145" i="14"/>
  <c r="AF145" i="14"/>
  <c r="AG145" i="14"/>
  <c r="AH145" i="14"/>
  <c r="AI145" i="14"/>
  <c r="AK145" i="14"/>
  <c r="AL145" i="14"/>
  <c r="AM145" i="14"/>
  <c r="AB146" i="14"/>
  <c r="AC146" i="14"/>
  <c r="AD146" i="14"/>
  <c r="AE146" i="14"/>
  <c r="AF146" i="14"/>
  <c r="AG146" i="14"/>
  <c r="AH146" i="14"/>
  <c r="AI146" i="14"/>
  <c r="AK146" i="14"/>
  <c r="AL146" i="14"/>
  <c r="AM146" i="14"/>
  <c r="AB147" i="14"/>
  <c r="AC147" i="14"/>
  <c r="AD147" i="14"/>
  <c r="AE147" i="14"/>
  <c r="AF147" i="14"/>
  <c r="AG147" i="14"/>
  <c r="AH147" i="14"/>
  <c r="AI147" i="14"/>
  <c r="AK147" i="14"/>
  <c r="AL147" i="14"/>
  <c r="AM147" i="14"/>
  <c r="AB148" i="14"/>
  <c r="AC148" i="14"/>
  <c r="AD148" i="14"/>
  <c r="AE148" i="14"/>
  <c r="AF148" i="14"/>
  <c r="AG148" i="14"/>
  <c r="AH148" i="14"/>
  <c r="AI148" i="14"/>
  <c r="AK148" i="14"/>
  <c r="AL148" i="14"/>
  <c r="AM148" i="14"/>
  <c r="AB149" i="14"/>
  <c r="AC149" i="14"/>
  <c r="AD149" i="14"/>
  <c r="AE149" i="14"/>
  <c r="AF149" i="14"/>
  <c r="AG149" i="14"/>
  <c r="AH149" i="14"/>
  <c r="AI149" i="14"/>
  <c r="AK149" i="14"/>
  <c r="AL149" i="14"/>
  <c r="AM149" i="14"/>
  <c r="AB150" i="14"/>
  <c r="AC150" i="14"/>
  <c r="AD150" i="14"/>
  <c r="AE150" i="14"/>
  <c r="AF150" i="14"/>
  <c r="AG150" i="14"/>
  <c r="AH150" i="14"/>
  <c r="AI150" i="14"/>
  <c r="AK150" i="14"/>
  <c r="AL150" i="14"/>
  <c r="AM150" i="14"/>
  <c r="AB151" i="14"/>
  <c r="AC151" i="14"/>
  <c r="AD151" i="14"/>
  <c r="AE151" i="14"/>
  <c r="AF151" i="14"/>
  <c r="AG151" i="14"/>
  <c r="AH151" i="14"/>
  <c r="AI151" i="14"/>
  <c r="AK151" i="14"/>
  <c r="AL151" i="14"/>
  <c r="AM151" i="14"/>
  <c r="AB152" i="14"/>
  <c r="AC152" i="14"/>
  <c r="AD152" i="14"/>
  <c r="AE152" i="14"/>
  <c r="AF152" i="14"/>
  <c r="AG152" i="14"/>
  <c r="AH152" i="14"/>
  <c r="AI152" i="14"/>
  <c r="AK152" i="14"/>
  <c r="AL152" i="14"/>
  <c r="AM152" i="14"/>
  <c r="AB153" i="14"/>
  <c r="AC153" i="14"/>
  <c r="AD153" i="14"/>
  <c r="AE153" i="14"/>
  <c r="AF153" i="14"/>
  <c r="AG153" i="14"/>
  <c r="AH153" i="14"/>
  <c r="AI153" i="14"/>
  <c r="AK153" i="14"/>
  <c r="AL153" i="14"/>
  <c r="AM153" i="14"/>
  <c r="AB154" i="14"/>
  <c r="AC154" i="14"/>
  <c r="AD154" i="14"/>
  <c r="AE154" i="14"/>
  <c r="AF154" i="14"/>
  <c r="AG154" i="14"/>
  <c r="AH154" i="14"/>
  <c r="AI154" i="14"/>
  <c r="AK154" i="14"/>
  <c r="AL154" i="14"/>
  <c r="AM154" i="14"/>
  <c r="AB155" i="14"/>
  <c r="AC155" i="14"/>
  <c r="AD155" i="14"/>
  <c r="AE155" i="14"/>
  <c r="AF155" i="14"/>
  <c r="AG155" i="14"/>
  <c r="AH155" i="14"/>
  <c r="AI155" i="14"/>
  <c r="AK155" i="14"/>
  <c r="AL155" i="14"/>
  <c r="AM155" i="14"/>
  <c r="AB156" i="14"/>
  <c r="AC156" i="14"/>
  <c r="AD156" i="14"/>
  <c r="AE156" i="14"/>
  <c r="AF156" i="14"/>
  <c r="AG156" i="14"/>
  <c r="AH156" i="14"/>
  <c r="AI156" i="14"/>
  <c r="AK156" i="14"/>
  <c r="AL156" i="14"/>
  <c r="AM156" i="14"/>
  <c r="G1" i="16"/>
  <c r="H1" i="16"/>
  <c r="I1" i="16"/>
  <c r="J1" i="16"/>
  <c r="K1" i="16"/>
  <c r="L1" i="16"/>
  <c r="M1" i="16"/>
  <c r="N1" i="16"/>
  <c r="F1" i="16"/>
  <c r="D7" i="16"/>
  <c r="D8" i="16"/>
  <c r="D10" i="16"/>
  <c r="D11" i="16"/>
  <c r="D12" i="16"/>
  <c r="D16" i="16"/>
  <c r="D17" i="16"/>
  <c r="D19" i="16"/>
  <c r="D20" i="16"/>
  <c r="D6" i="16"/>
  <c r="D35" i="16"/>
  <c r="D36" i="16"/>
  <c r="D38" i="16"/>
  <c r="D39" i="16"/>
  <c r="D40" i="16"/>
  <c r="D41" i="16"/>
  <c r="D42" i="16"/>
  <c r="D44" i="16"/>
  <c r="D45" i="16"/>
  <c r="D47" i="16"/>
  <c r="D48" i="16"/>
  <c r="D34" i="16"/>
  <c r="C65" i="16"/>
  <c r="D65" i="16"/>
  <c r="C66" i="16"/>
  <c r="D66" i="16"/>
  <c r="C68" i="16"/>
  <c r="D68" i="16"/>
  <c r="C69" i="16"/>
  <c r="D69" i="16"/>
  <c r="C70" i="16"/>
  <c r="D70" i="16"/>
  <c r="C71" i="16"/>
  <c r="D71" i="16"/>
  <c r="C72" i="16"/>
  <c r="D72" i="16"/>
  <c r="C74" i="16"/>
  <c r="D74" i="16"/>
  <c r="C75" i="16"/>
  <c r="D75" i="16"/>
  <c r="C77" i="16"/>
  <c r="D77" i="16"/>
  <c r="C78" i="16"/>
  <c r="D78" i="16"/>
  <c r="D64" i="16"/>
  <c r="F61" i="16"/>
  <c r="G61" i="16"/>
  <c r="H61" i="16"/>
  <c r="I61" i="16"/>
  <c r="J61" i="16"/>
  <c r="K61" i="16"/>
  <c r="L61" i="16"/>
  <c r="M61" i="16"/>
  <c r="F62" i="16"/>
  <c r="G62" i="16"/>
  <c r="H62" i="16"/>
  <c r="I62" i="16"/>
  <c r="J62" i="16"/>
  <c r="K62" i="16"/>
  <c r="L62" i="16"/>
  <c r="M62" i="16"/>
  <c r="E64" i="16"/>
  <c r="G64" i="16"/>
  <c r="H64" i="16"/>
  <c r="I64" i="16"/>
  <c r="J64" i="16"/>
  <c r="K64" i="16"/>
  <c r="L64" i="16"/>
  <c r="M64" i="16"/>
  <c r="G65" i="16"/>
  <c r="H65" i="16"/>
  <c r="I65" i="16"/>
  <c r="J65" i="16"/>
  <c r="K65" i="16"/>
  <c r="L65" i="16"/>
  <c r="M65" i="16"/>
  <c r="G66" i="16"/>
  <c r="H66" i="16"/>
  <c r="I66" i="16"/>
  <c r="J66" i="16"/>
  <c r="K66" i="16"/>
  <c r="L66" i="16"/>
  <c r="M66" i="16"/>
  <c r="G68" i="16"/>
  <c r="H68" i="16"/>
  <c r="I68" i="16"/>
  <c r="J68" i="16"/>
  <c r="K68" i="16"/>
  <c r="L68" i="16"/>
  <c r="M68" i="16"/>
  <c r="G69" i="16"/>
  <c r="H69" i="16"/>
  <c r="I69" i="16"/>
  <c r="J69" i="16"/>
  <c r="K69" i="16"/>
  <c r="L69" i="16"/>
  <c r="M69" i="16"/>
  <c r="G70" i="16"/>
  <c r="H70" i="16"/>
  <c r="I70" i="16"/>
  <c r="J70" i="16"/>
  <c r="K70" i="16"/>
  <c r="L70" i="16"/>
  <c r="M70" i="16"/>
  <c r="G71" i="16"/>
  <c r="H71" i="16"/>
  <c r="I71" i="16"/>
  <c r="J71" i="16"/>
  <c r="K71" i="16"/>
  <c r="L71" i="16"/>
  <c r="M71" i="16"/>
  <c r="G72" i="16"/>
  <c r="H72" i="16"/>
  <c r="I72" i="16"/>
  <c r="J72" i="16"/>
  <c r="K72" i="16"/>
  <c r="L72" i="16"/>
  <c r="M72" i="16"/>
  <c r="G74" i="16"/>
  <c r="H74" i="16"/>
  <c r="I74" i="16"/>
  <c r="J74" i="16"/>
  <c r="K74" i="16"/>
  <c r="L74" i="16"/>
  <c r="M74" i="16"/>
  <c r="G75" i="16"/>
  <c r="H75" i="16"/>
  <c r="I75" i="16"/>
  <c r="J75" i="16"/>
  <c r="K75" i="16"/>
  <c r="L75" i="16"/>
  <c r="M75" i="16"/>
  <c r="G77" i="16"/>
  <c r="H77" i="16"/>
  <c r="I77" i="16"/>
  <c r="J77" i="16"/>
  <c r="K77" i="16"/>
  <c r="L77" i="16"/>
  <c r="M77" i="16"/>
  <c r="G78" i="16"/>
  <c r="H78" i="16"/>
  <c r="I78" i="16"/>
  <c r="J78" i="16"/>
  <c r="K78" i="16"/>
  <c r="L78" i="16"/>
  <c r="M78" i="16"/>
  <c r="F60" i="16"/>
  <c r="G60" i="16"/>
  <c r="H60" i="16"/>
  <c r="I60" i="16"/>
  <c r="J60" i="16"/>
  <c r="K60" i="16"/>
  <c r="L60" i="16"/>
  <c r="M60" i="16"/>
  <c r="C35" i="16"/>
  <c r="C36" i="16"/>
  <c r="C38" i="16"/>
  <c r="C39" i="16"/>
  <c r="C40" i="16"/>
  <c r="C41" i="16"/>
  <c r="C42" i="16"/>
  <c r="C44" i="16"/>
  <c r="C45" i="16"/>
  <c r="C47" i="16"/>
  <c r="C48" i="16"/>
  <c r="C34" i="16"/>
  <c r="E31" i="16"/>
  <c r="F31" i="16"/>
  <c r="G31" i="16"/>
  <c r="H31" i="16"/>
  <c r="I31" i="16"/>
  <c r="J31" i="16"/>
  <c r="K31" i="16"/>
  <c r="L31" i="16"/>
  <c r="M31" i="16"/>
  <c r="E32" i="16"/>
  <c r="F32" i="16"/>
  <c r="G32" i="16"/>
  <c r="H32" i="16"/>
  <c r="I32" i="16"/>
  <c r="J32" i="16"/>
  <c r="K32" i="16"/>
  <c r="L32" i="16"/>
  <c r="M32" i="16"/>
  <c r="E34" i="16"/>
  <c r="G34" i="16"/>
  <c r="H34" i="16"/>
  <c r="I34" i="16"/>
  <c r="J34" i="16"/>
  <c r="K34" i="16"/>
  <c r="L34" i="16"/>
  <c r="M34" i="16"/>
  <c r="G35" i="16"/>
  <c r="H35" i="16"/>
  <c r="I35" i="16"/>
  <c r="J35" i="16"/>
  <c r="K35" i="16"/>
  <c r="L35" i="16"/>
  <c r="M35" i="16"/>
  <c r="G36" i="16"/>
  <c r="H36" i="16"/>
  <c r="I36" i="16"/>
  <c r="J36" i="16"/>
  <c r="K36" i="16"/>
  <c r="L36" i="16"/>
  <c r="M36" i="16"/>
  <c r="G38" i="16"/>
  <c r="H38" i="16"/>
  <c r="I38" i="16"/>
  <c r="J38" i="16"/>
  <c r="K38" i="16"/>
  <c r="L38" i="16"/>
  <c r="M38" i="16"/>
  <c r="G39" i="16"/>
  <c r="H39" i="16"/>
  <c r="I39" i="16"/>
  <c r="J39" i="16"/>
  <c r="K39" i="16"/>
  <c r="L39" i="16"/>
  <c r="M39" i="16"/>
  <c r="G40" i="16"/>
  <c r="H40" i="16"/>
  <c r="I40" i="16"/>
  <c r="J40" i="16"/>
  <c r="K40" i="16"/>
  <c r="L40" i="16"/>
  <c r="M40" i="16"/>
  <c r="G41" i="16"/>
  <c r="H41" i="16"/>
  <c r="I41" i="16"/>
  <c r="J41" i="16"/>
  <c r="K41" i="16"/>
  <c r="L41" i="16"/>
  <c r="M41" i="16"/>
  <c r="G42" i="16"/>
  <c r="H42" i="16"/>
  <c r="I42" i="16"/>
  <c r="J42" i="16"/>
  <c r="K42" i="16"/>
  <c r="L42" i="16"/>
  <c r="M42" i="16"/>
  <c r="G44" i="16"/>
  <c r="H44" i="16"/>
  <c r="I44" i="16"/>
  <c r="J44" i="16"/>
  <c r="K44" i="16"/>
  <c r="L44" i="16"/>
  <c r="M44" i="16"/>
  <c r="G45" i="16"/>
  <c r="H45" i="16"/>
  <c r="I45" i="16"/>
  <c r="J45" i="16"/>
  <c r="K45" i="16"/>
  <c r="L45" i="16"/>
  <c r="M45" i="16"/>
  <c r="G47" i="16"/>
  <c r="H47" i="16"/>
  <c r="I47" i="16"/>
  <c r="J47" i="16"/>
  <c r="K47" i="16"/>
  <c r="L47" i="16"/>
  <c r="M47" i="16"/>
  <c r="G48" i="16"/>
  <c r="H48" i="16"/>
  <c r="I48" i="16"/>
  <c r="J48" i="16"/>
  <c r="K48" i="16"/>
  <c r="L48" i="16"/>
  <c r="M48" i="16"/>
  <c r="F30" i="16"/>
  <c r="G30" i="16"/>
  <c r="H30" i="16"/>
  <c r="I30" i="16"/>
  <c r="J30" i="16"/>
  <c r="K30" i="16"/>
  <c r="L30" i="16"/>
  <c r="M30" i="16"/>
  <c r="E30" i="16"/>
  <c r="C32" i="16"/>
  <c r="C7" i="16"/>
  <c r="C8" i="16"/>
  <c r="C10" i="16"/>
  <c r="C11" i="16"/>
  <c r="C12" i="16"/>
  <c r="C13" i="16"/>
  <c r="C16" i="16"/>
  <c r="C17" i="16"/>
  <c r="C19" i="16"/>
  <c r="C20" i="16"/>
  <c r="C6" i="16"/>
  <c r="C4" i="16"/>
  <c r="AB5" i="14"/>
  <c r="AC5" i="14"/>
  <c r="AD5" i="14"/>
  <c r="AE5" i="14"/>
  <c r="AF5" i="14"/>
  <c r="AG5" i="14"/>
  <c r="AH5" i="14"/>
  <c r="AI5" i="14"/>
  <c r="AK5" i="14"/>
  <c r="AL5" i="14"/>
  <c r="AM5" i="14"/>
  <c r="AB6" i="14"/>
  <c r="AC6" i="14"/>
  <c r="AD6" i="14"/>
  <c r="AE6" i="14"/>
  <c r="AF6" i="14"/>
  <c r="AG6" i="14"/>
  <c r="AH6" i="14"/>
  <c r="AI6" i="14"/>
  <c r="AK6" i="14"/>
  <c r="AL6" i="14"/>
  <c r="AM6" i="14"/>
  <c r="AB7" i="14"/>
  <c r="AC7" i="14"/>
  <c r="AD7" i="14"/>
  <c r="AE7" i="14"/>
  <c r="AF7" i="14"/>
  <c r="AG7" i="14"/>
  <c r="AH7" i="14"/>
  <c r="AI7" i="14"/>
  <c r="AK7" i="14"/>
  <c r="AL7" i="14"/>
  <c r="AM7" i="14"/>
  <c r="AB8" i="14"/>
  <c r="AC8" i="14"/>
  <c r="AD8" i="14"/>
  <c r="AE8" i="14"/>
  <c r="AF8" i="14"/>
  <c r="AG8" i="14"/>
  <c r="AH8" i="14"/>
  <c r="AI8" i="14"/>
  <c r="AK8" i="14"/>
  <c r="AL8" i="14"/>
  <c r="AM8" i="14"/>
  <c r="AB9" i="14"/>
  <c r="AC9" i="14"/>
  <c r="AD9" i="14"/>
  <c r="AE9" i="14"/>
  <c r="AF9" i="14"/>
  <c r="AG9" i="14"/>
  <c r="AH9" i="14"/>
  <c r="AI9" i="14"/>
  <c r="AK9" i="14"/>
  <c r="AL9" i="14"/>
  <c r="AM9" i="14"/>
  <c r="AB10" i="14"/>
  <c r="AC10" i="14"/>
  <c r="AD10" i="14"/>
  <c r="AE10" i="14"/>
  <c r="AF10" i="14"/>
  <c r="AG10" i="14"/>
  <c r="AH10" i="14"/>
  <c r="AI10" i="14"/>
  <c r="AK10" i="14"/>
  <c r="AL10" i="14"/>
  <c r="AM10" i="14"/>
  <c r="AB11" i="14"/>
  <c r="AC11" i="14"/>
  <c r="AD11" i="14"/>
  <c r="AE11" i="14"/>
  <c r="AF11" i="14"/>
  <c r="AG11" i="14"/>
  <c r="AH11" i="14"/>
  <c r="AI11" i="14"/>
  <c r="AK11" i="14"/>
  <c r="AL11" i="14"/>
  <c r="AM11" i="14"/>
  <c r="AB12" i="14"/>
  <c r="AN12" i="14" s="1"/>
  <c r="AC12" i="14"/>
  <c r="AO12" i="14" s="1"/>
  <c r="AD12" i="14"/>
  <c r="AP12" i="14" s="1"/>
  <c r="AE12" i="14"/>
  <c r="AQ12" i="14" s="1"/>
  <c r="AF12" i="14"/>
  <c r="AR12" i="14" s="1"/>
  <c r="AG12" i="14"/>
  <c r="AS12" i="14" s="1"/>
  <c r="AH12" i="14"/>
  <c r="AT12" i="14" s="1"/>
  <c r="AI12" i="14"/>
  <c r="AU12" i="14" s="1"/>
  <c r="AK12" i="14"/>
  <c r="AW12" i="14" s="1"/>
  <c r="AL12" i="14"/>
  <c r="AX12" i="14" s="1"/>
  <c r="AM12" i="14"/>
  <c r="AY12" i="14" s="1"/>
  <c r="AB13" i="14"/>
  <c r="AC13" i="14"/>
  <c r="AD13" i="14"/>
  <c r="AE13" i="14"/>
  <c r="AF13" i="14"/>
  <c r="AG13" i="14"/>
  <c r="AH13" i="14"/>
  <c r="AI13" i="14"/>
  <c r="AK13" i="14"/>
  <c r="AL13" i="14"/>
  <c r="AM13" i="14"/>
  <c r="AB14" i="14"/>
  <c r="AC14" i="14"/>
  <c r="AD14" i="14"/>
  <c r="AE14" i="14"/>
  <c r="AF14" i="14"/>
  <c r="AG14" i="14"/>
  <c r="AH14" i="14"/>
  <c r="AI14" i="14"/>
  <c r="AK14" i="14"/>
  <c r="AL14" i="14"/>
  <c r="AM14" i="14"/>
  <c r="AB15" i="14"/>
  <c r="AC15" i="14"/>
  <c r="AD15" i="14"/>
  <c r="AE15" i="14"/>
  <c r="AF15" i="14"/>
  <c r="AG15" i="14"/>
  <c r="AH15" i="14"/>
  <c r="AI15" i="14"/>
  <c r="AK15" i="14"/>
  <c r="AL15" i="14"/>
  <c r="AM15" i="14"/>
  <c r="AB16" i="14"/>
  <c r="AC16" i="14"/>
  <c r="AD16" i="14"/>
  <c r="AE16" i="14"/>
  <c r="AF16" i="14"/>
  <c r="AG16" i="14"/>
  <c r="AH16" i="14"/>
  <c r="AI16" i="14"/>
  <c r="AK16" i="14"/>
  <c r="AL16" i="14"/>
  <c r="AM16" i="14"/>
  <c r="AB17" i="14"/>
  <c r="AC17" i="14"/>
  <c r="AD17" i="14"/>
  <c r="AE17" i="14"/>
  <c r="AF17" i="14"/>
  <c r="AG17" i="14"/>
  <c r="AH17" i="14"/>
  <c r="AI17" i="14"/>
  <c r="AK17" i="14"/>
  <c r="AL17" i="14"/>
  <c r="AM17" i="14"/>
  <c r="AB18" i="14"/>
  <c r="AC18" i="14"/>
  <c r="AD18" i="14"/>
  <c r="AE18" i="14"/>
  <c r="AF18" i="14"/>
  <c r="AG18" i="14"/>
  <c r="AH18" i="14"/>
  <c r="AI18" i="14"/>
  <c r="AK18" i="14"/>
  <c r="AL18" i="14"/>
  <c r="AM18" i="14"/>
  <c r="AB19" i="14"/>
  <c r="AC19" i="14"/>
  <c r="AD19" i="14"/>
  <c r="AE19" i="14"/>
  <c r="AF19" i="14"/>
  <c r="AG19" i="14"/>
  <c r="AH19" i="14"/>
  <c r="AI19" i="14"/>
  <c r="AK19" i="14"/>
  <c r="AL19" i="14"/>
  <c r="AM19" i="14"/>
  <c r="AB20" i="14"/>
  <c r="AC20" i="14"/>
  <c r="AD20" i="14"/>
  <c r="AE20" i="14"/>
  <c r="AF20" i="14"/>
  <c r="AG20" i="14"/>
  <c r="AH20" i="14"/>
  <c r="AI20" i="14"/>
  <c r="AK20" i="14"/>
  <c r="AL20" i="14"/>
  <c r="AM20" i="14"/>
  <c r="AB21" i="14"/>
  <c r="AC21" i="14"/>
  <c r="AD21" i="14"/>
  <c r="AE21" i="14"/>
  <c r="AF21" i="14"/>
  <c r="AG21" i="14"/>
  <c r="AH21" i="14"/>
  <c r="AI21" i="14"/>
  <c r="AK21" i="14"/>
  <c r="AL21" i="14"/>
  <c r="AM21" i="14"/>
  <c r="AB22" i="14"/>
  <c r="AC22" i="14"/>
  <c r="AD22" i="14"/>
  <c r="AE22" i="14"/>
  <c r="AF22" i="14"/>
  <c r="AG22" i="14"/>
  <c r="AH22" i="14"/>
  <c r="AI22" i="14"/>
  <c r="AK22" i="14"/>
  <c r="AL22" i="14"/>
  <c r="AM22" i="14"/>
  <c r="AB23" i="14"/>
  <c r="AC23" i="14"/>
  <c r="AD23" i="14"/>
  <c r="AE23" i="14"/>
  <c r="AF23" i="14"/>
  <c r="AG23" i="14"/>
  <c r="AH23" i="14"/>
  <c r="AI23" i="14"/>
  <c r="AK23" i="14"/>
  <c r="AL23" i="14"/>
  <c r="AM23" i="14"/>
  <c r="AB24" i="14"/>
  <c r="AC24" i="14"/>
  <c r="AD24" i="14"/>
  <c r="AE24" i="14"/>
  <c r="AF24" i="14"/>
  <c r="AG24" i="14"/>
  <c r="AH24" i="14"/>
  <c r="AI24" i="14"/>
  <c r="AK24" i="14"/>
  <c r="AL24" i="14"/>
  <c r="AX24" i="14" s="1"/>
  <c r="AM24" i="14"/>
  <c r="AB25" i="14"/>
  <c r="AC25" i="14"/>
  <c r="AD25" i="14"/>
  <c r="AE25" i="14"/>
  <c r="AF25" i="14"/>
  <c r="AG25" i="14"/>
  <c r="AH25" i="14"/>
  <c r="AI25" i="14"/>
  <c r="AK25" i="14"/>
  <c r="AL25" i="14"/>
  <c r="AM25" i="14"/>
  <c r="AB26" i="14"/>
  <c r="AC26" i="14"/>
  <c r="AD26" i="14"/>
  <c r="AE26" i="14"/>
  <c r="AF26" i="14"/>
  <c r="AG26" i="14"/>
  <c r="AH26" i="14"/>
  <c r="AI26" i="14"/>
  <c r="AK26" i="14"/>
  <c r="AL26" i="14"/>
  <c r="AM26" i="14"/>
  <c r="AB27" i="14"/>
  <c r="AC27" i="14"/>
  <c r="AD27" i="14"/>
  <c r="AE27" i="14"/>
  <c r="AF27" i="14"/>
  <c r="AG27" i="14"/>
  <c r="AH27" i="14"/>
  <c r="AI27" i="14"/>
  <c r="AK27" i="14"/>
  <c r="AL27" i="14"/>
  <c r="AM27" i="14"/>
  <c r="AB28" i="14"/>
  <c r="AC28" i="14"/>
  <c r="AD28" i="14"/>
  <c r="AE28" i="14"/>
  <c r="AF28" i="14"/>
  <c r="AG28" i="14"/>
  <c r="AH28" i="14"/>
  <c r="AI28" i="14"/>
  <c r="AK28" i="14"/>
  <c r="AL28" i="14"/>
  <c r="AM28" i="14"/>
  <c r="AB29" i="14"/>
  <c r="AC29" i="14"/>
  <c r="AD29" i="14"/>
  <c r="AE29" i="14"/>
  <c r="AF29" i="14"/>
  <c r="AG29" i="14"/>
  <c r="AH29" i="14"/>
  <c r="AI29" i="14"/>
  <c r="AK29" i="14"/>
  <c r="AL29" i="14"/>
  <c r="AM29" i="14"/>
  <c r="AB30" i="14"/>
  <c r="AC30" i="14"/>
  <c r="AD30" i="14"/>
  <c r="AE30" i="14"/>
  <c r="AF30" i="14"/>
  <c r="AG30" i="14"/>
  <c r="AH30" i="14"/>
  <c r="AI30" i="14"/>
  <c r="AK30" i="14"/>
  <c r="AL30" i="14"/>
  <c r="AM30" i="14"/>
  <c r="AB31" i="14"/>
  <c r="AC31" i="14"/>
  <c r="AD31" i="14"/>
  <c r="AE31" i="14"/>
  <c r="AF31" i="14"/>
  <c r="AG31" i="14"/>
  <c r="AH31" i="14"/>
  <c r="AI31" i="14"/>
  <c r="AK31" i="14"/>
  <c r="AL31" i="14"/>
  <c r="AM31" i="14"/>
  <c r="AB32" i="14"/>
  <c r="AC32" i="14"/>
  <c r="AD32" i="14"/>
  <c r="AE32" i="14"/>
  <c r="AF32" i="14"/>
  <c r="AG32" i="14"/>
  <c r="AH32" i="14"/>
  <c r="AI32" i="14"/>
  <c r="AK32" i="14"/>
  <c r="AL32" i="14"/>
  <c r="AM32" i="14"/>
  <c r="AB33" i="14"/>
  <c r="AC33" i="14"/>
  <c r="AD33" i="14"/>
  <c r="AE33" i="14"/>
  <c r="AF33" i="14"/>
  <c r="AG33" i="14"/>
  <c r="AH33" i="14"/>
  <c r="AI33" i="14"/>
  <c r="AK33" i="14"/>
  <c r="AL33" i="14"/>
  <c r="AM33" i="14"/>
  <c r="AB34" i="14"/>
  <c r="AC34" i="14"/>
  <c r="AD34" i="14"/>
  <c r="AE34" i="14"/>
  <c r="AF34" i="14"/>
  <c r="AG34" i="14"/>
  <c r="AH34" i="14"/>
  <c r="AI34" i="14"/>
  <c r="AK34" i="14"/>
  <c r="AL34" i="14"/>
  <c r="AM34" i="14"/>
  <c r="AB35" i="14"/>
  <c r="AC35" i="14"/>
  <c r="AD35" i="14"/>
  <c r="AE35" i="14"/>
  <c r="AF35" i="14"/>
  <c r="AG35" i="14"/>
  <c r="AH35" i="14"/>
  <c r="AI35" i="14"/>
  <c r="AK35" i="14"/>
  <c r="AL35" i="14"/>
  <c r="AM35" i="14"/>
  <c r="AB36" i="14"/>
  <c r="AC36" i="14"/>
  <c r="AD36" i="14"/>
  <c r="AE36" i="14"/>
  <c r="AF36" i="14"/>
  <c r="AG36" i="14"/>
  <c r="AH36" i="14"/>
  <c r="AI36" i="14"/>
  <c r="AK36" i="14"/>
  <c r="AL36" i="14"/>
  <c r="AM36" i="14"/>
  <c r="AB37" i="14"/>
  <c r="AC37" i="14"/>
  <c r="AD37" i="14"/>
  <c r="AE37" i="14"/>
  <c r="AF37" i="14"/>
  <c r="AG37" i="14"/>
  <c r="AH37" i="14"/>
  <c r="AI37" i="14"/>
  <c r="AK37" i="14"/>
  <c r="AL37" i="14"/>
  <c r="AM37" i="14"/>
  <c r="AB38" i="14"/>
  <c r="AC38" i="14"/>
  <c r="AD38" i="14"/>
  <c r="AE38" i="14"/>
  <c r="AF38" i="14"/>
  <c r="AG38" i="14"/>
  <c r="AH38" i="14"/>
  <c r="AI38" i="14"/>
  <c r="AK38" i="14"/>
  <c r="AL38" i="14"/>
  <c r="AM38" i="14"/>
  <c r="AB39" i="14"/>
  <c r="AC39" i="14"/>
  <c r="AD39" i="14"/>
  <c r="AE39" i="14"/>
  <c r="AF39" i="14"/>
  <c r="AG39" i="14"/>
  <c r="AH39" i="14"/>
  <c r="AI39" i="14"/>
  <c r="AK39" i="14"/>
  <c r="AL39" i="14"/>
  <c r="AM39" i="14"/>
  <c r="AB40" i="14"/>
  <c r="AC40" i="14"/>
  <c r="AD40" i="14"/>
  <c r="AE40" i="14"/>
  <c r="AF40" i="14"/>
  <c r="AG40" i="14"/>
  <c r="AH40" i="14"/>
  <c r="AI40" i="14"/>
  <c r="AK40" i="14"/>
  <c r="AL40" i="14"/>
  <c r="AM40" i="14"/>
  <c r="AB41" i="14"/>
  <c r="AC41" i="14"/>
  <c r="AD41" i="14"/>
  <c r="AE41" i="14"/>
  <c r="AF41" i="14"/>
  <c r="AG41" i="14"/>
  <c r="AH41" i="14"/>
  <c r="AI41" i="14"/>
  <c r="AK41" i="14"/>
  <c r="AL41" i="14"/>
  <c r="AM41" i="14"/>
  <c r="AB42" i="14"/>
  <c r="AC42" i="14"/>
  <c r="AD42" i="14"/>
  <c r="AE42" i="14"/>
  <c r="AF42" i="14"/>
  <c r="AG42" i="14"/>
  <c r="AH42" i="14"/>
  <c r="AI42" i="14"/>
  <c r="AK42" i="14"/>
  <c r="AL42" i="14"/>
  <c r="AM42" i="14"/>
  <c r="AB43" i="14"/>
  <c r="AC43" i="14"/>
  <c r="AD43" i="14"/>
  <c r="AE43" i="14"/>
  <c r="AF43" i="14"/>
  <c r="AG43" i="14"/>
  <c r="AH43" i="14"/>
  <c r="AI43" i="14"/>
  <c r="AK43" i="14"/>
  <c r="AL43" i="14"/>
  <c r="AM43" i="14"/>
  <c r="AB44" i="14"/>
  <c r="AC44" i="14"/>
  <c r="AD44" i="14"/>
  <c r="AE44" i="14"/>
  <c r="AF44" i="14"/>
  <c r="AG44" i="14"/>
  <c r="AH44" i="14"/>
  <c r="AI44" i="14"/>
  <c r="AK44" i="14"/>
  <c r="AL44" i="14"/>
  <c r="AM44" i="14"/>
  <c r="AB45" i="14"/>
  <c r="AC45" i="14"/>
  <c r="AD45" i="14"/>
  <c r="AE45" i="14"/>
  <c r="AF45" i="14"/>
  <c r="AG45" i="14"/>
  <c r="AH45" i="14"/>
  <c r="AI45" i="14"/>
  <c r="AK45" i="14"/>
  <c r="AL45" i="14"/>
  <c r="AM45" i="14"/>
  <c r="AB46" i="14"/>
  <c r="AC46" i="14"/>
  <c r="AD46" i="14"/>
  <c r="AE46" i="14"/>
  <c r="AF46" i="14"/>
  <c r="AG46" i="14"/>
  <c r="AH46" i="14"/>
  <c r="AI46" i="14"/>
  <c r="AK46" i="14"/>
  <c r="AL46" i="14"/>
  <c r="AM46" i="14"/>
  <c r="AB47" i="14"/>
  <c r="AC47" i="14"/>
  <c r="AD47" i="14"/>
  <c r="AE47" i="14"/>
  <c r="AF47" i="14"/>
  <c r="AG47" i="14"/>
  <c r="AH47" i="14"/>
  <c r="AI47" i="14"/>
  <c r="AK47" i="14"/>
  <c r="AL47" i="14"/>
  <c r="AM47" i="14"/>
  <c r="AB48" i="14"/>
  <c r="AC48" i="14"/>
  <c r="AD48" i="14"/>
  <c r="AE48" i="14"/>
  <c r="AF48" i="14"/>
  <c r="AG48" i="14"/>
  <c r="AH48" i="14"/>
  <c r="AI48" i="14"/>
  <c r="AK48" i="14"/>
  <c r="AL48" i="14"/>
  <c r="AM48" i="14"/>
  <c r="AB49" i="14"/>
  <c r="AC49" i="14"/>
  <c r="AD49" i="14"/>
  <c r="AE49" i="14"/>
  <c r="AF49" i="14"/>
  <c r="AG49" i="14"/>
  <c r="AH49" i="14"/>
  <c r="AI49" i="14"/>
  <c r="AK49" i="14"/>
  <c r="AL49" i="14"/>
  <c r="AM49" i="14"/>
  <c r="AB50" i="14"/>
  <c r="AC50" i="14"/>
  <c r="AD50" i="14"/>
  <c r="AE50" i="14"/>
  <c r="AF50" i="14"/>
  <c r="AG50" i="14"/>
  <c r="AH50" i="14"/>
  <c r="AI50" i="14"/>
  <c r="AK50" i="14"/>
  <c r="AL50" i="14"/>
  <c r="AM50" i="14"/>
  <c r="AB51" i="14"/>
  <c r="AC51" i="14"/>
  <c r="AD51" i="14"/>
  <c r="AE51" i="14"/>
  <c r="AF51" i="14"/>
  <c r="AG51" i="14"/>
  <c r="AH51" i="14"/>
  <c r="AI51" i="14"/>
  <c r="AK51" i="14"/>
  <c r="AL51" i="14"/>
  <c r="AM51" i="14"/>
  <c r="AB52" i="14"/>
  <c r="AC52" i="14"/>
  <c r="AD52" i="14"/>
  <c r="AE52" i="14"/>
  <c r="AF52" i="14"/>
  <c r="AG52" i="14"/>
  <c r="AH52" i="14"/>
  <c r="AI52" i="14"/>
  <c r="AK52" i="14"/>
  <c r="AL52" i="14"/>
  <c r="AM52" i="14"/>
  <c r="AB53" i="14"/>
  <c r="AC53" i="14"/>
  <c r="AD53" i="14"/>
  <c r="AE53" i="14"/>
  <c r="AF53" i="14"/>
  <c r="AG53" i="14"/>
  <c r="AH53" i="14"/>
  <c r="AI53" i="14"/>
  <c r="AK53" i="14"/>
  <c r="AL53" i="14"/>
  <c r="AM53" i="14"/>
  <c r="AB54" i="14"/>
  <c r="AC54" i="14"/>
  <c r="AD54" i="14"/>
  <c r="AE54" i="14"/>
  <c r="AF54" i="14"/>
  <c r="AG54" i="14"/>
  <c r="AH54" i="14"/>
  <c r="AI54" i="14"/>
  <c r="AK54" i="14"/>
  <c r="AL54" i="14"/>
  <c r="AM54" i="14"/>
  <c r="AB55" i="14"/>
  <c r="AC55" i="14"/>
  <c r="AD55" i="14"/>
  <c r="AE55" i="14"/>
  <c r="AF55" i="14"/>
  <c r="AG55" i="14"/>
  <c r="AH55" i="14"/>
  <c r="AI55" i="14"/>
  <c r="AK55" i="14"/>
  <c r="AL55" i="14"/>
  <c r="AM55" i="14"/>
  <c r="AB56" i="14"/>
  <c r="AC56" i="14"/>
  <c r="AD56" i="14"/>
  <c r="AE56" i="14"/>
  <c r="AF56" i="14"/>
  <c r="AG56" i="14"/>
  <c r="AH56" i="14"/>
  <c r="AI56" i="14"/>
  <c r="AK56" i="14"/>
  <c r="AL56" i="14"/>
  <c r="AM56" i="14"/>
  <c r="AB57" i="14"/>
  <c r="AC57" i="14"/>
  <c r="AD57" i="14"/>
  <c r="AE57" i="14"/>
  <c r="AF57" i="14"/>
  <c r="AG57" i="14"/>
  <c r="AH57" i="14"/>
  <c r="AI57" i="14"/>
  <c r="AK57" i="14"/>
  <c r="AL57" i="14"/>
  <c r="AM57" i="14"/>
  <c r="AB58" i="14"/>
  <c r="AC58" i="14"/>
  <c r="AD58" i="14"/>
  <c r="AE58" i="14"/>
  <c r="AF58" i="14"/>
  <c r="AG58" i="14"/>
  <c r="AH58" i="14"/>
  <c r="AI58" i="14"/>
  <c r="AK58" i="14"/>
  <c r="AL58" i="14"/>
  <c r="AM58" i="14"/>
  <c r="AB59" i="14"/>
  <c r="AC59" i="14"/>
  <c r="AD59" i="14"/>
  <c r="AE59" i="14"/>
  <c r="AF59" i="14"/>
  <c r="AG59" i="14"/>
  <c r="AH59" i="14"/>
  <c r="AI59" i="14"/>
  <c r="AK59" i="14"/>
  <c r="AL59" i="14"/>
  <c r="AM59" i="14"/>
  <c r="AB60" i="14"/>
  <c r="AC60" i="14"/>
  <c r="AD60" i="14"/>
  <c r="AE60" i="14"/>
  <c r="AF60" i="14"/>
  <c r="AG60" i="14"/>
  <c r="AH60" i="14"/>
  <c r="AI60" i="14"/>
  <c r="AK60" i="14"/>
  <c r="AL60" i="14"/>
  <c r="AM60" i="14"/>
  <c r="AB61" i="14"/>
  <c r="AC61" i="14"/>
  <c r="AD61" i="14"/>
  <c r="AE61" i="14"/>
  <c r="AF61" i="14"/>
  <c r="AG61" i="14"/>
  <c r="AH61" i="14"/>
  <c r="AI61" i="14"/>
  <c r="AK61" i="14"/>
  <c r="AL61" i="14"/>
  <c r="AM61" i="14"/>
  <c r="AB62" i="14"/>
  <c r="AC62" i="14"/>
  <c r="AD62" i="14"/>
  <c r="AE62" i="14"/>
  <c r="AF62" i="14"/>
  <c r="AG62" i="14"/>
  <c r="AH62" i="14"/>
  <c r="AI62" i="14"/>
  <c r="AK62" i="14"/>
  <c r="AL62" i="14"/>
  <c r="AM62" i="14"/>
  <c r="AB63" i="14"/>
  <c r="AC63" i="14"/>
  <c r="AD63" i="14"/>
  <c r="AE63" i="14"/>
  <c r="AF63" i="14"/>
  <c r="AG63" i="14"/>
  <c r="AH63" i="14"/>
  <c r="AI63" i="14"/>
  <c r="AK63" i="14"/>
  <c r="AL63" i="14"/>
  <c r="AM63" i="14"/>
  <c r="AB64" i="14"/>
  <c r="AC64" i="14"/>
  <c r="AD64" i="14"/>
  <c r="AE64" i="14"/>
  <c r="AF64" i="14"/>
  <c r="AG64" i="14"/>
  <c r="AH64" i="14"/>
  <c r="AI64" i="14"/>
  <c r="AK64" i="14"/>
  <c r="AL64" i="14"/>
  <c r="AM64" i="14"/>
  <c r="AB65" i="14"/>
  <c r="AC65" i="14"/>
  <c r="AD65" i="14"/>
  <c r="AE65" i="14"/>
  <c r="AF65" i="14"/>
  <c r="AG65" i="14"/>
  <c r="AH65" i="14"/>
  <c r="AI65" i="14"/>
  <c r="AK65" i="14"/>
  <c r="AL65" i="14"/>
  <c r="AM65" i="14"/>
  <c r="AB66" i="14"/>
  <c r="AC66" i="14"/>
  <c r="AD66" i="14"/>
  <c r="AE66" i="14"/>
  <c r="AF66" i="14"/>
  <c r="AG66" i="14"/>
  <c r="AH66" i="14"/>
  <c r="AI66" i="14"/>
  <c r="AK66" i="14"/>
  <c r="AL66" i="14"/>
  <c r="AM66" i="14"/>
  <c r="AB67" i="14"/>
  <c r="AC67" i="14"/>
  <c r="AD67" i="14"/>
  <c r="AE67" i="14"/>
  <c r="AF67" i="14"/>
  <c r="AG67" i="14"/>
  <c r="AH67" i="14"/>
  <c r="AI67" i="14"/>
  <c r="AK67" i="14"/>
  <c r="AL67" i="14"/>
  <c r="AM67" i="14"/>
  <c r="AB68" i="14"/>
  <c r="AC68" i="14"/>
  <c r="AD68" i="14"/>
  <c r="AE68" i="14"/>
  <c r="AF68" i="14"/>
  <c r="AG68" i="14"/>
  <c r="AH68" i="14"/>
  <c r="AI68" i="14"/>
  <c r="AK68" i="14"/>
  <c r="AL68" i="14"/>
  <c r="AM68" i="14"/>
  <c r="AB69" i="14"/>
  <c r="AN69" i="14" s="1"/>
  <c r="AC69" i="14"/>
  <c r="AO69" i="14" s="1"/>
  <c r="AD69" i="14"/>
  <c r="AP69" i="14" s="1"/>
  <c r="AE69" i="14"/>
  <c r="AQ69" i="14" s="1"/>
  <c r="AF69" i="14"/>
  <c r="AR69" i="14" s="1"/>
  <c r="AG69" i="14"/>
  <c r="AS69" i="14" s="1"/>
  <c r="AH69" i="14"/>
  <c r="AT69" i="14" s="1"/>
  <c r="AI69" i="14"/>
  <c r="AU69" i="14" s="1"/>
  <c r="AK69" i="14"/>
  <c r="AW69" i="14" s="1"/>
  <c r="AL69" i="14"/>
  <c r="AX69" i="14" s="1"/>
  <c r="AM69" i="14"/>
  <c r="AY69" i="14" s="1"/>
  <c r="AB70" i="14"/>
  <c r="AC70" i="14"/>
  <c r="AD70" i="14"/>
  <c r="AE70" i="14"/>
  <c r="AF70" i="14"/>
  <c r="AG70" i="14"/>
  <c r="AH70" i="14"/>
  <c r="AI70" i="14"/>
  <c r="AK70" i="14"/>
  <c r="AL70" i="14"/>
  <c r="AM70" i="14"/>
  <c r="AB71" i="14"/>
  <c r="AC71" i="14"/>
  <c r="AD71" i="14"/>
  <c r="AE71" i="14"/>
  <c r="AF71" i="14"/>
  <c r="AG71" i="14"/>
  <c r="AH71" i="14"/>
  <c r="AI71" i="14"/>
  <c r="AK71" i="14"/>
  <c r="AL71" i="14"/>
  <c r="AM71" i="14"/>
  <c r="AB72" i="14"/>
  <c r="AC72" i="14"/>
  <c r="AD72" i="14"/>
  <c r="AE72" i="14"/>
  <c r="AF72" i="14"/>
  <c r="AG72" i="14"/>
  <c r="AH72" i="14"/>
  <c r="AI72" i="14"/>
  <c r="AK72" i="14"/>
  <c r="AL72" i="14"/>
  <c r="AM72" i="14"/>
  <c r="AC73" i="14"/>
  <c r="AD73" i="14"/>
  <c r="AE73" i="14"/>
  <c r="AF73" i="14"/>
  <c r="AG73" i="14"/>
  <c r="AH73" i="14"/>
  <c r="AI73" i="14"/>
  <c r="AK73" i="14"/>
  <c r="AL73" i="14"/>
  <c r="AM73" i="14"/>
  <c r="AB74" i="14"/>
  <c r="AC74" i="14"/>
  <c r="AD74" i="14"/>
  <c r="AE74" i="14"/>
  <c r="AF74" i="14"/>
  <c r="AG74" i="14"/>
  <c r="AH74" i="14"/>
  <c r="AI74" i="14"/>
  <c r="AK74" i="14"/>
  <c r="AL74" i="14"/>
  <c r="AM74" i="14"/>
  <c r="AB75" i="14"/>
  <c r="AC75" i="14"/>
  <c r="AD75" i="14"/>
  <c r="AE75" i="14"/>
  <c r="AF75" i="14"/>
  <c r="AG75" i="14"/>
  <c r="AH75" i="14"/>
  <c r="AI75" i="14"/>
  <c r="AK75" i="14"/>
  <c r="AL75" i="14"/>
  <c r="AM75" i="14"/>
  <c r="AB76" i="14"/>
  <c r="AC76" i="14"/>
  <c r="AD76" i="14"/>
  <c r="AE76" i="14"/>
  <c r="AF76" i="14"/>
  <c r="AG76" i="14"/>
  <c r="AH76" i="14"/>
  <c r="AI76" i="14"/>
  <c r="AK76" i="14"/>
  <c r="AL76" i="14"/>
  <c r="AM76" i="14"/>
  <c r="AB77" i="14"/>
  <c r="AC77" i="14"/>
  <c r="AD77" i="14"/>
  <c r="AE77" i="14"/>
  <c r="AF77" i="14"/>
  <c r="AG77" i="14"/>
  <c r="AH77" i="14"/>
  <c r="AI77" i="14"/>
  <c r="AK77" i="14"/>
  <c r="AL77" i="14"/>
  <c r="AM77" i="14"/>
  <c r="AB78" i="14"/>
  <c r="AC78" i="14"/>
  <c r="AD78" i="14"/>
  <c r="AE78" i="14"/>
  <c r="AF78" i="14"/>
  <c r="AG78" i="14"/>
  <c r="AH78" i="14"/>
  <c r="AI78" i="14"/>
  <c r="AK78" i="14"/>
  <c r="AL78" i="14"/>
  <c r="AM78" i="14"/>
  <c r="AB79" i="14"/>
  <c r="AC79" i="14"/>
  <c r="AD79" i="14"/>
  <c r="AE79" i="14"/>
  <c r="AF79" i="14"/>
  <c r="AG79" i="14"/>
  <c r="AH79" i="14"/>
  <c r="AI79" i="14"/>
  <c r="AK79" i="14"/>
  <c r="AL79" i="14"/>
  <c r="AM79" i="14"/>
  <c r="AB80" i="14"/>
  <c r="AC80" i="14"/>
  <c r="AD80" i="14"/>
  <c r="AE80" i="14"/>
  <c r="AF80" i="14"/>
  <c r="AG80" i="14"/>
  <c r="AH80" i="14"/>
  <c r="AI80" i="14"/>
  <c r="AK80" i="14"/>
  <c r="AL80" i="14"/>
  <c r="AM80" i="14"/>
  <c r="AB81" i="14"/>
  <c r="AC81" i="14"/>
  <c r="AD81" i="14"/>
  <c r="AE81" i="14"/>
  <c r="AF81" i="14"/>
  <c r="AG81" i="14"/>
  <c r="AH81" i="14"/>
  <c r="AI81" i="14"/>
  <c r="AK81" i="14"/>
  <c r="AL81" i="14"/>
  <c r="AM81" i="14"/>
  <c r="AB82" i="14"/>
  <c r="AC82" i="14"/>
  <c r="AD82" i="14"/>
  <c r="AE82" i="14"/>
  <c r="AF82" i="14"/>
  <c r="AG82" i="14"/>
  <c r="AH82" i="14"/>
  <c r="AI82" i="14"/>
  <c r="AK82" i="14"/>
  <c r="AL82" i="14"/>
  <c r="AM82" i="14"/>
  <c r="AB83" i="14"/>
  <c r="AC83" i="14"/>
  <c r="AD83" i="14"/>
  <c r="AE83" i="14"/>
  <c r="AF83" i="14"/>
  <c r="AG83" i="14"/>
  <c r="AH83" i="14"/>
  <c r="AI83" i="14"/>
  <c r="AK83" i="14"/>
  <c r="AL83" i="14"/>
  <c r="AM83" i="14"/>
  <c r="AB84" i="14"/>
  <c r="AC84" i="14"/>
  <c r="AD84" i="14"/>
  <c r="AE84" i="14"/>
  <c r="AF84" i="14"/>
  <c r="AG84" i="14"/>
  <c r="AH84" i="14"/>
  <c r="AI84" i="14"/>
  <c r="AK84" i="14"/>
  <c r="AL84" i="14"/>
  <c r="AM84" i="14"/>
  <c r="AB85" i="14"/>
  <c r="AC85" i="14"/>
  <c r="AD85" i="14"/>
  <c r="AE85" i="14"/>
  <c r="AF85" i="14"/>
  <c r="AG85" i="14"/>
  <c r="AH85" i="14"/>
  <c r="AI85" i="14"/>
  <c r="AK85" i="14"/>
  <c r="AL85" i="14"/>
  <c r="AM85" i="14"/>
  <c r="AB86" i="14"/>
  <c r="AC86" i="14"/>
  <c r="AD86" i="14"/>
  <c r="AE86" i="14"/>
  <c r="AF86" i="14"/>
  <c r="AG86" i="14"/>
  <c r="AH86" i="14"/>
  <c r="AI86" i="14"/>
  <c r="AK86" i="14"/>
  <c r="AL86" i="14"/>
  <c r="AM86" i="14"/>
  <c r="AB87" i="14"/>
  <c r="AC87" i="14"/>
  <c r="AD87" i="14"/>
  <c r="AE87" i="14"/>
  <c r="AF87" i="14"/>
  <c r="AG87" i="14"/>
  <c r="AH87" i="14"/>
  <c r="AI87" i="14"/>
  <c r="AK87" i="14"/>
  <c r="AL87" i="14"/>
  <c r="AM87" i="14"/>
  <c r="AB88" i="14"/>
  <c r="AC88" i="14"/>
  <c r="AD88" i="14"/>
  <c r="AE88" i="14"/>
  <c r="AF88" i="14"/>
  <c r="AG88" i="14"/>
  <c r="AH88" i="14"/>
  <c r="AI88" i="14"/>
  <c r="AK88" i="14"/>
  <c r="AL88" i="14"/>
  <c r="AM88" i="14"/>
  <c r="AB89" i="14"/>
  <c r="AC89" i="14"/>
  <c r="AD89" i="14"/>
  <c r="AE89" i="14"/>
  <c r="AF89" i="14"/>
  <c r="AG89" i="14"/>
  <c r="AH89" i="14"/>
  <c r="AI89" i="14"/>
  <c r="AK89" i="14"/>
  <c r="AL89" i="14"/>
  <c r="AM89" i="14"/>
  <c r="AB90" i="14"/>
  <c r="AC90" i="14"/>
  <c r="AD90" i="14"/>
  <c r="AE90" i="14"/>
  <c r="AF90" i="14"/>
  <c r="AG90" i="14"/>
  <c r="AH90" i="14"/>
  <c r="AI90" i="14"/>
  <c r="AK90" i="14"/>
  <c r="AL90" i="14"/>
  <c r="AM90" i="14"/>
  <c r="AB91" i="14"/>
  <c r="AC91" i="14"/>
  <c r="AD91" i="14"/>
  <c r="AE91" i="14"/>
  <c r="AF91" i="14"/>
  <c r="AG91" i="14"/>
  <c r="AH91" i="14"/>
  <c r="AI91" i="14"/>
  <c r="AK91" i="14"/>
  <c r="AL91" i="14"/>
  <c r="AM91" i="14"/>
  <c r="AB92" i="14"/>
  <c r="AC92" i="14"/>
  <c r="AD92" i="14"/>
  <c r="AE92" i="14"/>
  <c r="AF92" i="14"/>
  <c r="AG92" i="14"/>
  <c r="AH92" i="14"/>
  <c r="AI92" i="14"/>
  <c r="AK92" i="14"/>
  <c r="AL92" i="14"/>
  <c r="AM92" i="14"/>
  <c r="AB93" i="14"/>
  <c r="AC93" i="14"/>
  <c r="AD93" i="14"/>
  <c r="AE93" i="14"/>
  <c r="AF93" i="14"/>
  <c r="AG93" i="14"/>
  <c r="AH93" i="14"/>
  <c r="AI93" i="14"/>
  <c r="AK93" i="14"/>
  <c r="AL93" i="14"/>
  <c r="AM93" i="14"/>
  <c r="AB94" i="14"/>
  <c r="AC94" i="14"/>
  <c r="AD94" i="14"/>
  <c r="AE94" i="14"/>
  <c r="AF94" i="14"/>
  <c r="AG94" i="14"/>
  <c r="AH94" i="14"/>
  <c r="AI94" i="14"/>
  <c r="AK94" i="14"/>
  <c r="AL94" i="14"/>
  <c r="AM94" i="14"/>
  <c r="AB95" i="14"/>
  <c r="AC95" i="14"/>
  <c r="AD95" i="14"/>
  <c r="AE95" i="14"/>
  <c r="AF95" i="14"/>
  <c r="AG95" i="14"/>
  <c r="AH95" i="14"/>
  <c r="AI95" i="14"/>
  <c r="AK95" i="14"/>
  <c r="AL95" i="14"/>
  <c r="AM95" i="14"/>
  <c r="AB96" i="14"/>
  <c r="AC96" i="14"/>
  <c r="AD96" i="14"/>
  <c r="AE96" i="14"/>
  <c r="AF96" i="14"/>
  <c r="AG96" i="14"/>
  <c r="AH96" i="14"/>
  <c r="AI96" i="14"/>
  <c r="AK96" i="14"/>
  <c r="AL96" i="14"/>
  <c r="AM96" i="14"/>
  <c r="AB97" i="14"/>
  <c r="AC97" i="14"/>
  <c r="AD97" i="14"/>
  <c r="AE97" i="14"/>
  <c r="AF97" i="14"/>
  <c r="AG97" i="14"/>
  <c r="AH97" i="14"/>
  <c r="AI97" i="14"/>
  <c r="AK97" i="14"/>
  <c r="AL97" i="14"/>
  <c r="AM97" i="14"/>
  <c r="AB98" i="14"/>
  <c r="AC98" i="14"/>
  <c r="AD98" i="14"/>
  <c r="AE98" i="14"/>
  <c r="AF98" i="14"/>
  <c r="AG98" i="14"/>
  <c r="AH98" i="14"/>
  <c r="AI98" i="14"/>
  <c r="AK98" i="14"/>
  <c r="AL98" i="14"/>
  <c r="AM98" i="14"/>
  <c r="AB99" i="14"/>
  <c r="AC99" i="14"/>
  <c r="AD99" i="14"/>
  <c r="AE99" i="14"/>
  <c r="AF99" i="14"/>
  <c r="AG99" i="14"/>
  <c r="AH99" i="14"/>
  <c r="AI99" i="14"/>
  <c r="AK99" i="14"/>
  <c r="AL99" i="14"/>
  <c r="AM99" i="14"/>
  <c r="AB100" i="14"/>
  <c r="AC100" i="14"/>
  <c r="AD100" i="14"/>
  <c r="AE100" i="14"/>
  <c r="AF100" i="14"/>
  <c r="AG100" i="14"/>
  <c r="AH100" i="14"/>
  <c r="AI100" i="14"/>
  <c r="AK100" i="14"/>
  <c r="AL100" i="14"/>
  <c r="AM100" i="14"/>
  <c r="AB101" i="14"/>
  <c r="AC101" i="14"/>
  <c r="AD101" i="14"/>
  <c r="AE101" i="14"/>
  <c r="AF101" i="14"/>
  <c r="AG101" i="14"/>
  <c r="AH101" i="14"/>
  <c r="AI101" i="14"/>
  <c r="AK101" i="14"/>
  <c r="AL101" i="14"/>
  <c r="AM101" i="14"/>
  <c r="AB102" i="14"/>
  <c r="AC102" i="14"/>
  <c r="AD102" i="14"/>
  <c r="AE102" i="14"/>
  <c r="AF102" i="14"/>
  <c r="AG102" i="14"/>
  <c r="AH102" i="14"/>
  <c r="AI102" i="14"/>
  <c r="AK102" i="14"/>
  <c r="AL102" i="14"/>
  <c r="AM102" i="14"/>
  <c r="AB103" i="14"/>
  <c r="AC103" i="14"/>
  <c r="AD103" i="14"/>
  <c r="AE103" i="14"/>
  <c r="AF103" i="14"/>
  <c r="AG103" i="14"/>
  <c r="AH103" i="14"/>
  <c r="AI103" i="14"/>
  <c r="AK103" i="14"/>
  <c r="AL103" i="14"/>
  <c r="AM103" i="14"/>
  <c r="AB104" i="14"/>
  <c r="AC104" i="14"/>
  <c r="AD104" i="14"/>
  <c r="AE104" i="14"/>
  <c r="AF104" i="14"/>
  <c r="AG104" i="14"/>
  <c r="AH104" i="14"/>
  <c r="AI104" i="14"/>
  <c r="AK104" i="14"/>
  <c r="AL104" i="14"/>
  <c r="AM104" i="14"/>
  <c r="AB105" i="14"/>
  <c r="AC105" i="14"/>
  <c r="AD105" i="14"/>
  <c r="AE105" i="14"/>
  <c r="AF105" i="14"/>
  <c r="AG105" i="14"/>
  <c r="AH105" i="14"/>
  <c r="AI105" i="14"/>
  <c r="AK105" i="14"/>
  <c r="AL105" i="14"/>
  <c r="AM105" i="14"/>
  <c r="AB106" i="14"/>
  <c r="AC106" i="14"/>
  <c r="AD106" i="14"/>
  <c r="AE106" i="14"/>
  <c r="AF106" i="14"/>
  <c r="AG106" i="14"/>
  <c r="AH106" i="14"/>
  <c r="AI106" i="14"/>
  <c r="AK106" i="14"/>
  <c r="AL106" i="14"/>
  <c r="AM106" i="14"/>
  <c r="AB107" i="14"/>
  <c r="AC107" i="14"/>
  <c r="AD107" i="14"/>
  <c r="AE107" i="14"/>
  <c r="AF107" i="14"/>
  <c r="AG107" i="14"/>
  <c r="AH107" i="14"/>
  <c r="AI107" i="14"/>
  <c r="AK107" i="14"/>
  <c r="AL107" i="14"/>
  <c r="AM107" i="14"/>
  <c r="AB108" i="14"/>
  <c r="AC108" i="14"/>
  <c r="AD108" i="14"/>
  <c r="AE108" i="14"/>
  <c r="AF108" i="14"/>
  <c r="AG108" i="14"/>
  <c r="AH108" i="14"/>
  <c r="AI108" i="14"/>
  <c r="AK108" i="14"/>
  <c r="AL108" i="14"/>
  <c r="AM108" i="14"/>
  <c r="AB109" i="14"/>
  <c r="AC109" i="14"/>
  <c r="AD109" i="14"/>
  <c r="AE109" i="14"/>
  <c r="AF109" i="14"/>
  <c r="AG109" i="14"/>
  <c r="AH109" i="14"/>
  <c r="AI109" i="14"/>
  <c r="AK109" i="14"/>
  <c r="AL109" i="14"/>
  <c r="AM109" i="14"/>
  <c r="AB110" i="14"/>
  <c r="AC110" i="14"/>
  <c r="AD110" i="14"/>
  <c r="AE110" i="14"/>
  <c r="AF110" i="14"/>
  <c r="AG110" i="14"/>
  <c r="AH110" i="14"/>
  <c r="AI110" i="14"/>
  <c r="AK110" i="14"/>
  <c r="AL110" i="14"/>
  <c r="AM110" i="14"/>
  <c r="AB111" i="14"/>
  <c r="AC111" i="14"/>
  <c r="AD111" i="14"/>
  <c r="AE111" i="14"/>
  <c r="AF111" i="14"/>
  <c r="AG111" i="14"/>
  <c r="AH111" i="14"/>
  <c r="AI111" i="14"/>
  <c r="AK111" i="14"/>
  <c r="AL111" i="14"/>
  <c r="AM111" i="14"/>
  <c r="AB112" i="14"/>
  <c r="AC112" i="14"/>
  <c r="AD112" i="14"/>
  <c r="AE112" i="14"/>
  <c r="AF112" i="14"/>
  <c r="AG112" i="14"/>
  <c r="AH112" i="14"/>
  <c r="AI112" i="14"/>
  <c r="AK112" i="14"/>
  <c r="AL112" i="14"/>
  <c r="AM112" i="14"/>
  <c r="AB113" i="14"/>
  <c r="AC113" i="14"/>
  <c r="AD113" i="14"/>
  <c r="AE113" i="14"/>
  <c r="AF113" i="14"/>
  <c r="AG113" i="14"/>
  <c r="AH113" i="14"/>
  <c r="AI113" i="14"/>
  <c r="AK113" i="14"/>
  <c r="AL113" i="14"/>
  <c r="AM113" i="14"/>
  <c r="AB114" i="14"/>
  <c r="AC114" i="14"/>
  <c r="AD114" i="14"/>
  <c r="AE114" i="14"/>
  <c r="AF114" i="14"/>
  <c r="AG114" i="14"/>
  <c r="AH114" i="14"/>
  <c r="AI114" i="14"/>
  <c r="AK114" i="14"/>
  <c r="AL114" i="14"/>
  <c r="AM114" i="14"/>
  <c r="AB115" i="14"/>
  <c r="AC115" i="14"/>
  <c r="AD115" i="14"/>
  <c r="AE115" i="14"/>
  <c r="AF115" i="14"/>
  <c r="AG115" i="14"/>
  <c r="AH115" i="14"/>
  <c r="AI115" i="14"/>
  <c r="AK115" i="14"/>
  <c r="AL115" i="14"/>
  <c r="AM115" i="14"/>
  <c r="AB116" i="14"/>
  <c r="AC116" i="14"/>
  <c r="AD116" i="14"/>
  <c r="AE116" i="14"/>
  <c r="AF116" i="14"/>
  <c r="AG116" i="14"/>
  <c r="AH116" i="14"/>
  <c r="AI116" i="14"/>
  <c r="AK116" i="14"/>
  <c r="AL116" i="14"/>
  <c r="AM116" i="14"/>
  <c r="AB117" i="14"/>
  <c r="AC117" i="14"/>
  <c r="AD117" i="14"/>
  <c r="AE117" i="14"/>
  <c r="AF117" i="14"/>
  <c r="AG117" i="14"/>
  <c r="AH117" i="14"/>
  <c r="AI117" i="14"/>
  <c r="AK117" i="14"/>
  <c r="AL117" i="14"/>
  <c r="AM117" i="14"/>
  <c r="AC4" i="14"/>
  <c r="AD4" i="14"/>
  <c r="AE4" i="14"/>
  <c r="AF4" i="14"/>
  <c r="AG4" i="14"/>
  <c r="AH4" i="14"/>
  <c r="AI4" i="14"/>
  <c r="AK4" i="14"/>
  <c r="AL4" i="14"/>
  <c r="AM4" i="14"/>
  <c r="R3" i="1" a="1"/>
  <c r="R4" i="1" a="1"/>
  <c r="R5" i="1" a="1"/>
  <c r="R6" i="1" a="1"/>
  <c r="R7" i="1" a="1"/>
  <c r="R8" i="1" a="1"/>
  <c r="R9" i="1" a="1"/>
  <c r="R10" i="1" a="1"/>
  <c r="R11" i="1" a="1"/>
  <c r="R12" i="1" a="1"/>
  <c r="R13" i="1" a="1"/>
  <c r="R14" i="1" a="1"/>
  <c r="R15" i="1" a="1"/>
  <c r="R16" i="1" a="1"/>
  <c r="R17" i="1" a="1"/>
  <c r="R18" i="1" a="1"/>
  <c r="R19" i="1" a="1"/>
  <c r="R20" i="1" a="1"/>
  <c r="R21" i="1" a="1"/>
  <c r="R22" i="1" a="1"/>
  <c r="R23" i="1" a="1"/>
  <c r="R24" i="1" a="1"/>
  <c r="R25" i="1" a="1"/>
  <c r="R26" i="1" a="1"/>
  <c r="R27" i="1" a="1"/>
  <c r="R28" i="1" a="1"/>
  <c r="R29" i="1" a="1"/>
  <c r="R30" i="1" a="1"/>
  <c r="R31" i="1" a="1"/>
  <c r="R32" i="1" a="1"/>
  <c r="R33" i="1" a="1"/>
  <c r="R34" i="1" a="1"/>
  <c r="R35" i="1" a="1"/>
  <c r="R36" i="1" a="1"/>
  <c r="R37" i="1" a="1"/>
  <c r="R38" i="1" a="1"/>
  <c r="R39" i="1" a="1"/>
  <c r="R40" i="1" a="1"/>
  <c r="R41" i="1" a="1"/>
  <c r="R42" i="1" a="1"/>
  <c r="R43" i="1" a="1"/>
  <c r="R44" i="1" a="1"/>
  <c r="R45" i="1" a="1"/>
  <c r="R46" i="1" a="1"/>
  <c r="R47" i="1" a="1"/>
  <c r="R48" i="1" a="1"/>
  <c r="R49" i="1" a="1"/>
  <c r="R50" i="1" a="1"/>
  <c r="R51" i="1" a="1"/>
  <c r="R52" i="1" a="1"/>
  <c r="R53" i="1" a="1"/>
  <c r="R54" i="1" a="1"/>
  <c r="R55" i="1" a="1"/>
  <c r="R56" i="1" a="1"/>
  <c r="R57" i="1" a="1"/>
  <c r="R58" i="1" a="1"/>
  <c r="R2" i="1" a="1"/>
  <c r="AV12" i="14" l="1"/>
  <c r="BH12" i="14"/>
  <c r="BH126" i="14"/>
  <c r="AV126" i="14"/>
  <c r="BH69" i="14"/>
  <c r="AV69" i="14"/>
  <c r="M2" i="31"/>
  <c r="BN69" i="14" a="1"/>
  <c r="BN126" i="14" a="1"/>
  <c r="BN12" i="14" a="1"/>
  <c r="U2" i="17"/>
  <c r="R2" i="17"/>
  <c r="M14" i="17"/>
  <c r="L47" i="26"/>
  <c r="G104" i="16"/>
  <c r="N47" i="26"/>
  <c r="I104" i="16"/>
  <c r="E25" i="26"/>
  <c r="J101" i="16"/>
  <c r="E23" i="26"/>
  <c r="H101" i="16"/>
  <c r="E22" i="26"/>
  <c r="G101" i="16"/>
  <c r="E24" i="26"/>
  <c r="I101" i="16"/>
  <c r="E26" i="26"/>
  <c r="K101" i="16"/>
  <c r="D22" i="26"/>
  <c r="G100" i="16"/>
  <c r="C90" i="16"/>
  <c r="Q31" i="26"/>
  <c r="L96" i="16"/>
  <c r="P31" i="26"/>
  <c r="K96" i="16"/>
  <c r="O31" i="26"/>
  <c r="J95" i="16"/>
  <c r="AZ122" i="14"/>
  <c r="AP25" i="14"/>
  <c r="AN24" i="14"/>
  <c r="BJ106" i="14"/>
  <c r="AX106" i="14"/>
  <c r="BB88" i="14"/>
  <c r="AP88" i="14"/>
  <c r="BJ78" i="14"/>
  <c r="AX78" i="14"/>
  <c r="BD61" i="14"/>
  <c r="AR61" i="14"/>
  <c r="AX50" i="14"/>
  <c r="BD40" i="14"/>
  <c r="AR40" i="14"/>
  <c r="AP32" i="14"/>
  <c r="BJ114" i="14"/>
  <c r="AX114" i="14"/>
  <c r="BD104" i="14"/>
  <c r="AR104" i="14"/>
  <c r="AX93" i="14"/>
  <c r="AN88" i="14"/>
  <c r="BF84" i="14"/>
  <c r="AT84" i="14"/>
  <c r="AP82" i="14"/>
  <c r="AP75" i="14"/>
  <c r="AX65" i="14"/>
  <c r="BF63" i="14"/>
  <c r="AT63" i="14"/>
  <c r="BD62" i="14"/>
  <c r="AR62" i="14"/>
  <c r="BB61" i="14"/>
  <c r="AP61" i="14"/>
  <c r="AN60" i="14"/>
  <c r="AZ60" i="14"/>
  <c r="BJ58" i="14"/>
  <c r="AX58" i="14"/>
  <c r="BF56" i="14"/>
  <c r="AT56" i="14"/>
  <c r="BD55" i="14"/>
  <c r="AR55" i="14"/>
  <c r="BB54" i="14"/>
  <c r="AP54" i="14"/>
  <c r="AN53" i="14"/>
  <c r="BJ51" i="14"/>
  <c r="AX51" i="14"/>
  <c r="AT49" i="14"/>
  <c r="AR48" i="14"/>
  <c r="AP47" i="14"/>
  <c r="AN46" i="14"/>
  <c r="BJ44" i="14"/>
  <c r="AX44" i="14"/>
  <c r="AT42" i="14"/>
  <c r="AR41" i="14"/>
  <c r="AP40" i="14"/>
  <c r="AN39" i="14"/>
  <c r="BJ37" i="14"/>
  <c r="AX37" i="14"/>
  <c r="AT35" i="14"/>
  <c r="BD34" i="14"/>
  <c r="AR34" i="14"/>
  <c r="AP33" i="14"/>
  <c r="AZ32" i="14"/>
  <c r="AN32" i="14"/>
  <c r="AX30" i="14"/>
  <c r="AT28" i="14"/>
  <c r="BD27" i="14"/>
  <c r="AR27" i="14"/>
  <c r="AP26" i="14"/>
  <c r="AN25" i="14"/>
  <c r="AX23" i="14"/>
  <c r="BF21" i="14"/>
  <c r="AT21" i="14"/>
  <c r="BD20" i="14"/>
  <c r="AR20" i="14"/>
  <c r="AP19" i="14"/>
  <c r="AZ18" i="14"/>
  <c r="AN18" i="14"/>
  <c r="BJ16" i="14"/>
  <c r="AX16" i="14"/>
  <c r="AT14" i="14"/>
  <c r="BF14" i="14"/>
  <c r="BD13" i="14"/>
  <c r="AR13" i="14"/>
  <c r="AN11" i="14"/>
  <c r="BJ9" i="14"/>
  <c r="AX9" i="14"/>
  <c r="AT7" i="14"/>
  <c r="BF7" i="14"/>
  <c r="AR6" i="14"/>
  <c r="AP5" i="14"/>
  <c r="AX155" i="14"/>
  <c r="BF153" i="14"/>
  <c r="AT153" i="14"/>
  <c r="AR152" i="14"/>
  <c r="AP151" i="14"/>
  <c r="AZ150" i="14"/>
  <c r="AN150" i="14"/>
  <c r="AX148" i="14"/>
  <c r="BF146" i="14"/>
  <c r="AT146" i="14"/>
  <c r="AR145" i="14"/>
  <c r="AP144" i="14"/>
  <c r="AZ143" i="14"/>
  <c r="AN143" i="14"/>
  <c r="AX141" i="14"/>
  <c r="BF139" i="14"/>
  <c r="AT139" i="14"/>
  <c r="AR138" i="14"/>
  <c r="AP137" i="14"/>
  <c r="AN136" i="14"/>
  <c r="AX134" i="14"/>
  <c r="AT132" i="14"/>
  <c r="BD131" i="14"/>
  <c r="AR131" i="14"/>
  <c r="AP130" i="14"/>
  <c r="AZ129" i="14"/>
  <c r="AN129" i="14"/>
  <c r="AX127" i="14"/>
  <c r="AT125" i="14"/>
  <c r="AR124" i="14"/>
  <c r="AP123" i="14"/>
  <c r="AN122" i="14"/>
  <c r="BJ120" i="14"/>
  <c r="AX120" i="14"/>
  <c r="BF118" i="14"/>
  <c r="AT118" i="14"/>
  <c r="BD110" i="14"/>
  <c r="AR110" i="14"/>
  <c r="BF97" i="14"/>
  <c r="AT97" i="14"/>
  <c r="BJ85" i="14"/>
  <c r="AX85" i="14"/>
  <c r="AP74" i="14"/>
  <c r="AN66" i="14"/>
  <c r="BF55" i="14"/>
  <c r="AT55" i="14"/>
  <c r="AZ45" i="14"/>
  <c r="AN45" i="14"/>
  <c r="AX29" i="14"/>
  <c r="AT112" i="14"/>
  <c r="AX100" i="14"/>
  <c r="BB89" i="14"/>
  <c r="AP89" i="14"/>
  <c r="AN81" i="14"/>
  <c r="BF77" i="14"/>
  <c r="AT77" i="14"/>
  <c r="AN74" i="14"/>
  <c r="BF70" i="14"/>
  <c r="AT70" i="14"/>
  <c r="AZ67" i="14"/>
  <c r="AN67" i="14"/>
  <c r="AO117" i="14"/>
  <c r="AW114" i="14"/>
  <c r="AS112" i="14"/>
  <c r="AO110" i="14"/>
  <c r="AW107" i="14"/>
  <c r="BC104" i="14"/>
  <c r="AQ104" i="14"/>
  <c r="AY101" i="14"/>
  <c r="AU99" i="14"/>
  <c r="BC97" i="14"/>
  <c r="AQ97" i="14"/>
  <c r="AY94" i="14"/>
  <c r="BG92" i="14"/>
  <c r="AU92" i="14"/>
  <c r="AQ90" i="14"/>
  <c r="AW86" i="14"/>
  <c r="AS84" i="14"/>
  <c r="BA82" i="14"/>
  <c r="AO82" i="14"/>
  <c r="AW79" i="14"/>
  <c r="BE77" i="14"/>
  <c r="AS77" i="14"/>
  <c r="BA75" i="14"/>
  <c r="AO75" i="14"/>
  <c r="AW72" i="14"/>
  <c r="AY66" i="14"/>
  <c r="AS63" i="14"/>
  <c r="BA54" i="14"/>
  <c r="AO54" i="14"/>
  <c r="BI51" i="14"/>
  <c r="AW51" i="14"/>
  <c r="AU50" i="14"/>
  <c r="AQ48" i="14"/>
  <c r="AY45" i="14"/>
  <c r="BG43" i="14"/>
  <c r="AU43" i="14"/>
  <c r="AQ41" i="14"/>
  <c r="BK38" i="14"/>
  <c r="AY38" i="14"/>
  <c r="AU36" i="14"/>
  <c r="AS35" i="14"/>
  <c r="AO33" i="14"/>
  <c r="AW30" i="14"/>
  <c r="AS28" i="14"/>
  <c r="AQ27" i="14"/>
  <c r="AY24" i="14"/>
  <c r="BI23" i="14"/>
  <c r="AW23" i="14"/>
  <c r="BG22" i="14"/>
  <c r="AU22" i="14"/>
  <c r="BE21" i="14"/>
  <c r="AS21" i="14"/>
  <c r="BC20" i="14"/>
  <c r="AQ20" i="14"/>
  <c r="BA19" i="14"/>
  <c r="AO19" i="14"/>
  <c r="AY17" i="14"/>
  <c r="AW16" i="14"/>
  <c r="AU15" i="14"/>
  <c r="BE14" i="14"/>
  <c r="AS14" i="14"/>
  <c r="AQ13" i="14"/>
  <c r="BC13" i="14"/>
  <c r="AY10" i="14"/>
  <c r="AW9" i="14"/>
  <c r="BI9" i="14"/>
  <c r="AU8" i="14"/>
  <c r="AS7" i="14"/>
  <c r="AQ6" i="14"/>
  <c r="AW155" i="14"/>
  <c r="BE153" i="14"/>
  <c r="AS153" i="14"/>
  <c r="AO151" i="14"/>
  <c r="BI148" i="14"/>
  <c r="AW148" i="14"/>
  <c r="AQ145" i="14"/>
  <c r="AY142" i="14"/>
  <c r="BE139" i="14"/>
  <c r="AS139" i="14"/>
  <c r="AO137" i="14"/>
  <c r="AW134" i="14"/>
  <c r="AS132" i="14"/>
  <c r="AY128" i="14"/>
  <c r="AW127" i="14"/>
  <c r="AQ124" i="14"/>
  <c r="AY121" i="14"/>
  <c r="BG119" i="14"/>
  <c r="AU119" i="14"/>
  <c r="AN117" i="14"/>
  <c r="BD112" i="14"/>
  <c r="AR112" i="14"/>
  <c r="BB111" i="14"/>
  <c r="AP111" i="14"/>
  <c r="AN110" i="14"/>
  <c r="BJ108" i="14"/>
  <c r="AX108" i="14"/>
  <c r="AR117" i="14"/>
  <c r="AP102" i="14"/>
  <c r="BF90" i="14"/>
  <c r="AT90" i="14"/>
  <c r="BB81" i="14"/>
  <c r="AP81" i="14"/>
  <c r="BB60" i="14"/>
  <c r="AP60" i="14"/>
  <c r="AP39" i="14"/>
  <c r="BD111" i="14"/>
  <c r="AR111" i="14"/>
  <c r="AR90" i="14"/>
  <c r="BJ86" i="14"/>
  <c r="AX86" i="14"/>
  <c r="AR83" i="14"/>
  <c r="BJ79" i="14"/>
  <c r="AX79" i="14"/>
  <c r="BD76" i="14"/>
  <c r="AR76" i="14"/>
  <c r="AX72" i="14"/>
  <c r="BB68" i="14"/>
  <c r="AP68" i="14"/>
  <c r="AR4" i="14"/>
  <c r="AY115" i="14"/>
  <c r="BG113" i="14"/>
  <c r="AU113" i="14"/>
  <c r="BC111" i="14"/>
  <c r="AQ111" i="14"/>
  <c r="AY108" i="14"/>
  <c r="BG106" i="14"/>
  <c r="AU106" i="14"/>
  <c r="BE105" i="14"/>
  <c r="AS105" i="14"/>
  <c r="BA103" i="14"/>
  <c r="AO103" i="14"/>
  <c r="AW100" i="14"/>
  <c r="BE98" i="14"/>
  <c r="AS98" i="14"/>
  <c r="BA96" i="14"/>
  <c r="AO96" i="14"/>
  <c r="BI93" i="14"/>
  <c r="AW93" i="14"/>
  <c r="AS91" i="14"/>
  <c r="BA89" i="14"/>
  <c r="AO89" i="14"/>
  <c r="AY87" i="14"/>
  <c r="AU85" i="14"/>
  <c r="BC83" i="14"/>
  <c r="AQ83" i="14"/>
  <c r="AY80" i="14"/>
  <c r="BG78" i="14"/>
  <c r="AU78" i="14"/>
  <c r="AQ76" i="14"/>
  <c r="AY73" i="14"/>
  <c r="BG71" i="14"/>
  <c r="AU71" i="14"/>
  <c r="AS70" i="14"/>
  <c r="AO68" i="14"/>
  <c r="AW65" i="14"/>
  <c r="BG64" i="14"/>
  <c r="AU64" i="14"/>
  <c r="BC62" i="14"/>
  <c r="AQ62" i="14"/>
  <c r="BA61" i="14"/>
  <c r="AO61" i="14"/>
  <c r="AY59" i="14"/>
  <c r="BI58" i="14"/>
  <c r="AW58" i="14"/>
  <c r="AU57" i="14"/>
  <c r="BE56" i="14"/>
  <c r="AS56" i="14"/>
  <c r="BC55" i="14"/>
  <c r="AQ55" i="14"/>
  <c r="AY52" i="14"/>
  <c r="BE49" i="14"/>
  <c r="AS49" i="14"/>
  <c r="BA47" i="14"/>
  <c r="AO47" i="14"/>
  <c r="BI44" i="14"/>
  <c r="AW44" i="14"/>
  <c r="BE42" i="14"/>
  <c r="AS42" i="14"/>
  <c r="AO40" i="14"/>
  <c r="BI37" i="14"/>
  <c r="AW37" i="14"/>
  <c r="AQ34" i="14"/>
  <c r="AY31" i="14"/>
  <c r="BG29" i="14"/>
  <c r="AU29" i="14"/>
  <c r="AO26" i="14"/>
  <c r="AO5" i="14"/>
  <c r="BK156" i="14"/>
  <c r="AY156" i="14"/>
  <c r="BG154" i="14"/>
  <c r="AU154" i="14"/>
  <c r="BC152" i="14"/>
  <c r="AQ152" i="14"/>
  <c r="AY149" i="14"/>
  <c r="BG147" i="14"/>
  <c r="AU147" i="14"/>
  <c r="BE146" i="14"/>
  <c r="AS146" i="14"/>
  <c r="AO144" i="14"/>
  <c r="AW141" i="14"/>
  <c r="AU140" i="14"/>
  <c r="AQ138" i="14"/>
  <c r="AY135" i="14"/>
  <c r="AU133" i="14"/>
  <c r="BC131" i="14"/>
  <c r="AQ131" i="14"/>
  <c r="AO130" i="14"/>
  <c r="AS125" i="14"/>
  <c r="AO123" i="14"/>
  <c r="BI120" i="14"/>
  <c r="AW120" i="14"/>
  <c r="BE118" i="14"/>
  <c r="AS118" i="14"/>
  <c r="AQ4" i="14"/>
  <c r="AX115" i="14"/>
  <c r="BF113" i="14"/>
  <c r="AT113" i="14"/>
  <c r="AP4" i="14"/>
  <c r="AY116" i="14"/>
  <c r="AW115" i="14"/>
  <c r="AX113" i="14"/>
  <c r="BD103" i="14"/>
  <c r="AR103" i="14"/>
  <c r="BF83" i="14"/>
  <c r="AT83" i="14"/>
  <c r="BB67" i="14"/>
  <c r="AP67" i="14"/>
  <c r="AZ59" i="14"/>
  <c r="AN59" i="14"/>
  <c r="AT48" i="14"/>
  <c r="AZ38" i="14"/>
  <c r="AN38" i="14"/>
  <c r="AT27" i="14"/>
  <c r="AP110" i="14"/>
  <c r="AN102" i="14"/>
  <c r="BD113" i="14"/>
  <c r="AR113" i="14"/>
  <c r="AR106" i="14"/>
  <c r="BD99" i="14"/>
  <c r="AR99" i="14"/>
  <c r="BD92" i="14"/>
  <c r="AR92" i="14"/>
  <c r="AX74" i="14"/>
  <c r="AX67" i="14"/>
  <c r="BJ60" i="14"/>
  <c r="AX60" i="14"/>
  <c r="AZ55" i="14"/>
  <c r="AN55" i="14"/>
  <c r="AZ48" i="14"/>
  <c r="AN48" i="14"/>
  <c r="AZ41" i="14"/>
  <c r="AN41" i="14"/>
  <c r="AZ34" i="14"/>
  <c r="AN34" i="14"/>
  <c r="BF30" i="14"/>
  <c r="AT30" i="14"/>
  <c r="AX25" i="14"/>
  <c r="BF23" i="14"/>
  <c r="AT23" i="14"/>
  <c r="BD22" i="14"/>
  <c r="AR22" i="14"/>
  <c r="AP21" i="14"/>
  <c r="AN20" i="14"/>
  <c r="BJ18" i="14"/>
  <c r="AX18" i="14"/>
  <c r="AT16" i="14"/>
  <c r="AR15" i="14"/>
  <c r="AP14" i="14"/>
  <c r="AZ13" i="14"/>
  <c r="AN13" i="14"/>
  <c r="BJ11" i="14"/>
  <c r="AX11" i="14"/>
  <c r="BF9" i="14"/>
  <c r="AT9" i="14"/>
  <c r="AR8" i="14"/>
  <c r="AP7" i="14"/>
  <c r="AN6" i="14"/>
  <c r="AT155" i="14"/>
  <c r="BD154" i="14"/>
  <c r="AR154" i="14"/>
  <c r="AP153" i="14"/>
  <c r="AN152" i="14"/>
  <c r="AX150" i="14"/>
  <c r="BF148" i="14"/>
  <c r="AT148" i="14"/>
  <c r="BD147" i="14"/>
  <c r="AR147" i="14"/>
  <c r="AP146" i="14"/>
  <c r="AN145" i="14"/>
  <c r="BJ143" i="14"/>
  <c r="AX143" i="14"/>
  <c r="AT141" i="14"/>
  <c r="AR140" i="14"/>
  <c r="AP139" i="14"/>
  <c r="AZ138" i="14"/>
  <c r="AN138" i="14"/>
  <c r="AX136" i="14"/>
  <c r="AT134" i="14"/>
  <c r="AR133" i="14"/>
  <c r="AP132" i="14"/>
  <c r="AZ131" i="14"/>
  <c r="AN131" i="14"/>
  <c r="AX129" i="14"/>
  <c r="AT127" i="14"/>
  <c r="AP125" i="14"/>
  <c r="AN124" i="14"/>
  <c r="AX122" i="14"/>
  <c r="AT120" i="14"/>
  <c r="AR119" i="14"/>
  <c r="AP118" i="14"/>
  <c r="BG4" i="14"/>
  <c r="AU4" i="14"/>
  <c r="AN108" i="14"/>
  <c r="BD96" i="14"/>
  <c r="AR96" i="14"/>
  <c r="AY117" i="14"/>
  <c r="AW116" i="14"/>
  <c r="BG115" i="14"/>
  <c r="AU115" i="14"/>
  <c r="BE114" i="14"/>
  <c r="AS114" i="14"/>
  <c r="BC113" i="14"/>
  <c r="AQ113" i="14"/>
  <c r="BA112" i="14"/>
  <c r="AO112" i="14"/>
  <c r="AY110" i="14"/>
  <c r="BI109" i="14"/>
  <c r="AW109" i="14"/>
  <c r="BG108" i="14"/>
  <c r="AU108" i="14"/>
  <c r="AS107" i="14"/>
  <c r="AQ106" i="14"/>
  <c r="AO105" i="14"/>
  <c r="AY103" i="14"/>
  <c r="BI102" i="14"/>
  <c r="AW102" i="14"/>
  <c r="BG101" i="14"/>
  <c r="AU101" i="14"/>
  <c r="AS100" i="14"/>
  <c r="AQ99" i="14"/>
  <c r="AO98" i="14"/>
  <c r="AY96" i="14"/>
  <c r="AW95" i="14"/>
  <c r="AU94" i="14"/>
  <c r="AS93" i="14"/>
  <c r="AQ92" i="14"/>
  <c r="AO91" i="14"/>
  <c r="AY89" i="14"/>
  <c r="AW88" i="14"/>
  <c r="AU87" i="14"/>
  <c r="AS86" i="14"/>
  <c r="BC85" i="14"/>
  <c r="AQ85" i="14"/>
  <c r="AO84" i="14"/>
  <c r="AY82" i="14"/>
  <c r="AW81" i="14"/>
  <c r="BG80" i="14"/>
  <c r="AU80" i="14"/>
  <c r="BE79" i="14"/>
  <c r="AS79" i="14"/>
  <c r="BC78" i="14"/>
  <c r="AQ78" i="14"/>
  <c r="AO77" i="14"/>
  <c r="AY75" i="14"/>
  <c r="AW74" i="14"/>
  <c r="BF156" i="14"/>
  <c r="AT156" i="14"/>
  <c r="BD155" i="14"/>
  <c r="AR155" i="14"/>
  <c r="AP154" i="14"/>
  <c r="AN153" i="14"/>
  <c r="AX151" i="14"/>
  <c r="BF149" i="14"/>
  <c r="AT149" i="14"/>
  <c r="AR148" i="14"/>
  <c r="AP147" i="14"/>
  <c r="AN146" i="14"/>
  <c r="AX144" i="14"/>
  <c r="AT142" i="14"/>
  <c r="AR141" i="14"/>
  <c r="AP140" i="14"/>
  <c r="AN139" i="14"/>
  <c r="AX137" i="14"/>
  <c r="BF135" i="14"/>
  <c r="AT135" i="14"/>
  <c r="AR134" i="14"/>
  <c r="AP133" i="14"/>
  <c r="AN132" i="14"/>
  <c r="AX130" i="14"/>
  <c r="BF128" i="14"/>
  <c r="AT128" i="14"/>
  <c r="AR127" i="14"/>
  <c r="AN125" i="14"/>
  <c r="AX123" i="14"/>
  <c r="BF121" i="14"/>
  <c r="AT121" i="14"/>
  <c r="BD120" i="14"/>
  <c r="AR120" i="14"/>
  <c r="AP119" i="14"/>
  <c r="AN118" i="14"/>
  <c r="AX92" i="14"/>
  <c r="AZ31" i="14"/>
  <c r="AN31" i="14"/>
  <c r="AP103" i="14"/>
  <c r="BF91" i="14"/>
  <c r="AT91" i="14"/>
  <c r="BJ109" i="14"/>
  <c r="AX109" i="14"/>
  <c r="AX102" i="14"/>
  <c r="BD85" i="14"/>
  <c r="AR85" i="14"/>
  <c r="BD78" i="14"/>
  <c r="AR78" i="14"/>
  <c r="BD71" i="14"/>
  <c r="AR71" i="14"/>
  <c r="AP63" i="14"/>
  <c r="AX53" i="14"/>
  <c r="AX46" i="14"/>
  <c r="AX39" i="14"/>
  <c r="AX110" i="14"/>
  <c r="BJ96" i="14"/>
  <c r="AX96" i="14"/>
  <c r="AN91" i="14"/>
  <c r="AZ84" i="14"/>
  <c r="AN84" i="14"/>
  <c r="AR79" i="14"/>
  <c r="AN70" i="14"/>
  <c r="AN63" i="14"/>
  <c r="BD58" i="14"/>
  <c r="AR58" i="14"/>
  <c r="AX47" i="14"/>
  <c r="AN42" i="14"/>
  <c r="AX33" i="14"/>
  <c r="AZ28" i="14"/>
  <c r="AN28" i="14"/>
  <c r="BB22" i="14"/>
  <c r="AP22" i="14"/>
  <c r="BD16" i="14"/>
  <c r="AR16" i="14"/>
  <c r="AT10" i="14"/>
  <c r="AX5" i="14"/>
  <c r="BE156" i="14"/>
  <c r="AS156" i="14"/>
  <c r="AO154" i="14"/>
  <c r="AU150" i="14"/>
  <c r="AO147" i="14"/>
  <c r="AW144" i="14"/>
  <c r="AS142" i="14"/>
  <c r="AO140" i="14"/>
  <c r="BG136" i="14"/>
  <c r="AU136" i="14"/>
  <c r="BC134" i="14"/>
  <c r="AQ134" i="14"/>
  <c r="AY131" i="14"/>
  <c r="AU129" i="14"/>
  <c r="AQ127" i="14"/>
  <c r="AY124" i="14"/>
  <c r="AU122" i="14"/>
  <c r="AQ120" i="14"/>
  <c r="AP116" i="14"/>
  <c r="AN94" i="14"/>
  <c r="BD82" i="14"/>
  <c r="AR82" i="14"/>
  <c r="AP53" i="14"/>
  <c r="BJ43" i="14"/>
  <c r="AX43" i="14"/>
  <c r="AT34" i="14"/>
  <c r="AP117" i="14"/>
  <c r="BJ107" i="14"/>
  <c r="AX107" i="14"/>
  <c r="AP96" i="14"/>
  <c r="AX95" i="14"/>
  <c r="BJ88" i="14"/>
  <c r="AX88" i="14"/>
  <c r="AX81" i="14"/>
  <c r="BJ32" i="14"/>
  <c r="AX32" i="14"/>
  <c r="BJ117" i="14"/>
  <c r="AX117" i="14"/>
  <c r="AN112" i="14"/>
  <c r="AP106" i="14"/>
  <c r="AR100" i="14"/>
  <c r="BF94" i="14"/>
  <c r="AT94" i="14"/>
  <c r="BD86" i="14"/>
  <c r="AR86" i="14"/>
  <c r="AZ49" i="14"/>
  <c r="AN49" i="14"/>
  <c r="AP43" i="14"/>
  <c r="BD37" i="14"/>
  <c r="AR37" i="14"/>
  <c r="BF31" i="14"/>
  <c r="AT31" i="14"/>
  <c r="AN21" i="14"/>
  <c r="AN14" i="14"/>
  <c r="AZ14" i="14"/>
  <c r="AW117" i="14"/>
  <c r="AW110" i="14"/>
  <c r="BA106" i="14"/>
  <c r="AO106" i="14"/>
  <c r="AS101" i="14"/>
  <c r="BK97" i="14"/>
  <c r="AY97" i="14"/>
  <c r="AQ93" i="14"/>
  <c r="AW89" i="14"/>
  <c r="BC86" i="14"/>
  <c r="AQ86" i="14"/>
  <c r="BI82" i="14"/>
  <c r="AW82" i="14"/>
  <c r="AQ79" i="14"/>
  <c r="BI75" i="14"/>
  <c r="AW75" i="14"/>
  <c r="AQ72" i="14"/>
  <c r="BI68" i="14"/>
  <c r="AW68" i="14"/>
  <c r="AO64" i="14"/>
  <c r="BG60" i="14"/>
  <c r="AU60" i="14"/>
  <c r="AO57" i="14"/>
  <c r="AQ44" i="14"/>
  <c r="AQ37" i="14"/>
  <c r="BI33" i="14"/>
  <c r="AW33" i="14"/>
  <c r="AY27" i="14"/>
  <c r="AS24" i="14"/>
  <c r="AY20" i="14"/>
  <c r="AO8" i="14"/>
  <c r="BC155" i="14"/>
  <c r="AQ155" i="14"/>
  <c r="AY152" i="14"/>
  <c r="AW151" i="14"/>
  <c r="AS149" i="14"/>
  <c r="BC148" i="14"/>
  <c r="AQ148" i="14"/>
  <c r="AY145" i="14"/>
  <c r="BG143" i="14"/>
  <c r="AU143" i="14"/>
  <c r="AQ141" i="14"/>
  <c r="AY138" i="14"/>
  <c r="AW137" i="14"/>
  <c r="AS135" i="14"/>
  <c r="AO133" i="14"/>
  <c r="AW130" i="14"/>
  <c r="BE128" i="14"/>
  <c r="AS128" i="14"/>
  <c r="BI123" i="14"/>
  <c r="AW123" i="14"/>
  <c r="AS121" i="14"/>
  <c r="BA119" i="14"/>
  <c r="AO119" i="14"/>
  <c r="AY4" i="14"/>
  <c r="BF116" i="14"/>
  <c r="AT116" i="14"/>
  <c r="BD115" i="14"/>
  <c r="AR115" i="14"/>
  <c r="AZ115" i="14"/>
  <c r="AN115" i="14"/>
  <c r="AT104" i="14"/>
  <c r="AP95" i="14"/>
  <c r="BD75" i="14"/>
  <c r="AR75" i="14"/>
  <c r="AX64" i="14"/>
  <c r="AX57" i="14"/>
  <c r="AR47" i="14"/>
  <c r="BJ36" i="14"/>
  <c r="AX36" i="14"/>
  <c r="AR26" i="14"/>
  <c r="AN109" i="14"/>
  <c r="AT98" i="14"/>
  <c r="BA4" i="14"/>
  <c r="AO4" i="14"/>
  <c r="AP112" i="14"/>
  <c r="AN104" i="14"/>
  <c r="AZ97" i="14"/>
  <c r="AN97" i="14"/>
  <c r="AZ90" i="14"/>
  <c r="AN90" i="14"/>
  <c r="AZ83" i="14"/>
  <c r="AN83" i="14"/>
  <c r="AN76" i="14"/>
  <c r="BB70" i="14"/>
  <c r="AP70" i="14"/>
  <c r="BD64" i="14"/>
  <c r="AR64" i="14"/>
  <c r="BD57" i="14"/>
  <c r="AR57" i="14"/>
  <c r="AR50" i="14"/>
  <c r="AR43" i="14"/>
  <c r="AT37" i="14"/>
  <c r="BD29" i="14"/>
  <c r="AR29" i="14"/>
  <c r="AT115" i="14"/>
  <c r="AN105" i="14"/>
  <c r="AP99" i="14"/>
  <c r="BD93" i="14"/>
  <c r="AR93" i="14"/>
  <c r="BF87" i="14"/>
  <c r="AT87" i="14"/>
  <c r="AX82" i="14"/>
  <c r="AZ77" i="14"/>
  <c r="AN77" i="14"/>
  <c r="AR72" i="14"/>
  <c r="AP64" i="14"/>
  <c r="BF59" i="14"/>
  <c r="AT59" i="14"/>
  <c r="AZ56" i="14"/>
  <c r="AN56" i="14"/>
  <c r="AR51" i="14"/>
  <c r="AT45" i="14"/>
  <c r="AZ35" i="14"/>
  <c r="AN35" i="14"/>
  <c r="AP29" i="14"/>
  <c r="AR23" i="14"/>
  <c r="AT17" i="14"/>
  <c r="AP8" i="14"/>
  <c r="AU116" i="14"/>
  <c r="AQ114" i="14"/>
  <c r="BG109" i="14"/>
  <c r="AU109" i="14"/>
  <c r="AY104" i="14"/>
  <c r="AW96" i="14"/>
  <c r="AO15" i="14"/>
  <c r="BG11" i="14"/>
  <c r="AU11" i="14"/>
  <c r="AY6" i="14"/>
  <c r="AX4" i="14"/>
  <c r="AO114" i="14"/>
  <c r="BE109" i="14"/>
  <c r="AS109" i="14"/>
  <c r="AY105" i="14"/>
  <c r="AS102" i="14"/>
  <c r="BI97" i="14"/>
  <c r="AW97" i="14"/>
  <c r="AY91" i="14"/>
  <c r="AS88" i="14"/>
  <c r="AY84" i="14"/>
  <c r="AS81" i="14"/>
  <c r="AY77" i="14"/>
  <c r="AS74" i="14"/>
  <c r="AO72" i="14"/>
  <c r="AS67" i="14"/>
  <c r="AY63" i="14"/>
  <c r="BE60" i="14"/>
  <c r="AS60" i="14"/>
  <c r="AY56" i="14"/>
  <c r="AS53" i="14"/>
  <c r="AY49" i="14"/>
  <c r="AS46" i="14"/>
  <c r="AY42" i="14"/>
  <c r="AS39" i="14"/>
  <c r="AY35" i="14"/>
  <c r="BE32" i="14"/>
  <c r="AS32" i="14"/>
  <c r="AY28" i="14"/>
  <c r="BE25" i="14"/>
  <c r="AS25" i="14"/>
  <c r="AY21" i="14"/>
  <c r="BE18" i="14"/>
  <c r="AS18" i="14"/>
  <c r="AY14" i="14"/>
  <c r="AS11" i="14"/>
  <c r="AY7" i="14"/>
  <c r="AY153" i="14"/>
  <c r="AS150" i="14"/>
  <c r="AY146" i="14"/>
  <c r="BE143" i="14"/>
  <c r="AS143" i="14"/>
  <c r="AY139" i="14"/>
  <c r="AS136" i="14"/>
  <c r="AY132" i="14"/>
  <c r="BE129" i="14"/>
  <c r="AS129" i="14"/>
  <c r="AY125" i="14"/>
  <c r="BC121" i="14"/>
  <c r="AQ121" i="14"/>
  <c r="BF111" i="14"/>
  <c r="AT111" i="14"/>
  <c r="AN101" i="14"/>
  <c r="AR89" i="14"/>
  <c r="AN80" i="14"/>
  <c r="BJ71" i="14"/>
  <c r="AX71" i="14"/>
  <c r="AT62" i="14"/>
  <c r="AZ52" i="14"/>
  <c r="AN52" i="14"/>
  <c r="AT41" i="14"/>
  <c r="BD33" i="14"/>
  <c r="AR33" i="14"/>
  <c r="AN116" i="14"/>
  <c r="BD97" i="14"/>
  <c r="AR97" i="14"/>
  <c r="AX116" i="14"/>
  <c r="AZ111" i="14"/>
  <c r="AN111" i="14"/>
  <c r="BB105" i="14"/>
  <c r="AP105" i="14"/>
  <c r="AP98" i="14"/>
  <c r="AP91" i="14"/>
  <c r="BB84" i="14"/>
  <c r="AP84" i="14"/>
  <c r="AP77" i="14"/>
  <c r="AZ62" i="14"/>
  <c r="AN62" i="14"/>
  <c r="AP56" i="14"/>
  <c r="AP49" i="14"/>
  <c r="AP42" i="14"/>
  <c r="AP35" i="14"/>
  <c r="BB28" i="14"/>
  <c r="AP28" i="14"/>
  <c r="AR114" i="14"/>
  <c r="BF108" i="14"/>
  <c r="AT108" i="14"/>
  <c r="BJ103" i="14"/>
  <c r="AX103" i="14"/>
  <c r="AN98" i="14"/>
  <c r="BB92" i="14"/>
  <c r="AP92" i="14"/>
  <c r="AP78" i="14"/>
  <c r="BF73" i="14"/>
  <c r="AT73" i="14"/>
  <c r="BJ68" i="14"/>
  <c r="AX68" i="14"/>
  <c r="BD65" i="14"/>
  <c r="AR65" i="14"/>
  <c r="BB57" i="14"/>
  <c r="AP57" i="14"/>
  <c r="BF52" i="14"/>
  <c r="AT52" i="14"/>
  <c r="AX40" i="14"/>
  <c r="AP36" i="14"/>
  <c r="BD30" i="14"/>
  <c r="AR30" i="14"/>
  <c r="AT24" i="14"/>
  <c r="AP15" i="14"/>
  <c r="BD9" i="14"/>
  <c r="AR9" i="14"/>
  <c r="AZ7" i="14"/>
  <c r="AN7" i="14"/>
  <c r="BE115" i="14"/>
  <c r="AS115" i="14"/>
  <c r="BA113" i="14"/>
  <c r="AO113" i="14"/>
  <c r="BC107" i="14"/>
  <c r="AQ107" i="14"/>
  <c r="AU102" i="14"/>
  <c r="BA99" i="14"/>
  <c r="AO99" i="14"/>
  <c r="AU95" i="14"/>
  <c r="BA92" i="14"/>
  <c r="AO92" i="14"/>
  <c r="AU88" i="14"/>
  <c r="AO85" i="14"/>
  <c r="BG81" i="14"/>
  <c r="AU81" i="14"/>
  <c r="BA78" i="14"/>
  <c r="AO78" i="14"/>
  <c r="AU74" i="14"/>
  <c r="BA71" i="14"/>
  <c r="AO71" i="14"/>
  <c r="BG67" i="14"/>
  <c r="AU67" i="14"/>
  <c r="BC65" i="14"/>
  <c r="AQ65" i="14"/>
  <c r="AY62" i="14"/>
  <c r="BE59" i="14"/>
  <c r="AS59" i="14"/>
  <c r="BK55" i="14"/>
  <c r="AY55" i="14"/>
  <c r="BG53" i="14"/>
  <c r="AU53" i="14"/>
  <c r="AQ51" i="14"/>
  <c r="AY48" i="14"/>
  <c r="BG46" i="14"/>
  <c r="AU46" i="14"/>
  <c r="BA43" i="14"/>
  <c r="AO43" i="14"/>
  <c r="BI40" i="14"/>
  <c r="AW40" i="14"/>
  <c r="BE38" i="14"/>
  <c r="AS38" i="14"/>
  <c r="AO36" i="14"/>
  <c r="BG32" i="14"/>
  <c r="AU32" i="14"/>
  <c r="BE31" i="14"/>
  <c r="AS31" i="14"/>
  <c r="AQ30" i="14"/>
  <c r="AW26" i="14"/>
  <c r="AQ23" i="14"/>
  <c r="BI19" i="14"/>
  <c r="AW19" i="14"/>
  <c r="BE17" i="14"/>
  <c r="AS17" i="14"/>
  <c r="BC9" i="14"/>
  <c r="AQ9" i="14"/>
  <c r="AU117" i="14"/>
  <c r="BC115" i="14"/>
  <c r="AQ115" i="14"/>
  <c r="BI111" i="14"/>
  <c r="AW111" i="14"/>
  <c r="AQ108" i="14"/>
  <c r="AW104" i="14"/>
  <c r="BC101" i="14"/>
  <c r="AQ101" i="14"/>
  <c r="AY98" i="14"/>
  <c r="AS95" i="14"/>
  <c r="BA93" i="14"/>
  <c r="AO93" i="14"/>
  <c r="BG89" i="14"/>
  <c r="AU89" i="14"/>
  <c r="AO86" i="14"/>
  <c r="BG82" i="14"/>
  <c r="AU82" i="14"/>
  <c r="BA79" i="14"/>
  <c r="AO79" i="14"/>
  <c r="BG75" i="14"/>
  <c r="AU75" i="14"/>
  <c r="AY70" i="14"/>
  <c r="BG68" i="14"/>
  <c r="AU68" i="14"/>
  <c r="BA65" i="14"/>
  <c r="AO65" i="14"/>
  <c r="BG61" i="14"/>
  <c r="AU61" i="14"/>
  <c r="BA58" i="14"/>
  <c r="AO58" i="14"/>
  <c r="BG54" i="14"/>
  <c r="AU54" i="14"/>
  <c r="BA51" i="14"/>
  <c r="AO51" i="14"/>
  <c r="BG47" i="14"/>
  <c r="AU47" i="14"/>
  <c r="BA44" i="14"/>
  <c r="AO44" i="14"/>
  <c r="BG40" i="14"/>
  <c r="AU40" i="14"/>
  <c r="BC38" i="14"/>
  <c r="AQ38" i="14"/>
  <c r="AU33" i="14"/>
  <c r="BA30" i="14"/>
  <c r="AO30" i="14"/>
  <c r="BG26" i="14"/>
  <c r="AU26" i="14"/>
  <c r="AO23" i="14"/>
  <c r="BI20" i="14"/>
  <c r="AW20" i="14"/>
  <c r="AQ17" i="14"/>
  <c r="AW13" i="14"/>
  <c r="BI13" i="14"/>
  <c r="AQ10" i="14"/>
  <c r="AW6" i="14"/>
  <c r="BC156" i="14"/>
  <c r="AQ156" i="14"/>
  <c r="AW152" i="14"/>
  <c r="AQ149" i="14"/>
  <c r="AW145" i="14"/>
  <c r="BC142" i="14"/>
  <c r="AQ142" i="14"/>
  <c r="AW138" i="14"/>
  <c r="BC135" i="14"/>
  <c r="AQ135" i="14"/>
  <c r="BI131" i="14"/>
  <c r="AW131" i="14"/>
  <c r="BC128" i="14"/>
  <c r="AQ128" i="14"/>
  <c r="AW124" i="14"/>
  <c r="BE122" i="14"/>
  <c r="AS122" i="14"/>
  <c r="AY118" i="14"/>
  <c r="AP109" i="14"/>
  <c r="AX99" i="14"/>
  <c r="AN87" i="14"/>
  <c r="BF76" i="14"/>
  <c r="AT76" i="14"/>
  <c r="BD68" i="14"/>
  <c r="AR68" i="14"/>
  <c r="BD54" i="14"/>
  <c r="AR54" i="14"/>
  <c r="AP46" i="14"/>
  <c r="AS4" i="14"/>
  <c r="AT105" i="14"/>
  <c r="AN95" i="14"/>
  <c r="BF114" i="14"/>
  <c r="AT114" i="14"/>
  <c r="AT107" i="14"/>
  <c r="BF100" i="14"/>
  <c r="AT100" i="14"/>
  <c r="BF93" i="14"/>
  <c r="AT93" i="14"/>
  <c r="BF86" i="14"/>
  <c r="AT86" i="14"/>
  <c r="BF79" i="14"/>
  <c r="AT79" i="14"/>
  <c r="AT72" i="14"/>
  <c r="BF65" i="14"/>
  <c r="AT65" i="14"/>
  <c r="AT58" i="14"/>
  <c r="AT51" i="14"/>
  <c r="BF44" i="14"/>
  <c r="AT44" i="14"/>
  <c r="BD36" i="14"/>
  <c r="AR36" i="14"/>
  <c r="AZ27" i="14"/>
  <c r="AN27" i="14"/>
  <c r="BB113" i="14"/>
  <c r="AP113" i="14"/>
  <c r="BD107" i="14"/>
  <c r="AR107" i="14"/>
  <c r="AT101" i="14"/>
  <c r="BJ89" i="14"/>
  <c r="AX89" i="14"/>
  <c r="BB85" i="14"/>
  <c r="AP85" i="14"/>
  <c r="BF80" i="14"/>
  <c r="AT80" i="14"/>
  <c r="BJ75" i="14"/>
  <c r="AX75" i="14"/>
  <c r="BB71" i="14"/>
  <c r="AP71" i="14"/>
  <c r="BF66" i="14"/>
  <c r="AT66" i="14"/>
  <c r="BJ61" i="14"/>
  <c r="AX61" i="14"/>
  <c r="BJ54" i="14"/>
  <c r="AX54" i="14"/>
  <c r="AP50" i="14"/>
  <c r="AR44" i="14"/>
  <c r="BF38" i="14"/>
  <c r="AT38" i="14"/>
  <c r="BJ26" i="14"/>
  <c r="AX26" i="14"/>
  <c r="AX19" i="14"/>
  <c r="AN4" i="14"/>
  <c r="AY111" i="14"/>
  <c r="AS108" i="14"/>
  <c r="BI103" i="14"/>
  <c r="AW103" i="14"/>
  <c r="AQ100" i="14"/>
  <c r="AS94" i="14"/>
  <c r="AY90" i="14"/>
  <c r="AS87" i="14"/>
  <c r="AY83" i="14"/>
  <c r="AS80" i="14"/>
  <c r="AY76" i="14"/>
  <c r="BE73" i="14"/>
  <c r="AS73" i="14"/>
  <c r="AS66" i="14"/>
  <c r="BI61" i="14"/>
  <c r="AW61" i="14"/>
  <c r="BC58" i="14"/>
  <c r="AQ58" i="14"/>
  <c r="BI54" i="14"/>
  <c r="AW54" i="14"/>
  <c r="BE52" i="14"/>
  <c r="AS52" i="14"/>
  <c r="AO50" i="14"/>
  <c r="BI47" i="14"/>
  <c r="AW47" i="14"/>
  <c r="BE45" i="14"/>
  <c r="AS45" i="14"/>
  <c r="AY41" i="14"/>
  <c r="AU39" i="14"/>
  <c r="AY34" i="14"/>
  <c r="AO29" i="14"/>
  <c r="BG25" i="14"/>
  <c r="AU25" i="14"/>
  <c r="BA22" i="14"/>
  <c r="AO22" i="14"/>
  <c r="BG18" i="14"/>
  <c r="AU18" i="14"/>
  <c r="AQ16" i="14"/>
  <c r="BK13" i="14"/>
  <c r="AY13" i="14"/>
  <c r="AS10" i="14"/>
  <c r="BI5" i="14"/>
  <c r="AW5" i="14"/>
  <c r="AS116" i="14"/>
  <c r="AY112" i="14"/>
  <c r="AU110" i="14"/>
  <c r="BA107" i="14"/>
  <c r="AO107" i="14"/>
  <c r="BG103" i="14"/>
  <c r="AU103" i="14"/>
  <c r="AO100" i="14"/>
  <c r="AU96" i="14"/>
  <c r="AQ94" i="14"/>
  <c r="AW90" i="14"/>
  <c r="AQ87" i="14"/>
  <c r="AW83" i="14"/>
  <c r="BI83" i="14"/>
  <c r="BC80" i="14"/>
  <c r="AQ80" i="14"/>
  <c r="BI76" i="14"/>
  <c r="AW76" i="14"/>
  <c r="BC73" i="14"/>
  <c r="AQ73" i="14"/>
  <c r="AQ66" i="14"/>
  <c r="BI62" i="14"/>
  <c r="AW62" i="14"/>
  <c r="BC59" i="14"/>
  <c r="AQ59" i="14"/>
  <c r="BI55" i="14"/>
  <c r="AW55" i="14"/>
  <c r="BC52" i="14"/>
  <c r="AQ52" i="14"/>
  <c r="AW48" i="14"/>
  <c r="AQ45" i="14"/>
  <c r="AW41" i="14"/>
  <c r="BA37" i="14"/>
  <c r="AO37" i="14"/>
  <c r="AW34" i="14"/>
  <c r="AQ31" i="14"/>
  <c r="BI27" i="14"/>
  <c r="AW27" i="14"/>
  <c r="AQ24" i="14"/>
  <c r="BG19" i="14"/>
  <c r="AU19" i="14"/>
  <c r="AO16" i="14"/>
  <c r="AO9" i="14"/>
  <c r="BA9" i="14"/>
  <c r="AU5" i="14"/>
  <c r="AO155" i="14"/>
  <c r="AU151" i="14"/>
  <c r="AO148" i="14"/>
  <c r="BG144" i="14"/>
  <c r="AU144" i="14"/>
  <c r="AO141" i="14"/>
  <c r="AU137" i="14"/>
  <c r="AO134" i="14"/>
  <c r="AU130" i="14"/>
  <c r="AO127" i="14"/>
  <c r="BG123" i="14"/>
  <c r="AU123" i="14"/>
  <c r="BA120" i="14"/>
  <c r="AO120" i="14"/>
  <c r="BJ22" i="14"/>
  <c r="AX22" i="14"/>
  <c r="BF20" i="14"/>
  <c r="AT20" i="14"/>
  <c r="BD19" i="14"/>
  <c r="AR19" i="14"/>
  <c r="AP18" i="14"/>
  <c r="AZ17" i="14"/>
  <c r="AN17" i="14"/>
  <c r="AX15" i="14"/>
  <c r="AT13" i="14"/>
  <c r="BF13" i="14"/>
  <c r="AP11" i="14"/>
  <c r="AN10" i="14"/>
  <c r="BJ8" i="14"/>
  <c r="AX8" i="14"/>
  <c r="AT6" i="14"/>
  <c r="AR5" i="14"/>
  <c r="AZ156" i="14"/>
  <c r="AN156" i="14"/>
  <c r="BJ154" i="14"/>
  <c r="AX154" i="14"/>
  <c r="AT152" i="14"/>
  <c r="AR151" i="14"/>
  <c r="AP150" i="14"/>
  <c r="AZ149" i="14"/>
  <c r="AN149" i="14"/>
  <c r="AX147" i="14"/>
  <c r="AT145" i="14"/>
  <c r="AR144" i="14"/>
  <c r="BB143" i="14"/>
  <c r="AP143" i="14"/>
  <c r="AN142" i="14"/>
  <c r="AX140" i="14"/>
  <c r="AT138" i="14"/>
  <c r="AR137" i="14"/>
  <c r="AP136" i="14"/>
  <c r="AN135" i="14"/>
  <c r="AX133" i="14"/>
  <c r="BF131" i="14"/>
  <c r="AT131" i="14"/>
  <c r="AR130" i="14"/>
  <c r="BB129" i="14"/>
  <c r="AP129" i="14"/>
  <c r="AN128" i="14"/>
  <c r="AT124" i="14"/>
  <c r="AR123" i="14"/>
  <c r="BB122" i="14"/>
  <c r="AP122" i="14"/>
  <c r="AZ121" i="14"/>
  <c r="AN121" i="14"/>
  <c r="BJ119" i="14"/>
  <c r="AX119" i="14"/>
  <c r="AT4" i="14"/>
  <c r="AQ117" i="14"/>
  <c r="BC117" i="14"/>
  <c r="BA116" i="14"/>
  <c r="AO116" i="14"/>
  <c r="AY114" i="14"/>
  <c r="BI113" i="14"/>
  <c r="AW113" i="14"/>
  <c r="BG112" i="14"/>
  <c r="AU112" i="14"/>
  <c r="BE111" i="14"/>
  <c r="AS111" i="14"/>
  <c r="AQ110" i="14"/>
  <c r="BA109" i="14"/>
  <c r="AO109" i="14"/>
  <c r="AY107" i="14"/>
  <c r="BI106" i="14"/>
  <c r="AW106" i="14"/>
  <c r="AU105" i="14"/>
  <c r="AS104" i="14"/>
  <c r="AQ103" i="14"/>
  <c r="BA102" i="14"/>
  <c r="AO102" i="14"/>
  <c r="AY100" i="14"/>
  <c r="BI99" i="14"/>
  <c r="AW99" i="14"/>
  <c r="BG98" i="14"/>
  <c r="AU98" i="14"/>
  <c r="BE97" i="14"/>
  <c r="AS97" i="14"/>
  <c r="BC96" i="14"/>
  <c r="AQ96" i="14"/>
  <c r="AO95" i="14"/>
  <c r="AY93" i="14"/>
  <c r="AW92" i="14"/>
  <c r="BG91" i="14"/>
  <c r="AU91" i="14"/>
  <c r="AS90" i="14"/>
  <c r="BC89" i="14"/>
  <c r="AQ89" i="14"/>
  <c r="BA88" i="14"/>
  <c r="AO88" i="14"/>
  <c r="AY86" i="14"/>
  <c r="BI85" i="14"/>
  <c r="AW85" i="14"/>
  <c r="BG84" i="14"/>
  <c r="AU84" i="14"/>
  <c r="AS83" i="14"/>
  <c r="AQ82" i="14"/>
  <c r="AO81" i="14"/>
  <c r="AY79" i="14"/>
  <c r="BI78" i="14"/>
  <c r="AW78" i="14"/>
  <c r="BG77" i="14"/>
  <c r="AU77" i="14"/>
  <c r="AS76" i="14"/>
  <c r="BC75" i="14"/>
  <c r="AQ75" i="14"/>
  <c r="AO74" i="14"/>
  <c r="AY72" i="14"/>
  <c r="BI71" i="14"/>
  <c r="AW71" i="14"/>
  <c r="AU70" i="14"/>
  <c r="BC68" i="14"/>
  <c r="AQ68" i="14"/>
  <c r="AO67" i="14"/>
  <c r="AY65" i="14"/>
  <c r="AW64" i="14"/>
  <c r="AU63" i="14"/>
  <c r="BE62" i="14"/>
  <c r="AS62" i="14"/>
  <c r="BC61" i="14"/>
  <c r="AQ61" i="14"/>
  <c r="BA60" i="14"/>
  <c r="AO60" i="14"/>
  <c r="AY58" i="14"/>
  <c r="BI57" i="14"/>
  <c r="AW57" i="14"/>
  <c r="BG56" i="14"/>
  <c r="AU56" i="14"/>
  <c r="BE55" i="14"/>
  <c r="AS55" i="14"/>
  <c r="BC54" i="14"/>
  <c r="AQ54" i="14"/>
  <c r="AO53" i="14"/>
  <c r="AY51" i="14"/>
  <c r="AW50" i="14"/>
  <c r="BG49" i="14"/>
  <c r="AU49" i="14"/>
  <c r="BE48" i="14"/>
  <c r="AS48" i="14"/>
  <c r="AQ47" i="14"/>
  <c r="AO46" i="14"/>
  <c r="AY44" i="14"/>
  <c r="BI43" i="14"/>
  <c r="AW43" i="14"/>
  <c r="BG42" i="14"/>
  <c r="AU42" i="14"/>
  <c r="AS41" i="14"/>
  <c r="AQ40" i="14"/>
  <c r="AO39" i="14"/>
  <c r="AY37" i="14"/>
  <c r="BI36" i="14"/>
  <c r="AW36" i="14"/>
  <c r="AU35" i="14"/>
  <c r="AS34" i="14"/>
  <c r="AQ33" i="14"/>
  <c r="BA32" i="14"/>
  <c r="AO32" i="14"/>
  <c r="AY30" i="14"/>
  <c r="AW29" i="14"/>
  <c r="AU28" i="14"/>
  <c r="BE27" i="14"/>
  <c r="AS27" i="14"/>
  <c r="AQ26" i="14"/>
  <c r="AO25" i="14"/>
  <c r="AY23" i="14"/>
  <c r="BI22" i="14"/>
  <c r="AW22" i="14"/>
  <c r="BG21" i="14"/>
  <c r="AU21" i="14"/>
  <c r="BE20" i="14"/>
  <c r="AS20" i="14"/>
  <c r="AQ19" i="14"/>
  <c r="AO18" i="14"/>
  <c r="AY16" i="14"/>
  <c r="AW15" i="14"/>
  <c r="BG14" i="14"/>
  <c r="AU14" i="14"/>
  <c r="BE13" i="14"/>
  <c r="AS13" i="14"/>
  <c r="AO11" i="14"/>
  <c r="AY9" i="14"/>
  <c r="AW8" i="14"/>
  <c r="BI8" i="14"/>
  <c r="AU7" i="14"/>
  <c r="AS6" i="14"/>
  <c r="BE6" i="14"/>
  <c r="AQ5" i="14"/>
  <c r="AY155" i="14"/>
  <c r="AW154" i="14"/>
  <c r="BI154" i="14"/>
  <c r="BG153" i="14"/>
  <c r="AU153" i="14"/>
  <c r="AS152" i="14"/>
  <c r="AQ151" i="14"/>
  <c r="AO150" i="14"/>
  <c r="AY148" i="14"/>
  <c r="AW147" i="14"/>
  <c r="BG146" i="14"/>
  <c r="AU146" i="14"/>
  <c r="AS145" i="14"/>
  <c r="BC144" i="14"/>
  <c r="AQ144" i="14"/>
  <c r="AO143" i="14"/>
  <c r="AY141" i="14"/>
  <c r="AW140" i="14"/>
  <c r="BG139" i="14"/>
  <c r="AU139" i="14"/>
  <c r="AS138" i="14"/>
  <c r="BC137" i="14"/>
  <c r="AQ137" i="14"/>
  <c r="AO136" i="14"/>
  <c r="AY134" i="14"/>
  <c r="AW133" i="14"/>
  <c r="AU132" i="14"/>
  <c r="BE131" i="14"/>
  <c r="AS131" i="14"/>
  <c r="BC130" i="14"/>
  <c r="AQ130" i="14"/>
  <c r="AO129" i="14"/>
  <c r="AY127" i="14"/>
  <c r="AU125" i="14"/>
  <c r="AS124" i="14"/>
  <c r="BC123" i="14"/>
  <c r="AQ123" i="14"/>
  <c r="BA122" i="14"/>
  <c r="AO122" i="14"/>
  <c r="AY120" i="14"/>
  <c r="BI119" i="14"/>
  <c r="AW119" i="14"/>
  <c r="AU118" i="14"/>
  <c r="BF106" i="14"/>
  <c r="AT106" i="14"/>
  <c r="AR105" i="14"/>
  <c r="BB104" i="14"/>
  <c r="AP104" i="14"/>
  <c r="AZ103" i="14"/>
  <c r="AN103" i="14"/>
  <c r="AX101" i="14"/>
  <c r="AT99" i="14"/>
  <c r="AR98" i="14"/>
  <c r="BB97" i="14"/>
  <c r="AP97" i="14"/>
  <c r="AN96" i="14"/>
  <c r="AX94" i="14"/>
  <c r="AT92" i="14"/>
  <c r="BD91" i="14"/>
  <c r="AR91" i="14"/>
  <c r="AP90" i="14"/>
  <c r="AZ89" i="14"/>
  <c r="AN89" i="14"/>
  <c r="AX87" i="14"/>
  <c r="BF85" i="14"/>
  <c r="AT85" i="14"/>
  <c r="BD84" i="14"/>
  <c r="AR84" i="14"/>
  <c r="AP83" i="14"/>
  <c r="AN82" i="14"/>
  <c r="BJ80" i="14"/>
  <c r="AX80" i="14"/>
  <c r="BF78" i="14"/>
  <c r="AT78" i="14"/>
  <c r="BD77" i="14"/>
  <c r="AR77" i="14"/>
  <c r="AP76" i="14"/>
  <c r="AZ75" i="14"/>
  <c r="AN75" i="14"/>
  <c r="BJ73" i="14"/>
  <c r="AX73" i="14"/>
  <c r="BF71" i="14"/>
  <c r="AT71" i="14"/>
  <c r="AR70" i="14"/>
  <c r="AN68" i="14"/>
  <c r="AX66" i="14"/>
  <c r="BF64" i="14"/>
  <c r="AT64" i="14"/>
  <c r="BD63" i="14"/>
  <c r="AR63" i="14"/>
  <c r="BB62" i="14"/>
  <c r="AP62" i="14"/>
  <c r="AZ61" i="14"/>
  <c r="AN61" i="14"/>
  <c r="AX59" i="14"/>
  <c r="BF57" i="14"/>
  <c r="AT57" i="14"/>
  <c r="AR56" i="14"/>
  <c r="BB55" i="14"/>
  <c r="AP55" i="14"/>
  <c r="AZ54" i="14"/>
  <c r="AN54" i="14"/>
  <c r="BJ52" i="14"/>
  <c r="AX52" i="14"/>
  <c r="AT50" i="14"/>
  <c r="AR49" i="14"/>
  <c r="BB48" i="14"/>
  <c r="AP48" i="14"/>
  <c r="AZ47" i="14"/>
  <c r="AN47" i="14"/>
  <c r="AX45" i="14"/>
  <c r="BF43" i="14"/>
  <c r="AT43" i="14"/>
  <c r="AR42" i="14"/>
  <c r="AP41" i="14"/>
  <c r="AZ40" i="14"/>
  <c r="AN40" i="14"/>
  <c r="BJ38" i="14"/>
  <c r="AX38" i="14"/>
  <c r="AT36" i="14"/>
  <c r="BD35" i="14"/>
  <c r="AR35" i="14"/>
  <c r="AP34" i="14"/>
  <c r="AZ33" i="14"/>
  <c r="AN33" i="14"/>
  <c r="AX31" i="14"/>
  <c r="AT29" i="14"/>
  <c r="AR28" i="14"/>
  <c r="AP27" i="14"/>
  <c r="AZ26" i="14"/>
  <c r="AN26" i="14"/>
  <c r="BF22" i="14"/>
  <c r="AT22" i="14"/>
  <c r="BD21" i="14"/>
  <c r="AR21" i="14"/>
  <c r="AP20" i="14"/>
  <c r="AN19" i="14"/>
  <c r="AX17" i="14"/>
  <c r="AT15" i="14"/>
  <c r="AR14" i="14"/>
  <c r="BD14" i="14"/>
  <c r="BB13" i="14"/>
  <c r="AP13" i="14"/>
  <c r="AX10" i="14"/>
  <c r="BJ10" i="14"/>
  <c r="AT8" i="14"/>
  <c r="AR7" i="14"/>
  <c r="AP6" i="14"/>
  <c r="BB6" i="14"/>
  <c r="AN5" i="14"/>
  <c r="BJ156" i="14"/>
  <c r="AX156" i="14"/>
  <c r="BF154" i="14"/>
  <c r="AT154" i="14"/>
  <c r="BD153" i="14"/>
  <c r="AR153" i="14"/>
  <c r="AP152" i="14"/>
  <c r="AN151" i="14"/>
  <c r="AX149" i="14"/>
  <c r="BF147" i="14"/>
  <c r="AT147" i="14"/>
  <c r="BD146" i="14"/>
  <c r="AR146" i="14"/>
  <c r="AP145" i="14"/>
  <c r="AN144" i="14"/>
  <c r="AX142" i="14"/>
  <c r="BF140" i="14"/>
  <c r="AT140" i="14"/>
  <c r="AR139" i="14"/>
  <c r="AP138" i="14"/>
  <c r="AZ137" i="14"/>
  <c r="AN137" i="14"/>
  <c r="AX135" i="14"/>
  <c r="AT133" i="14"/>
  <c r="AR132" i="14"/>
  <c r="BB131" i="14"/>
  <c r="AP131" i="14"/>
  <c r="AZ130" i="14"/>
  <c r="AN130" i="14"/>
  <c r="AX128" i="14"/>
  <c r="AR125" i="14"/>
  <c r="AP124" i="14"/>
  <c r="AZ123" i="14"/>
  <c r="AN123" i="14"/>
  <c r="AX121" i="14"/>
  <c r="AT119" i="14"/>
  <c r="AR118" i="14"/>
  <c r="BG114" i="14"/>
  <c r="AU114" i="14"/>
  <c r="AS113" i="14"/>
  <c r="BC112" i="14"/>
  <c r="AQ112" i="14"/>
  <c r="BA111" i="14"/>
  <c r="AO111" i="14"/>
  <c r="AY109" i="14"/>
  <c r="AW108" i="14"/>
  <c r="BG107" i="14"/>
  <c r="AU107" i="14"/>
  <c r="AS106" i="14"/>
  <c r="AQ105" i="14"/>
  <c r="BA104" i="14"/>
  <c r="AO104" i="14"/>
  <c r="AY102" i="14"/>
  <c r="AW101" i="14"/>
  <c r="BG100" i="14"/>
  <c r="AU100" i="14"/>
  <c r="AS99" i="14"/>
  <c r="AQ98" i="14"/>
  <c r="BA97" i="14"/>
  <c r="AO97" i="14"/>
  <c r="AY95" i="14"/>
  <c r="BI94" i="14"/>
  <c r="AW94" i="14"/>
  <c r="AU93" i="14"/>
  <c r="AS92" i="14"/>
  <c r="AQ91" i="14"/>
  <c r="BA90" i="14"/>
  <c r="AO90" i="14"/>
  <c r="AY88" i="14"/>
  <c r="AW87" i="14"/>
  <c r="BG86" i="14"/>
  <c r="AU86" i="14"/>
  <c r="AS85" i="14"/>
  <c r="AQ84" i="14"/>
  <c r="AO83" i="14"/>
  <c r="AY81" i="14"/>
  <c r="AW80" i="14"/>
  <c r="BG79" i="14"/>
  <c r="AU79" i="14"/>
  <c r="AS78" i="14"/>
  <c r="BC77" i="14"/>
  <c r="AQ77" i="14"/>
  <c r="AO76" i="14"/>
  <c r="AY74" i="14"/>
  <c r="BI73" i="14"/>
  <c r="AW73" i="14"/>
  <c r="AU72" i="14"/>
  <c r="BE71" i="14"/>
  <c r="AS71" i="14"/>
  <c r="AQ70" i="14"/>
  <c r="AY67" i="14"/>
  <c r="BI66" i="14"/>
  <c r="AW66" i="14"/>
  <c r="BG65" i="14"/>
  <c r="AU65" i="14"/>
  <c r="AS64" i="14"/>
  <c r="BC63" i="14"/>
  <c r="AQ63" i="14"/>
  <c r="BA62" i="14"/>
  <c r="AO62" i="14"/>
  <c r="AY60" i="14"/>
  <c r="AW59" i="14"/>
  <c r="AU58" i="14"/>
  <c r="BE57" i="14"/>
  <c r="AS57" i="14"/>
  <c r="AQ56" i="14"/>
  <c r="BA55" i="14"/>
  <c r="AO55" i="14"/>
  <c r="AY53" i="14"/>
  <c r="AW52" i="14"/>
  <c r="BG51" i="14"/>
  <c r="AU51" i="14"/>
  <c r="BE50" i="14"/>
  <c r="AS50" i="14"/>
  <c r="AQ49" i="14"/>
  <c r="AO48" i="14"/>
  <c r="AY46" i="14"/>
  <c r="BI45" i="14"/>
  <c r="AW45" i="14"/>
  <c r="BG44" i="14"/>
  <c r="AU44" i="14"/>
  <c r="BE43" i="14"/>
  <c r="AS43" i="14"/>
  <c r="BC42" i="14"/>
  <c r="AQ42" i="14"/>
  <c r="BA41" i="14"/>
  <c r="AO41" i="14"/>
  <c r="AY39" i="14"/>
  <c r="BI38" i="14"/>
  <c r="AW38" i="14"/>
  <c r="BG37" i="14"/>
  <c r="AU37" i="14"/>
  <c r="AS36" i="14"/>
  <c r="AQ35" i="14"/>
  <c r="AO34" i="14"/>
  <c r="AY32" i="14"/>
  <c r="AW31" i="14"/>
  <c r="BG30" i="14"/>
  <c r="AU30" i="14"/>
  <c r="BE29" i="14"/>
  <c r="AS29" i="14"/>
  <c r="AQ28" i="14"/>
  <c r="AO27" i="14"/>
  <c r="AY25" i="14"/>
  <c r="AW24" i="14"/>
  <c r="BG23" i="14"/>
  <c r="AU23" i="14"/>
  <c r="BE22" i="14"/>
  <c r="AS22" i="14"/>
  <c r="AQ21" i="14"/>
  <c r="AO20" i="14"/>
  <c r="AY18" i="14"/>
  <c r="AW17" i="14"/>
  <c r="BG16" i="14"/>
  <c r="AU16" i="14"/>
  <c r="AS15" i="14"/>
  <c r="BC14" i="14"/>
  <c r="AQ14" i="14"/>
  <c r="BA13" i="14"/>
  <c r="AO13" i="14"/>
  <c r="AY11" i="14"/>
  <c r="AW10" i="14"/>
  <c r="BG9" i="14"/>
  <c r="AU9" i="14"/>
  <c r="AS8" i="14"/>
  <c r="AQ7" i="14"/>
  <c r="AO6" i="14"/>
  <c r="BI156" i="14"/>
  <c r="AW156" i="14"/>
  <c r="AU155" i="14"/>
  <c r="BE154" i="14"/>
  <c r="AS154" i="14"/>
  <c r="BC153" i="14"/>
  <c r="AQ153" i="14"/>
  <c r="AO152" i="14"/>
  <c r="AY150" i="14"/>
  <c r="AW149" i="14"/>
  <c r="AU148" i="14"/>
  <c r="AS147" i="14"/>
  <c r="AQ146" i="14"/>
  <c r="AO145" i="14"/>
  <c r="AY143" i="14"/>
  <c r="AW142" i="14"/>
  <c r="AU141" i="14"/>
  <c r="AS140" i="14"/>
  <c r="BC139" i="14"/>
  <c r="AQ139" i="14"/>
  <c r="AO138" i="14"/>
  <c r="AY136" i="14"/>
  <c r="AW135" i="14"/>
  <c r="AU134" i="14"/>
  <c r="AS133" i="14"/>
  <c r="BC132" i="14"/>
  <c r="AQ132" i="14"/>
  <c r="BA131" i="14"/>
  <c r="AO131" i="14"/>
  <c r="AY129" i="14"/>
  <c r="BI128" i="14"/>
  <c r="AW128" i="14"/>
  <c r="AU127" i="14"/>
  <c r="AQ125" i="14"/>
  <c r="AO124" i="14"/>
  <c r="AY122" i="14"/>
  <c r="BI121" i="14"/>
  <c r="AW121" i="14"/>
  <c r="BG120" i="14"/>
  <c r="AU120" i="14"/>
  <c r="AS119" i="14"/>
  <c r="BC118" i="14"/>
  <c r="AQ118" i="14"/>
  <c r="BG73" i="14"/>
  <c r="AU73" i="14"/>
  <c r="AS72" i="14"/>
  <c r="BC71" i="14"/>
  <c r="AQ71" i="14"/>
  <c r="AO70" i="14"/>
  <c r="AY68" i="14"/>
  <c r="BI67" i="14"/>
  <c r="AW67" i="14"/>
  <c r="BG66" i="14"/>
  <c r="AU66" i="14"/>
  <c r="AS65" i="14"/>
  <c r="BC64" i="14"/>
  <c r="AQ64" i="14"/>
  <c r="AO63" i="14"/>
  <c r="AY61" i="14"/>
  <c r="BI60" i="14"/>
  <c r="AW60" i="14"/>
  <c r="AU59" i="14"/>
  <c r="AS58" i="14"/>
  <c r="AQ57" i="14"/>
  <c r="AO56" i="14"/>
  <c r="BK54" i="14"/>
  <c r="AY54" i="14"/>
  <c r="BI53" i="14"/>
  <c r="AW53" i="14"/>
  <c r="BG52" i="14"/>
  <c r="AU52" i="14"/>
  <c r="AS51" i="14"/>
  <c r="AQ50" i="14"/>
  <c r="BA49" i="14"/>
  <c r="AO49" i="14"/>
  <c r="AY47" i="14"/>
  <c r="AW46" i="14"/>
  <c r="BG45" i="14"/>
  <c r="AU45" i="14"/>
  <c r="BE44" i="14"/>
  <c r="AS44" i="14"/>
  <c r="AQ43" i="14"/>
  <c r="BA42" i="14"/>
  <c r="AO42" i="14"/>
  <c r="AY40" i="14"/>
  <c r="AW39" i="14"/>
  <c r="BG38" i="14"/>
  <c r="AU38" i="14"/>
  <c r="AS37" i="14"/>
  <c r="AQ36" i="14"/>
  <c r="BA35" i="14"/>
  <c r="AO35" i="14"/>
  <c r="AY33" i="14"/>
  <c r="BI32" i="14"/>
  <c r="AW32" i="14"/>
  <c r="AU31" i="14"/>
  <c r="AS30" i="14"/>
  <c r="AQ29" i="14"/>
  <c r="AO28" i="14"/>
  <c r="AY26" i="14"/>
  <c r="AW25" i="14"/>
  <c r="AU24" i="14"/>
  <c r="BE23" i="14"/>
  <c r="AS23" i="14"/>
  <c r="BC22" i="14"/>
  <c r="AQ22" i="14"/>
  <c r="BA21" i="14"/>
  <c r="AO21" i="14"/>
  <c r="AY19" i="14"/>
  <c r="BI18" i="14"/>
  <c r="AW18" i="14"/>
  <c r="BG17" i="14"/>
  <c r="AU17" i="14"/>
  <c r="AS16" i="14"/>
  <c r="AQ15" i="14"/>
  <c r="BA14" i="14"/>
  <c r="AO14" i="14"/>
  <c r="BI11" i="14"/>
  <c r="AW11" i="14"/>
  <c r="BG10" i="14"/>
  <c r="AU10" i="14"/>
  <c r="BE9" i="14"/>
  <c r="AS9" i="14"/>
  <c r="AQ8" i="14"/>
  <c r="AO7" i="14"/>
  <c r="AY5" i="14"/>
  <c r="BG156" i="14"/>
  <c r="AU156" i="14"/>
  <c r="AS155" i="14"/>
  <c r="BC154" i="14"/>
  <c r="AQ154" i="14"/>
  <c r="AO153" i="14"/>
  <c r="AY151" i="14"/>
  <c r="BI150" i="14"/>
  <c r="AW150" i="14"/>
  <c r="AU149" i="14"/>
  <c r="AS148" i="14"/>
  <c r="AQ147" i="14"/>
  <c r="AO146" i="14"/>
  <c r="AY144" i="14"/>
  <c r="BI143" i="14"/>
  <c r="AW143" i="14"/>
  <c r="AU142" i="14"/>
  <c r="AS141" i="14"/>
  <c r="BC140" i="14"/>
  <c r="AQ140" i="14"/>
  <c r="AO139" i="14"/>
  <c r="AY137" i="14"/>
  <c r="AW136" i="14"/>
  <c r="AU135" i="14"/>
  <c r="AS134" i="14"/>
  <c r="BC133" i="14"/>
  <c r="AQ133" i="14"/>
  <c r="AO132" i="14"/>
  <c r="AY130" i="14"/>
  <c r="AW129" i="14"/>
  <c r="BG128" i="14"/>
  <c r="AU128" i="14"/>
  <c r="AS127" i="14"/>
  <c r="AO125" i="14"/>
  <c r="AY123" i="14"/>
  <c r="AW122" i="14"/>
  <c r="BG121" i="14"/>
  <c r="AU121" i="14"/>
  <c r="AS120" i="14"/>
  <c r="AQ119" i="14"/>
  <c r="BA118" i="14"/>
  <c r="AO118" i="14"/>
  <c r="AP114" i="14"/>
  <c r="AZ113" i="14"/>
  <c r="AN113" i="14"/>
  <c r="BJ111" i="14"/>
  <c r="AX111" i="14"/>
  <c r="BF109" i="14"/>
  <c r="AT109" i="14"/>
  <c r="AR108" i="14"/>
  <c r="AP107" i="14"/>
  <c r="AN106" i="14"/>
  <c r="AX104" i="14"/>
  <c r="BF102" i="14"/>
  <c r="AT102" i="14"/>
  <c r="BD101" i="14"/>
  <c r="AR101" i="14"/>
  <c r="AP100" i="14"/>
  <c r="AN99" i="14"/>
  <c r="BJ97" i="14"/>
  <c r="AX97" i="14"/>
  <c r="BF95" i="14"/>
  <c r="AT95" i="14"/>
  <c r="AR94" i="14"/>
  <c r="BB93" i="14"/>
  <c r="AP93" i="14"/>
  <c r="AN92" i="14"/>
  <c r="AX90" i="14"/>
  <c r="BF88" i="14"/>
  <c r="AT88" i="14"/>
  <c r="AR87" i="14"/>
  <c r="BD87" i="14"/>
  <c r="AP86" i="14"/>
  <c r="AN85" i="14"/>
  <c r="AX83" i="14"/>
  <c r="AT81" i="14"/>
  <c r="BF81" i="14"/>
  <c r="BD80" i="14"/>
  <c r="AR80" i="14"/>
  <c r="BB79" i="14"/>
  <c r="AP79" i="14"/>
  <c r="AN78" i="14"/>
  <c r="AX76" i="14"/>
  <c r="AT74" i="14"/>
  <c r="BD73" i="14"/>
  <c r="AR73" i="14"/>
  <c r="AP72" i="14"/>
  <c r="AN71" i="14"/>
  <c r="BF67" i="14"/>
  <c r="AT67" i="14"/>
  <c r="AR66" i="14"/>
  <c r="AP65" i="14"/>
  <c r="AN64" i="14"/>
  <c r="AX62" i="14"/>
  <c r="BF60" i="14"/>
  <c r="AT60" i="14"/>
  <c r="AR59" i="14"/>
  <c r="AP58" i="14"/>
  <c r="AZ57" i="14"/>
  <c r="AN57" i="14"/>
  <c r="BJ55" i="14"/>
  <c r="AX55" i="14"/>
  <c r="BF53" i="14"/>
  <c r="AT53" i="14"/>
  <c r="BD52" i="14"/>
  <c r="AR52" i="14"/>
  <c r="AP51" i="14"/>
  <c r="AN50" i="14"/>
  <c r="AX48" i="14"/>
  <c r="AT46" i="14"/>
  <c r="AR45" i="14"/>
  <c r="BB44" i="14"/>
  <c r="AP44" i="14"/>
  <c r="AZ43" i="14"/>
  <c r="AN43" i="14"/>
  <c r="AX41" i="14"/>
  <c r="AT39" i="14"/>
  <c r="BD38" i="14"/>
  <c r="AR38" i="14"/>
  <c r="AP37" i="14"/>
  <c r="AN36" i="14"/>
  <c r="BJ34" i="14"/>
  <c r="AX34" i="14"/>
  <c r="BF32" i="14"/>
  <c r="AT32" i="14"/>
  <c r="AR31" i="14"/>
  <c r="AP30" i="14"/>
  <c r="AZ29" i="14"/>
  <c r="AN29" i="14"/>
  <c r="AX27" i="14"/>
  <c r="AT25" i="14"/>
  <c r="BD24" i="14"/>
  <c r="AR24" i="14"/>
  <c r="AP23" i="14"/>
  <c r="AZ22" i="14"/>
  <c r="AN22" i="14"/>
  <c r="AX20" i="14"/>
  <c r="BF18" i="14"/>
  <c r="AT18" i="14"/>
  <c r="BD17" i="14"/>
  <c r="AR17" i="14"/>
  <c r="AP16" i="14"/>
  <c r="AZ15" i="14"/>
  <c r="AN15" i="14"/>
  <c r="AX13" i="14"/>
  <c r="BJ13" i="14"/>
  <c r="AT11" i="14"/>
  <c r="BF11" i="14"/>
  <c r="AR10" i="14"/>
  <c r="AP9" i="14"/>
  <c r="BB9" i="14"/>
  <c r="AN8" i="14"/>
  <c r="AX6" i="14"/>
  <c r="BD156" i="14"/>
  <c r="AR156" i="14"/>
  <c r="AP155" i="14"/>
  <c r="AZ154" i="14"/>
  <c r="AN154" i="14"/>
  <c r="AX152" i="14"/>
  <c r="BF150" i="14"/>
  <c r="AT150" i="14"/>
  <c r="AR149" i="14"/>
  <c r="AP148" i="14"/>
  <c r="AN147" i="14"/>
  <c r="AX145" i="14"/>
  <c r="BF143" i="14"/>
  <c r="AT143" i="14"/>
  <c r="AR142" i="14"/>
  <c r="AP141" i="14"/>
  <c r="AZ140" i="14"/>
  <c r="AN140" i="14"/>
  <c r="AX138" i="14"/>
  <c r="AT136" i="14"/>
  <c r="AR135" i="14"/>
  <c r="AP134" i="14"/>
  <c r="AN133" i="14"/>
  <c r="AX131" i="14"/>
  <c r="AT129" i="14"/>
  <c r="BD128" i="14"/>
  <c r="AR128" i="14"/>
  <c r="AP127" i="14"/>
  <c r="AX124" i="14"/>
  <c r="BF122" i="14"/>
  <c r="AT122" i="14"/>
  <c r="BD121" i="14"/>
  <c r="AR121" i="14"/>
  <c r="AP120" i="14"/>
  <c r="AN119" i="14"/>
  <c r="BF117" i="14"/>
  <c r="AT117" i="14"/>
  <c r="AN114" i="14"/>
  <c r="AR109" i="14"/>
  <c r="AX105" i="14"/>
  <c r="BF103" i="14"/>
  <c r="AT103" i="14"/>
  <c r="BB101" i="14"/>
  <c r="AP101" i="14"/>
  <c r="BD95" i="14"/>
  <c r="AR95" i="14"/>
  <c r="AX91" i="14"/>
  <c r="BF89" i="14"/>
  <c r="AT89" i="14"/>
  <c r="BD88" i="14"/>
  <c r="AR88" i="14"/>
  <c r="AP87" i="14"/>
  <c r="AZ86" i="14"/>
  <c r="AN86" i="14"/>
  <c r="BJ84" i="14"/>
  <c r="AX84" i="14"/>
  <c r="BF82" i="14"/>
  <c r="AT82" i="14"/>
  <c r="AR81" i="14"/>
  <c r="AP80" i="14"/>
  <c r="AN79" i="14"/>
  <c r="BJ77" i="14"/>
  <c r="AX77" i="14"/>
  <c r="BF75" i="14"/>
  <c r="AT75" i="14"/>
  <c r="AR74" i="14"/>
  <c r="BB73" i="14"/>
  <c r="AP73" i="14"/>
  <c r="AN72" i="14"/>
  <c r="AX70" i="14"/>
  <c r="BF68" i="14"/>
  <c r="AT68" i="14"/>
  <c r="AR67" i="14"/>
  <c r="AP66" i="14"/>
  <c r="AN65" i="14"/>
  <c r="AX63" i="14"/>
  <c r="AT61" i="14"/>
  <c r="BD60" i="14"/>
  <c r="AR60" i="14"/>
  <c r="AP59" i="14"/>
  <c r="AZ58" i="14"/>
  <c r="AN58" i="14"/>
  <c r="BJ56" i="14"/>
  <c r="AX56" i="14"/>
  <c r="BF54" i="14"/>
  <c r="AT54" i="14"/>
  <c r="BD53" i="14"/>
  <c r="AR53" i="14"/>
  <c r="BB52" i="14"/>
  <c r="AP52" i="14"/>
  <c r="AZ51" i="14"/>
  <c r="AN51" i="14"/>
  <c r="AX49" i="14"/>
  <c r="BF47" i="14"/>
  <c r="AT47" i="14"/>
  <c r="AR46" i="14"/>
  <c r="BB45" i="14"/>
  <c r="AP45" i="14"/>
  <c r="AZ44" i="14"/>
  <c r="AN44" i="14"/>
  <c r="AX42" i="14"/>
  <c r="BF40" i="14"/>
  <c r="AT40" i="14"/>
  <c r="AR39" i="14"/>
  <c r="BB38" i="14"/>
  <c r="AP38" i="14"/>
  <c r="AZ37" i="14"/>
  <c r="AN37" i="14"/>
  <c r="AX35" i="14"/>
  <c r="AT33" i="14"/>
  <c r="BD32" i="14"/>
  <c r="AR32" i="14"/>
  <c r="AP31" i="14"/>
  <c r="AZ30" i="14"/>
  <c r="AN30" i="14"/>
  <c r="BJ28" i="14"/>
  <c r="AX28" i="14"/>
  <c r="AT26" i="14"/>
  <c r="AR25" i="14"/>
  <c r="AP24" i="14"/>
  <c r="AZ23" i="14"/>
  <c r="AN23" i="14"/>
  <c r="AX21" i="14"/>
  <c r="AT19" i="14"/>
  <c r="BD18" i="14"/>
  <c r="AR18" i="14"/>
  <c r="AP17" i="14"/>
  <c r="AZ16" i="14"/>
  <c r="AN16" i="14"/>
  <c r="BJ14" i="14"/>
  <c r="AX14" i="14"/>
  <c r="BD11" i="14"/>
  <c r="AR11" i="14"/>
  <c r="AP10" i="14"/>
  <c r="AN9" i="14"/>
  <c r="AX7" i="14"/>
  <c r="AT5" i="14"/>
  <c r="BB156" i="14"/>
  <c r="AP156" i="14"/>
  <c r="AN155" i="14"/>
  <c r="BJ153" i="14"/>
  <c r="AX153" i="14"/>
  <c r="AT151" i="14"/>
  <c r="AR150" i="14"/>
  <c r="BB149" i="14"/>
  <c r="AP149" i="14"/>
  <c r="AZ148" i="14"/>
  <c r="AN148" i="14"/>
  <c r="BJ146" i="14"/>
  <c r="AX146" i="14"/>
  <c r="BF144" i="14"/>
  <c r="AT144" i="14"/>
  <c r="AR143" i="14"/>
  <c r="AP142" i="14"/>
  <c r="AN141" i="14"/>
  <c r="AX139" i="14"/>
  <c r="BF137" i="14"/>
  <c r="AT137" i="14"/>
  <c r="AR136" i="14"/>
  <c r="AP135" i="14"/>
  <c r="AN134" i="14"/>
  <c r="AX132" i="14"/>
  <c r="AT130" i="14"/>
  <c r="BD129" i="14"/>
  <c r="AR129" i="14"/>
  <c r="BB128" i="14"/>
  <c r="AP128" i="14"/>
  <c r="AZ127" i="14"/>
  <c r="AN127" i="14"/>
  <c r="AX125" i="14"/>
  <c r="AT123" i="14"/>
  <c r="BD122" i="14"/>
  <c r="AR122" i="14"/>
  <c r="AP121" i="14"/>
  <c r="AN120" i="14"/>
  <c r="AX118" i="14"/>
  <c r="BI4" i="14"/>
  <c r="AW4" i="14"/>
  <c r="BD116" i="14"/>
  <c r="AR116" i="14"/>
  <c r="AP115" i="14"/>
  <c r="AX112" i="14"/>
  <c r="BF110" i="14"/>
  <c r="AT110" i="14"/>
  <c r="BB108" i="14"/>
  <c r="AP108" i="14"/>
  <c r="AN107" i="14"/>
  <c r="AR102" i="14"/>
  <c r="AZ100" i="14"/>
  <c r="AN100" i="14"/>
  <c r="BJ98" i="14"/>
  <c r="AX98" i="14"/>
  <c r="BF96" i="14"/>
  <c r="AT96" i="14"/>
  <c r="AP94" i="14"/>
  <c r="AN93" i="14"/>
  <c r="AS117" i="14"/>
  <c r="AQ116" i="14"/>
  <c r="BA115" i="14"/>
  <c r="AO115" i="14"/>
  <c r="AY113" i="14"/>
  <c r="BI112" i="14"/>
  <c r="AW112" i="14"/>
  <c r="BG111" i="14"/>
  <c r="AU111" i="14"/>
  <c r="AS110" i="14"/>
  <c r="BC109" i="14"/>
  <c r="AQ109" i="14"/>
  <c r="AO108" i="14"/>
  <c r="AY106" i="14"/>
  <c r="AW105" i="14"/>
  <c r="BG104" i="14"/>
  <c r="AU104" i="14"/>
  <c r="BE103" i="14"/>
  <c r="AS103" i="14"/>
  <c r="AQ102" i="14"/>
  <c r="BA101" i="14"/>
  <c r="AO101" i="14"/>
  <c r="AY99" i="14"/>
  <c r="BI98" i="14"/>
  <c r="AW98" i="14"/>
  <c r="BG97" i="14"/>
  <c r="AU97" i="14"/>
  <c r="AS96" i="14"/>
  <c r="AQ95" i="14"/>
  <c r="AO94" i="14"/>
  <c r="AY92" i="14"/>
  <c r="BI91" i="14"/>
  <c r="AW91" i="14"/>
  <c r="AU90" i="14"/>
  <c r="AS89" i="14"/>
  <c r="BC88" i="14"/>
  <c r="AQ88" i="14"/>
  <c r="AO87" i="14"/>
  <c r="AY85" i="14"/>
  <c r="BI84" i="14"/>
  <c r="AW84" i="14"/>
  <c r="AU83" i="14"/>
  <c r="AS82" i="14"/>
  <c r="AQ81" i="14"/>
  <c r="BA80" i="14"/>
  <c r="AO80" i="14"/>
  <c r="AY78" i="14"/>
  <c r="AW77" i="14"/>
  <c r="BG76" i="14"/>
  <c r="AU76" i="14"/>
  <c r="BE75" i="14"/>
  <c r="AS75" i="14"/>
  <c r="AQ74" i="14"/>
  <c r="BA73" i="14"/>
  <c r="AO73" i="14"/>
  <c r="AY71" i="14"/>
  <c r="AW70" i="14"/>
  <c r="AS68" i="14"/>
  <c r="BC67" i="14"/>
  <c r="AQ67" i="14"/>
  <c r="AO66" i="14"/>
  <c r="AY64" i="14"/>
  <c r="BI63" i="14"/>
  <c r="AW63" i="14"/>
  <c r="BG62" i="14"/>
  <c r="AU62" i="14"/>
  <c r="BE61" i="14"/>
  <c r="AS61" i="14"/>
  <c r="BC60" i="14"/>
  <c r="AQ60" i="14"/>
  <c r="AO59" i="14"/>
  <c r="AY57" i="14"/>
  <c r="BI56" i="14"/>
  <c r="AW56" i="14"/>
  <c r="BG55" i="14"/>
  <c r="AU55" i="14"/>
  <c r="BE54" i="14"/>
  <c r="AS54" i="14"/>
  <c r="AQ53" i="14"/>
  <c r="BA52" i="14"/>
  <c r="AO52" i="14"/>
  <c r="AY50" i="14"/>
  <c r="BI49" i="14"/>
  <c r="AW49" i="14"/>
  <c r="BG48" i="14"/>
  <c r="AU48" i="14"/>
  <c r="BE47" i="14"/>
  <c r="AS47" i="14"/>
  <c r="AQ46" i="14"/>
  <c r="BA45" i="14"/>
  <c r="AO45" i="14"/>
  <c r="AY43" i="14"/>
  <c r="BI42" i="14"/>
  <c r="AW42" i="14"/>
  <c r="AU41" i="14"/>
  <c r="AS40" i="14"/>
  <c r="AQ39" i="14"/>
  <c r="BA38" i="14"/>
  <c r="AO38" i="14"/>
  <c r="AY36" i="14"/>
  <c r="AW35" i="14"/>
  <c r="AU34" i="14"/>
  <c r="BE33" i="14"/>
  <c r="AS33" i="14"/>
  <c r="BC32" i="14"/>
  <c r="AQ32" i="14"/>
  <c r="AO31" i="14"/>
  <c r="AY29" i="14"/>
  <c r="BI28" i="14"/>
  <c r="AW28" i="14"/>
  <c r="BG27" i="14"/>
  <c r="AU27" i="14"/>
  <c r="AS26" i="14"/>
  <c r="AQ25" i="14"/>
  <c r="BA24" i="14"/>
  <c r="AO24" i="14"/>
  <c r="AY22" i="14"/>
  <c r="AW21" i="14"/>
  <c r="BG20" i="14"/>
  <c r="AU20" i="14"/>
  <c r="BE19" i="14"/>
  <c r="AS19" i="14"/>
  <c r="AQ18" i="14"/>
  <c r="AO17" i="14"/>
  <c r="AY15" i="14"/>
  <c r="BI14" i="14"/>
  <c r="AW14" i="14"/>
  <c r="BG13" i="14"/>
  <c r="AU13" i="14"/>
  <c r="AQ11" i="14"/>
  <c r="BA10" i="14"/>
  <c r="AO10" i="14"/>
  <c r="AY8" i="14"/>
  <c r="AW7" i="14"/>
  <c r="AU6" i="14"/>
  <c r="AS5" i="14"/>
  <c r="BA156" i="14"/>
  <c r="AO156" i="14"/>
  <c r="AY154" i="14"/>
  <c r="BI153" i="14"/>
  <c r="AW153" i="14"/>
  <c r="AU152" i="14"/>
  <c r="AS151" i="14"/>
  <c r="BC150" i="14"/>
  <c r="AQ150" i="14"/>
  <c r="AO149" i="14"/>
  <c r="AY147" i="14"/>
  <c r="BI146" i="14"/>
  <c r="AW146" i="14"/>
  <c r="AU145" i="14"/>
  <c r="AS144" i="14"/>
  <c r="BC143" i="14"/>
  <c r="AQ143" i="14"/>
  <c r="AO142" i="14"/>
  <c r="AY140" i="14"/>
  <c r="AW139" i="14"/>
  <c r="AU138" i="14"/>
  <c r="BE137" i="14"/>
  <c r="AS137" i="14"/>
  <c r="AQ136" i="14"/>
  <c r="AO135" i="14"/>
  <c r="AY133" i="14"/>
  <c r="AW132" i="14"/>
  <c r="BG131" i="14"/>
  <c r="AU131" i="14"/>
  <c r="BE130" i="14"/>
  <c r="AS130" i="14"/>
  <c r="AQ129" i="14"/>
  <c r="AO128" i="14"/>
  <c r="AW125" i="14"/>
  <c r="AU124" i="14"/>
  <c r="BE123" i="14"/>
  <c r="AS123" i="14"/>
  <c r="BC122" i="14"/>
  <c r="AQ122" i="14"/>
  <c r="AO121" i="14"/>
  <c r="AY119" i="14"/>
  <c r="BI118" i="14"/>
  <c r="AW118" i="14"/>
  <c r="BJ69" i="14"/>
  <c r="AZ12" i="14"/>
  <c r="BK12" i="14"/>
  <c r="AZ126" i="14"/>
  <c r="BB12" i="14"/>
  <c r="BI126" i="14"/>
  <c r="BC12" i="14"/>
  <c r="BI12" i="14"/>
  <c r="BD12" i="14"/>
  <c r="BC69" i="14"/>
  <c r="BF69" i="14"/>
  <c r="BC126" i="14"/>
  <c r="BE12" i="14"/>
  <c r="BE126" i="14"/>
  <c r="BF126" i="14"/>
  <c r="K31" i="26"/>
  <c r="F95" i="16"/>
  <c r="E20" i="26"/>
  <c r="E101" i="16"/>
  <c r="J45" i="26"/>
  <c r="I45" i="26"/>
  <c r="J31" i="26"/>
  <c r="B24" i="26"/>
  <c r="N46" i="26"/>
  <c r="B25" i="26"/>
  <c r="O46" i="26"/>
  <c r="R46" i="26"/>
  <c r="B28" i="26"/>
  <c r="M46" i="26"/>
  <c r="B23" i="26"/>
  <c r="M31" i="26"/>
  <c r="L46" i="26"/>
  <c r="P46" i="26"/>
  <c r="B26" i="26"/>
  <c r="M47" i="26"/>
  <c r="M37" i="26"/>
  <c r="I39" i="26" s="1"/>
  <c r="W8" i="26" s="1"/>
  <c r="Z8" i="26" s="1"/>
  <c r="Z11" i="26" s="1"/>
  <c r="AA11" i="26" s="1"/>
  <c r="N31" i="26"/>
  <c r="Q46" i="26"/>
  <c r="B27" i="26"/>
  <c r="R31" i="26"/>
  <c r="L31" i="26"/>
  <c r="M21" i="17"/>
  <c r="M8" i="17"/>
  <c r="M6" i="17"/>
  <c r="M7" i="17"/>
  <c r="M5" i="17"/>
  <c r="M18" i="17"/>
  <c r="M17" i="17"/>
  <c r="P4" i="17"/>
  <c r="X16" i="17"/>
  <c r="U16" i="17"/>
  <c r="X7" i="17"/>
  <c r="U7" i="17"/>
  <c r="X6" i="17"/>
  <c r="U6" i="17"/>
  <c r="X12" i="17"/>
  <c r="U12" i="17"/>
  <c r="X4" i="17"/>
  <c r="U4" i="17"/>
  <c r="U13" i="17"/>
  <c r="X13" i="17"/>
  <c r="P15" i="17"/>
  <c r="X15" i="17"/>
  <c r="U15" i="17"/>
  <c r="X22" i="17"/>
  <c r="U22" i="17"/>
  <c r="X20" i="17"/>
  <c r="U20" i="17"/>
  <c r="X10" i="17"/>
  <c r="U10" i="17"/>
  <c r="X18" i="17"/>
  <c r="U18" i="17"/>
  <c r="X23" i="17"/>
  <c r="U23" i="17"/>
  <c r="X21" i="17"/>
  <c r="U21" i="17"/>
  <c r="X11" i="17"/>
  <c r="U11" i="17"/>
  <c r="U14" i="17"/>
  <c r="X14" i="17"/>
  <c r="U5" i="17"/>
  <c r="X5" i="17"/>
  <c r="X3" i="17"/>
  <c r="U17" i="17"/>
  <c r="X17" i="17"/>
  <c r="X19" i="17"/>
  <c r="U19" i="17"/>
  <c r="X9" i="17"/>
  <c r="U9" i="17"/>
  <c r="U8" i="17"/>
  <c r="X8" i="17"/>
  <c r="S18" i="17"/>
  <c r="S13" i="17"/>
  <c r="S12" i="17"/>
  <c r="V15" i="17"/>
  <c r="V6" i="17"/>
  <c r="S16" i="17"/>
  <c r="S7" i="17"/>
  <c r="S21" i="17"/>
  <c r="S14" i="17"/>
  <c r="S5" i="17"/>
  <c r="S19" i="17"/>
  <c r="S9" i="17"/>
  <c r="S8" i="17"/>
  <c r="V12" i="17"/>
  <c r="V9" i="17"/>
  <c r="S6" i="17"/>
  <c r="S11" i="17"/>
  <c r="V11" i="17"/>
  <c r="V21" i="17"/>
  <c r="S20" i="17"/>
  <c r="V20" i="17"/>
  <c r="S23" i="17"/>
  <c r="V23" i="17"/>
  <c r="S17" i="17"/>
  <c r="V17" i="17"/>
  <c r="S15" i="17"/>
  <c r="S22" i="17"/>
  <c r="V22" i="17"/>
  <c r="S10" i="17"/>
  <c r="V10" i="17"/>
  <c r="S3" i="17"/>
  <c r="V3" i="17"/>
  <c r="V18" i="17"/>
  <c r="V19" i="17"/>
  <c r="V8" i="17"/>
  <c r="V14" i="17"/>
  <c r="V5" i="17"/>
  <c r="V16" i="17"/>
  <c r="V7" i="17"/>
  <c r="V13" i="17"/>
  <c r="V4" i="17"/>
  <c r="V2" i="17"/>
  <c r="S2" i="17"/>
  <c r="M16" i="17"/>
  <c r="M4" i="17"/>
  <c r="M9" i="17"/>
  <c r="M15" i="17"/>
  <c r="M10" i="17"/>
  <c r="M22" i="17"/>
  <c r="M3" i="17"/>
  <c r="M11" i="17"/>
  <c r="M23" i="17"/>
  <c r="M2" i="17"/>
  <c r="M12" i="17"/>
  <c r="M20" i="17"/>
  <c r="M13" i="17"/>
  <c r="M19" i="17"/>
  <c r="Q2" i="19"/>
  <c r="Q8" i="19"/>
  <c r="C30" i="16"/>
  <c r="C60" i="16"/>
  <c r="R3" i="12"/>
  <c r="S3" i="12"/>
  <c r="T3" i="12"/>
  <c r="U3" i="12"/>
  <c r="V3" i="12"/>
  <c r="W3" i="12"/>
  <c r="R4" i="12"/>
  <c r="S4" i="12"/>
  <c r="T4" i="12"/>
  <c r="U4" i="12"/>
  <c r="V4" i="12"/>
  <c r="W4" i="12"/>
  <c r="R5" i="12"/>
  <c r="S5" i="12"/>
  <c r="T5" i="12"/>
  <c r="U5" i="12"/>
  <c r="V5" i="12"/>
  <c r="W5" i="12"/>
  <c r="R6" i="12"/>
  <c r="S6" i="12"/>
  <c r="T6" i="12"/>
  <c r="U6" i="12"/>
  <c r="V6" i="12"/>
  <c r="W6" i="12"/>
  <c r="R7" i="12"/>
  <c r="S7" i="12"/>
  <c r="T7" i="12"/>
  <c r="U7" i="12"/>
  <c r="V7" i="12"/>
  <c r="W7" i="12"/>
  <c r="R8" i="12"/>
  <c r="S8" i="12"/>
  <c r="T8" i="12"/>
  <c r="U8" i="12"/>
  <c r="V8" i="12"/>
  <c r="W8" i="12"/>
  <c r="R9" i="12"/>
  <c r="S9" i="12"/>
  <c r="T9" i="12"/>
  <c r="U9" i="12"/>
  <c r="V9" i="12"/>
  <c r="W9" i="12"/>
  <c r="R10" i="12"/>
  <c r="S10" i="12"/>
  <c r="T10" i="12"/>
  <c r="U10" i="12"/>
  <c r="V10" i="12"/>
  <c r="W10" i="12"/>
  <c r="R11" i="12"/>
  <c r="S11" i="12"/>
  <c r="T11" i="12"/>
  <c r="U11" i="12"/>
  <c r="V11" i="12"/>
  <c r="W11" i="12"/>
  <c r="R12" i="12"/>
  <c r="S12" i="12"/>
  <c r="T12" i="12"/>
  <c r="U12" i="12"/>
  <c r="V12" i="12"/>
  <c r="W12" i="12"/>
  <c r="R13" i="12"/>
  <c r="S13" i="12"/>
  <c r="T13" i="12"/>
  <c r="U13" i="12"/>
  <c r="V13" i="12"/>
  <c r="W13" i="12"/>
  <c r="R14" i="12"/>
  <c r="S14" i="12"/>
  <c r="T14" i="12"/>
  <c r="U14" i="12"/>
  <c r="V14" i="12"/>
  <c r="W14" i="12"/>
  <c r="R15" i="12"/>
  <c r="S15" i="12"/>
  <c r="T15" i="12"/>
  <c r="U15" i="12"/>
  <c r="V15" i="12"/>
  <c r="W15" i="12"/>
  <c r="R16" i="12"/>
  <c r="S16" i="12"/>
  <c r="T16" i="12"/>
  <c r="U16" i="12"/>
  <c r="V16" i="12"/>
  <c r="W16" i="12"/>
  <c r="R17" i="12"/>
  <c r="S17" i="12"/>
  <c r="T17" i="12"/>
  <c r="U17" i="12"/>
  <c r="V17" i="12"/>
  <c r="W17" i="12"/>
  <c r="R18" i="12"/>
  <c r="S18" i="12"/>
  <c r="T18" i="12"/>
  <c r="U18" i="12"/>
  <c r="V18" i="12"/>
  <c r="W18" i="12"/>
  <c r="R19" i="12"/>
  <c r="S19" i="12"/>
  <c r="T19" i="12"/>
  <c r="U19" i="12"/>
  <c r="V19" i="12"/>
  <c r="W19" i="12"/>
  <c r="R20" i="12"/>
  <c r="S20" i="12"/>
  <c r="T20" i="12"/>
  <c r="U20" i="12"/>
  <c r="V20" i="12"/>
  <c r="W20" i="12"/>
  <c r="R21" i="12"/>
  <c r="S21" i="12"/>
  <c r="T21" i="12"/>
  <c r="U21" i="12"/>
  <c r="V21" i="12"/>
  <c r="W21" i="12"/>
  <c r="R22" i="12"/>
  <c r="S22" i="12"/>
  <c r="T22" i="12"/>
  <c r="U22" i="12"/>
  <c r="V22" i="12"/>
  <c r="W22" i="12"/>
  <c r="R23" i="12"/>
  <c r="S23" i="12"/>
  <c r="T23" i="12"/>
  <c r="U23" i="12"/>
  <c r="V23" i="12"/>
  <c r="W23" i="12"/>
  <c r="R24" i="12"/>
  <c r="S24" i="12"/>
  <c r="T24" i="12"/>
  <c r="U24" i="12"/>
  <c r="V24" i="12"/>
  <c r="W24" i="12"/>
  <c r="R25" i="12"/>
  <c r="S25" i="12"/>
  <c r="T25" i="12"/>
  <c r="U25" i="12"/>
  <c r="V25" i="12"/>
  <c r="W25" i="12"/>
  <c r="R26" i="12"/>
  <c r="S26" i="12"/>
  <c r="T26" i="12"/>
  <c r="U26" i="12"/>
  <c r="V26" i="12"/>
  <c r="W26" i="12"/>
  <c r="R27" i="12"/>
  <c r="S27" i="12"/>
  <c r="T27" i="12"/>
  <c r="U27" i="12"/>
  <c r="V27" i="12"/>
  <c r="W27" i="12"/>
  <c r="R28" i="12"/>
  <c r="S28" i="12"/>
  <c r="T28" i="12"/>
  <c r="U28" i="12"/>
  <c r="V28" i="12"/>
  <c r="W28" i="12"/>
  <c r="R29" i="12"/>
  <c r="S29" i="12"/>
  <c r="T29" i="12"/>
  <c r="U29" i="12"/>
  <c r="V29" i="12"/>
  <c r="W29" i="12"/>
  <c r="R30" i="12"/>
  <c r="S30" i="12"/>
  <c r="T30" i="12"/>
  <c r="U30" i="12"/>
  <c r="V30" i="12"/>
  <c r="W30" i="12"/>
  <c r="R31" i="12"/>
  <c r="S31" i="12"/>
  <c r="T31" i="12"/>
  <c r="U31" i="12"/>
  <c r="V31" i="12"/>
  <c r="W31" i="12"/>
  <c r="R32" i="12"/>
  <c r="S32" i="12"/>
  <c r="T32" i="12"/>
  <c r="U32" i="12"/>
  <c r="V32" i="12"/>
  <c r="W32" i="12"/>
  <c r="R33" i="12"/>
  <c r="S33" i="12"/>
  <c r="T33" i="12"/>
  <c r="U33" i="12"/>
  <c r="V33" i="12"/>
  <c r="W33" i="12"/>
  <c r="R34" i="12"/>
  <c r="S34" i="12"/>
  <c r="T34" i="12"/>
  <c r="U34" i="12"/>
  <c r="V34" i="12"/>
  <c r="W34" i="12"/>
  <c r="R35" i="12"/>
  <c r="S35" i="12"/>
  <c r="T35" i="12"/>
  <c r="U35" i="12"/>
  <c r="V35" i="12"/>
  <c r="W35" i="12"/>
  <c r="R36" i="12"/>
  <c r="S36" i="12"/>
  <c r="T36" i="12"/>
  <c r="U36" i="12"/>
  <c r="V36" i="12"/>
  <c r="W36" i="12"/>
  <c r="R37" i="12"/>
  <c r="S37" i="12"/>
  <c r="T37" i="12"/>
  <c r="U37" i="12"/>
  <c r="V37" i="12"/>
  <c r="W37" i="12"/>
  <c r="R38" i="12"/>
  <c r="S38" i="12"/>
  <c r="T38" i="12"/>
  <c r="U38" i="12"/>
  <c r="V38" i="12"/>
  <c r="W38" i="12"/>
  <c r="R39" i="12"/>
  <c r="S39" i="12"/>
  <c r="T39" i="12"/>
  <c r="U39" i="12"/>
  <c r="V39" i="12"/>
  <c r="W39" i="12"/>
  <c r="R40" i="12"/>
  <c r="S40" i="12"/>
  <c r="T40" i="12"/>
  <c r="U40" i="12"/>
  <c r="V40" i="12"/>
  <c r="W40" i="12"/>
  <c r="R41" i="12"/>
  <c r="S41" i="12"/>
  <c r="T41" i="12"/>
  <c r="U41" i="12"/>
  <c r="V41" i="12"/>
  <c r="W41" i="12"/>
  <c r="R42" i="12"/>
  <c r="S42" i="12"/>
  <c r="T42" i="12"/>
  <c r="U42" i="12"/>
  <c r="V42" i="12"/>
  <c r="W42" i="12"/>
  <c r="R43" i="12"/>
  <c r="S43" i="12"/>
  <c r="T43" i="12"/>
  <c r="U43" i="12"/>
  <c r="V43" i="12"/>
  <c r="W43" i="12"/>
  <c r="R44" i="12"/>
  <c r="S44" i="12"/>
  <c r="T44" i="12"/>
  <c r="U44" i="12"/>
  <c r="V44" i="12"/>
  <c r="W44" i="12"/>
  <c r="R45" i="12"/>
  <c r="S45" i="12"/>
  <c r="T45" i="12"/>
  <c r="U45" i="12"/>
  <c r="V45" i="12"/>
  <c r="W45" i="12"/>
  <c r="R46" i="12"/>
  <c r="S46" i="12"/>
  <c r="T46" i="12"/>
  <c r="U46" i="12"/>
  <c r="V46" i="12"/>
  <c r="W46" i="12"/>
  <c r="R47" i="12"/>
  <c r="S47" i="12"/>
  <c r="T47" i="12"/>
  <c r="U47" i="12"/>
  <c r="V47" i="12"/>
  <c r="W47" i="12"/>
  <c r="R48" i="12"/>
  <c r="S48" i="12"/>
  <c r="T48" i="12"/>
  <c r="U48" i="12"/>
  <c r="V48" i="12"/>
  <c r="W48" i="12"/>
  <c r="R49" i="12"/>
  <c r="S49" i="12"/>
  <c r="T49" i="12"/>
  <c r="U49" i="12"/>
  <c r="V49" i="12"/>
  <c r="W49" i="12"/>
  <c r="R50" i="12"/>
  <c r="S50" i="12"/>
  <c r="T50" i="12"/>
  <c r="U50" i="12"/>
  <c r="V50" i="12"/>
  <c r="W50" i="12"/>
  <c r="R51" i="12"/>
  <c r="S51" i="12"/>
  <c r="T51" i="12"/>
  <c r="U51" i="12"/>
  <c r="V51" i="12"/>
  <c r="W51" i="12"/>
  <c r="R52" i="12"/>
  <c r="S52" i="12"/>
  <c r="T52" i="12"/>
  <c r="U52" i="12"/>
  <c r="V52" i="12"/>
  <c r="W52" i="12"/>
  <c r="R53" i="12"/>
  <c r="S53" i="12"/>
  <c r="T53" i="12"/>
  <c r="U53" i="12"/>
  <c r="V53" i="12"/>
  <c r="W53" i="12"/>
  <c r="R54" i="12"/>
  <c r="S54" i="12"/>
  <c r="T54" i="12"/>
  <c r="U54" i="12"/>
  <c r="V54" i="12"/>
  <c r="W54" i="12"/>
  <c r="R55" i="12"/>
  <c r="S55" i="12"/>
  <c r="T55" i="12"/>
  <c r="U55" i="12"/>
  <c r="V55" i="12"/>
  <c r="W55" i="12"/>
  <c r="R56" i="12"/>
  <c r="S56" i="12"/>
  <c r="T56" i="12"/>
  <c r="U56" i="12"/>
  <c r="V56" i="12"/>
  <c r="W56" i="12"/>
  <c r="R57" i="12"/>
  <c r="S57" i="12"/>
  <c r="T57" i="12"/>
  <c r="U57" i="12"/>
  <c r="V57" i="12"/>
  <c r="W57" i="12"/>
  <c r="R58" i="12"/>
  <c r="S58" i="12"/>
  <c r="T58" i="12"/>
  <c r="U58" i="12"/>
  <c r="V58" i="12"/>
  <c r="W58" i="12"/>
  <c r="W2" i="12"/>
  <c r="V2" i="12"/>
  <c r="U2" i="12"/>
  <c r="T2" i="12"/>
  <c r="S2" i="12"/>
  <c r="R2" i="12"/>
  <c r="K4" i="17" l="1"/>
  <c r="BH93" i="14"/>
  <c r="AV93" i="14"/>
  <c r="AV90" i="14"/>
  <c r="BH90" i="14"/>
  <c r="BH139" i="14"/>
  <c r="AV139" i="14"/>
  <c r="BH59" i="14"/>
  <c r="AV59" i="14"/>
  <c r="BH57" i="14"/>
  <c r="AV57" i="14"/>
  <c r="BH65" i="14"/>
  <c r="AV65" i="14"/>
  <c r="BH13" i="14"/>
  <c r="AV13" i="14"/>
  <c r="BH11" i="14"/>
  <c r="AV11" i="14"/>
  <c r="BH112" i="14"/>
  <c r="AV112" i="14"/>
  <c r="AV147" i="14"/>
  <c r="BH147" i="14"/>
  <c r="BH150" i="14"/>
  <c r="AV150" i="14"/>
  <c r="BH113" i="14"/>
  <c r="AV113" i="14"/>
  <c r="AV63" i="14"/>
  <c r="BH63" i="14"/>
  <c r="AV124" i="14"/>
  <c r="BH124" i="14"/>
  <c r="AV133" i="14"/>
  <c r="BH133" i="14"/>
  <c r="BH83" i="14"/>
  <c r="AV83" i="14"/>
  <c r="AV35" i="14"/>
  <c r="BH35" i="14"/>
  <c r="AV119" i="14"/>
  <c r="BH119" i="14"/>
  <c r="BH4" i="14"/>
  <c r="AV4" i="14"/>
  <c r="AV49" i="14"/>
  <c r="BH49" i="14"/>
  <c r="AV117" i="14"/>
  <c r="BH117" i="14"/>
  <c r="BH39" i="14"/>
  <c r="AV39" i="14"/>
  <c r="BH61" i="14"/>
  <c r="AV61" i="14"/>
  <c r="BH101" i="14"/>
  <c r="AV101" i="14"/>
  <c r="BH141" i="14"/>
  <c r="AV141" i="14"/>
  <c r="BH30" i="14"/>
  <c r="AV30" i="14"/>
  <c r="BH44" i="14"/>
  <c r="AV44" i="14"/>
  <c r="BH114" i="14"/>
  <c r="AV114" i="14"/>
  <c r="AV145" i="14"/>
  <c r="BH145" i="14"/>
  <c r="AV20" i="14"/>
  <c r="BH20" i="14"/>
  <c r="AV48" i="14"/>
  <c r="BH48" i="14"/>
  <c r="AV78" i="14"/>
  <c r="BH78" i="14"/>
  <c r="BH56" i="14"/>
  <c r="AV56" i="14"/>
  <c r="AV106" i="14"/>
  <c r="BH106" i="14"/>
  <c r="AV68" i="14"/>
  <c r="BH68" i="14"/>
  <c r="BH60" i="14"/>
  <c r="AV60" i="14"/>
  <c r="BH89" i="14"/>
  <c r="AV89" i="14"/>
  <c r="BH130" i="14"/>
  <c r="AV130" i="14"/>
  <c r="BH9" i="14"/>
  <c r="AV9" i="14"/>
  <c r="AV8" i="14"/>
  <c r="BH8" i="14"/>
  <c r="AV26" i="14"/>
  <c r="BH26" i="14"/>
  <c r="BH87" i="14"/>
  <c r="AV87" i="14"/>
  <c r="BH51" i="14"/>
  <c r="AV51" i="14"/>
  <c r="BH102" i="14"/>
  <c r="AV102" i="14"/>
  <c r="BH137" i="14"/>
  <c r="AV137" i="14"/>
  <c r="BH151" i="14"/>
  <c r="AV151" i="14"/>
  <c r="BH75" i="14"/>
  <c r="AV75" i="14"/>
  <c r="BH37" i="14"/>
  <c r="AV37" i="14"/>
  <c r="BH152" i="14"/>
  <c r="AV152" i="14"/>
  <c r="BH41" i="14"/>
  <c r="AV41" i="14"/>
  <c r="BH116" i="14"/>
  <c r="AV116" i="14"/>
  <c r="AV103" i="14"/>
  <c r="BH103" i="14"/>
  <c r="AV10" i="14"/>
  <c r="BH10" i="14"/>
  <c r="AV38" i="14"/>
  <c r="BH38" i="14"/>
  <c r="BH134" i="14"/>
  <c r="AV134" i="14"/>
  <c r="BH55" i="14"/>
  <c r="AV55" i="14"/>
  <c r="BH125" i="14"/>
  <c r="AV125" i="14"/>
  <c r="BH28" i="14"/>
  <c r="AV28" i="14"/>
  <c r="AV7" i="14"/>
  <c r="BH7" i="14"/>
  <c r="AV21" i="14"/>
  <c r="BH21" i="14"/>
  <c r="AV110" i="14"/>
  <c r="BH110" i="14"/>
  <c r="BH135" i="14"/>
  <c r="AV135" i="14"/>
  <c r="BH120" i="14"/>
  <c r="AV120" i="14"/>
  <c r="AV96" i="14"/>
  <c r="BH96" i="14"/>
  <c r="BH74" i="14"/>
  <c r="AV74" i="14"/>
  <c r="BH88" i="14"/>
  <c r="AV88" i="14"/>
  <c r="BH70" i="14"/>
  <c r="AV70" i="14"/>
  <c r="BH5" i="14"/>
  <c r="AV5" i="14"/>
  <c r="BH47" i="14"/>
  <c r="AV47" i="14"/>
  <c r="BH108" i="14"/>
  <c r="AV108" i="14"/>
  <c r="AV66" i="14"/>
  <c r="BH66" i="14"/>
  <c r="BH72" i="14"/>
  <c r="AV72" i="14"/>
  <c r="BH155" i="14"/>
  <c r="AV155" i="14"/>
  <c r="BH16" i="14"/>
  <c r="AV16" i="14"/>
  <c r="BH122" i="14"/>
  <c r="AV122" i="14"/>
  <c r="BH18" i="14"/>
  <c r="AV18" i="14"/>
  <c r="BH17" i="14"/>
  <c r="AV17" i="14"/>
  <c r="BH31" i="14"/>
  <c r="AV31" i="14"/>
  <c r="BH58" i="14"/>
  <c r="AV58" i="14"/>
  <c r="AV131" i="14"/>
  <c r="BH131" i="14"/>
  <c r="AV92" i="14"/>
  <c r="BH92" i="14"/>
  <c r="AV6" i="14"/>
  <c r="BH6" i="14"/>
  <c r="AV62" i="14"/>
  <c r="BH62" i="14"/>
  <c r="AV36" i="14"/>
  <c r="BH36" i="14"/>
  <c r="BH140" i="14"/>
  <c r="AV140" i="14"/>
  <c r="BH81" i="14"/>
  <c r="AV81" i="14"/>
  <c r="BH32" i="14"/>
  <c r="AV32" i="14"/>
  <c r="AV94" i="14"/>
  <c r="BH94" i="14"/>
  <c r="AV115" i="14"/>
  <c r="BH115" i="14"/>
  <c r="BH128" i="14"/>
  <c r="AV128" i="14"/>
  <c r="BH156" i="14"/>
  <c r="AV156" i="14"/>
  <c r="AV76" i="14"/>
  <c r="BH76" i="14"/>
  <c r="AV50" i="14"/>
  <c r="BH50" i="14"/>
  <c r="BH109" i="14"/>
  <c r="AV109" i="14"/>
  <c r="AV77" i="14"/>
  <c r="BH77" i="14"/>
  <c r="BH53" i="14"/>
  <c r="AV53" i="14"/>
  <c r="BH118" i="14"/>
  <c r="AV118" i="14"/>
  <c r="BH14" i="14"/>
  <c r="AV14" i="14"/>
  <c r="AV54" i="14"/>
  <c r="BH54" i="14"/>
  <c r="AV40" i="14"/>
  <c r="BH40" i="14"/>
  <c r="BH148" i="14"/>
  <c r="AV148" i="14"/>
  <c r="BH107" i="14"/>
  <c r="AV107" i="14"/>
  <c r="AV91" i="14"/>
  <c r="BH91" i="14"/>
  <c r="BH95" i="14"/>
  <c r="AV95" i="14"/>
  <c r="BH43" i="14"/>
  <c r="AV43" i="14"/>
  <c r="BH23" i="14"/>
  <c r="AV23" i="14"/>
  <c r="BH27" i="14"/>
  <c r="AV27" i="14"/>
  <c r="BH98" i="14"/>
  <c r="AV98" i="14"/>
  <c r="AV82" i="14"/>
  <c r="BH82" i="14"/>
  <c r="AV24" i="14"/>
  <c r="BH24" i="14"/>
  <c r="AV138" i="14"/>
  <c r="BH138" i="14"/>
  <c r="BH46" i="14"/>
  <c r="AV46" i="14"/>
  <c r="AV105" i="14"/>
  <c r="BH105" i="14"/>
  <c r="BH123" i="14"/>
  <c r="AV123" i="14"/>
  <c r="BH29" i="14"/>
  <c r="AV29" i="14"/>
  <c r="BH121" i="14"/>
  <c r="AV121" i="14"/>
  <c r="BH149" i="14"/>
  <c r="AV149" i="14"/>
  <c r="AV52" i="14"/>
  <c r="BH52" i="14"/>
  <c r="BH71" i="14"/>
  <c r="AV71" i="14"/>
  <c r="BH97" i="14"/>
  <c r="AV97" i="14"/>
  <c r="BH136" i="14"/>
  <c r="AV136" i="14"/>
  <c r="BH146" i="14"/>
  <c r="AV146" i="14"/>
  <c r="BH111" i="14"/>
  <c r="AV111" i="14"/>
  <c r="AV80" i="14"/>
  <c r="BH80" i="14"/>
  <c r="BH86" i="14"/>
  <c r="AV86" i="14"/>
  <c r="BH15" i="14"/>
  <c r="AV15" i="14"/>
  <c r="BH42" i="14"/>
  <c r="AV42" i="14"/>
  <c r="BH19" i="14"/>
  <c r="AV19" i="14"/>
  <c r="BH33" i="14"/>
  <c r="AV33" i="14"/>
  <c r="BH100" i="14"/>
  <c r="AV100" i="14"/>
  <c r="AV34" i="14"/>
  <c r="BH34" i="14"/>
  <c r="BH99" i="14"/>
  <c r="AV99" i="14"/>
  <c r="BH154" i="14"/>
  <c r="AV154" i="14"/>
  <c r="BH132" i="14"/>
  <c r="AV132" i="14"/>
  <c r="BH144" i="14"/>
  <c r="AV144" i="14"/>
  <c r="BH25" i="14"/>
  <c r="AV25" i="14"/>
  <c r="BH142" i="14"/>
  <c r="AV142" i="14"/>
  <c r="BH45" i="14"/>
  <c r="AV45" i="14"/>
  <c r="BH127" i="14"/>
  <c r="AV127" i="14"/>
  <c r="AV143" i="14"/>
  <c r="BH143" i="14"/>
  <c r="BH85" i="14"/>
  <c r="AV85" i="14"/>
  <c r="AV22" i="14"/>
  <c r="BH22" i="14"/>
  <c r="BH67" i="14"/>
  <c r="AV67" i="14"/>
  <c r="BH73" i="14"/>
  <c r="AV73" i="14"/>
  <c r="BH79" i="14"/>
  <c r="AV79" i="14"/>
  <c r="BH104" i="14"/>
  <c r="AV104" i="14"/>
  <c r="AV129" i="14"/>
  <c r="BH129" i="14"/>
  <c r="BH84" i="14"/>
  <c r="AV84" i="14"/>
  <c r="AV64" i="14"/>
  <c r="BH64" i="14"/>
  <c r="BH153" i="14"/>
  <c r="AV153" i="14"/>
  <c r="BN26" i="14" a="1"/>
  <c r="Q7" i="19"/>
  <c r="Q14" i="19"/>
  <c r="Q19" i="19"/>
  <c r="Q6" i="19"/>
  <c r="BM94" i="14" s="1"/>
  <c r="Q13" i="19"/>
  <c r="BM135" i="14" s="1"/>
  <c r="Q21" i="19"/>
  <c r="Q22" i="19"/>
  <c r="BN107" i="14" a="1"/>
  <c r="BN65" i="14" a="1"/>
  <c r="BN74" i="14" a="1"/>
  <c r="BN95" i="14" a="1"/>
  <c r="BN51" i="14" a="1"/>
  <c r="BN13" i="14" a="1"/>
  <c r="BN103" i="14" a="1"/>
  <c r="Q11" i="19"/>
  <c r="Q23" i="19"/>
  <c r="Q12" i="19"/>
  <c r="Q17" i="19"/>
  <c r="Q4" i="19"/>
  <c r="Q16" i="19"/>
  <c r="Q20" i="19"/>
  <c r="Q18" i="19"/>
  <c r="BM71" i="14" s="1"/>
  <c r="Q9" i="19"/>
  <c r="Q10" i="19"/>
  <c r="Q3" i="19"/>
  <c r="Q5" i="19"/>
  <c r="BM83" i="14" s="1"/>
  <c r="BN23" i="14" a="1"/>
  <c r="BN96" i="14" a="1"/>
  <c r="BN27" i="14" a="1"/>
  <c r="BN54" i="14" a="1"/>
  <c r="BN44" i="14" a="1"/>
  <c r="BN75" i="14" a="1"/>
  <c r="BN58" i="14" a="1"/>
  <c r="BN100" i="14" a="1"/>
  <c r="BN41" i="14" a="1"/>
  <c r="BN68" i="14" a="1"/>
  <c r="BN110" i="14" a="1"/>
  <c r="BN131" i="14" a="1"/>
  <c r="BN93" i="14" a="1"/>
  <c r="BN37" i="14" a="1"/>
  <c r="BN86" i="14" a="1"/>
  <c r="BN134" i="14" a="1"/>
  <c r="BN30" i="14" a="1"/>
  <c r="BN88" i="14" a="1"/>
  <c r="BN97" i="14" a="1"/>
  <c r="BN72" i="14" a="1"/>
  <c r="BN144" i="14" a="1"/>
  <c r="BN6" i="14" a="1"/>
  <c r="BN132" i="14" a="1"/>
  <c r="BN152" i="14" a="1"/>
  <c r="BN137" i="14" a="1"/>
  <c r="BN19" i="14" a="1"/>
  <c r="BN102" i="14" a="1"/>
  <c r="BN22" i="14" a="1"/>
  <c r="BN138" i="14" a="1"/>
  <c r="BN34" i="14" a="1"/>
  <c r="BN61" i="14" a="1"/>
  <c r="BN123" i="14" a="1"/>
  <c r="BN20" i="14" a="1"/>
  <c r="BN47" i="14" a="1"/>
  <c r="BN9" i="14" a="1"/>
  <c r="BN151" i="14" a="1"/>
  <c r="BN82" i="14" a="1"/>
  <c r="BN148" i="14" a="1"/>
  <c r="BN127" i="14" a="1"/>
  <c r="BN76" i="14" a="1"/>
  <c r="BN89" i="14" a="1"/>
  <c r="BN16" i="14" a="1"/>
  <c r="BN125" i="14" a="1"/>
  <c r="BN118" i="14" a="1"/>
  <c r="BN32" i="14" a="1"/>
  <c r="BN128" i="14" a="1"/>
  <c r="BN24" i="14" a="1"/>
  <c r="BN33" i="14" a="1"/>
  <c r="BN79" i="14" a="1"/>
  <c r="BN55" i="14" a="1"/>
  <c r="BN48" i="14" a="1"/>
  <c r="BN124" i="14" a="1"/>
  <c r="BN18" i="14" a="1"/>
  <c r="BN67" i="14" a="1"/>
  <c r="BN66" i="14" a="1"/>
  <c r="BN115" i="14" a="1"/>
  <c r="BN63" i="14" a="1"/>
  <c r="BN136" i="14" a="1"/>
  <c r="BN91" i="14" a="1"/>
  <c r="BN5" i="14" a="1"/>
  <c r="BN104" i="14" a="1"/>
  <c r="BN83" i="14" a="1"/>
  <c r="BN130" i="14" a="1"/>
  <c r="BN142" i="14" a="1"/>
  <c r="BN90" i="14" a="1"/>
  <c r="BN145" i="14" a="1"/>
  <c r="BN133" i="14" a="1"/>
  <c r="BN29" i="14" a="1"/>
  <c r="BN21" i="14" a="1"/>
  <c r="BN60" i="14" a="1"/>
  <c r="BN39" i="14" a="1"/>
  <c r="BN109" i="14" a="1"/>
  <c r="BN112" i="14" a="1"/>
  <c r="BN129" i="14" a="1"/>
  <c r="BN135" i="14" a="1"/>
  <c r="BN28" i="14" a="1"/>
  <c r="BN14" i="14" a="1"/>
  <c r="BN15" i="14" a="1"/>
  <c r="BN64" i="14" a="1"/>
  <c r="BN120" i="14" a="1"/>
  <c r="BN117" i="14" a="1"/>
  <c r="BN38" i="14" a="1"/>
  <c r="BN105" i="14" a="1"/>
  <c r="BN116" i="14" a="1"/>
  <c r="BN113" i="14" a="1"/>
  <c r="BN122" i="14" a="1"/>
  <c r="BN77" i="14" a="1"/>
  <c r="BN17" i="14" a="1"/>
  <c r="BN49" i="14" a="1"/>
  <c r="BN57" i="14" a="1"/>
  <c r="BN70" i="14" a="1"/>
  <c r="BN155" i="14" a="1"/>
  <c r="BN153" i="14" a="1"/>
  <c r="BN84" i="14" a="1"/>
  <c r="BN45" i="14" a="1"/>
  <c r="BN31" i="14" a="1"/>
  <c r="BN121" i="14" a="1"/>
  <c r="BN10" i="14" a="1"/>
  <c r="BN92" i="14" a="1"/>
  <c r="BN119" i="14" a="1"/>
  <c r="BN62" i="14" a="1"/>
  <c r="BN40" i="14" a="1"/>
  <c r="BN7" i="14" a="1"/>
  <c r="BN154" i="14" a="1"/>
  <c r="BN8" i="14" a="1"/>
  <c r="BN50" i="14" a="1"/>
  <c r="BN71" i="14" a="1"/>
  <c r="BN146" i="14" a="1"/>
  <c r="BN46" i="14" a="1"/>
  <c r="BN25" i="14" a="1"/>
  <c r="BN52" i="14" a="1"/>
  <c r="BN101" i="14" a="1"/>
  <c r="BN94" i="14" a="1"/>
  <c r="BN42" i="14" a="1"/>
  <c r="BN150" i="14" a="1"/>
  <c r="BN156" i="14" a="1"/>
  <c r="BN80" i="14" a="1"/>
  <c r="BN85" i="14" a="1"/>
  <c r="BN147" i="14" a="1"/>
  <c r="BN43" i="14" a="1"/>
  <c r="BN141" i="14" a="1"/>
  <c r="BN139" i="14" a="1"/>
  <c r="BN35" i="14" a="1"/>
  <c r="BN81" i="14" a="1"/>
  <c r="BN106" i="14" a="1"/>
  <c r="BN59" i="14" a="1"/>
  <c r="BN108" i="14" a="1"/>
  <c r="BN53" i="14" a="1"/>
  <c r="BN56" i="14" a="1"/>
  <c r="BN143" i="14" a="1"/>
  <c r="BN149" i="14" a="1"/>
  <c r="BN87" i="14" a="1"/>
  <c r="BN99" i="14" a="1"/>
  <c r="BN114" i="14" a="1"/>
  <c r="BN111" i="14" a="1"/>
  <c r="BN11" i="14" a="1"/>
  <c r="BN140" i="14" a="1"/>
  <c r="BN36" i="14" a="1"/>
  <c r="BN78" i="14" a="1"/>
  <c r="BN98" i="14" a="1"/>
  <c r="T6" i="17"/>
  <c r="T15" i="17"/>
  <c r="T7" i="17"/>
  <c r="T16" i="17"/>
  <c r="T20" i="17"/>
  <c r="T21" i="17"/>
  <c r="T4" i="17"/>
  <c r="T13" i="17"/>
  <c r="T2" i="17"/>
  <c r="T5" i="17"/>
  <c r="T14" i="17"/>
  <c r="T18" i="17"/>
  <c r="T22" i="17"/>
  <c r="T9" i="17"/>
  <c r="T10" i="17"/>
  <c r="T17" i="17"/>
  <c r="T8" i="17"/>
  <c r="T19" i="17"/>
  <c r="T11" i="17"/>
  <c r="T12" i="17"/>
  <c r="T23" i="17"/>
  <c r="W18" i="17"/>
  <c r="W9" i="17"/>
  <c r="W10" i="17"/>
  <c r="W22" i="17"/>
  <c r="W3" i="17"/>
  <c r="W11" i="17"/>
  <c r="W23" i="17"/>
  <c r="W12" i="17"/>
  <c r="W6" i="17"/>
  <c r="W15" i="17"/>
  <c r="W8" i="17"/>
  <c r="W19" i="17"/>
  <c r="W20" i="17"/>
  <c r="W21" i="17"/>
  <c r="W13" i="17"/>
  <c r="W16" i="17"/>
  <c r="W4" i="17"/>
  <c r="W17" i="17"/>
  <c r="W5" i="17"/>
  <c r="W14" i="17"/>
  <c r="W7" i="17"/>
  <c r="R3" i="7"/>
  <c r="S3" i="7"/>
  <c r="T3" i="7"/>
  <c r="U3" i="7"/>
  <c r="V3" i="7"/>
  <c r="W3" i="7"/>
  <c r="R4" i="7"/>
  <c r="S4" i="7"/>
  <c r="T4" i="7"/>
  <c r="U4" i="7"/>
  <c r="V4" i="7"/>
  <c r="W4" i="7"/>
  <c r="R5" i="7"/>
  <c r="S5" i="7"/>
  <c r="T5" i="7"/>
  <c r="U5" i="7"/>
  <c r="V5" i="7"/>
  <c r="W5" i="7"/>
  <c r="R6" i="7"/>
  <c r="S6" i="7"/>
  <c r="T6" i="7"/>
  <c r="U6" i="7"/>
  <c r="V6" i="7"/>
  <c r="W6" i="7"/>
  <c r="R7" i="7"/>
  <c r="S7" i="7"/>
  <c r="T7" i="7"/>
  <c r="U7" i="7"/>
  <c r="V7" i="7"/>
  <c r="W7" i="7"/>
  <c r="R8" i="7"/>
  <c r="S8" i="7"/>
  <c r="T8" i="7"/>
  <c r="U8" i="7"/>
  <c r="V8" i="7"/>
  <c r="W8" i="7"/>
  <c r="R9" i="7"/>
  <c r="S9" i="7"/>
  <c r="T9" i="7"/>
  <c r="U9" i="7"/>
  <c r="V9" i="7"/>
  <c r="W9" i="7"/>
  <c r="R10" i="7"/>
  <c r="S10" i="7"/>
  <c r="T10" i="7"/>
  <c r="U10" i="7"/>
  <c r="V10" i="7"/>
  <c r="W10" i="7"/>
  <c r="R11" i="7"/>
  <c r="S11" i="7"/>
  <c r="T11" i="7"/>
  <c r="U11" i="7"/>
  <c r="V11" i="7"/>
  <c r="W11" i="7"/>
  <c r="R12" i="7"/>
  <c r="S12" i="7"/>
  <c r="T12" i="7"/>
  <c r="U12" i="7"/>
  <c r="V12" i="7"/>
  <c r="W12" i="7"/>
  <c r="R13" i="7"/>
  <c r="S13" i="7"/>
  <c r="T13" i="7"/>
  <c r="U13" i="7"/>
  <c r="V13" i="7"/>
  <c r="W13" i="7"/>
  <c r="R14" i="7"/>
  <c r="S14" i="7"/>
  <c r="T14" i="7"/>
  <c r="U14" i="7"/>
  <c r="V14" i="7"/>
  <c r="W14" i="7"/>
  <c r="R15" i="7"/>
  <c r="S15" i="7"/>
  <c r="T15" i="7"/>
  <c r="U15" i="7"/>
  <c r="V15" i="7"/>
  <c r="W15" i="7"/>
  <c r="R16" i="7"/>
  <c r="S16" i="7"/>
  <c r="T16" i="7"/>
  <c r="U16" i="7"/>
  <c r="V16" i="7"/>
  <c r="W16" i="7"/>
  <c r="R17" i="7"/>
  <c r="S17" i="7"/>
  <c r="T17" i="7"/>
  <c r="U17" i="7"/>
  <c r="V17" i="7"/>
  <c r="W17" i="7"/>
  <c r="R18" i="7"/>
  <c r="S18" i="7"/>
  <c r="T18" i="7"/>
  <c r="U18" i="7"/>
  <c r="V18" i="7"/>
  <c r="W18" i="7"/>
  <c r="R19" i="7"/>
  <c r="S19" i="7"/>
  <c r="T19" i="7"/>
  <c r="U19" i="7"/>
  <c r="V19" i="7"/>
  <c r="W19" i="7"/>
  <c r="R20" i="7"/>
  <c r="S20" i="7"/>
  <c r="T20" i="7"/>
  <c r="U20" i="7"/>
  <c r="V20" i="7"/>
  <c r="W20" i="7"/>
  <c r="R21" i="7"/>
  <c r="S21" i="7"/>
  <c r="T21" i="7"/>
  <c r="U21" i="7"/>
  <c r="V21" i="7"/>
  <c r="W21" i="7"/>
  <c r="R22" i="7"/>
  <c r="S22" i="7"/>
  <c r="T22" i="7"/>
  <c r="U22" i="7"/>
  <c r="V22" i="7"/>
  <c r="W22" i="7"/>
  <c r="R23" i="7"/>
  <c r="S23" i="7"/>
  <c r="T23" i="7"/>
  <c r="U23" i="7"/>
  <c r="V23" i="7"/>
  <c r="W23" i="7"/>
  <c r="R24" i="7"/>
  <c r="S24" i="7"/>
  <c r="T24" i="7"/>
  <c r="U24" i="7"/>
  <c r="V24" i="7"/>
  <c r="W24" i="7"/>
  <c r="R25" i="7"/>
  <c r="S25" i="7"/>
  <c r="T25" i="7"/>
  <c r="U25" i="7"/>
  <c r="V25" i="7"/>
  <c r="W25" i="7"/>
  <c r="R26" i="7"/>
  <c r="S26" i="7"/>
  <c r="T26" i="7"/>
  <c r="U26" i="7"/>
  <c r="V26" i="7"/>
  <c r="W26" i="7"/>
  <c r="R27" i="7"/>
  <c r="S27" i="7"/>
  <c r="T27" i="7"/>
  <c r="U27" i="7"/>
  <c r="V27" i="7"/>
  <c r="W27" i="7"/>
  <c r="R28" i="7"/>
  <c r="S28" i="7"/>
  <c r="T28" i="7"/>
  <c r="U28" i="7"/>
  <c r="V28" i="7"/>
  <c r="W28" i="7"/>
  <c r="R29" i="7"/>
  <c r="S29" i="7"/>
  <c r="T29" i="7"/>
  <c r="U29" i="7"/>
  <c r="V29" i="7"/>
  <c r="W29" i="7"/>
  <c r="R30" i="7"/>
  <c r="S30" i="7"/>
  <c r="T30" i="7"/>
  <c r="U30" i="7"/>
  <c r="V30" i="7"/>
  <c r="W30" i="7"/>
  <c r="R31" i="7"/>
  <c r="S31" i="7"/>
  <c r="T31" i="7"/>
  <c r="U31" i="7"/>
  <c r="V31" i="7"/>
  <c r="W31" i="7"/>
  <c r="R32" i="7"/>
  <c r="S32" i="7"/>
  <c r="T32" i="7"/>
  <c r="U32" i="7"/>
  <c r="V32" i="7"/>
  <c r="W32" i="7"/>
  <c r="R33" i="7"/>
  <c r="S33" i="7"/>
  <c r="T33" i="7"/>
  <c r="U33" i="7"/>
  <c r="V33" i="7"/>
  <c r="W33" i="7"/>
  <c r="R34" i="7"/>
  <c r="S34" i="7"/>
  <c r="T34" i="7"/>
  <c r="U34" i="7"/>
  <c r="V34" i="7"/>
  <c r="W34" i="7"/>
  <c r="R35" i="7"/>
  <c r="S35" i="7"/>
  <c r="T35" i="7"/>
  <c r="U35" i="7"/>
  <c r="V35" i="7"/>
  <c r="W35" i="7"/>
  <c r="R36" i="7"/>
  <c r="S36" i="7"/>
  <c r="T36" i="7"/>
  <c r="U36" i="7"/>
  <c r="V36" i="7"/>
  <c r="W36" i="7"/>
  <c r="R37" i="7"/>
  <c r="S37" i="7"/>
  <c r="T37" i="7"/>
  <c r="U37" i="7"/>
  <c r="V37" i="7"/>
  <c r="W37" i="7"/>
  <c r="R38" i="7"/>
  <c r="S38" i="7"/>
  <c r="T38" i="7"/>
  <c r="U38" i="7"/>
  <c r="V38" i="7"/>
  <c r="W38" i="7"/>
  <c r="R39" i="7"/>
  <c r="S39" i="7"/>
  <c r="T39" i="7"/>
  <c r="U39" i="7"/>
  <c r="V39" i="7"/>
  <c r="W39" i="7"/>
  <c r="R40" i="7"/>
  <c r="S40" i="7"/>
  <c r="T40" i="7"/>
  <c r="U40" i="7"/>
  <c r="V40" i="7"/>
  <c r="W40" i="7"/>
  <c r="R41" i="7"/>
  <c r="S41" i="7"/>
  <c r="T41" i="7"/>
  <c r="U41" i="7"/>
  <c r="V41" i="7"/>
  <c r="W41" i="7"/>
  <c r="R42" i="7"/>
  <c r="S42" i="7"/>
  <c r="T42" i="7"/>
  <c r="U42" i="7"/>
  <c r="V42" i="7"/>
  <c r="W42" i="7"/>
  <c r="R43" i="7"/>
  <c r="S43" i="7"/>
  <c r="T43" i="7"/>
  <c r="U43" i="7"/>
  <c r="V43" i="7"/>
  <c r="W43" i="7"/>
  <c r="R44" i="7"/>
  <c r="S44" i="7"/>
  <c r="T44" i="7"/>
  <c r="U44" i="7"/>
  <c r="V44" i="7"/>
  <c r="W44" i="7"/>
  <c r="R45" i="7"/>
  <c r="S45" i="7"/>
  <c r="T45" i="7"/>
  <c r="U45" i="7"/>
  <c r="V45" i="7"/>
  <c r="W45" i="7"/>
  <c r="R46" i="7"/>
  <c r="S46" i="7"/>
  <c r="T46" i="7"/>
  <c r="U46" i="7"/>
  <c r="V46" i="7"/>
  <c r="W46" i="7"/>
  <c r="R47" i="7"/>
  <c r="S47" i="7"/>
  <c r="T47" i="7"/>
  <c r="U47" i="7"/>
  <c r="V47" i="7"/>
  <c r="W47" i="7"/>
  <c r="R48" i="7"/>
  <c r="S48" i="7"/>
  <c r="T48" i="7"/>
  <c r="U48" i="7"/>
  <c r="V48" i="7"/>
  <c r="W48" i="7"/>
  <c r="R49" i="7"/>
  <c r="S49" i="7"/>
  <c r="T49" i="7"/>
  <c r="U49" i="7"/>
  <c r="V49" i="7"/>
  <c r="W49" i="7"/>
  <c r="R50" i="7"/>
  <c r="S50" i="7"/>
  <c r="T50" i="7"/>
  <c r="U50" i="7"/>
  <c r="V50" i="7"/>
  <c r="W50" i="7"/>
  <c r="R51" i="7"/>
  <c r="S51" i="7"/>
  <c r="T51" i="7"/>
  <c r="U51" i="7"/>
  <c r="V51" i="7"/>
  <c r="W51" i="7"/>
  <c r="R52" i="7"/>
  <c r="S52" i="7"/>
  <c r="T52" i="7"/>
  <c r="U52" i="7"/>
  <c r="V52" i="7"/>
  <c r="W52" i="7"/>
  <c r="R53" i="7"/>
  <c r="S53" i="7"/>
  <c r="T53" i="7"/>
  <c r="U53" i="7"/>
  <c r="V53" i="7"/>
  <c r="W53" i="7"/>
  <c r="R54" i="7"/>
  <c r="S54" i="7"/>
  <c r="T54" i="7"/>
  <c r="U54" i="7"/>
  <c r="V54" i="7"/>
  <c r="W54" i="7"/>
  <c r="R55" i="7"/>
  <c r="S55" i="7"/>
  <c r="T55" i="7"/>
  <c r="U55" i="7"/>
  <c r="V55" i="7"/>
  <c r="W55" i="7"/>
  <c r="R56" i="7"/>
  <c r="S56" i="7"/>
  <c r="T56" i="7"/>
  <c r="U56" i="7"/>
  <c r="V56" i="7"/>
  <c r="W56" i="7"/>
  <c r="R57" i="7"/>
  <c r="S57" i="7"/>
  <c r="T57" i="7"/>
  <c r="U57" i="7"/>
  <c r="V57" i="7"/>
  <c r="W57" i="7"/>
  <c r="R58" i="7"/>
  <c r="S58" i="7"/>
  <c r="T58" i="7"/>
  <c r="U58" i="7"/>
  <c r="V58" i="7"/>
  <c r="W58" i="7"/>
  <c r="W2" i="7"/>
  <c r="V2" i="7"/>
  <c r="U2" i="7"/>
  <c r="T2" i="7"/>
  <c r="S2" i="7"/>
  <c r="R2" i="7"/>
  <c r="V8" i="5"/>
  <c r="R3" i="5"/>
  <c r="S3" i="5"/>
  <c r="T3" i="5"/>
  <c r="U3" i="5"/>
  <c r="V3" i="5"/>
  <c r="W3" i="5"/>
  <c r="R4" i="5"/>
  <c r="S4" i="5"/>
  <c r="T4" i="5"/>
  <c r="U4" i="5"/>
  <c r="V4" i="5"/>
  <c r="W4" i="5"/>
  <c r="R5" i="5"/>
  <c r="S5" i="5"/>
  <c r="T5" i="5"/>
  <c r="U5" i="5"/>
  <c r="V5" i="5"/>
  <c r="W5" i="5"/>
  <c r="R6" i="5"/>
  <c r="S6" i="5"/>
  <c r="T6" i="5"/>
  <c r="U6" i="5"/>
  <c r="V6" i="5"/>
  <c r="W6" i="5"/>
  <c r="R7" i="5"/>
  <c r="S7" i="5"/>
  <c r="T7" i="5"/>
  <c r="U7" i="5"/>
  <c r="V7" i="5"/>
  <c r="W7" i="5"/>
  <c r="R8" i="5"/>
  <c r="S8" i="5"/>
  <c r="T8" i="5"/>
  <c r="U8" i="5"/>
  <c r="W8" i="5"/>
  <c r="R9" i="5"/>
  <c r="S9" i="5"/>
  <c r="T9" i="5"/>
  <c r="U9" i="5"/>
  <c r="V9" i="5"/>
  <c r="W9" i="5"/>
  <c r="R10" i="5"/>
  <c r="S10" i="5"/>
  <c r="T10" i="5"/>
  <c r="U10" i="5"/>
  <c r="V10" i="5"/>
  <c r="W10" i="5"/>
  <c r="R11" i="5"/>
  <c r="S11" i="5"/>
  <c r="T11" i="5"/>
  <c r="U11" i="5"/>
  <c r="V11" i="5"/>
  <c r="W11" i="5"/>
  <c r="R12" i="5"/>
  <c r="S12" i="5"/>
  <c r="T12" i="5"/>
  <c r="U12" i="5"/>
  <c r="V12" i="5"/>
  <c r="W12" i="5"/>
  <c r="R13" i="5"/>
  <c r="S13" i="5"/>
  <c r="T13" i="5"/>
  <c r="U13" i="5"/>
  <c r="V13" i="5"/>
  <c r="W13" i="5"/>
  <c r="R14" i="5"/>
  <c r="S14" i="5"/>
  <c r="T14" i="5"/>
  <c r="U14" i="5"/>
  <c r="V14" i="5"/>
  <c r="W14" i="5"/>
  <c r="R15" i="5"/>
  <c r="S15" i="5"/>
  <c r="T15" i="5"/>
  <c r="U15" i="5"/>
  <c r="V15" i="5"/>
  <c r="W15" i="5"/>
  <c r="R16" i="5"/>
  <c r="S16" i="5"/>
  <c r="T16" i="5"/>
  <c r="U16" i="5"/>
  <c r="V16" i="5"/>
  <c r="W16" i="5"/>
  <c r="R17" i="5"/>
  <c r="S17" i="5"/>
  <c r="T17" i="5"/>
  <c r="U17" i="5"/>
  <c r="V17" i="5"/>
  <c r="W17" i="5"/>
  <c r="R18" i="5"/>
  <c r="S18" i="5"/>
  <c r="T18" i="5"/>
  <c r="U18" i="5"/>
  <c r="V18" i="5"/>
  <c r="W18" i="5"/>
  <c r="R19" i="5"/>
  <c r="S19" i="5"/>
  <c r="T19" i="5"/>
  <c r="U19" i="5"/>
  <c r="V19" i="5"/>
  <c r="W19" i="5"/>
  <c r="R20" i="5"/>
  <c r="S20" i="5"/>
  <c r="T20" i="5"/>
  <c r="U20" i="5"/>
  <c r="V20" i="5"/>
  <c r="W20" i="5"/>
  <c r="R21" i="5"/>
  <c r="S21" i="5"/>
  <c r="T21" i="5"/>
  <c r="U21" i="5"/>
  <c r="V21" i="5"/>
  <c r="W21" i="5"/>
  <c r="R22" i="5"/>
  <c r="S22" i="5"/>
  <c r="T22" i="5"/>
  <c r="U22" i="5"/>
  <c r="V22" i="5"/>
  <c r="W22" i="5"/>
  <c r="R23" i="5"/>
  <c r="S23" i="5"/>
  <c r="T23" i="5"/>
  <c r="U23" i="5"/>
  <c r="V23" i="5"/>
  <c r="W23" i="5"/>
  <c r="R24" i="5"/>
  <c r="S24" i="5"/>
  <c r="T24" i="5"/>
  <c r="U24" i="5"/>
  <c r="V24" i="5"/>
  <c r="W24" i="5"/>
  <c r="R25" i="5"/>
  <c r="S25" i="5"/>
  <c r="T25" i="5"/>
  <c r="U25" i="5"/>
  <c r="V25" i="5"/>
  <c r="W25" i="5"/>
  <c r="R26" i="5"/>
  <c r="S26" i="5"/>
  <c r="T26" i="5"/>
  <c r="U26" i="5"/>
  <c r="V26" i="5"/>
  <c r="W26" i="5"/>
  <c r="R27" i="5"/>
  <c r="S27" i="5"/>
  <c r="T27" i="5"/>
  <c r="U27" i="5"/>
  <c r="V27" i="5"/>
  <c r="W27" i="5"/>
  <c r="R28" i="5"/>
  <c r="S28" i="5"/>
  <c r="T28" i="5"/>
  <c r="U28" i="5"/>
  <c r="V28" i="5"/>
  <c r="W28" i="5"/>
  <c r="R29" i="5"/>
  <c r="S29" i="5"/>
  <c r="T29" i="5"/>
  <c r="U29" i="5"/>
  <c r="V29" i="5"/>
  <c r="W29" i="5"/>
  <c r="R30" i="5"/>
  <c r="S30" i="5"/>
  <c r="T30" i="5"/>
  <c r="U30" i="5"/>
  <c r="V30" i="5"/>
  <c r="W30" i="5"/>
  <c r="R31" i="5"/>
  <c r="S31" i="5"/>
  <c r="T31" i="5"/>
  <c r="U31" i="5"/>
  <c r="V31" i="5"/>
  <c r="W31" i="5"/>
  <c r="R32" i="5"/>
  <c r="S32" i="5"/>
  <c r="T32" i="5"/>
  <c r="U32" i="5"/>
  <c r="V32" i="5"/>
  <c r="W32" i="5"/>
  <c r="R33" i="5"/>
  <c r="S33" i="5"/>
  <c r="T33" i="5"/>
  <c r="U33" i="5"/>
  <c r="V33" i="5"/>
  <c r="W33" i="5"/>
  <c r="R34" i="5"/>
  <c r="S34" i="5"/>
  <c r="T34" i="5"/>
  <c r="U34" i="5"/>
  <c r="V34" i="5"/>
  <c r="W34" i="5"/>
  <c r="R35" i="5"/>
  <c r="S35" i="5"/>
  <c r="T35" i="5"/>
  <c r="U35" i="5"/>
  <c r="V35" i="5"/>
  <c r="W35" i="5"/>
  <c r="R36" i="5"/>
  <c r="S36" i="5"/>
  <c r="T36" i="5"/>
  <c r="U36" i="5"/>
  <c r="V36" i="5"/>
  <c r="W36" i="5"/>
  <c r="R37" i="5"/>
  <c r="S37" i="5"/>
  <c r="T37" i="5"/>
  <c r="U37" i="5"/>
  <c r="V37" i="5"/>
  <c r="W37" i="5"/>
  <c r="R38" i="5"/>
  <c r="S38" i="5"/>
  <c r="T38" i="5"/>
  <c r="U38" i="5"/>
  <c r="V38" i="5"/>
  <c r="W38" i="5"/>
  <c r="R39" i="5"/>
  <c r="S39" i="5"/>
  <c r="T39" i="5"/>
  <c r="U39" i="5"/>
  <c r="V39" i="5"/>
  <c r="W39" i="5"/>
  <c r="R40" i="5"/>
  <c r="S40" i="5"/>
  <c r="T40" i="5"/>
  <c r="U40" i="5"/>
  <c r="V40" i="5"/>
  <c r="W40" i="5"/>
  <c r="R41" i="5"/>
  <c r="S41" i="5"/>
  <c r="T41" i="5"/>
  <c r="U41" i="5"/>
  <c r="V41" i="5"/>
  <c r="W41" i="5"/>
  <c r="R42" i="5"/>
  <c r="S42" i="5"/>
  <c r="T42" i="5"/>
  <c r="U42" i="5"/>
  <c r="V42" i="5"/>
  <c r="W42" i="5"/>
  <c r="R43" i="5"/>
  <c r="S43" i="5"/>
  <c r="T43" i="5"/>
  <c r="U43" i="5"/>
  <c r="V43" i="5"/>
  <c r="W43" i="5"/>
  <c r="R44" i="5"/>
  <c r="S44" i="5"/>
  <c r="T44" i="5"/>
  <c r="U44" i="5"/>
  <c r="V44" i="5"/>
  <c r="W44" i="5"/>
  <c r="R45" i="5"/>
  <c r="S45" i="5"/>
  <c r="T45" i="5"/>
  <c r="U45" i="5"/>
  <c r="V45" i="5"/>
  <c r="W45" i="5"/>
  <c r="R46" i="5"/>
  <c r="S46" i="5"/>
  <c r="T46" i="5"/>
  <c r="U46" i="5"/>
  <c r="V46" i="5"/>
  <c r="W46" i="5"/>
  <c r="R47" i="5"/>
  <c r="S47" i="5"/>
  <c r="T47" i="5"/>
  <c r="U47" i="5"/>
  <c r="V47" i="5"/>
  <c r="W47" i="5"/>
  <c r="R48" i="5"/>
  <c r="S48" i="5"/>
  <c r="T48" i="5"/>
  <c r="U48" i="5"/>
  <c r="V48" i="5"/>
  <c r="W48" i="5"/>
  <c r="R49" i="5"/>
  <c r="S49" i="5"/>
  <c r="T49" i="5"/>
  <c r="U49" i="5"/>
  <c r="V49" i="5"/>
  <c r="W49" i="5"/>
  <c r="R50" i="5"/>
  <c r="S50" i="5"/>
  <c r="T50" i="5"/>
  <c r="U50" i="5"/>
  <c r="V50" i="5"/>
  <c r="W50" i="5"/>
  <c r="R51" i="5"/>
  <c r="S51" i="5"/>
  <c r="T51" i="5"/>
  <c r="U51" i="5"/>
  <c r="V51" i="5"/>
  <c r="W51" i="5"/>
  <c r="R52" i="5"/>
  <c r="S52" i="5"/>
  <c r="T52" i="5"/>
  <c r="U52" i="5"/>
  <c r="V52" i="5"/>
  <c r="W52" i="5"/>
  <c r="R53" i="5"/>
  <c r="S53" i="5"/>
  <c r="T53" i="5"/>
  <c r="U53" i="5"/>
  <c r="V53" i="5"/>
  <c r="W53" i="5"/>
  <c r="R54" i="5"/>
  <c r="S54" i="5"/>
  <c r="T54" i="5"/>
  <c r="U54" i="5"/>
  <c r="V54" i="5"/>
  <c r="W54" i="5"/>
  <c r="R55" i="5"/>
  <c r="S55" i="5"/>
  <c r="T55" i="5"/>
  <c r="U55" i="5"/>
  <c r="V55" i="5"/>
  <c r="W55" i="5"/>
  <c r="R56" i="5"/>
  <c r="S56" i="5"/>
  <c r="T56" i="5"/>
  <c r="U56" i="5"/>
  <c r="V56" i="5"/>
  <c r="W56" i="5"/>
  <c r="R57" i="5"/>
  <c r="S57" i="5"/>
  <c r="T57" i="5"/>
  <c r="U57" i="5"/>
  <c r="V57" i="5"/>
  <c r="W57" i="5"/>
  <c r="R58" i="5"/>
  <c r="S58" i="5"/>
  <c r="T58" i="5"/>
  <c r="U58" i="5"/>
  <c r="V58" i="5"/>
  <c r="W58" i="5"/>
  <c r="W2" i="5"/>
  <c r="V2" i="5"/>
  <c r="U2" i="5"/>
  <c r="T2" i="5"/>
  <c r="S2" i="5"/>
  <c r="R2" i="5"/>
  <c r="BM142" i="14" l="1"/>
  <c r="BM136" i="14"/>
  <c r="BM140" i="14"/>
  <c r="BM145" i="14"/>
  <c r="BM93" i="14"/>
  <c r="BM106" i="14"/>
  <c r="BM95" i="14"/>
  <c r="BM97" i="14"/>
  <c r="BM101" i="14"/>
  <c r="BM99" i="14"/>
  <c r="BM96" i="14"/>
  <c r="BM91" i="14"/>
  <c r="BM100" i="14"/>
  <c r="BM139" i="14"/>
  <c r="BM138" i="14"/>
  <c r="BM137" i="14"/>
  <c r="BM141" i="14"/>
  <c r="BM81" i="14"/>
  <c r="BM87" i="14"/>
  <c r="BM82" i="14"/>
  <c r="BM86" i="14"/>
  <c r="BM28" i="14"/>
  <c r="BM80" i="14"/>
  <c r="BM54" i="14"/>
  <c r="BM132" i="14"/>
  <c r="BM59" i="14"/>
  <c r="BM15" i="14"/>
  <c r="BM38" i="14"/>
  <c r="BM11" i="14"/>
  <c r="BM118" i="14"/>
  <c r="BM128" i="14"/>
  <c r="BM133" i="14"/>
  <c r="BM129" i="14"/>
  <c r="BM130" i="14"/>
  <c r="BM154" i="14"/>
  <c r="BM150" i="14"/>
  <c r="BM18" i="14"/>
  <c r="BM17" i="14"/>
  <c r="BM21" i="14"/>
  <c r="BM22" i="14"/>
  <c r="BM24" i="14"/>
  <c r="BM153" i="14"/>
  <c r="BM23" i="14"/>
  <c r="BM20" i="14"/>
  <c r="BM156" i="14"/>
  <c r="BM146" i="14"/>
  <c r="BM155" i="14"/>
  <c r="BM10" i="14"/>
  <c r="BM12" i="14"/>
  <c r="BM14" i="14"/>
  <c r="BM4" i="14"/>
  <c r="BM114" i="14"/>
  <c r="BM121" i="14"/>
  <c r="BM32" i="14"/>
  <c r="BM117" i="14"/>
  <c r="BM55" i="14"/>
  <c r="BM79" i="14"/>
  <c r="BM69" i="14"/>
  <c r="BM58" i="14"/>
  <c r="BM53" i="14"/>
  <c r="BM103" i="14"/>
  <c r="BM62" i="14"/>
  <c r="BM60" i="14"/>
  <c r="BM70" i="14"/>
  <c r="BM120" i="14"/>
  <c r="BM119" i="14"/>
  <c r="BM122" i="14"/>
  <c r="BM113" i="14"/>
  <c r="BM74" i="14"/>
  <c r="BM63" i="14"/>
  <c r="BM76" i="14"/>
  <c r="BM73" i="14"/>
  <c r="BM77" i="14"/>
  <c r="BM36" i="14"/>
  <c r="BM27" i="14"/>
  <c r="BM61" i="14"/>
  <c r="BM40" i="14"/>
  <c r="BM37" i="14"/>
  <c r="BM112" i="14"/>
  <c r="BM47" i="14"/>
  <c r="BM42" i="14"/>
  <c r="BM111" i="14"/>
  <c r="BM52" i="14"/>
  <c r="BM147" i="14"/>
  <c r="BM98" i="14"/>
  <c r="BM39" i="14"/>
  <c r="BM88" i="14"/>
  <c r="BM29" i="14"/>
  <c r="BM102" i="14"/>
  <c r="BM44" i="14"/>
  <c r="BM123" i="14"/>
  <c r="BM43" i="14"/>
  <c r="BM5" i="14"/>
  <c r="BM64" i="14"/>
  <c r="BM110" i="14"/>
  <c r="BM51" i="14"/>
  <c r="BM30" i="14"/>
  <c r="BM116" i="14"/>
  <c r="BM34" i="14"/>
  <c r="BM57" i="14"/>
  <c r="BM89" i="14"/>
  <c r="BM148" i="14"/>
  <c r="BM50" i="14"/>
  <c r="BM35" i="14"/>
  <c r="BM152" i="14"/>
  <c r="BM109" i="14"/>
  <c r="BM41" i="14"/>
  <c r="BM45" i="14"/>
  <c r="BM104" i="14"/>
  <c r="BM65" i="14"/>
  <c r="BM149" i="14"/>
  <c r="BM124" i="14"/>
  <c r="BM126" i="14"/>
  <c r="BM105" i="14"/>
  <c r="BM107" i="14"/>
  <c r="BM6" i="14"/>
  <c r="BM8" i="14"/>
  <c r="BM67" i="14"/>
  <c r="BM31" i="14"/>
  <c r="BM125" i="14"/>
  <c r="BM78" i="14"/>
  <c r="BM48" i="14"/>
  <c r="BM66" i="14"/>
  <c r="BM46" i="14"/>
  <c r="BM7" i="14"/>
  <c r="BM90" i="14"/>
  <c r="BM19" i="14"/>
  <c r="BM56" i="14"/>
  <c r="BM75" i="14"/>
  <c r="BM16" i="14"/>
  <c r="BM143" i="14"/>
  <c r="BM134" i="14"/>
  <c r="BM84" i="14"/>
  <c r="BM25" i="14"/>
  <c r="BM115" i="14"/>
  <c r="BM144" i="14"/>
  <c r="BM151" i="14"/>
  <c r="BM131" i="14"/>
  <c r="BM85" i="14"/>
  <c r="BM92" i="14"/>
  <c r="BM72" i="14"/>
  <c r="BM108" i="14"/>
  <c r="BM26" i="14"/>
  <c r="BM127" i="14"/>
  <c r="BM13" i="14"/>
  <c r="BM49" i="14"/>
  <c r="BM68" i="14"/>
  <c r="BM33" i="14"/>
  <c r="BM9" i="14"/>
  <c r="AH4" i="1"/>
  <c r="AU4" i="1" s="1"/>
  <c r="AI4" i="1"/>
  <c r="AV4" i="1" s="1"/>
  <c r="AJ4" i="1"/>
  <c r="AW4" i="1" s="1"/>
  <c r="AF5" i="1"/>
  <c r="AS5" i="1" s="1"/>
  <c r="AH5" i="1"/>
  <c r="AU5" i="1" s="1"/>
  <c r="AI6" i="1"/>
  <c r="AV6" i="1" s="1"/>
  <c r="AJ6" i="1"/>
  <c r="AW6" i="1" s="1"/>
  <c r="AE7" i="1"/>
  <c r="AR7" i="1" s="1"/>
  <c r="AF7" i="1"/>
  <c r="AS7" i="1" s="1"/>
  <c r="AH7" i="1"/>
  <c r="AU7" i="1" s="1"/>
  <c r="AE9" i="1"/>
  <c r="AR9" i="1" s="1"/>
  <c r="AF9" i="1"/>
  <c r="AS9" i="1" s="1"/>
  <c r="AG9" i="1"/>
  <c r="AT9" i="1" s="1"/>
  <c r="AH9" i="1"/>
  <c r="AU9" i="1" s="1"/>
  <c r="AH10" i="1"/>
  <c r="AU10" i="1" s="1"/>
  <c r="AH11" i="1"/>
  <c r="AU11" i="1" s="1"/>
  <c r="AI11" i="1"/>
  <c r="AV11" i="1" s="1"/>
  <c r="AJ11" i="1"/>
  <c r="AW11" i="1" s="1"/>
  <c r="AG13" i="1"/>
  <c r="AT13" i="1" s="1"/>
  <c r="AI13" i="1"/>
  <c r="AV13" i="1" s="1"/>
  <c r="AJ13" i="1"/>
  <c r="AW13" i="1" s="1"/>
  <c r="AE14" i="1"/>
  <c r="AR14" i="1" s="1"/>
  <c r="AF14" i="1"/>
  <c r="AS14" i="1" s="1"/>
  <c r="AH14" i="1"/>
  <c r="AU14" i="1" s="1"/>
  <c r="AE16" i="1"/>
  <c r="AR16" i="1" s="1"/>
  <c r="AF16" i="1"/>
  <c r="AS16" i="1" s="1"/>
  <c r="AG16" i="1"/>
  <c r="AT16" i="1" s="1"/>
  <c r="AH16" i="1"/>
  <c r="AU16" i="1" s="1"/>
  <c r="AG17" i="1"/>
  <c r="AT17" i="1" s="1"/>
  <c r="AH18" i="1"/>
  <c r="AU18" i="1" s="1"/>
  <c r="AI18" i="1"/>
  <c r="AV18" i="1" s="1"/>
  <c r="AJ18" i="1"/>
  <c r="AW18" i="1" s="1"/>
  <c r="AH19" i="1"/>
  <c r="AU19" i="1" s="1"/>
  <c r="AG20" i="1"/>
  <c r="AT20" i="1" s="1"/>
  <c r="AI20" i="1"/>
  <c r="AV20" i="1" s="1"/>
  <c r="AJ20" i="1"/>
  <c r="AW20" i="1" s="1"/>
  <c r="AE21" i="1"/>
  <c r="AR21" i="1" s="1"/>
  <c r="AF21" i="1"/>
  <c r="AS21" i="1" s="1"/>
  <c r="AF23" i="1"/>
  <c r="AS23" i="1" s="1"/>
  <c r="AH23" i="1"/>
  <c r="AU23" i="1" s="1"/>
  <c r="AJ23" i="1"/>
  <c r="AW23" i="1" s="1"/>
  <c r="AE25" i="1"/>
  <c r="AR25" i="1" s="1"/>
  <c r="AG25" i="1"/>
  <c r="AT25" i="1" s="1"/>
  <c r="AH25" i="1"/>
  <c r="AU25" i="1" s="1"/>
  <c r="AI25" i="1"/>
  <c r="AV25" i="1" s="1"/>
  <c r="AJ25" i="1"/>
  <c r="AW25" i="1" s="1"/>
  <c r="AF26" i="1"/>
  <c r="AS26" i="1" s="1"/>
  <c r="AI26" i="1"/>
  <c r="AV26" i="1" s="1"/>
  <c r="AJ27" i="1"/>
  <c r="AW27" i="1" s="1"/>
  <c r="AE28" i="1"/>
  <c r="AR28" i="1" s="1"/>
  <c r="AF28" i="1"/>
  <c r="AS28" i="1" s="1"/>
  <c r="AH28" i="1"/>
  <c r="AU28" i="1" s="1"/>
  <c r="AE30" i="1"/>
  <c r="AR30" i="1" s="1"/>
  <c r="AF30" i="1"/>
  <c r="AS30" i="1" s="1"/>
  <c r="AG30" i="1"/>
  <c r="AT30" i="1" s="1"/>
  <c r="AH30" i="1"/>
  <c r="AU30" i="1" s="1"/>
  <c r="AJ30" i="1"/>
  <c r="AW30" i="1" s="1"/>
  <c r="AF31" i="1"/>
  <c r="AS31" i="1" s="1"/>
  <c r="AG31" i="1"/>
  <c r="AT31" i="1" s="1"/>
  <c r="AE32" i="1"/>
  <c r="AR32" i="1" s="1"/>
  <c r="AG32" i="1"/>
  <c r="AT32" i="1" s="1"/>
  <c r="AI32" i="1"/>
  <c r="AV32" i="1" s="1"/>
  <c r="AJ32" i="1"/>
  <c r="AW32" i="1" s="1"/>
  <c r="AE33" i="1"/>
  <c r="AR33" i="1" s="1"/>
  <c r="AF33" i="1"/>
  <c r="AS33" i="1" s="1"/>
  <c r="AJ34" i="1"/>
  <c r="AW34" i="1" s="1"/>
  <c r="AE35" i="1"/>
  <c r="AR35" i="1" s="1"/>
  <c r="AF35" i="1"/>
  <c r="AS35" i="1" s="1"/>
  <c r="AG35" i="1"/>
  <c r="AT35" i="1" s="1"/>
  <c r="AH35" i="1"/>
  <c r="AU35" i="1" s="1"/>
  <c r="AE36" i="1"/>
  <c r="AR36" i="1" s="1"/>
  <c r="AI36" i="1"/>
  <c r="AV36" i="1" s="1"/>
  <c r="AE37" i="1"/>
  <c r="AR37" i="1" s="1"/>
  <c r="AF37" i="1"/>
  <c r="AS37" i="1" s="1"/>
  <c r="AG37" i="1"/>
  <c r="AT37" i="1" s="1"/>
  <c r="AH37" i="1"/>
  <c r="AU37" i="1" s="1"/>
  <c r="AH38" i="1"/>
  <c r="AU38" i="1" s="1"/>
  <c r="AE39" i="1"/>
  <c r="AR39" i="1" s="1"/>
  <c r="AG39" i="1"/>
  <c r="AT39" i="1" s="1"/>
  <c r="AI39" i="1"/>
  <c r="AV39" i="1" s="1"/>
  <c r="AJ39" i="1"/>
  <c r="AW39" i="1" s="1"/>
  <c r="AE40" i="1"/>
  <c r="AR40" i="1" s="1"/>
  <c r="AF40" i="1"/>
  <c r="AS40" i="1" s="1"/>
  <c r="AJ40" i="1"/>
  <c r="AW40" i="1" s="1"/>
  <c r="AE41" i="1"/>
  <c r="AR41" i="1" s="1"/>
  <c r="AG41" i="1"/>
  <c r="AT41" i="1" s="1"/>
  <c r="AI41" i="1"/>
  <c r="AV41" i="1" s="1"/>
  <c r="AJ41" i="1"/>
  <c r="AW41" i="1" s="1"/>
  <c r="AE42" i="1"/>
  <c r="AR42" i="1" s="1"/>
  <c r="AF42" i="1"/>
  <c r="AS42" i="1" s="1"/>
  <c r="AH42" i="1"/>
  <c r="AU42" i="1" s="1"/>
  <c r="AJ42" i="1"/>
  <c r="AW42" i="1" s="1"/>
  <c r="AF43" i="1"/>
  <c r="AS43" i="1" s="1"/>
  <c r="AI43" i="1"/>
  <c r="AV43" i="1" s="1"/>
  <c r="AJ43" i="1"/>
  <c r="AW43" i="1" s="1"/>
  <c r="AH44" i="1"/>
  <c r="AU44" i="1" s="1"/>
  <c r="AH45" i="1"/>
  <c r="AU45" i="1" s="1"/>
  <c r="AH46" i="1"/>
  <c r="AU46" i="1" s="1"/>
  <c r="AI46" i="1"/>
  <c r="AV46" i="1" s="1"/>
  <c r="AJ46" i="1"/>
  <c r="AW46" i="1" s="1"/>
  <c r="AI47" i="1"/>
  <c r="AV47" i="1" s="1"/>
  <c r="AJ47" i="1"/>
  <c r="AW47" i="1" s="1"/>
  <c r="AG48" i="1"/>
  <c r="AT48" i="1" s="1"/>
  <c r="AI48" i="1"/>
  <c r="AV48" i="1" s="1"/>
  <c r="AJ48" i="1"/>
  <c r="AW48" i="1" s="1"/>
  <c r="AE49" i="1"/>
  <c r="AR49" i="1" s="1"/>
  <c r="AF49" i="1"/>
  <c r="AS49" i="1" s="1"/>
  <c r="AJ49" i="1"/>
  <c r="AW49" i="1" s="1"/>
  <c r="AE51" i="1"/>
  <c r="AR51" i="1" s="1"/>
  <c r="AF51" i="1"/>
  <c r="AS51" i="1" s="1"/>
  <c r="AG51" i="1"/>
  <c r="AT51" i="1" s="1"/>
  <c r="AH51" i="1"/>
  <c r="AU51" i="1" s="1"/>
  <c r="AI51" i="1"/>
  <c r="AV51" i="1" s="1"/>
  <c r="AJ51" i="1"/>
  <c r="AW51" i="1" s="1"/>
  <c r="AG53" i="1"/>
  <c r="AT53" i="1" s="1"/>
  <c r="AH53" i="1"/>
  <c r="AU53" i="1" s="1"/>
  <c r="AI53" i="1"/>
  <c r="AV53" i="1" s="1"/>
  <c r="AJ53" i="1"/>
  <c r="AW53" i="1" s="1"/>
  <c r="AJ55" i="1"/>
  <c r="AW55" i="1" s="1"/>
  <c r="AE56" i="1"/>
  <c r="AR56" i="1" s="1"/>
  <c r="AF56" i="1"/>
  <c r="AS56" i="1" s="1"/>
  <c r="AG57" i="1"/>
  <c r="AT57" i="1" s="1"/>
  <c r="AE58" i="1"/>
  <c r="AR58" i="1" s="1"/>
  <c r="AF58" i="1"/>
  <c r="AS58" i="1" s="1"/>
  <c r="AG58" i="1"/>
  <c r="AT58" i="1" s="1"/>
  <c r="AH58" i="1"/>
  <c r="AU58" i="1" s="1"/>
  <c r="AJ58" i="1"/>
  <c r="AW58" i="1" s="1"/>
  <c r="AI3" i="12"/>
  <c r="AV3" i="12" s="1"/>
  <c r="AM3" i="12"/>
  <c r="AZ3" i="12" s="1"/>
  <c r="AP3" i="12"/>
  <c r="BC3" i="12" s="1"/>
  <c r="AF4" i="12"/>
  <c r="AL4" i="12"/>
  <c r="AY4" i="12" s="1"/>
  <c r="AN4" i="12"/>
  <c r="BA4" i="12" s="1"/>
  <c r="AO4" i="12"/>
  <c r="BB4" i="12" s="1"/>
  <c r="AP4" i="12"/>
  <c r="AF5" i="12"/>
  <c r="AS5" i="12" s="1"/>
  <c r="AG5" i="12"/>
  <c r="AT5" i="12" s="1"/>
  <c r="AH5" i="12"/>
  <c r="AU5" i="12" s="1"/>
  <c r="AE6" i="12"/>
  <c r="AR6" i="12" s="1"/>
  <c r="AI6" i="12"/>
  <c r="AV6" i="12" s="1"/>
  <c r="AJ6" i="12"/>
  <c r="AW6" i="12" s="1"/>
  <c r="AO6" i="12"/>
  <c r="BB6" i="12" s="1"/>
  <c r="AP6" i="12"/>
  <c r="BC6" i="12" s="1"/>
  <c r="AF7" i="12"/>
  <c r="AG7" i="12"/>
  <c r="AT7" i="12" s="1"/>
  <c r="AH7" i="12"/>
  <c r="AU7" i="12" s="1"/>
  <c r="AJ7" i="12"/>
  <c r="AW7" i="12" s="1"/>
  <c r="AK7" i="12"/>
  <c r="AX7" i="12" s="1"/>
  <c r="AL7" i="12"/>
  <c r="AY7" i="12" s="1"/>
  <c r="AI8" i="12"/>
  <c r="AV8" i="12" s="1"/>
  <c r="AL8" i="12"/>
  <c r="AY8" i="12" s="1"/>
  <c r="AM8" i="12"/>
  <c r="AZ8" i="12" s="1"/>
  <c r="AN8" i="12"/>
  <c r="BA8" i="12" s="1"/>
  <c r="AH9" i="12"/>
  <c r="AU9" i="12" s="1"/>
  <c r="AJ9" i="12"/>
  <c r="AW9" i="12" s="1"/>
  <c r="AK9" i="12"/>
  <c r="AX9" i="12" s="1"/>
  <c r="AL9" i="12"/>
  <c r="AO9" i="12"/>
  <c r="BB9" i="12" s="1"/>
  <c r="AP9" i="12"/>
  <c r="BC9" i="12" s="1"/>
  <c r="AL10" i="12"/>
  <c r="AY10" i="12" s="1"/>
  <c r="AM10" i="12"/>
  <c r="AZ10" i="12" s="1"/>
  <c r="AF11" i="12"/>
  <c r="AS11" i="12" s="1"/>
  <c r="AK11" i="12"/>
  <c r="AX11" i="12" s="1"/>
  <c r="AL11" i="12"/>
  <c r="AY11" i="12" s="1"/>
  <c r="AO11" i="12"/>
  <c r="BB11" i="12" s="1"/>
  <c r="AG12" i="12"/>
  <c r="AT12" i="12" s="1"/>
  <c r="AH12" i="12"/>
  <c r="AU12" i="12" s="1"/>
  <c r="AP12" i="12"/>
  <c r="BC12" i="12" s="1"/>
  <c r="AE13" i="12"/>
  <c r="AR13" i="12" s="1"/>
  <c r="AH13" i="12"/>
  <c r="AU13" i="12" s="1"/>
  <c r="AI13" i="12"/>
  <c r="AV13" i="12" s="1"/>
  <c r="AJ13" i="12"/>
  <c r="AW13" i="12" s="1"/>
  <c r="AP13" i="12"/>
  <c r="BC13" i="12" s="1"/>
  <c r="AG14" i="12"/>
  <c r="AT14" i="12" s="1"/>
  <c r="AJ14" i="12"/>
  <c r="AW14" i="12" s="1"/>
  <c r="AK14" i="12"/>
  <c r="AX14" i="12" s="1"/>
  <c r="AL14" i="12"/>
  <c r="AY14" i="12" s="1"/>
  <c r="AI15" i="12"/>
  <c r="AV15" i="12" s="1"/>
  <c r="AJ15" i="12"/>
  <c r="AL15" i="12"/>
  <c r="AM15" i="12"/>
  <c r="AZ15" i="12" s="1"/>
  <c r="AN15" i="12"/>
  <c r="BA15" i="12" s="1"/>
  <c r="AF16" i="12"/>
  <c r="AS16" i="12" s="1"/>
  <c r="AG16" i="12"/>
  <c r="AT16" i="12" s="1"/>
  <c r="AH16" i="12"/>
  <c r="AK16" i="12"/>
  <c r="AX16" i="12" s="1"/>
  <c r="AN16" i="12"/>
  <c r="BA16" i="12" s="1"/>
  <c r="AO16" i="12"/>
  <c r="BB16" i="12" s="1"/>
  <c r="AP16" i="12"/>
  <c r="BC16" i="12" s="1"/>
  <c r="AJ17" i="12"/>
  <c r="AW17" i="12" s="1"/>
  <c r="AL17" i="12"/>
  <c r="AY17" i="12" s="1"/>
  <c r="AM17" i="12"/>
  <c r="AZ17" i="12" s="1"/>
  <c r="AN17" i="12"/>
  <c r="BA17" i="12" s="1"/>
  <c r="AP17" i="12"/>
  <c r="BC17" i="12" s="1"/>
  <c r="AE18" i="12"/>
  <c r="AR18" i="12" s="1"/>
  <c r="AF18" i="12"/>
  <c r="AS18" i="12" s="1"/>
  <c r="AK18" i="12"/>
  <c r="AX18" i="12" s="1"/>
  <c r="AF19" i="12"/>
  <c r="AS19" i="12" s="1"/>
  <c r="AG19" i="12"/>
  <c r="AT19" i="12" s="1"/>
  <c r="AH19" i="12"/>
  <c r="AU19" i="12" s="1"/>
  <c r="AM19" i="12"/>
  <c r="AN19" i="12"/>
  <c r="BA19" i="12" s="1"/>
  <c r="AE20" i="12"/>
  <c r="AR20" i="12" s="1"/>
  <c r="AI20" i="12"/>
  <c r="AV20" i="12" s="1"/>
  <c r="AJ20" i="12"/>
  <c r="AW20" i="12" s="1"/>
  <c r="AP20" i="12"/>
  <c r="BC20" i="12" s="1"/>
  <c r="AF21" i="12"/>
  <c r="AS21" i="12" s="1"/>
  <c r="AG21" i="12"/>
  <c r="AT21" i="12" s="1"/>
  <c r="AH21" i="12"/>
  <c r="AU21" i="12" s="1"/>
  <c r="AJ21" i="12"/>
  <c r="AW21" i="12" s="1"/>
  <c r="AK21" i="12"/>
  <c r="AX21" i="12" s="1"/>
  <c r="AL21" i="12"/>
  <c r="AY21" i="12" s="1"/>
  <c r="AH22" i="12"/>
  <c r="AU22" i="12" s="1"/>
  <c r="AI22" i="12"/>
  <c r="AV22" i="12" s="1"/>
  <c r="AM22" i="12"/>
  <c r="AZ22" i="12" s="1"/>
  <c r="AN22" i="12"/>
  <c r="BA22" i="12" s="1"/>
  <c r="AP22" i="12"/>
  <c r="BC22" i="12" s="1"/>
  <c r="AH23" i="12"/>
  <c r="AU23" i="12" s="1"/>
  <c r="AJ23" i="12"/>
  <c r="AW23" i="12" s="1"/>
  <c r="AK23" i="12"/>
  <c r="AX23" i="12" s="1"/>
  <c r="AL23" i="12"/>
  <c r="AY23" i="12" s="1"/>
  <c r="AO23" i="12"/>
  <c r="BB23" i="12" s="1"/>
  <c r="AP23" i="12"/>
  <c r="BC23" i="12" s="1"/>
  <c r="AM24" i="12"/>
  <c r="AZ24" i="12" s="1"/>
  <c r="AO24" i="12"/>
  <c r="BB24" i="12" s="1"/>
  <c r="AP24" i="12"/>
  <c r="BC24" i="12" s="1"/>
  <c r="AF25" i="12"/>
  <c r="AS25" i="12" s="1"/>
  <c r="AH25" i="12"/>
  <c r="AU25" i="12" s="1"/>
  <c r="AN25" i="12"/>
  <c r="BA25" i="12" s="1"/>
  <c r="AO25" i="12"/>
  <c r="BB25" i="12" s="1"/>
  <c r="AP25" i="12"/>
  <c r="BC25" i="12" s="1"/>
  <c r="AF26" i="12"/>
  <c r="AS26" i="12" s="1"/>
  <c r="AG26" i="12"/>
  <c r="AT26" i="12" s="1"/>
  <c r="AH26" i="12"/>
  <c r="AU26" i="12" s="1"/>
  <c r="AM26" i="12"/>
  <c r="AZ26" i="12" s="1"/>
  <c r="AP26" i="12"/>
  <c r="BC26" i="12" s="1"/>
  <c r="AE27" i="12"/>
  <c r="AR27" i="12" s="1"/>
  <c r="AF27" i="12"/>
  <c r="AS27" i="12" s="1"/>
  <c r="AH27" i="12"/>
  <c r="AU27" i="12" s="1"/>
  <c r="AI27" i="12"/>
  <c r="AV27" i="12" s="1"/>
  <c r="AJ27" i="12"/>
  <c r="AW27" i="12" s="1"/>
  <c r="AP27" i="12"/>
  <c r="BC27" i="12" s="1"/>
  <c r="AG28" i="12"/>
  <c r="AT28" i="12" s="1"/>
  <c r="AJ28" i="12"/>
  <c r="AW28" i="12" s="1"/>
  <c r="AK28" i="12"/>
  <c r="AX28" i="12" s="1"/>
  <c r="AL28" i="12"/>
  <c r="AY28" i="12" s="1"/>
  <c r="AE29" i="12"/>
  <c r="AR29" i="12" s="1"/>
  <c r="AF29" i="12"/>
  <c r="AS29" i="12" s="1"/>
  <c r="AH29" i="12"/>
  <c r="AU29" i="12" s="1"/>
  <c r="AI29" i="12"/>
  <c r="AV29" i="12" s="1"/>
  <c r="AL29" i="12"/>
  <c r="AY29" i="12" s="1"/>
  <c r="AM29" i="12"/>
  <c r="AZ29" i="12" s="1"/>
  <c r="AH30" i="12"/>
  <c r="AU30" i="12" s="1"/>
  <c r="AK30" i="12"/>
  <c r="AX30" i="12" s="1"/>
  <c r="AM30" i="12"/>
  <c r="AZ30" i="12" s="1"/>
  <c r="AO30" i="12"/>
  <c r="BB30" i="12" s="1"/>
  <c r="AP30" i="12"/>
  <c r="BC30" i="12" s="1"/>
  <c r="AH31" i="12"/>
  <c r="AU31" i="12" s="1"/>
  <c r="AJ31" i="12"/>
  <c r="AW31" i="12" s="1"/>
  <c r="AM31" i="12"/>
  <c r="AZ31" i="12" s="1"/>
  <c r="AN31" i="12"/>
  <c r="BA31" i="12" s="1"/>
  <c r="AP31" i="12"/>
  <c r="BC31" i="12" s="1"/>
  <c r="AE32" i="12"/>
  <c r="AR32" i="12" s="1"/>
  <c r="AF32" i="12"/>
  <c r="AS32" i="12" s="1"/>
  <c r="AN32" i="12"/>
  <c r="BA32" i="12" s="1"/>
  <c r="AO32" i="12"/>
  <c r="BB32" i="12" s="1"/>
  <c r="AP32" i="12"/>
  <c r="AF33" i="12"/>
  <c r="AS33" i="12" s="1"/>
  <c r="AG33" i="12"/>
  <c r="AT33" i="12" s="1"/>
  <c r="AH33" i="12"/>
  <c r="AU33" i="12" s="1"/>
  <c r="AJ33" i="12"/>
  <c r="AW33" i="12" s="1"/>
  <c r="AL33" i="12"/>
  <c r="AY33" i="12" s="1"/>
  <c r="AN33" i="12"/>
  <c r="BA33" i="12" s="1"/>
  <c r="AE34" i="12"/>
  <c r="AR34" i="12" s="1"/>
  <c r="AI34" i="12"/>
  <c r="AV34" i="12" s="1"/>
  <c r="AJ34" i="12"/>
  <c r="AW34" i="12" s="1"/>
  <c r="AO34" i="12"/>
  <c r="BB34" i="12" s="1"/>
  <c r="AP34" i="12"/>
  <c r="BC34" i="12" s="1"/>
  <c r="AG35" i="12"/>
  <c r="AT35" i="12" s="1"/>
  <c r="AJ35" i="12"/>
  <c r="AW35" i="12" s="1"/>
  <c r="AK35" i="12"/>
  <c r="AX35" i="12" s="1"/>
  <c r="AL35" i="12"/>
  <c r="AY35" i="12" s="1"/>
  <c r="AE36" i="12"/>
  <c r="AR36" i="12" s="1"/>
  <c r="AF36" i="12"/>
  <c r="AS36" i="12" s="1"/>
  <c r="AH36" i="12"/>
  <c r="AU36" i="12" s="1"/>
  <c r="AI36" i="12"/>
  <c r="AV36" i="12" s="1"/>
  <c r="AL36" i="12"/>
  <c r="AM36" i="12"/>
  <c r="AZ36" i="12" s="1"/>
  <c r="AN36" i="12"/>
  <c r="BA36" i="12" s="1"/>
  <c r="AJ37" i="12"/>
  <c r="AW37" i="12" s="1"/>
  <c r="AK37" i="12"/>
  <c r="AX37" i="12" s="1"/>
  <c r="AM37" i="12"/>
  <c r="AZ37" i="12" s="1"/>
  <c r="AN37" i="12"/>
  <c r="BA37" i="12" s="1"/>
  <c r="AO37" i="12"/>
  <c r="BB37" i="12" s="1"/>
  <c r="AP37" i="12"/>
  <c r="BC37" i="12" s="1"/>
  <c r="AI38" i="12"/>
  <c r="AV38" i="12" s="1"/>
  <c r="AJ38" i="12"/>
  <c r="AW38" i="12" s="1"/>
  <c r="AL38" i="12"/>
  <c r="AY38" i="12" s="1"/>
  <c r="AM38" i="12"/>
  <c r="AZ38" i="12" s="1"/>
  <c r="AP38" i="12"/>
  <c r="BC38" i="12" s="1"/>
  <c r="AE39" i="12"/>
  <c r="AR39" i="12" s="1"/>
  <c r="AF39" i="12"/>
  <c r="AS39" i="12" s="1"/>
  <c r="AK39" i="12"/>
  <c r="AL39" i="12"/>
  <c r="AY39" i="12" s="1"/>
  <c r="AN39" i="12"/>
  <c r="BA39" i="12" s="1"/>
  <c r="AO39" i="12"/>
  <c r="BB39" i="12" s="1"/>
  <c r="AP39" i="12"/>
  <c r="BC39" i="12" s="1"/>
  <c r="AF40" i="12"/>
  <c r="AS40" i="12" s="1"/>
  <c r="AG40" i="12"/>
  <c r="AT40" i="12" s="1"/>
  <c r="AH40" i="12"/>
  <c r="AU40" i="12" s="1"/>
  <c r="AJ40" i="12"/>
  <c r="AL40" i="12"/>
  <c r="AY40" i="12" s="1"/>
  <c r="AN40" i="12"/>
  <c r="BA40" i="12" s="1"/>
  <c r="AP40" i="12"/>
  <c r="BC40" i="12" s="1"/>
  <c r="AE41" i="12"/>
  <c r="AR41" i="12" s="1"/>
  <c r="AF41" i="12"/>
  <c r="AG41" i="12"/>
  <c r="AT41" i="12" s="1"/>
  <c r="AI41" i="12"/>
  <c r="AV41" i="12" s="1"/>
  <c r="AJ41" i="12"/>
  <c r="AW41" i="12" s="1"/>
  <c r="AO41" i="12"/>
  <c r="BB41" i="12" s="1"/>
  <c r="AG42" i="12"/>
  <c r="AT42" i="12" s="1"/>
  <c r="AJ42" i="12"/>
  <c r="AW42" i="12" s="1"/>
  <c r="AK42" i="12"/>
  <c r="AX42" i="12" s="1"/>
  <c r="AL42" i="12"/>
  <c r="AY42" i="12" s="1"/>
  <c r="AF43" i="12"/>
  <c r="AS43" i="12" s="1"/>
  <c r="AH43" i="12"/>
  <c r="AI43" i="12"/>
  <c r="AV43" i="12" s="1"/>
  <c r="AJ43" i="12"/>
  <c r="AW43" i="12" s="1"/>
  <c r="AK43" i="12"/>
  <c r="AX43" i="12" s="1"/>
  <c r="AL43" i="12"/>
  <c r="AY43" i="12" s="1"/>
  <c r="AM43" i="12"/>
  <c r="AZ43" i="12" s="1"/>
  <c r="AN43" i="12"/>
  <c r="BA43" i="12" s="1"/>
  <c r="AG44" i="12"/>
  <c r="AT44" i="12" s="1"/>
  <c r="AH44" i="12"/>
  <c r="AU44" i="12" s="1"/>
  <c r="AN44" i="12"/>
  <c r="BA44" i="12" s="1"/>
  <c r="AO44" i="12"/>
  <c r="BB44" i="12" s="1"/>
  <c r="AP44" i="12"/>
  <c r="BC44" i="12" s="1"/>
  <c r="AH45" i="12"/>
  <c r="AU45" i="12" s="1"/>
  <c r="AI45" i="12"/>
  <c r="AV45" i="12" s="1"/>
  <c r="AJ45" i="12"/>
  <c r="AW45" i="12" s="1"/>
  <c r="AL45" i="12"/>
  <c r="AY45" i="12" s="1"/>
  <c r="AM45" i="12"/>
  <c r="AZ45" i="12" s="1"/>
  <c r="AP45" i="12"/>
  <c r="BC45" i="12" s="1"/>
  <c r="AE46" i="12"/>
  <c r="AR46" i="12" s="1"/>
  <c r="AF46" i="12"/>
  <c r="AS46" i="12" s="1"/>
  <c r="AK46" i="12"/>
  <c r="AX46" i="12" s="1"/>
  <c r="AL46" i="12"/>
  <c r="AY46" i="12" s="1"/>
  <c r="AN46" i="12"/>
  <c r="BA46" i="12" s="1"/>
  <c r="AO46" i="12"/>
  <c r="BB46" i="12" s="1"/>
  <c r="AE47" i="12"/>
  <c r="AR47" i="12" s="1"/>
  <c r="AF47" i="12"/>
  <c r="AS47" i="12" s="1"/>
  <c r="AG47" i="12"/>
  <c r="AT47" i="12" s="1"/>
  <c r="AH47" i="12"/>
  <c r="AU47" i="12" s="1"/>
  <c r="AL47" i="12"/>
  <c r="AM47" i="12"/>
  <c r="AZ47" i="12" s="1"/>
  <c r="AP47" i="12"/>
  <c r="BC47" i="12" s="1"/>
  <c r="AE48" i="12"/>
  <c r="AR48" i="12" s="1"/>
  <c r="AF48" i="12"/>
  <c r="AS48" i="12" s="1"/>
  <c r="AG48" i="12"/>
  <c r="AT48" i="12" s="1"/>
  <c r="AJ48" i="12"/>
  <c r="AW48" i="12" s="1"/>
  <c r="AG49" i="12"/>
  <c r="AT49" i="12" s="1"/>
  <c r="AJ49" i="12"/>
  <c r="AW49" i="12" s="1"/>
  <c r="AK49" i="12"/>
  <c r="AX49" i="12" s="1"/>
  <c r="AL49" i="12"/>
  <c r="AY49" i="12" s="1"/>
  <c r="AP49" i="12"/>
  <c r="BC49" i="12" s="1"/>
  <c r="AE50" i="12"/>
  <c r="AR50" i="12" s="1"/>
  <c r="AF50" i="12"/>
  <c r="AS50" i="12" s="1"/>
  <c r="AI50" i="12"/>
  <c r="AV50" i="12" s="1"/>
  <c r="AJ50" i="12"/>
  <c r="AW50" i="12" s="1"/>
  <c r="AK50" i="12"/>
  <c r="AX50" i="12" s="1"/>
  <c r="AL50" i="12"/>
  <c r="AY50" i="12" s="1"/>
  <c r="AM50" i="12"/>
  <c r="AZ50" i="12" s="1"/>
  <c r="AN50" i="12"/>
  <c r="BA50" i="12" s="1"/>
  <c r="AF51" i="12"/>
  <c r="AS51" i="12" s="1"/>
  <c r="AG51" i="12"/>
  <c r="AT51" i="12" s="1"/>
  <c r="AH51" i="12"/>
  <c r="AU51" i="12" s="1"/>
  <c r="AJ51" i="12"/>
  <c r="AW51" i="12" s="1"/>
  <c r="AK51" i="12"/>
  <c r="AX51" i="12" s="1"/>
  <c r="AM51" i="12"/>
  <c r="AZ51" i="12" s="1"/>
  <c r="AN51" i="12"/>
  <c r="BA51" i="12" s="1"/>
  <c r="AO51" i="12"/>
  <c r="BB51" i="12" s="1"/>
  <c r="AP51" i="12"/>
  <c r="BC51" i="12" s="1"/>
  <c r="AF52" i="12"/>
  <c r="AS52" i="12" s="1"/>
  <c r="AH52" i="12"/>
  <c r="AU52" i="12" s="1"/>
  <c r="AM52" i="12"/>
  <c r="AZ52" i="12" s="1"/>
  <c r="AO52" i="12"/>
  <c r="AP52" i="12"/>
  <c r="BC52" i="12" s="1"/>
  <c r="AE53" i="12"/>
  <c r="AR53" i="12" s="1"/>
  <c r="AF53" i="12"/>
  <c r="AS53" i="12" s="1"/>
  <c r="AK53" i="12"/>
  <c r="AX53" i="12" s="1"/>
  <c r="AL53" i="12"/>
  <c r="AY53" i="12" s="1"/>
  <c r="AM53" i="12"/>
  <c r="AZ53" i="12" s="1"/>
  <c r="AN53" i="12"/>
  <c r="BA53" i="12" s="1"/>
  <c r="AO53" i="12"/>
  <c r="BB53" i="12" s="1"/>
  <c r="AP53" i="12"/>
  <c r="BC53" i="12" s="1"/>
  <c r="AE54" i="12"/>
  <c r="AR54" i="12" s="1"/>
  <c r="AG54" i="12"/>
  <c r="AT54" i="12" s="1"/>
  <c r="AH54" i="12"/>
  <c r="AU54" i="12" s="1"/>
  <c r="AL54" i="12"/>
  <c r="AY54" i="12" s="1"/>
  <c r="AM54" i="12"/>
  <c r="AZ54" i="12" s="1"/>
  <c r="AN54" i="12"/>
  <c r="BA54" i="12" s="1"/>
  <c r="AP54" i="12"/>
  <c r="BC54" i="12" s="1"/>
  <c r="AE55" i="12"/>
  <c r="AR55" i="12" s="1"/>
  <c r="AF55" i="12"/>
  <c r="AH55" i="12"/>
  <c r="AU55" i="12" s="1"/>
  <c r="AI55" i="12"/>
  <c r="AV55" i="12" s="1"/>
  <c r="AJ55" i="12"/>
  <c r="AW55" i="12" s="1"/>
  <c r="AG56" i="12"/>
  <c r="AT56" i="12" s="1"/>
  <c r="AJ56" i="12"/>
  <c r="AW56" i="12" s="1"/>
  <c r="AK56" i="12"/>
  <c r="AX56" i="12" s="1"/>
  <c r="AL56" i="12"/>
  <c r="AY56" i="12" s="1"/>
  <c r="AP56" i="12"/>
  <c r="BC56" i="12" s="1"/>
  <c r="AE57" i="12"/>
  <c r="AR57" i="12" s="1"/>
  <c r="AH57" i="12"/>
  <c r="AU57" i="12" s="1"/>
  <c r="AI57" i="12"/>
  <c r="AV57" i="12" s="1"/>
  <c r="AJ57" i="12"/>
  <c r="AW57" i="12" s="1"/>
  <c r="AK57" i="12"/>
  <c r="AX57" i="12" s="1"/>
  <c r="AL57" i="12"/>
  <c r="AM57" i="12"/>
  <c r="AZ57" i="12" s="1"/>
  <c r="AN57" i="12"/>
  <c r="BA57" i="12" s="1"/>
  <c r="AG58" i="12"/>
  <c r="AT58" i="12" s="1"/>
  <c r="AH58" i="12"/>
  <c r="AU58" i="12" s="1"/>
  <c r="AI58" i="12"/>
  <c r="AV58" i="12" s="1"/>
  <c r="AJ58" i="12"/>
  <c r="AW58" i="12" s="1"/>
  <c r="AK58" i="12"/>
  <c r="AX58" i="12" s="1"/>
  <c r="AM58" i="12"/>
  <c r="AZ58" i="12" s="1"/>
  <c r="AN58" i="12"/>
  <c r="BA58" i="12" s="1"/>
  <c r="AO58" i="12"/>
  <c r="BB58" i="12" s="1"/>
  <c r="AP58" i="12"/>
  <c r="BC58" i="12" s="1"/>
  <c r="AM2" i="12"/>
  <c r="AZ2" i="12" s="1"/>
  <c r="AN3" i="7"/>
  <c r="BA3" i="7" s="1"/>
  <c r="AO3" i="7"/>
  <c r="BB3" i="7" s="1"/>
  <c r="AP3" i="7"/>
  <c r="BC3" i="7" s="1"/>
  <c r="AE4" i="7"/>
  <c r="AR4" i="7" s="1"/>
  <c r="AF4" i="7"/>
  <c r="AS4" i="7" s="1"/>
  <c r="AO4" i="7"/>
  <c r="BB4" i="7" s="1"/>
  <c r="AG5" i="7"/>
  <c r="AT5" i="7" s="1"/>
  <c r="AH5" i="7"/>
  <c r="AU5" i="7" s="1"/>
  <c r="AF6" i="7"/>
  <c r="AS6" i="7" s="1"/>
  <c r="AG6" i="7"/>
  <c r="AT6" i="7" s="1"/>
  <c r="AH6" i="7"/>
  <c r="AU6" i="7" s="1"/>
  <c r="AI6" i="7"/>
  <c r="AV6" i="7" s="1"/>
  <c r="AJ6" i="7"/>
  <c r="AW6" i="7" s="1"/>
  <c r="AE7" i="7"/>
  <c r="AR7" i="7" s="1"/>
  <c r="AJ7" i="7"/>
  <c r="AW7" i="7" s="1"/>
  <c r="AK7" i="7"/>
  <c r="AX7" i="7" s="1"/>
  <c r="AL7" i="7"/>
  <c r="AY7" i="7" s="1"/>
  <c r="AG8" i="7"/>
  <c r="AT8" i="7" s="1"/>
  <c r="AI8" i="7"/>
  <c r="AV8" i="7" s="1"/>
  <c r="AM8" i="7"/>
  <c r="AZ8" i="7" s="1"/>
  <c r="AN8" i="7"/>
  <c r="BA8" i="7" s="1"/>
  <c r="AI9" i="7"/>
  <c r="AV9" i="7" s="1"/>
  <c r="AL9" i="7"/>
  <c r="AY9" i="7" s="1"/>
  <c r="AM9" i="7"/>
  <c r="AZ9" i="7" s="1"/>
  <c r="AN9" i="7"/>
  <c r="BA9" i="7" s="1"/>
  <c r="AO9" i="7"/>
  <c r="BB9" i="7" s="1"/>
  <c r="AP9" i="7"/>
  <c r="BC9" i="7" s="1"/>
  <c r="AM10" i="7"/>
  <c r="AZ10" i="7" s="1"/>
  <c r="AN10" i="7"/>
  <c r="BA10" i="7" s="1"/>
  <c r="AO10" i="7"/>
  <c r="BB10" i="7" s="1"/>
  <c r="AP10" i="7"/>
  <c r="BC10" i="7" s="1"/>
  <c r="AE11" i="7"/>
  <c r="AR11" i="7" s="1"/>
  <c r="AF11" i="7"/>
  <c r="AS11" i="7" s="1"/>
  <c r="AP11" i="7"/>
  <c r="BC11" i="7" s="1"/>
  <c r="AG12" i="7"/>
  <c r="AT12" i="7" s="1"/>
  <c r="AH12" i="7"/>
  <c r="AU12" i="7" s="1"/>
  <c r="AH13" i="7"/>
  <c r="AU13" i="7" s="1"/>
  <c r="AI13" i="7"/>
  <c r="AV13" i="7" s="1"/>
  <c r="AJ13" i="7"/>
  <c r="AW13" i="7" s="1"/>
  <c r="AG14" i="7"/>
  <c r="AT14" i="7" s="1"/>
  <c r="AH14" i="7"/>
  <c r="AU14" i="7" s="1"/>
  <c r="AI14" i="7"/>
  <c r="AV14" i="7" s="1"/>
  <c r="AJ14" i="7"/>
  <c r="AW14" i="7" s="1"/>
  <c r="AL14" i="7"/>
  <c r="AY14" i="7" s="1"/>
  <c r="AJ15" i="7"/>
  <c r="AW15" i="7" s="1"/>
  <c r="AK15" i="7"/>
  <c r="AX15" i="7" s="1"/>
  <c r="AL15" i="7"/>
  <c r="AY15" i="7" s="1"/>
  <c r="AM15" i="7"/>
  <c r="AZ15" i="7" s="1"/>
  <c r="AN15" i="7"/>
  <c r="BA15" i="7" s="1"/>
  <c r="AM16" i="7"/>
  <c r="AZ16" i="7" s="1"/>
  <c r="AN16" i="7"/>
  <c r="BA16" i="7" s="1"/>
  <c r="AO16" i="7"/>
  <c r="BB16" i="7" s="1"/>
  <c r="AP16" i="7"/>
  <c r="BC16" i="7" s="1"/>
  <c r="AK17" i="7"/>
  <c r="AX17" i="7" s="1"/>
  <c r="AP17" i="7"/>
  <c r="BC17" i="7" s="1"/>
  <c r="AE18" i="7"/>
  <c r="AR18" i="7" s="1"/>
  <c r="AF18" i="7"/>
  <c r="AS18" i="7" s="1"/>
  <c r="AM18" i="7"/>
  <c r="AZ18" i="7" s="1"/>
  <c r="AP18" i="7"/>
  <c r="BC18" i="7" s="1"/>
  <c r="AH19" i="7"/>
  <c r="AU19" i="7" s="1"/>
  <c r="AG20" i="7"/>
  <c r="AT20" i="7" s="1"/>
  <c r="AH20" i="7"/>
  <c r="AU20" i="7" s="1"/>
  <c r="AI20" i="7"/>
  <c r="AV20" i="7" s="1"/>
  <c r="AJ20" i="7"/>
  <c r="AW20" i="7" s="1"/>
  <c r="AL20" i="7"/>
  <c r="AY20" i="7" s="1"/>
  <c r="AG21" i="7"/>
  <c r="AT21" i="7" s="1"/>
  <c r="AH21" i="7"/>
  <c r="AU21" i="7" s="1"/>
  <c r="AI21" i="7"/>
  <c r="AV21" i="7" s="1"/>
  <c r="AJ21" i="7"/>
  <c r="AW21" i="7" s="1"/>
  <c r="AL21" i="7"/>
  <c r="AY21" i="7" s="1"/>
  <c r="AG22" i="7"/>
  <c r="AT22" i="7" s="1"/>
  <c r="AK22" i="7"/>
  <c r="AX22" i="7" s="1"/>
  <c r="AL22" i="7"/>
  <c r="AY22" i="7" s="1"/>
  <c r="AI23" i="7"/>
  <c r="AV23" i="7" s="1"/>
  <c r="AK23" i="7"/>
  <c r="AX23" i="7" s="1"/>
  <c r="AL23" i="7"/>
  <c r="AY23" i="7" s="1"/>
  <c r="AM23" i="7"/>
  <c r="AZ23" i="7" s="1"/>
  <c r="AN23" i="7"/>
  <c r="BA23" i="7" s="1"/>
  <c r="AO23" i="7"/>
  <c r="BB23" i="7" s="1"/>
  <c r="AM24" i="7"/>
  <c r="AZ24" i="7" s="1"/>
  <c r="AN24" i="7"/>
  <c r="BA24" i="7" s="1"/>
  <c r="AO24" i="7"/>
  <c r="BB24" i="7" s="1"/>
  <c r="AP24" i="7"/>
  <c r="BC24" i="7" s="1"/>
  <c r="AE25" i="7"/>
  <c r="AR25" i="7" s="1"/>
  <c r="AF25" i="7"/>
  <c r="AS25" i="7" s="1"/>
  <c r="AE26" i="7"/>
  <c r="AR26" i="7" s="1"/>
  <c r="AF26" i="7"/>
  <c r="AS26" i="7" s="1"/>
  <c r="AG26" i="7"/>
  <c r="AT26" i="7" s="1"/>
  <c r="AH26" i="7"/>
  <c r="AU26" i="7" s="1"/>
  <c r="AJ26" i="7"/>
  <c r="AW26" i="7" s="1"/>
  <c r="AO26" i="7"/>
  <c r="BB26" i="7" s="1"/>
  <c r="AF27" i="7"/>
  <c r="AS27" i="7" s="1"/>
  <c r="AG27" i="7"/>
  <c r="AT27" i="7" s="1"/>
  <c r="AH27" i="7"/>
  <c r="AU27" i="7" s="1"/>
  <c r="AI27" i="7"/>
  <c r="AV27" i="7" s="1"/>
  <c r="AJ27" i="7"/>
  <c r="AW27" i="7" s="1"/>
  <c r="AE28" i="7"/>
  <c r="AR28" i="7" s="1"/>
  <c r="AG28" i="7"/>
  <c r="AT28" i="7" s="1"/>
  <c r="AH28" i="7"/>
  <c r="AU28" i="7" s="1"/>
  <c r="AI28" i="7"/>
  <c r="AV28" i="7" s="1"/>
  <c r="AJ28" i="7"/>
  <c r="AW28" i="7" s="1"/>
  <c r="AK28" i="7"/>
  <c r="AX28" i="7" s="1"/>
  <c r="AL28" i="7"/>
  <c r="AY28" i="7" s="1"/>
  <c r="AL29" i="7"/>
  <c r="AY29" i="7" s="1"/>
  <c r="AM29" i="7"/>
  <c r="AZ29" i="7" s="1"/>
  <c r="AN29" i="7"/>
  <c r="BA29" i="7" s="1"/>
  <c r="AP29" i="7"/>
  <c r="BC29" i="7" s="1"/>
  <c r="AF30" i="7"/>
  <c r="AS30" i="7" s="1"/>
  <c r="AK30" i="7"/>
  <c r="AX30" i="7" s="1"/>
  <c r="AL30" i="7"/>
  <c r="AY30" i="7" s="1"/>
  <c r="AM30" i="7"/>
  <c r="AZ30" i="7" s="1"/>
  <c r="AN30" i="7"/>
  <c r="BA30" i="7" s="1"/>
  <c r="AO30" i="7"/>
  <c r="BB30" i="7" s="1"/>
  <c r="AM31" i="7"/>
  <c r="AZ31" i="7" s="1"/>
  <c r="AN31" i="7"/>
  <c r="BA31" i="7" s="1"/>
  <c r="AO31" i="7"/>
  <c r="BB31" i="7" s="1"/>
  <c r="AP31" i="7"/>
  <c r="BC31" i="7" s="1"/>
  <c r="AE32" i="7"/>
  <c r="AR32" i="7" s="1"/>
  <c r="AF32" i="7"/>
  <c r="AS32" i="7" s="1"/>
  <c r="AG33" i="7"/>
  <c r="AT33" i="7" s="1"/>
  <c r="AH33" i="7"/>
  <c r="AU33" i="7" s="1"/>
  <c r="AO33" i="7"/>
  <c r="BB33" i="7" s="1"/>
  <c r="AF34" i="7"/>
  <c r="AS34" i="7" s="1"/>
  <c r="AG34" i="7"/>
  <c r="AT34" i="7" s="1"/>
  <c r="AH34" i="7"/>
  <c r="AU34" i="7" s="1"/>
  <c r="AI34" i="7"/>
  <c r="AV34" i="7" s="1"/>
  <c r="AJ34" i="7"/>
  <c r="AW34" i="7" s="1"/>
  <c r="AE35" i="7"/>
  <c r="AR35" i="7" s="1"/>
  <c r="AK35" i="7"/>
  <c r="AX35" i="7" s="1"/>
  <c r="AL35" i="7"/>
  <c r="AY35" i="7" s="1"/>
  <c r="AN35" i="7"/>
  <c r="BA35" i="7" s="1"/>
  <c r="AG36" i="7"/>
  <c r="AT36" i="7" s="1"/>
  <c r="AL36" i="7"/>
  <c r="AY36" i="7" s="1"/>
  <c r="AM36" i="7"/>
  <c r="AZ36" i="7" s="1"/>
  <c r="AN36" i="7"/>
  <c r="BA36" i="7" s="1"/>
  <c r="AI37" i="7"/>
  <c r="AV37" i="7" s="1"/>
  <c r="AK37" i="7"/>
  <c r="AX37" i="7" s="1"/>
  <c r="AL37" i="7"/>
  <c r="AY37" i="7" s="1"/>
  <c r="AM37" i="7"/>
  <c r="AZ37" i="7" s="1"/>
  <c r="AN37" i="7"/>
  <c r="BA37" i="7" s="1"/>
  <c r="AO37" i="7"/>
  <c r="BB37" i="7" s="1"/>
  <c r="AP37" i="7"/>
  <c r="BC37" i="7" s="1"/>
  <c r="AN38" i="7"/>
  <c r="BA38" i="7" s="1"/>
  <c r="AO38" i="7"/>
  <c r="BB38" i="7" s="1"/>
  <c r="AP38" i="7"/>
  <c r="BC38" i="7" s="1"/>
  <c r="AE39" i="7"/>
  <c r="AR39" i="7" s="1"/>
  <c r="AF39" i="7"/>
  <c r="AS39" i="7" s="1"/>
  <c r="AH39" i="7"/>
  <c r="AU39" i="7" s="1"/>
  <c r="AI39" i="7"/>
  <c r="AV39" i="7" s="1"/>
  <c r="AM39" i="7"/>
  <c r="AZ39" i="7" s="1"/>
  <c r="AE40" i="7"/>
  <c r="AR40" i="7" s="1"/>
  <c r="AF40" i="7"/>
  <c r="AS40" i="7" s="1"/>
  <c r="AG40" i="7"/>
  <c r="AT40" i="7" s="1"/>
  <c r="AH40" i="7"/>
  <c r="AU40" i="7" s="1"/>
  <c r="AJ40" i="7"/>
  <c r="AW40" i="7" s="1"/>
  <c r="AL40" i="7"/>
  <c r="AY40" i="7" s="1"/>
  <c r="AO40" i="7"/>
  <c r="BB40" i="7" s="1"/>
  <c r="AE41" i="7"/>
  <c r="AR41" i="7" s="1"/>
  <c r="AF41" i="7"/>
  <c r="AS41" i="7" s="1"/>
  <c r="AG41" i="7"/>
  <c r="AT41" i="7" s="1"/>
  <c r="AH41" i="7"/>
  <c r="AU41" i="7" s="1"/>
  <c r="AJ41" i="7"/>
  <c r="AW41" i="7" s="1"/>
  <c r="AK42" i="7"/>
  <c r="AX42" i="7" s="1"/>
  <c r="AL42" i="7"/>
  <c r="AY42" i="7" s="1"/>
  <c r="AP42" i="7"/>
  <c r="BC42" i="7" s="1"/>
  <c r="AK43" i="7"/>
  <c r="AX43" i="7" s="1"/>
  <c r="AL43" i="7"/>
  <c r="AY43" i="7" s="1"/>
  <c r="AM43" i="7"/>
  <c r="AZ43" i="7" s="1"/>
  <c r="AN43" i="7"/>
  <c r="BA43" i="7" s="1"/>
  <c r="AP43" i="7"/>
  <c r="BC43" i="7" s="1"/>
  <c r="AK44" i="7"/>
  <c r="AX44" i="7" s="1"/>
  <c r="AL44" i="7"/>
  <c r="AY44" i="7" s="1"/>
  <c r="AO44" i="7"/>
  <c r="BB44" i="7" s="1"/>
  <c r="AP44" i="7"/>
  <c r="BC44" i="7" s="1"/>
  <c r="AF45" i="7"/>
  <c r="AS45" i="7" s="1"/>
  <c r="AH45" i="7"/>
  <c r="AU45" i="7" s="1"/>
  <c r="AM45" i="7"/>
  <c r="AZ45" i="7" s="1"/>
  <c r="AN45" i="7"/>
  <c r="BA45" i="7" s="1"/>
  <c r="AO45" i="7"/>
  <c r="BB45" i="7" s="1"/>
  <c r="AP45" i="7"/>
  <c r="BC45" i="7" s="1"/>
  <c r="AE46" i="7"/>
  <c r="AR46" i="7" s="1"/>
  <c r="AP46" i="7"/>
  <c r="BC46" i="7" s="1"/>
  <c r="AG47" i="7"/>
  <c r="AT47" i="7" s="1"/>
  <c r="AH47" i="7"/>
  <c r="AU47" i="7" s="1"/>
  <c r="AK47" i="7"/>
  <c r="AX47" i="7" s="1"/>
  <c r="AL47" i="7"/>
  <c r="AY47" i="7" s="1"/>
  <c r="AE48" i="7"/>
  <c r="AR48" i="7" s="1"/>
  <c r="AG48" i="7"/>
  <c r="AT48" i="7" s="1"/>
  <c r="AH48" i="7"/>
  <c r="AU48" i="7" s="1"/>
  <c r="AI48" i="7"/>
  <c r="AV48" i="7" s="1"/>
  <c r="AJ48" i="7"/>
  <c r="AW48" i="7" s="1"/>
  <c r="AM48" i="7"/>
  <c r="AZ48" i="7" s="1"/>
  <c r="AE49" i="7"/>
  <c r="AR49" i="7" s="1"/>
  <c r="AJ49" i="7"/>
  <c r="AW49" i="7" s="1"/>
  <c r="AK49" i="7"/>
  <c r="AX49" i="7" s="1"/>
  <c r="AL49" i="7"/>
  <c r="AY49" i="7" s="1"/>
  <c r="AG50" i="7"/>
  <c r="AT50" i="7" s="1"/>
  <c r="AJ50" i="7"/>
  <c r="AW50" i="7" s="1"/>
  <c r="AK50" i="7"/>
  <c r="AX50" i="7" s="1"/>
  <c r="AL50" i="7"/>
  <c r="AY50" i="7" s="1"/>
  <c r="AM50" i="7"/>
  <c r="AZ50" i="7" s="1"/>
  <c r="AN50" i="7"/>
  <c r="BA50" i="7" s="1"/>
  <c r="AN51" i="7"/>
  <c r="BA51" i="7" s="1"/>
  <c r="AO51" i="7"/>
  <c r="BB51" i="7" s="1"/>
  <c r="AP51" i="7"/>
  <c r="BC51" i="7" s="1"/>
  <c r="AF52" i="7"/>
  <c r="AS52" i="7" s="1"/>
  <c r="AG52" i="7"/>
  <c r="AT52" i="7" s="1"/>
  <c r="AM52" i="7"/>
  <c r="AZ52" i="7" s="1"/>
  <c r="AN52" i="7"/>
  <c r="BA52" i="7" s="1"/>
  <c r="AE53" i="7"/>
  <c r="AR53" i="7" s="1"/>
  <c r="AF53" i="7"/>
  <c r="AS53" i="7" s="1"/>
  <c r="AM53" i="7"/>
  <c r="AZ53" i="7" s="1"/>
  <c r="AP53" i="7"/>
  <c r="BC53" i="7" s="1"/>
  <c r="AH54" i="7"/>
  <c r="AU54" i="7" s="1"/>
  <c r="AK54" i="7"/>
  <c r="AX54" i="7" s="1"/>
  <c r="AF55" i="7"/>
  <c r="AS55" i="7" s="1"/>
  <c r="AG55" i="7"/>
  <c r="AT55" i="7" s="1"/>
  <c r="AH55" i="7"/>
  <c r="AU55" i="7" s="1"/>
  <c r="AI55" i="7"/>
  <c r="AV55" i="7" s="1"/>
  <c r="AJ55" i="7"/>
  <c r="AW55" i="7" s="1"/>
  <c r="AE56" i="7"/>
  <c r="AR56" i="7" s="1"/>
  <c r="AG56" i="7"/>
  <c r="AT56" i="7" s="1"/>
  <c r="AH56" i="7"/>
  <c r="AU56" i="7" s="1"/>
  <c r="AI56" i="7"/>
  <c r="AV56" i="7" s="1"/>
  <c r="AJ56" i="7"/>
  <c r="AW56" i="7" s="1"/>
  <c r="AK56" i="7"/>
  <c r="AX56" i="7" s="1"/>
  <c r="AL56" i="7"/>
  <c r="AY56" i="7" s="1"/>
  <c r="AN56" i="7"/>
  <c r="BA56" i="7" s="1"/>
  <c r="AP56" i="7"/>
  <c r="BC56" i="7" s="1"/>
  <c r="AJ57" i="7"/>
  <c r="AW57" i="7" s="1"/>
  <c r="AK57" i="7"/>
  <c r="AX57" i="7" s="1"/>
  <c r="AL57" i="7"/>
  <c r="AY57" i="7" s="1"/>
  <c r="AN57" i="7"/>
  <c r="BA57" i="7" s="1"/>
  <c r="AE58" i="7"/>
  <c r="AR58" i="7" s="1"/>
  <c r="AI58" i="7"/>
  <c r="AV58" i="7" s="1"/>
  <c r="AL58" i="7"/>
  <c r="AY58" i="7" s="1"/>
  <c r="AM58" i="7"/>
  <c r="AZ58" i="7" s="1"/>
  <c r="AN58" i="7"/>
  <c r="BA58" i="7" s="1"/>
  <c r="AO58" i="7"/>
  <c r="BB58" i="7" s="1"/>
  <c r="AP58" i="7"/>
  <c r="BC58" i="7" s="1"/>
  <c r="AP2" i="7"/>
  <c r="BC2" i="7" s="1"/>
  <c r="AM2" i="7"/>
  <c r="AZ2" i="7" s="1"/>
  <c r="AO3" i="1"/>
  <c r="BB3" i="1" s="1"/>
  <c r="AE4" i="1"/>
  <c r="AR4" i="1" s="1"/>
  <c r="AF4" i="1"/>
  <c r="AS4" i="1" s="1"/>
  <c r="AM4" i="1"/>
  <c r="AZ4" i="1" s="1"/>
  <c r="AN4" i="1"/>
  <c r="BA4" i="1" s="1"/>
  <c r="AO4" i="1"/>
  <c r="BB4" i="1" s="1"/>
  <c r="AP4" i="1"/>
  <c r="BC4" i="1" s="1"/>
  <c r="AE5" i="1"/>
  <c r="AR5" i="1" s="1"/>
  <c r="AG5" i="1"/>
  <c r="AT5" i="1" s="1"/>
  <c r="AK5" i="1"/>
  <c r="AX5" i="1" s="1"/>
  <c r="AO5" i="1"/>
  <c r="BB5" i="1" s="1"/>
  <c r="AP5" i="1"/>
  <c r="BC5" i="1" s="1"/>
  <c r="AE6" i="1"/>
  <c r="AR6" i="1" s="1"/>
  <c r="AF6" i="1"/>
  <c r="AS6" i="1" s="1"/>
  <c r="AG6" i="1"/>
  <c r="AT6" i="1" s="1"/>
  <c r="AG7" i="1"/>
  <c r="AT7" i="1" s="1"/>
  <c r="AI7" i="1"/>
  <c r="AV7" i="1" s="1"/>
  <c r="AK7" i="1"/>
  <c r="AX7" i="1" s="1"/>
  <c r="AL7" i="1"/>
  <c r="AY7" i="1" s="1"/>
  <c r="AH8" i="1"/>
  <c r="AU8" i="1" s="1"/>
  <c r="AI8" i="1"/>
  <c r="AV8" i="1" s="1"/>
  <c r="AJ8" i="1"/>
  <c r="AW8" i="1" s="1"/>
  <c r="AK8" i="1"/>
  <c r="AX8" i="1" s="1"/>
  <c r="AM8" i="1"/>
  <c r="AZ8" i="1" s="1"/>
  <c r="AN8" i="1"/>
  <c r="BA8" i="1" s="1"/>
  <c r="AI9" i="1"/>
  <c r="AV9" i="1" s="1"/>
  <c r="AJ9" i="1"/>
  <c r="AW9" i="1" s="1"/>
  <c r="AK9" i="1"/>
  <c r="AX9" i="1" s="1"/>
  <c r="AL9" i="1"/>
  <c r="AY9" i="1" s="1"/>
  <c r="AJ10" i="1"/>
  <c r="AW10" i="1" s="1"/>
  <c r="AK10" i="1"/>
  <c r="AX10" i="1" s="1"/>
  <c r="AL10" i="1"/>
  <c r="AY10" i="1" s="1"/>
  <c r="AM10" i="1"/>
  <c r="AZ10" i="1" s="1"/>
  <c r="AN10" i="1"/>
  <c r="BA10" i="1" s="1"/>
  <c r="AO10" i="1"/>
  <c r="BB10" i="1" s="1"/>
  <c r="AF11" i="1"/>
  <c r="AS11" i="1" s="1"/>
  <c r="AL11" i="1"/>
  <c r="AY11" i="1" s="1"/>
  <c r="AM11" i="1"/>
  <c r="AZ11" i="1" s="1"/>
  <c r="AN11" i="1"/>
  <c r="BA11" i="1" s="1"/>
  <c r="AO11" i="1"/>
  <c r="BB11" i="1" s="1"/>
  <c r="AP11" i="1"/>
  <c r="BC11" i="1" s="1"/>
  <c r="AE12" i="1"/>
  <c r="AR12" i="1" s="1"/>
  <c r="AG12" i="1"/>
  <c r="AT12" i="1" s="1"/>
  <c r="AH12" i="1"/>
  <c r="AU12" i="1" s="1"/>
  <c r="AN12" i="1"/>
  <c r="BA12" i="1" s="1"/>
  <c r="AO12" i="1"/>
  <c r="BB12" i="1" s="1"/>
  <c r="AP12" i="1"/>
  <c r="BC12" i="1" s="1"/>
  <c r="AE13" i="1"/>
  <c r="AR13" i="1" s="1"/>
  <c r="AF13" i="1"/>
  <c r="AS13" i="1" s="1"/>
  <c r="AP13" i="1"/>
  <c r="BC13" i="1" s="1"/>
  <c r="AG14" i="1"/>
  <c r="AT14" i="1" s="1"/>
  <c r="AI14" i="1"/>
  <c r="AV14" i="1" s="1"/>
  <c r="AL14" i="1"/>
  <c r="AY14" i="1" s="1"/>
  <c r="AG15" i="1"/>
  <c r="AT15" i="1" s="1"/>
  <c r="AH15" i="1"/>
  <c r="AU15" i="1" s="1"/>
  <c r="AI15" i="1"/>
  <c r="AV15" i="1" s="1"/>
  <c r="AJ15" i="1"/>
  <c r="AW15" i="1" s="1"/>
  <c r="AK15" i="1"/>
  <c r="AX15" i="1" s="1"/>
  <c r="AN15" i="1"/>
  <c r="BA15" i="1" s="1"/>
  <c r="AI16" i="1"/>
  <c r="AV16" i="1" s="1"/>
  <c r="AJ16" i="1"/>
  <c r="AW16" i="1" s="1"/>
  <c r="AK16" i="1"/>
  <c r="AX16" i="1" s="1"/>
  <c r="AL16" i="1"/>
  <c r="AY16" i="1" s="1"/>
  <c r="AM16" i="1"/>
  <c r="AZ16" i="1" s="1"/>
  <c r="AO16" i="1"/>
  <c r="AP16" i="1"/>
  <c r="BC16" i="1" s="1"/>
  <c r="AK17" i="1"/>
  <c r="AX17" i="1" s="1"/>
  <c r="AL17" i="1"/>
  <c r="AY17" i="1" s="1"/>
  <c r="AM17" i="1"/>
  <c r="AZ17" i="1" s="1"/>
  <c r="AN17" i="1"/>
  <c r="BA17" i="1" s="1"/>
  <c r="AO17" i="1"/>
  <c r="BB17" i="1" s="1"/>
  <c r="AE18" i="1"/>
  <c r="AR18" i="1" s="1"/>
  <c r="AF18" i="1"/>
  <c r="AS18" i="1" s="1"/>
  <c r="AM18" i="1"/>
  <c r="AZ18" i="1" s="1"/>
  <c r="AN18" i="1"/>
  <c r="BA18" i="1" s="1"/>
  <c r="AO18" i="1"/>
  <c r="BB18" i="1" s="1"/>
  <c r="AP18" i="1"/>
  <c r="BC18" i="1" s="1"/>
  <c r="AE19" i="1"/>
  <c r="AR19" i="1" s="1"/>
  <c r="AG19" i="1"/>
  <c r="AT19" i="1" s="1"/>
  <c r="AO19" i="1"/>
  <c r="BB19" i="1" s="1"/>
  <c r="AP19" i="1"/>
  <c r="BC19" i="1" s="1"/>
  <c r="AE20" i="1"/>
  <c r="AR20" i="1" s="1"/>
  <c r="AF20" i="1"/>
  <c r="AS20" i="1" s="1"/>
  <c r="AG21" i="1"/>
  <c r="AT21" i="1" s="1"/>
  <c r="AH21" i="1"/>
  <c r="AU21" i="1" s="1"/>
  <c r="AI21" i="1"/>
  <c r="AV21" i="1" s="1"/>
  <c r="AK21" i="1"/>
  <c r="AX21" i="1" s="1"/>
  <c r="AL21" i="1"/>
  <c r="AY21" i="1" s="1"/>
  <c r="AO21" i="1"/>
  <c r="BB21" i="1" s="1"/>
  <c r="AP21" i="1"/>
  <c r="BC21" i="1" s="1"/>
  <c r="AF22" i="1"/>
  <c r="AS22" i="1" s="1"/>
  <c r="AM22" i="1"/>
  <c r="AZ22" i="1" s="1"/>
  <c r="AN22" i="1"/>
  <c r="BA22" i="1" s="1"/>
  <c r="AK23" i="1"/>
  <c r="AX23" i="1" s="1"/>
  <c r="AL23" i="1"/>
  <c r="AY23" i="1" s="1"/>
  <c r="AM23" i="1"/>
  <c r="AZ23" i="1" s="1"/>
  <c r="AP23" i="1"/>
  <c r="BC23" i="1" s="1"/>
  <c r="AG24" i="1"/>
  <c r="AT24" i="1" s="1"/>
  <c r="AK24" i="1"/>
  <c r="AX24" i="1" s="1"/>
  <c r="AL24" i="1"/>
  <c r="AY24" i="1" s="1"/>
  <c r="AM24" i="1"/>
  <c r="AZ24" i="1" s="1"/>
  <c r="AN24" i="1"/>
  <c r="BA24" i="1" s="1"/>
  <c r="AO24" i="1"/>
  <c r="BB24" i="1" s="1"/>
  <c r="AF25" i="1"/>
  <c r="AS25" i="1" s="1"/>
  <c r="AM25" i="1"/>
  <c r="AZ25" i="1" s="1"/>
  <c r="AN25" i="1"/>
  <c r="BA25" i="1" s="1"/>
  <c r="AE26" i="1"/>
  <c r="AR26" i="1" s="1"/>
  <c r="AG26" i="1"/>
  <c r="AT26" i="1" s="1"/>
  <c r="AH26" i="1"/>
  <c r="AU26" i="1" s="1"/>
  <c r="AO26" i="1"/>
  <c r="BB26" i="1" s="1"/>
  <c r="AP26" i="1"/>
  <c r="BC26" i="1" s="1"/>
  <c r="AE27" i="1"/>
  <c r="AR27" i="1" s="1"/>
  <c r="AF27" i="1"/>
  <c r="AS27" i="1" s="1"/>
  <c r="AG27" i="1"/>
  <c r="AT27" i="1" s="1"/>
  <c r="AN27" i="1"/>
  <c r="BA27" i="1" s="1"/>
  <c r="AG28" i="1"/>
  <c r="AT28" i="1" s="1"/>
  <c r="AI28" i="1"/>
  <c r="AV28" i="1" s="1"/>
  <c r="AL28" i="1"/>
  <c r="AY28" i="1" s="1"/>
  <c r="AG29" i="1"/>
  <c r="AT29" i="1" s="1"/>
  <c r="AH29" i="1"/>
  <c r="AU29" i="1" s="1"/>
  <c r="AI29" i="1"/>
  <c r="AV29" i="1" s="1"/>
  <c r="AJ29" i="1"/>
  <c r="AW29" i="1" s="1"/>
  <c r="AM29" i="1"/>
  <c r="AZ29" i="1" s="1"/>
  <c r="AN29" i="1"/>
  <c r="BA29" i="1" s="1"/>
  <c r="AI30" i="1"/>
  <c r="AV30" i="1" s="1"/>
  <c r="AK30" i="1"/>
  <c r="AX30" i="1" s="1"/>
  <c r="AL30" i="1"/>
  <c r="AY30" i="1" s="1"/>
  <c r="AM30" i="1"/>
  <c r="AZ30" i="1" s="1"/>
  <c r="AO30" i="1"/>
  <c r="BB30" i="1" s="1"/>
  <c r="AP30" i="1"/>
  <c r="BC30" i="1" s="1"/>
  <c r="AL31" i="1"/>
  <c r="AY31" i="1" s="1"/>
  <c r="AM31" i="1"/>
  <c r="AZ31" i="1" s="1"/>
  <c r="AN31" i="1"/>
  <c r="BA31" i="1" s="1"/>
  <c r="AO31" i="1"/>
  <c r="BB31" i="1" s="1"/>
  <c r="AF32" i="1"/>
  <c r="AS32" i="1" s="1"/>
  <c r="AP32" i="1"/>
  <c r="BC32" i="1" s="1"/>
  <c r="AG33" i="1"/>
  <c r="AT33" i="1" s="1"/>
  <c r="AH33" i="1"/>
  <c r="AU33" i="1" s="1"/>
  <c r="AP33" i="1"/>
  <c r="BC33" i="1" s="1"/>
  <c r="AE34" i="1"/>
  <c r="AR34" i="1" s="1"/>
  <c r="AF34" i="1"/>
  <c r="AS34" i="1" s="1"/>
  <c r="AG34" i="1"/>
  <c r="AT34" i="1" s="1"/>
  <c r="AI34" i="1"/>
  <c r="AV34" i="1" s="1"/>
  <c r="AI35" i="1"/>
  <c r="AV35" i="1" s="1"/>
  <c r="AK35" i="1"/>
  <c r="AX35" i="1" s="1"/>
  <c r="AL35" i="1"/>
  <c r="AY35" i="1" s="1"/>
  <c r="AP35" i="1"/>
  <c r="BC35" i="1" s="1"/>
  <c r="AH36" i="1"/>
  <c r="AU36" i="1" s="1"/>
  <c r="AJ36" i="1"/>
  <c r="AW36" i="1" s="1"/>
  <c r="AK36" i="1"/>
  <c r="AX36" i="1" s="1"/>
  <c r="AM36" i="1"/>
  <c r="AZ36" i="1" s="1"/>
  <c r="AN36" i="1"/>
  <c r="BA36" i="1" s="1"/>
  <c r="AL37" i="1"/>
  <c r="AY37" i="1" s="1"/>
  <c r="AM37" i="1"/>
  <c r="AZ37" i="1" s="1"/>
  <c r="AO37" i="1"/>
  <c r="BB37" i="1" s="1"/>
  <c r="AP37" i="1"/>
  <c r="BC37" i="1" s="1"/>
  <c r="AG38" i="1"/>
  <c r="AT38" i="1" s="1"/>
  <c r="AK38" i="1"/>
  <c r="AX38" i="1" s="1"/>
  <c r="AO38" i="1"/>
  <c r="BB38" i="1" s="1"/>
  <c r="AP38" i="1"/>
  <c r="BC38" i="1" s="1"/>
  <c r="AF39" i="1"/>
  <c r="AS39" i="1" s="1"/>
  <c r="AM39" i="1"/>
  <c r="AZ39" i="1" s="1"/>
  <c r="AN39" i="1"/>
  <c r="BA39" i="1" s="1"/>
  <c r="AO39" i="1"/>
  <c r="BB39" i="1" s="1"/>
  <c r="AP39" i="1"/>
  <c r="BC39" i="1" s="1"/>
  <c r="AG40" i="1"/>
  <c r="AT40" i="1" s="1"/>
  <c r="AH40" i="1"/>
  <c r="AU40" i="1" s="1"/>
  <c r="AO40" i="1"/>
  <c r="BB40" i="1" s="1"/>
  <c r="AP40" i="1"/>
  <c r="BC40" i="1" s="1"/>
  <c r="AF41" i="1"/>
  <c r="AS41" i="1" s="1"/>
  <c r="AG42" i="1"/>
  <c r="AT42" i="1" s="1"/>
  <c r="AI42" i="1"/>
  <c r="AV42" i="1" s="1"/>
  <c r="AK42" i="1"/>
  <c r="AX42" i="1" s="1"/>
  <c r="AL42" i="1"/>
  <c r="AY42" i="1" s="1"/>
  <c r="AH43" i="1"/>
  <c r="AU43" i="1" s="1"/>
  <c r="AK43" i="1"/>
  <c r="AX43" i="1" s="1"/>
  <c r="AM43" i="1"/>
  <c r="AN43" i="1"/>
  <c r="BA43" i="1" s="1"/>
  <c r="AE44" i="1"/>
  <c r="AR44" i="1" s="1"/>
  <c r="AL44" i="1"/>
  <c r="AY44" i="1" s="1"/>
  <c r="AM44" i="1"/>
  <c r="AZ44" i="1" s="1"/>
  <c r="AO44" i="1"/>
  <c r="BB44" i="1" s="1"/>
  <c r="AP44" i="1"/>
  <c r="BC44" i="1" s="1"/>
  <c r="AG45" i="1"/>
  <c r="AT45" i="1" s="1"/>
  <c r="AO45" i="1"/>
  <c r="BB45" i="1" s="1"/>
  <c r="AE46" i="1"/>
  <c r="AR46" i="1" s="1"/>
  <c r="AF46" i="1"/>
  <c r="AS46" i="1" s="1"/>
  <c r="AM46" i="1"/>
  <c r="AZ46" i="1" s="1"/>
  <c r="AN46" i="1"/>
  <c r="BA46" i="1" s="1"/>
  <c r="AO46" i="1"/>
  <c r="BB46" i="1" s="1"/>
  <c r="AP46" i="1"/>
  <c r="BC46" i="1" s="1"/>
  <c r="AE47" i="1"/>
  <c r="AR47" i="1" s="1"/>
  <c r="AF47" i="1"/>
  <c r="AS47" i="1" s="1"/>
  <c r="AG47" i="1"/>
  <c r="AT47" i="1" s="1"/>
  <c r="AH47" i="1"/>
  <c r="AU47" i="1" s="1"/>
  <c r="AO47" i="1"/>
  <c r="BB47" i="1" s="1"/>
  <c r="AP47" i="1"/>
  <c r="BC47" i="1" s="1"/>
  <c r="AE48" i="1"/>
  <c r="AR48" i="1" s="1"/>
  <c r="AF48" i="1"/>
  <c r="AS48" i="1" s="1"/>
  <c r="AG49" i="1"/>
  <c r="AT49" i="1" s="1"/>
  <c r="AH49" i="1"/>
  <c r="AU49" i="1" s="1"/>
  <c r="AI49" i="1"/>
  <c r="AV49" i="1" s="1"/>
  <c r="AK49" i="1"/>
  <c r="AX49" i="1" s="1"/>
  <c r="AL49" i="1"/>
  <c r="AY49" i="1" s="1"/>
  <c r="AG50" i="1"/>
  <c r="AT50" i="1" s="1"/>
  <c r="AH50" i="1"/>
  <c r="AU50" i="1" s="1"/>
  <c r="AI50" i="1"/>
  <c r="AV50" i="1" s="1"/>
  <c r="AJ50" i="1"/>
  <c r="AW50" i="1" s="1"/>
  <c r="AK50" i="1"/>
  <c r="AX50" i="1" s="1"/>
  <c r="AM50" i="1"/>
  <c r="AZ50" i="1" s="1"/>
  <c r="AN50" i="1"/>
  <c r="BA50" i="1" s="1"/>
  <c r="AK51" i="1"/>
  <c r="AX51" i="1" s="1"/>
  <c r="AL51" i="1"/>
  <c r="AY51" i="1" s="1"/>
  <c r="AM51" i="1"/>
  <c r="AZ51" i="1" s="1"/>
  <c r="AO51" i="1"/>
  <c r="BB51" i="1" s="1"/>
  <c r="AP51" i="1"/>
  <c r="BC51" i="1" s="1"/>
  <c r="AJ52" i="1"/>
  <c r="AW52" i="1" s="1"/>
  <c r="AK52" i="1"/>
  <c r="AX52" i="1" s="1"/>
  <c r="AM52" i="1"/>
  <c r="AZ52" i="1" s="1"/>
  <c r="AN52" i="1"/>
  <c r="BA52" i="1" s="1"/>
  <c r="AO52" i="1"/>
  <c r="BB52" i="1" s="1"/>
  <c r="AE53" i="1"/>
  <c r="AR53" i="1" s="1"/>
  <c r="AF53" i="1"/>
  <c r="AS53" i="1" s="1"/>
  <c r="AM53" i="1"/>
  <c r="AZ53" i="1" s="1"/>
  <c r="AN53" i="1"/>
  <c r="BA53" i="1" s="1"/>
  <c r="AP53" i="1"/>
  <c r="BC53" i="1" s="1"/>
  <c r="AE54" i="1"/>
  <c r="AR54" i="1" s="1"/>
  <c r="AG54" i="1"/>
  <c r="AT54" i="1" s="1"/>
  <c r="AH54" i="1"/>
  <c r="AU54" i="1" s="1"/>
  <c r="AL54" i="1"/>
  <c r="AY54" i="1" s="1"/>
  <c r="AP54" i="1"/>
  <c r="BC54" i="1" s="1"/>
  <c r="AE55" i="1"/>
  <c r="AR55" i="1" s="1"/>
  <c r="AF55" i="1"/>
  <c r="AS55" i="1" s="1"/>
  <c r="AG55" i="1"/>
  <c r="AT55" i="1" s="1"/>
  <c r="AH55" i="1"/>
  <c r="AU55" i="1" s="1"/>
  <c r="AI55" i="1"/>
  <c r="AV55" i="1" s="1"/>
  <c r="AM55" i="1"/>
  <c r="AZ55" i="1" s="1"/>
  <c r="AG56" i="1"/>
  <c r="AT56" i="1" s="1"/>
  <c r="AH56" i="1"/>
  <c r="AU56" i="1" s="1"/>
  <c r="AI56" i="1"/>
  <c r="AV56" i="1" s="1"/>
  <c r="AK56" i="1"/>
  <c r="AX56" i="1" s="1"/>
  <c r="AL56" i="1"/>
  <c r="AY56" i="1" s="1"/>
  <c r="AF57" i="1"/>
  <c r="AS57" i="1" s="1"/>
  <c r="AH57" i="1"/>
  <c r="AU57" i="1" s="1"/>
  <c r="AI57" i="1"/>
  <c r="AV57" i="1" s="1"/>
  <c r="AK57" i="1"/>
  <c r="AX57" i="1" s="1"/>
  <c r="AM57" i="1"/>
  <c r="AZ57" i="1" s="1"/>
  <c r="AN57" i="1"/>
  <c r="BA57" i="1" s="1"/>
  <c r="AI58" i="1"/>
  <c r="AV58" i="1" s="1"/>
  <c r="AO58" i="1"/>
  <c r="BB58" i="1" s="1"/>
  <c r="AP58" i="1"/>
  <c r="BC58" i="1" s="1"/>
  <c r="AH2" i="1"/>
  <c r="AU2" i="1" s="1"/>
  <c r="AL58" i="12"/>
  <c r="AY58" i="12" s="1"/>
  <c r="AF58" i="12"/>
  <c r="AS58" i="12" s="1"/>
  <c r="AE58" i="12"/>
  <c r="AR58" i="12" s="1"/>
  <c r="D58" i="12"/>
  <c r="AY57" i="12"/>
  <c r="AP57" i="12"/>
  <c r="BC57" i="12" s="1"/>
  <c r="AO57" i="12"/>
  <c r="BB57" i="12" s="1"/>
  <c r="AG57" i="12"/>
  <c r="AT57" i="12" s="1"/>
  <c r="AF57" i="12"/>
  <c r="AS57" i="12" s="1"/>
  <c r="D57" i="12"/>
  <c r="BB56" i="12"/>
  <c r="BA56" i="12"/>
  <c r="AO56" i="12"/>
  <c r="AN56" i="12"/>
  <c r="AM56" i="12"/>
  <c r="AZ56" i="12" s="1"/>
  <c r="AI56" i="12"/>
  <c r="AV56" i="12" s="1"/>
  <c r="AH56" i="12"/>
  <c r="AU56" i="12" s="1"/>
  <c r="AF56" i="12"/>
  <c r="AS56" i="12" s="1"/>
  <c r="AE56" i="12"/>
  <c r="AR56" i="12" s="1"/>
  <c r="D56" i="12"/>
  <c r="AX55" i="12"/>
  <c r="AS55" i="12"/>
  <c r="AP55" i="12"/>
  <c r="BC55" i="12" s="1"/>
  <c r="AO55" i="12"/>
  <c r="BB55" i="12" s="1"/>
  <c r="AN55" i="12"/>
  <c r="BA55" i="12" s="1"/>
  <c r="AM55" i="12"/>
  <c r="AZ55" i="12" s="1"/>
  <c r="AL55" i="12"/>
  <c r="AY55" i="12" s="1"/>
  <c r="AK55" i="12"/>
  <c r="AG55" i="12"/>
  <c r="AT55" i="12" s="1"/>
  <c r="D55" i="12"/>
  <c r="AO54" i="12"/>
  <c r="BB54" i="12" s="1"/>
  <c r="AK54" i="12"/>
  <c r="AX54" i="12" s="1"/>
  <c r="AJ54" i="12"/>
  <c r="AW54" i="12" s="1"/>
  <c r="AI54" i="12"/>
  <c r="AV54" i="12" s="1"/>
  <c r="AF54" i="12"/>
  <c r="AS54" i="12" s="1"/>
  <c r="D54" i="12"/>
  <c r="AJ53" i="12"/>
  <c r="AW53" i="12" s="1"/>
  <c r="AI53" i="12"/>
  <c r="AV53" i="12" s="1"/>
  <c r="AH53" i="12"/>
  <c r="AU53" i="12" s="1"/>
  <c r="AG53" i="12"/>
  <c r="AT53" i="12" s="1"/>
  <c r="D53" i="12"/>
  <c r="BB52" i="12"/>
  <c r="AN52" i="12"/>
  <c r="BA52" i="12" s="1"/>
  <c r="AL52" i="12"/>
  <c r="AY52" i="12" s="1"/>
  <c r="AK52" i="12"/>
  <c r="AX52" i="12" s="1"/>
  <c r="AJ52" i="12"/>
  <c r="AW52" i="12" s="1"/>
  <c r="AI52" i="12"/>
  <c r="AV52" i="12" s="1"/>
  <c r="AG52" i="12"/>
  <c r="AT52" i="12" s="1"/>
  <c r="AE52" i="12"/>
  <c r="AR52" i="12" s="1"/>
  <c r="D52" i="12"/>
  <c r="AL51" i="12"/>
  <c r="AY51" i="12" s="1"/>
  <c r="AI51" i="12"/>
  <c r="AV51" i="12" s="1"/>
  <c r="AE51" i="12"/>
  <c r="AR51" i="12" s="1"/>
  <c r="D51" i="12"/>
  <c r="AP50" i="12"/>
  <c r="BC50" i="12" s="1"/>
  <c r="AO50" i="12"/>
  <c r="BB50" i="12" s="1"/>
  <c r="AH50" i="12"/>
  <c r="AU50" i="12" s="1"/>
  <c r="AG50" i="12"/>
  <c r="AT50" i="12" s="1"/>
  <c r="D50" i="12"/>
  <c r="AO49" i="12"/>
  <c r="BB49" i="12" s="1"/>
  <c r="AN49" i="12"/>
  <c r="BA49" i="12" s="1"/>
  <c r="AM49" i="12"/>
  <c r="AZ49" i="12" s="1"/>
  <c r="AI49" i="12"/>
  <c r="AV49" i="12" s="1"/>
  <c r="AH49" i="12"/>
  <c r="AU49" i="12" s="1"/>
  <c r="AF49" i="12"/>
  <c r="AS49" i="12" s="1"/>
  <c r="AE49" i="12"/>
  <c r="AR49" i="12" s="1"/>
  <c r="D49" i="12"/>
  <c r="AP48" i="12"/>
  <c r="BC48" i="12" s="1"/>
  <c r="AO48" i="12"/>
  <c r="BB48" i="12" s="1"/>
  <c r="AN48" i="12"/>
  <c r="BA48" i="12" s="1"/>
  <c r="AM48" i="12"/>
  <c r="AZ48" i="12" s="1"/>
  <c r="AL48" i="12"/>
  <c r="AY48" i="12" s="1"/>
  <c r="AK48" i="12"/>
  <c r="AX48" i="12" s="1"/>
  <c r="AI48" i="12"/>
  <c r="AV48" i="12" s="1"/>
  <c r="AH48" i="12"/>
  <c r="AU48" i="12" s="1"/>
  <c r="D48" i="12"/>
  <c r="AY47" i="12"/>
  <c r="AO47" i="12"/>
  <c r="BB47" i="12" s="1"/>
  <c r="AN47" i="12"/>
  <c r="BA47" i="12" s="1"/>
  <c r="AK47" i="12"/>
  <c r="AX47" i="12" s="1"/>
  <c r="AJ47" i="12"/>
  <c r="AW47" i="12" s="1"/>
  <c r="AI47" i="12"/>
  <c r="AV47" i="12" s="1"/>
  <c r="D47" i="12"/>
  <c r="AZ46" i="12"/>
  <c r="AU46" i="12"/>
  <c r="AP46" i="12"/>
  <c r="BC46" i="12" s="1"/>
  <c r="AM46" i="12"/>
  <c r="AJ46" i="12"/>
  <c r="AW46" i="12" s="1"/>
  <c r="AI46" i="12"/>
  <c r="AV46" i="12" s="1"/>
  <c r="AH46" i="12"/>
  <c r="AG46" i="12"/>
  <c r="AT46" i="12" s="1"/>
  <c r="D46" i="12"/>
  <c r="AO45" i="12"/>
  <c r="BB45" i="12" s="1"/>
  <c r="AN45" i="12"/>
  <c r="BA45" i="12" s="1"/>
  <c r="AK45" i="12"/>
  <c r="AX45" i="12" s="1"/>
  <c r="AG45" i="12"/>
  <c r="AT45" i="12" s="1"/>
  <c r="AF45" i="12"/>
  <c r="AS45" i="12" s="1"/>
  <c r="AE45" i="12"/>
  <c r="AR45" i="12" s="1"/>
  <c r="D45" i="12"/>
  <c r="AM44" i="12"/>
  <c r="AZ44" i="12" s="1"/>
  <c r="AL44" i="12"/>
  <c r="AY44" i="12" s="1"/>
  <c r="AK44" i="12"/>
  <c r="AX44" i="12" s="1"/>
  <c r="AJ44" i="12"/>
  <c r="AW44" i="12" s="1"/>
  <c r="AI44" i="12"/>
  <c r="AV44" i="12" s="1"/>
  <c r="AF44" i="12"/>
  <c r="AS44" i="12" s="1"/>
  <c r="AE44" i="12"/>
  <c r="AR44" i="12" s="1"/>
  <c r="D44" i="12"/>
  <c r="AU43" i="12"/>
  <c r="AP43" i="12"/>
  <c r="BC43" i="12" s="1"/>
  <c r="AO43" i="12"/>
  <c r="BB43" i="12" s="1"/>
  <c r="AG43" i="12"/>
  <c r="AT43" i="12" s="1"/>
  <c r="AE43" i="12"/>
  <c r="AR43" i="12" s="1"/>
  <c r="D43" i="12"/>
  <c r="BC42" i="12"/>
  <c r="BB42" i="12"/>
  <c r="AZ42" i="12"/>
  <c r="AP42" i="12"/>
  <c r="AO42" i="12"/>
  <c r="AN42" i="12"/>
  <c r="BA42" i="12" s="1"/>
  <c r="AM42" i="12"/>
  <c r="AI42" i="12"/>
  <c r="AV42" i="12" s="1"/>
  <c r="AH42" i="12"/>
  <c r="AU42" i="12" s="1"/>
  <c r="AF42" i="12"/>
  <c r="AS42" i="12" s="1"/>
  <c r="AE42" i="12"/>
  <c r="AR42" i="12" s="1"/>
  <c r="D42" i="12"/>
  <c r="AU41" i="12"/>
  <c r="AS41" i="12"/>
  <c r="AP41" i="12"/>
  <c r="BC41" i="12" s="1"/>
  <c r="AN41" i="12"/>
  <c r="BA41" i="12" s="1"/>
  <c r="AM41" i="12"/>
  <c r="AZ41" i="12" s="1"/>
  <c r="AL41" i="12"/>
  <c r="AY41" i="12" s="1"/>
  <c r="AK41" i="12"/>
  <c r="AX41" i="12" s="1"/>
  <c r="AH41" i="12"/>
  <c r="D41" i="12"/>
  <c r="AZ40" i="12"/>
  <c r="AW40" i="12"/>
  <c r="AV40" i="12"/>
  <c r="AO40" i="12"/>
  <c r="BB40" i="12" s="1"/>
  <c r="AM40" i="12"/>
  <c r="AK40" i="12"/>
  <c r="AX40" i="12" s="1"/>
  <c r="AI40" i="12"/>
  <c r="AE40" i="12"/>
  <c r="AR40" i="12" s="1"/>
  <c r="D40" i="12"/>
  <c r="AX39" i="12"/>
  <c r="AM39" i="12"/>
  <c r="AZ39" i="12" s="1"/>
  <c r="AJ39" i="12"/>
  <c r="AW39" i="12" s="1"/>
  <c r="AI39" i="12"/>
  <c r="AV39" i="12" s="1"/>
  <c r="AH39" i="12"/>
  <c r="AU39" i="12" s="1"/>
  <c r="AG39" i="12"/>
  <c r="AT39" i="12" s="1"/>
  <c r="D39" i="12"/>
  <c r="AO38" i="12"/>
  <c r="BB38" i="12" s="1"/>
  <c r="AN38" i="12"/>
  <c r="BA38" i="12" s="1"/>
  <c r="AK38" i="12"/>
  <c r="AX38" i="12" s="1"/>
  <c r="AH38" i="12"/>
  <c r="AU38" i="12" s="1"/>
  <c r="AG38" i="12"/>
  <c r="AT38" i="12" s="1"/>
  <c r="AF38" i="12"/>
  <c r="AS38" i="12" s="1"/>
  <c r="AE38" i="12"/>
  <c r="AR38" i="12" s="1"/>
  <c r="D38" i="12"/>
  <c r="AL37" i="12"/>
  <c r="AY37" i="12" s="1"/>
  <c r="AI37" i="12"/>
  <c r="AV37" i="12" s="1"/>
  <c r="AU37" i="12"/>
  <c r="AG37" i="12"/>
  <c r="AT37" i="12" s="1"/>
  <c r="AF37" i="12"/>
  <c r="AS37" i="12" s="1"/>
  <c r="AE37" i="12"/>
  <c r="AR37" i="12" s="1"/>
  <c r="D37" i="12"/>
  <c r="AY36" i="12"/>
  <c r="AP36" i="12"/>
  <c r="BC36" i="12" s="1"/>
  <c r="AO36" i="12"/>
  <c r="BB36" i="12" s="1"/>
  <c r="AK36" i="12"/>
  <c r="AX36" i="12" s="1"/>
  <c r="AJ36" i="12"/>
  <c r="AW36" i="12" s="1"/>
  <c r="AG36" i="12"/>
  <c r="AT36" i="12" s="1"/>
  <c r="D36" i="12"/>
  <c r="AP35" i="12"/>
  <c r="BC35" i="12" s="1"/>
  <c r="AO35" i="12"/>
  <c r="BB35" i="12" s="1"/>
  <c r="AN35" i="12"/>
  <c r="BA35" i="12" s="1"/>
  <c r="AM35" i="12"/>
  <c r="AZ35" i="12" s="1"/>
  <c r="AI35" i="12"/>
  <c r="AV35" i="12" s="1"/>
  <c r="AH35" i="12"/>
  <c r="AU35" i="12" s="1"/>
  <c r="AF35" i="12"/>
  <c r="AS35" i="12" s="1"/>
  <c r="AE35" i="12"/>
  <c r="AR35" i="12" s="1"/>
  <c r="D35" i="12"/>
  <c r="AN34" i="12"/>
  <c r="BA34" i="12" s="1"/>
  <c r="AM34" i="12"/>
  <c r="AZ34" i="12" s="1"/>
  <c r="AL34" i="12"/>
  <c r="AY34" i="12" s="1"/>
  <c r="AK34" i="12"/>
  <c r="AX34" i="12" s="1"/>
  <c r="AH34" i="12"/>
  <c r="AU34" i="12" s="1"/>
  <c r="AG34" i="12"/>
  <c r="AT34" i="12" s="1"/>
  <c r="AF34" i="12"/>
  <c r="AS34" i="12" s="1"/>
  <c r="D34" i="12"/>
  <c r="AP33" i="12"/>
  <c r="BC33" i="12" s="1"/>
  <c r="AO33" i="12"/>
  <c r="BB33" i="12" s="1"/>
  <c r="AM33" i="12"/>
  <c r="AZ33" i="12" s="1"/>
  <c r="AK33" i="12"/>
  <c r="AX33" i="12" s="1"/>
  <c r="AI33" i="12"/>
  <c r="AV33" i="12" s="1"/>
  <c r="AE33" i="12"/>
  <c r="AR33" i="12" s="1"/>
  <c r="D33" i="12"/>
  <c r="BC32" i="12"/>
  <c r="AV32" i="12"/>
  <c r="AM32" i="12"/>
  <c r="AZ32" i="12" s="1"/>
  <c r="AL32" i="12"/>
  <c r="AY32" i="12" s="1"/>
  <c r="AK32" i="12"/>
  <c r="AX32" i="12" s="1"/>
  <c r="AJ32" i="12"/>
  <c r="AW32" i="12" s="1"/>
  <c r="AI32" i="12"/>
  <c r="AH32" i="12"/>
  <c r="AU32" i="12" s="1"/>
  <c r="AG32" i="12"/>
  <c r="AT32" i="12" s="1"/>
  <c r="D32" i="12"/>
  <c r="AR31" i="12"/>
  <c r="AO31" i="12"/>
  <c r="BB31" i="12" s="1"/>
  <c r="AL31" i="12"/>
  <c r="AY31" i="12" s="1"/>
  <c r="AK31" i="12"/>
  <c r="AX31" i="12" s="1"/>
  <c r="AI31" i="12"/>
  <c r="AV31" i="12" s="1"/>
  <c r="AG31" i="12"/>
  <c r="AT31" i="12" s="1"/>
  <c r="AF31" i="12"/>
  <c r="AS31" i="12" s="1"/>
  <c r="AE31" i="12"/>
  <c r="D31" i="12"/>
  <c r="AN30" i="12"/>
  <c r="BA30" i="12" s="1"/>
  <c r="AL30" i="12"/>
  <c r="AY30" i="12" s="1"/>
  <c r="AJ30" i="12"/>
  <c r="AW30" i="12" s="1"/>
  <c r="AI30" i="12"/>
  <c r="AV30" i="12" s="1"/>
  <c r="AG30" i="12"/>
  <c r="AT30" i="12" s="1"/>
  <c r="AF30" i="12"/>
  <c r="AS30" i="12" s="1"/>
  <c r="AE30" i="12"/>
  <c r="AR30" i="12" s="1"/>
  <c r="D30" i="12"/>
  <c r="AP29" i="12"/>
  <c r="BC29" i="12" s="1"/>
  <c r="AO29" i="12"/>
  <c r="BB29" i="12" s="1"/>
  <c r="AN29" i="12"/>
  <c r="BA29" i="12" s="1"/>
  <c r="AK29" i="12"/>
  <c r="AX29" i="12" s="1"/>
  <c r="AJ29" i="12"/>
  <c r="AW29" i="12" s="1"/>
  <c r="AG29" i="12"/>
  <c r="AT29" i="12" s="1"/>
  <c r="D29" i="12"/>
  <c r="BB28" i="12"/>
  <c r="AP28" i="12"/>
  <c r="BC28" i="12" s="1"/>
  <c r="AO28" i="12"/>
  <c r="AN28" i="12"/>
  <c r="BA28" i="12" s="1"/>
  <c r="AM28" i="12"/>
  <c r="AZ28" i="12" s="1"/>
  <c r="AI28" i="12"/>
  <c r="AV28" i="12" s="1"/>
  <c r="AH28" i="12"/>
  <c r="AU28" i="12" s="1"/>
  <c r="AF28" i="12"/>
  <c r="AS28" i="12" s="1"/>
  <c r="AE28" i="12"/>
  <c r="AR28" i="12" s="1"/>
  <c r="D28" i="12"/>
  <c r="AO27" i="12"/>
  <c r="BB27" i="12" s="1"/>
  <c r="AN27" i="12"/>
  <c r="BA27" i="12" s="1"/>
  <c r="AM27" i="12"/>
  <c r="AZ27" i="12" s="1"/>
  <c r="AL27" i="12"/>
  <c r="AY27" i="12" s="1"/>
  <c r="AK27" i="12"/>
  <c r="AX27" i="12" s="1"/>
  <c r="AG27" i="12"/>
  <c r="AT27" i="12" s="1"/>
  <c r="D27" i="12"/>
  <c r="BB26" i="12"/>
  <c r="AO26" i="12"/>
  <c r="AN26" i="12"/>
  <c r="BA26" i="12" s="1"/>
  <c r="AL26" i="12"/>
  <c r="AY26" i="12" s="1"/>
  <c r="AK26" i="12"/>
  <c r="AX26" i="12" s="1"/>
  <c r="AJ26" i="12"/>
  <c r="AW26" i="12" s="1"/>
  <c r="AI26" i="12"/>
  <c r="AV26" i="12" s="1"/>
  <c r="AE26" i="12"/>
  <c r="AR26" i="12" s="1"/>
  <c r="D26" i="12"/>
  <c r="AZ25" i="12"/>
  <c r="AM25" i="12"/>
  <c r="AL25" i="12"/>
  <c r="AY25" i="12" s="1"/>
  <c r="AK25" i="12"/>
  <c r="AX25" i="12" s="1"/>
  <c r="AJ25" i="12"/>
  <c r="AW25" i="12" s="1"/>
  <c r="AI25" i="12"/>
  <c r="AV25" i="12" s="1"/>
  <c r="AG25" i="12"/>
  <c r="AT25" i="12" s="1"/>
  <c r="AE25" i="12"/>
  <c r="AR25" i="12" s="1"/>
  <c r="D25" i="12"/>
  <c r="AN24" i="12"/>
  <c r="BA24" i="12" s="1"/>
  <c r="AL24" i="12"/>
  <c r="AY24" i="12" s="1"/>
  <c r="AK24" i="12"/>
  <c r="AX24" i="12" s="1"/>
  <c r="AJ24" i="12"/>
  <c r="AW24" i="12" s="1"/>
  <c r="AI24" i="12"/>
  <c r="AV24" i="12" s="1"/>
  <c r="AH24" i="12"/>
  <c r="AU24" i="12" s="1"/>
  <c r="AG24" i="12"/>
  <c r="AT24" i="12" s="1"/>
  <c r="AF24" i="12"/>
  <c r="AS24" i="12" s="1"/>
  <c r="AE24" i="12"/>
  <c r="AR24" i="12" s="1"/>
  <c r="D24" i="12"/>
  <c r="AN23" i="12"/>
  <c r="BA23" i="12" s="1"/>
  <c r="AM23" i="12"/>
  <c r="AZ23" i="12" s="1"/>
  <c r="AI23" i="12"/>
  <c r="AV23" i="12" s="1"/>
  <c r="AG23" i="12"/>
  <c r="AT23" i="12" s="1"/>
  <c r="AF23" i="12"/>
  <c r="AS23" i="12" s="1"/>
  <c r="AE23" i="12"/>
  <c r="AR23" i="12" s="1"/>
  <c r="D23" i="12"/>
  <c r="AX22" i="12"/>
  <c r="AO22" i="12"/>
  <c r="BB22" i="12" s="1"/>
  <c r="AL22" i="12"/>
  <c r="AY22" i="12" s="1"/>
  <c r="AK22" i="12"/>
  <c r="AJ22" i="12"/>
  <c r="AW22" i="12" s="1"/>
  <c r="AG22" i="12"/>
  <c r="AT22" i="12" s="1"/>
  <c r="AF22" i="12"/>
  <c r="AS22" i="12" s="1"/>
  <c r="AE22" i="12"/>
  <c r="AR22" i="12" s="1"/>
  <c r="D22" i="12"/>
  <c r="AR21" i="12"/>
  <c r="AP21" i="12"/>
  <c r="BC21" i="12" s="1"/>
  <c r="AO21" i="12"/>
  <c r="BB21" i="12" s="1"/>
  <c r="AN21" i="12"/>
  <c r="BA21" i="12" s="1"/>
  <c r="AM21" i="12"/>
  <c r="AZ21" i="12" s="1"/>
  <c r="AI21" i="12"/>
  <c r="AV21" i="12" s="1"/>
  <c r="AE21" i="12"/>
  <c r="D21" i="12"/>
  <c r="AO20" i="12"/>
  <c r="BB20" i="12" s="1"/>
  <c r="AN20" i="12"/>
  <c r="BA20" i="12" s="1"/>
  <c r="AM20" i="12"/>
  <c r="AZ20" i="12" s="1"/>
  <c r="AL20" i="12"/>
  <c r="AY20" i="12" s="1"/>
  <c r="AK20" i="12"/>
  <c r="AX20" i="12" s="1"/>
  <c r="AH20" i="12"/>
  <c r="AU20" i="12" s="1"/>
  <c r="AG20" i="12"/>
  <c r="AT20" i="12" s="1"/>
  <c r="AF20" i="12"/>
  <c r="AS20" i="12" s="1"/>
  <c r="D20" i="12"/>
  <c r="AZ19" i="12"/>
  <c r="AP19" i="12"/>
  <c r="BC19" i="12" s="1"/>
  <c r="AO19" i="12"/>
  <c r="BB19" i="12" s="1"/>
  <c r="AL19" i="12"/>
  <c r="AY19" i="12" s="1"/>
  <c r="AK19" i="12"/>
  <c r="AX19" i="12" s="1"/>
  <c r="AJ19" i="12"/>
  <c r="AW19" i="12" s="1"/>
  <c r="AI19" i="12"/>
  <c r="AV19" i="12" s="1"/>
  <c r="AE19" i="12"/>
  <c r="AR19" i="12" s="1"/>
  <c r="D19" i="12"/>
  <c r="AP18" i="12"/>
  <c r="BC18" i="12" s="1"/>
  <c r="AO18" i="12"/>
  <c r="BB18" i="12" s="1"/>
  <c r="AN18" i="12"/>
  <c r="BA18" i="12" s="1"/>
  <c r="AM18" i="12"/>
  <c r="AZ18" i="12" s="1"/>
  <c r="AL18" i="12"/>
  <c r="AY18" i="12" s="1"/>
  <c r="AJ18" i="12"/>
  <c r="AW18" i="12" s="1"/>
  <c r="AI18" i="12"/>
  <c r="AV18" i="12" s="1"/>
  <c r="AH18" i="12"/>
  <c r="AU18" i="12" s="1"/>
  <c r="AG18" i="12"/>
  <c r="AT18" i="12" s="1"/>
  <c r="D18" i="12"/>
  <c r="AO17" i="12"/>
  <c r="BB17" i="12" s="1"/>
  <c r="AK17" i="12"/>
  <c r="AX17" i="12" s="1"/>
  <c r="AI17" i="12"/>
  <c r="AV17" i="12" s="1"/>
  <c r="AH17" i="12"/>
  <c r="AU17" i="12" s="1"/>
  <c r="AG17" i="12"/>
  <c r="AT17" i="12" s="1"/>
  <c r="AF17" i="12"/>
  <c r="AS17" i="12" s="1"/>
  <c r="AE17" i="12"/>
  <c r="AR17" i="12" s="1"/>
  <c r="D17" i="12"/>
  <c r="AU16" i="12"/>
  <c r="AM16" i="12"/>
  <c r="AZ16" i="12" s="1"/>
  <c r="AL16" i="12"/>
  <c r="AY16" i="12" s="1"/>
  <c r="AJ16" i="12"/>
  <c r="AW16" i="12" s="1"/>
  <c r="AI16" i="12"/>
  <c r="AV16" i="12" s="1"/>
  <c r="AE16" i="12"/>
  <c r="AR16" i="12" s="1"/>
  <c r="D16" i="12"/>
  <c r="AY15" i="12"/>
  <c r="AW15" i="12"/>
  <c r="AP15" i="12"/>
  <c r="BC15" i="12" s="1"/>
  <c r="AO15" i="12"/>
  <c r="BB15" i="12" s="1"/>
  <c r="AK15" i="12"/>
  <c r="AX15" i="12" s="1"/>
  <c r="AH15" i="12"/>
  <c r="AU15" i="12" s="1"/>
  <c r="AG15" i="12"/>
  <c r="AT15" i="12" s="1"/>
  <c r="AF15" i="12"/>
  <c r="AS15" i="12" s="1"/>
  <c r="AE15" i="12"/>
  <c r="AR15" i="12" s="1"/>
  <c r="D15" i="12"/>
  <c r="BC14" i="12"/>
  <c r="AP14" i="12"/>
  <c r="AO14" i="12"/>
  <c r="BB14" i="12" s="1"/>
  <c r="AN14" i="12"/>
  <c r="BA14" i="12" s="1"/>
  <c r="AM14" i="12"/>
  <c r="AZ14" i="12" s="1"/>
  <c r="AI14" i="12"/>
  <c r="AV14" i="12" s="1"/>
  <c r="AH14" i="12"/>
  <c r="AU14" i="12" s="1"/>
  <c r="AF14" i="12"/>
  <c r="AS14" i="12" s="1"/>
  <c r="AE14" i="12"/>
  <c r="AR14" i="12" s="1"/>
  <c r="D14" i="12"/>
  <c r="AO13" i="12"/>
  <c r="BB13" i="12" s="1"/>
  <c r="AN13" i="12"/>
  <c r="BA13" i="12" s="1"/>
  <c r="AM13" i="12"/>
  <c r="AZ13" i="12" s="1"/>
  <c r="AL13" i="12"/>
  <c r="AY13" i="12" s="1"/>
  <c r="AK13" i="12"/>
  <c r="AX13" i="12" s="1"/>
  <c r="AG13" i="12"/>
  <c r="AT13" i="12" s="1"/>
  <c r="AF13" i="12"/>
  <c r="AS13" i="12" s="1"/>
  <c r="D13" i="12"/>
  <c r="AO12" i="12"/>
  <c r="BB12" i="12" s="1"/>
  <c r="AN12" i="12"/>
  <c r="BA12" i="12" s="1"/>
  <c r="AM12" i="12"/>
  <c r="AZ12" i="12" s="1"/>
  <c r="AL12" i="12"/>
  <c r="AY12" i="12" s="1"/>
  <c r="AK12" i="12"/>
  <c r="AX12" i="12" s="1"/>
  <c r="AJ12" i="12"/>
  <c r="AW12" i="12" s="1"/>
  <c r="AI12" i="12"/>
  <c r="AV12" i="12" s="1"/>
  <c r="AF12" i="12"/>
  <c r="AS12" i="12" s="1"/>
  <c r="AE12" i="12"/>
  <c r="AR12" i="12" s="1"/>
  <c r="D12" i="12"/>
  <c r="AP11" i="12"/>
  <c r="BC11" i="12" s="1"/>
  <c r="AN11" i="12"/>
  <c r="BA11" i="12" s="1"/>
  <c r="AM11" i="12"/>
  <c r="AZ11" i="12" s="1"/>
  <c r="AJ11" i="12"/>
  <c r="AW11" i="12" s="1"/>
  <c r="AI11" i="12"/>
  <c r="AV11" i="12" s="1"/>
  <c r="AH11" i="12"/>
  <c r="AU11" i="12" s="1"/>
  <c r="AG11" i="12"/>
  <c r="AT11" i="12" s="1"/>
  <c r="AE11" i="12"/>
  <c r="AR11" i="12" s="1"/>
  <c r="D11" i="12"/>
  <c r="AP10" i="12"/>
  <c r="BC10" i="12" s="1"/>
  <c r="AO10" i="12"/>
  <c r="BB10" i="12" s="1"/>
  <c r="AN10" i="12"/>
  <c r="BA10" i="12" s="1"/>
  <c r="AK10" i="12"/>
  <c r="AX10" i="12" s="1"/>
  <c r="AJ10" i="12"/>
  <c r="AW10" i="12" s="1"/>
  <c r="AI10" i="12"/>
  <c r="AV10" i="12" s="1"/>
  <c r="AH10" i="12"/>
  <c r="AU10" i="12" s="1"/>
  <c r="AG10" i="12"/>
  <c r="AT10" i="12" s="1"/>
  <c r="AF10" i="12"/>
  <c r="AS10" i="12" s="1"/>
  <c r="AE10" i="12"/>
  <c r="AR10" i="12" s="1"/>
  <c r="D10" i="12"/>
  <c r="AY9" i="12"/>
  <c r="AV9" i="12"/>
  <c r="AN9" i="12"/>
  <c r="BA9" i="12" s="1"/>
  <c r="AM9" i="12"/>
  <c r="AZ9" i="12" s="1"/>
  <c r="AI9" i="12"/>
  <c r="AG9" i="12"/>
  <c r="AT9" i="12" s="1"/>
  <c r="AF9" i="12"/>
  <c r="AS9" i="12" s="1"/>
  <c r="AE9" i="12"/>
  <c r="AR9" i="12" s="1"/>
  <c r="D9" i="12"/>
  <c r="AP8" i="12"/>
  <c r="BC8" i="12" s="1"/>
  <c r="AO8" i="12"/>
  <c r="BB8" i="12" s="1"/>
  <c r="AK8" i="12"/>
  <c r="AX8" i="12" s="1"/>
  <c r="AJ8" i="12"/>
  <c r="AW8" i="12" s="1"/>
  <c r="AH8" i="12"/>
  <c r="AU8" i="12" s="1"/>
  <c r="AG8" i="12"/>
  <c r="AT8" i="12" s="1"/>
  <c r="AF8" i="12"/>
  <c r="AS8" i="12" s="1"/>
  <c r="AE8" i="12"/>
  <c r="AR8" i="12" s="1"/>
  <c r="D8" i="12"/>
  <c r="AS7" i="12"/>
  <c r="AP7" i="12"/>
  <c r="BC7" i="12" s="1"/>
  <c r="AO7" i="12"/>
  <c r="BB7" i="12" s="1"/>
  <c r="AN7" i="12"/>
  <c r="BA7" i="12" s="1"/>
  <c r="AM7" i="12"/>
  <c r="AZ7" i="12" s="1"/>
  <c r="AI7" i="12"/>
  <c r="AV7" i="12" s="1"/>
  <c r="AE7" i="12"/>
  <c r="AR7" i="12" s="1"/>
  <c r="D7" i="12"/>
  <c r="BA6" i="12"/>
  <c r="AN6" i="12"/>
  <c r="AM6" i="12"/>
  <c r="AZ6" i="12" s="1"/>
  <c r="AL6" i="12"/>
  <c r="AY6" i="12" s="1"/>
  <c r="AK6" i="12"/>
  <c r="AX6" i="12" s="1"/>
  <c r="AH6" i="12"/>
  <c r="AU6" i="12" s="1"/>
  <c r="AG6" i="12"/>
  <c r="AT6" i="12" s="1"/>
  <c r="AF6" i="12"/>
  <c r="AS6" i="12" s="1"/>
  <c r="D6" i="12"/>
  <c r="AV5" i="12"/>
  <c r="AP5" i="12"/>
  <c r="BC5" i="12" s="1"/>
  <c r="AO5" i="12"/>
  <c r="BB5" i="12" s="1"/>
  <c r="AN5" i="12"/>
  <c r="BA5" i="12" s="1"/>
  <c r="AM5" i="12"/>
  <c r="AZ5" i="12" s="1"/>
  <c r="AL5" i="12"/>
  <c r="AY5" i="12" s="1"/>
  <c r="AK5" i="12"/>
  <c r="AX5" i="12" s="1"/>
  <c r="AJ5" i="12"/>
  <c r="AW5" i="12" s="1"/>
  <c r="AI5" i="12"/>
  <c r="AE5" i="12"/>
  <c r="AR5" i="12" s="1"/>
  <c r="D5" i="12"/>
  <c r="BC4" i="12"/>
  <c r="AX4" i="12"/>
  <c r="AS4" i="12"/>
  <c r="AM4" i="12"/>
  <c r="AZ4" i="12" s="1"/>
  <c r="AK4" i="12"/>
  <c r="AJ4" i="12"/>
  <c r="AW4" i="12" s="1"/>
  <c r="AI4" i="12"/>
  <c r="AV4" i="12" s="1"/>
  <c r="AH4" i="12"/>
  <c r="AU4" i="12" s="1"/>
  <c r="AG4" i="12"/>
  <c r="AT4" i="12" s="1"/>
  <c r="AE4" i="12"/>
  <c r="AR4" i="12" s="1"/>
  <c r="D4" i="12"/>
  <c r="AO3" i="12"/>
  <c r="BB3" i="12" s="1"/>
  <c r="AN3" i="12"/>
  <c r="BA3" i="12" s="1"/>
  <c r="AL3" i="12"/>
  <c r="AY3" i="12" s="1"/>
  <c r="AK3" i="12"/>
  <c r="AX3" i="12" s="1"/>
  <c r="AJ3" i="12"/>
  <c r="AW3" i="12" s="1"/>
  <c r="AH3" i="12"/>
  <c r="AU3" i="12" s="1"/>
  <c r="AG3" i="12"/>
  <c r="AT3" i="12" s="1"/>
  <c r="AF3" i="12"/>
  <c r="AS3" i="12" s="1"/>
  <c r="AE3" i="12"/>
  <c r="AR3" i="12" s="1"/>
  <c r="D3" i="12"/>
  <c r="AR2" i="12"/>
  <c r="AI2" i="12"/>
  <c r="AV2" i="12" s="1"/>
  <c r="AH2" i="12"/>
  <c r="AU2" i="12" s="1"/>
  <c r="AG2" i="12"/>
  <c r="AT2" i="12" s="1"/>
  <c r="AE2" i="12"/>
  <c r="D2" i="12"/>
  <c r="AE2" i="1"/>
  <c r="AR2" i="1" s="1"/>
  <c r="AG2" i="1"/>
  <c r="AT2" i="1" s="1"/>
  <c r="AI2" i="1"/>
  <c r="AV2" i="1" s="1"/>
  <c r="AF3" i="1"/>
  <c r="AS3" i="1" s="1"/>
  <c r="AG3" i="1"/>
  <c r="AT3" i="1" s="1"/>
  <c r="AH3" i="1"/>
  <c r="AU3" i="1" s="1"/>
  <c r="AI3" i="1"/>
  <c r="AV3" i="1" s="1"/>
  <c r="AJ3" i="1"/>
  <c r="AW3" i="1" s="1"/>
  <c r="AE3" i="1"/>
  <c r="AR3" i="1" s="1"/>
  <c r="AK3" i="1"/>
  <c r="AL3" i="1"/>
  <c r="AY3" i="1" s="1"/>
  <c r="AM3" i="1"/>
  <c r="AZ3" i="1" s="1"/>
  <c r="AN3" i="1"/>
  <c r="BA3" i="1" s="1"/>
  <c r="AP3" i="1"/>
  <c r="BC3" i="1" s="1"/>
  <c r="AX3" i="1"/>
  <c r="AG4" i="1"/>
  <c r="AT4" i="1" s="1"/>
  <c r="AK4" i="1"/>
  <c r="AX4" i="1" s="1"/>
  <c r="AL4" i="1"/>
  <c r="AY4" i="1" s="1"/>
  <c r="AI5" i="1"/>
  <c r="AV5" i="1" s="1"/>
  <c r="AJ5" i="1"/>
  <c r="AW5" i="1" s="1"/>
  <c r="AL5" i="1"/>
  <c r="AY5" i="1" s="1"/>
  <c r="AM5" i="1"/>
  <c r="AZ5" i="1" s="1"/>
  <c r="AN5" i="1"/>
  <c r="BA5" i="1" s="1"/>
  <c r="AH6" i="1"/>
  <c r="AU6" i="1" s="1"/>
  <c r="AK6" i="1"/>
  <c r="AX6" i="1" s="1"/>
  <c r="AL6" i="1"/>
  <c r="AY6" i="1" s="1"/>
  <c r="AM6" i="1"/>
  <c r="AZ6" i="1" s="1"/>
  <c r="AN6" i="1"/>
  <c r="BA6" i="1" s="1"/>
  <c r="AO6" i="1"/>
  <c r="BB6" i="1" s="1"/>
  <c r="AP6" i="1"/>
  <c r="BC6" i="1" s="1"/>
  <c r="AJ7" i="1"/>
  <c r="AW7" i="1" s="1"/>
  <c r="AM7" i="1"/>
  <c r="AN7" i="1"/>
  <c r="BA7" i="1" s="1"/>
  <c r="AO7" i="1"/>
  <c r="BB7" i="1" s="1"/>
  <c r="AP7" i="1"/>
  <c r="BC7" i="1" s="1"/>
  <c r="AZ7" i="1"/>
  <c r="AF8" i="1"/>
  <c r="AS8" i="1" s="1"/>
  <c r="AG8" i="1"/>
  <c r="AT8" i="1" s="1"/>
  <c r="AE8" i="1"/>
  <c r="AR8" i="1" s="1"/>
  <c r="AL8" i="1"/>
  <c r="AO8" i="1"/>
  <c r="BB8" i="1" s="1"/>
  <c r="AP8" i="1"/>
  <c r="BC8" i="1" s="1"/>
  <c r="AY8" i="1"/>
  <c r="AM9" i="1"/>
  <c r="AZ9" i="1" s="1"/>
  <c r="AN9" i="1"/>
  <c r="BA9" i="1" s="1"/>
  <c r="AO9" i="1"/>
  <c r="BB9" i="1" s="1"/>
  <c r="AP9" i="1"/>
  <c r="BC9" i="1" s="1"/>
  <c r="AE10" i="1"/>
  <c r="AR10" i="1" s="1"/>
  <c r="AF10" i="1"/>
  <c r="AS10" i="1" s="1"/>
  <c r="AI10" i="1"/>
  <c r="AV10" i="1" s="1"/>
  <c r="AG10" i="1"/>
  <c r="AT10" i="1" s="1"/>
  <c r="AP10" i="1"/>
  <c r="BC10" i="1" s="1"/>
  <c r="AE11" i="1"/>
  <c r="AR11" i="1" s="1"/>
  <c r="AG11" i="1"/>
  <c r="AT11" i="1" s="1"/>
  <c r="AK11" i="1"/>
  <c r="AX11" i="1" s="1"/>
  <c r="AI12" i="1"/>
  <c r="AV12" i="1" s="1"/>
  <c r="AF12" i="1"/>
  <c r="AS12" i="1" s="1"/>
  <c r="AJ12" i="1"/>
  <c r="AW12" i="1" s="1"/>
  <c r="AK12" i="1"/>
  <c r="AX12" i="1" s="1"/>
  <c r="AL12" i="1"/>
  <c r="AY12" i="1" s="1"/>
  <c r="AM12" i="1"/>
  <c r="AZ12" i="1" s="1"/>
  <c r="AH13" i="1"/>
  <c r="AU13" i="1" s="1"/>
  <c r="AK13" i="1"/>
  <c r="AX13" i="1" s="1"/>
  <c r="AL13" i="1"/>
  <c r="AY13" i="1" s="1"/>
  <c r="AM13" i="1"/>
  <c r="AZ13" i="1" s="1"/>
  <c r="AN13" i="1"/>
  <c r="BA13" i="1" s="1"/>
  <c r="AO13" i="1"/>
  <c r="BB13" i="1" s="1"/>
  <c r="AJ14" i="1"/>
  <c r="AW14" i="1" s="1"/>
  <c r="AK14" i="1"/>
  <c r="AX14" i="1" s="1"/>
  <c r="AM14" i="1"/>
  <c r="AZ14" i="1" s="1"/>
  <c r="AN14" i="1"/>
  <c r="BA14" i="1" s="1"/>
  <c r="AO14" i="1"/>
  <c r="BB14" i="1" s="1"/>
  <c r="AP14" i="1"/>
  <c r="BC14" i="1" s="1"/>
  <c r="AF15" i="1"/>
  <c r="AS15" i="1" s="1"/>
  <c r="AE15" i="1"/>
  <c r="AR15" i="1" s="1"/>
  <c r="AL15" i="1"/>
  <c r="AY15" i="1" s="1"/>
  <c r="AM15" i="1"/>
  <c r="AZ15" i="1" s="1"/>
  <c r="AO15" i="1"/>
  <c r="BB15" i="1" s="1"/>
  <c r="AP15" i="1"/>
  <c r="BC15" i="1" s="1"/>
  <c r="AN16" i="1"/>
  <c r="BA16" i="1"/>
  <c r="BB16" i="1"/>
  <c r="AE17" i="1"/>
  <c r="AR17" i="1" s="1"/>
  <c r="AH17" i="1"/>
  <c r="AU17" i="1" s="1"/>
  <c r="AF17" i="1"/>
  <c r="AS17" i="1" s="1"/>
  <c r="AI17" i="1"/>
  <c r="AV17" i="1" s="1"/>
  <c r="AJ17" i="1"/>
  <c r="AW17" i="1" s="1"/>
  <c r="AP17" i="1"/>
  <c r="BC17" i="1" s="1"/>
  <c r="AG18" i="1"/>
  <c r="AT18" i="1" s="1"/>
  <c r="AK18" i="1"/>
  <c r="AX18" i="1" s="1"/>
  <c r="AL18" i="1"/>
  <c r="AY18" i="1" s="1"/>
  <c r="AF19" i="1"/>
  <c r="AS19" i="1" s="1"/>
  <c r="AI19" i="1"/>
  <c r="AV19" i="1" s="1"/>
  <c r="AJ19" i="1"/>
  <c r="AW19" i="1" s="1"/>
  <c r="AK19" i="1"/>
  <c r="AX19" i="1" s="1"/>
  <c r="AL19" i="1"/>
  <c r="AY19" i="1" s="1"/>
  <c r="AM19" i="1"/>
  <c r="AZ19" i="1" s="1"/>
  <c r="AN19" i="1"/>
  <c r="BA19" i="1" s="1"/>
  <c r="AH20" i="1"/>
  <c r="AU20" i="1" s="1"/>
  <c r="AK20" i="1"/>
  <c r="AX20" i="1" s="1"/>
  <c r="AL20" i="1"/>
  <c r="AY20" i="1" s="1"/>
  <c r="AM20" i="1"/>
  <c r="AZ20" i="1" s="1"/>
  <c r="AN20" i="1"/>
  <c r="BA20" i="1" s="1"/>
  <c r="AO20" i="1"/>
  <c r="AP20" i="1"/>
  <c r="BC20" i="1" s="1"/>
  <c r="BB20" i="1"/>
  <c r="AJ21" i="1"/>
  <c r="AW21" i="1" s="1"/>
  <c r="AM21" i="1"/>
  <c r="AZ21" i="1" s="1"/>
  <c r="AN21" i="1"/>
  <c r="BA21" i="1" s="1"/>
  <c r="AE22" i="1"/>
  <c r="AR22" i="1" s="1"/>
  <c r="AG22" i="1"/>
  <c r="AT22" i="1" s="1"/>
  <c r="AH22" i="1"/>
  <c r="AU22" i="1" s="1"/>
  <c r="AI22" i="1"/>
  <c r="AV22" i="1" s="1"/>
  <c r="AJ22" i="1"/>
  <c r="AW22" i="1" s="1"/>
  <c r="AK22" i="1"/>
  <c r="AX22" i="1" s="1"/>
  <c r="AL22" i="1"/>
  <c r="AY22" i="1" s="1"/>
  <c r="AO22" i="1"/>
  <c r="BB22" i="1" s="1"/>
  <c r="AP22" i="1"/>
  <c r="BC22" i="1" s="1"/>
  <c r="AE23" i="1"/>
  <c r="AR23" i="1" s="1"/>
  <c r="AG23" i="1"/>
  <c r="AT23" i="1" s="1"/>
  <c r="AI23" i="1"/>
  <c r="AV23" i="1" s="1"/>
  <c r="AN23" i="1"/>
  <c r="BA23" i="1" s="1"/>
  <c r="AO23" i="1"/>
  <c r="BB23" i="1" s="1"/>
  <c r="AE24" i="1"/>
  <c r="AR24" i="1" s="1"/>
  <c r="AF24" i="1"/>
  <c r="AS24" i="1" s="1"/>
  <c r="AH24" i="1"/>
  <c r="AU24" i="1" s="1"/>
  <c r="AI24" i="1"/>
  <c r="AV24" i="1" s="1"/>
  <c r="AJ24" i="1"/>
  <c r="AW24" i="1" s="1"/>
  <c r="AP24" i="1"/>
  <c r="BC24" i="1" s="1"/>
  <c r="AK25" i="1"/>
  <c r="AX25" i="1" s="1"/>
  <c r="AL25" i="1"/>
  <c r="AY25" i="1" s="1"/>
  <c r="AO25" i="1"/>
  <c r="BB25" i="1" s="1"/>
  <c r="AP25" i="1"/>
  <c r="BC25" i="1" s="1"/>
  <c r="AJ26" i="1"/>
  <c r="AW26" i="1" s="1"/>
  <c r="AK26" i="1"/>
  <c r="AX26" i="1" s="1"/>
  <c r="AL26" i="1"/>
  <c r="AY26" i="1" s="1"/>
  <c r="AM26" i="1"/>
  <c r="AZ26" i="1" s="1"/>
  <c r="AN26" i="1"/>
  <c r="BA26" i="1" s="1"/>
  <c r="AH27" i="1"/>
  <c r="AU27" i="1" s="1"/>
  <c r="AI27" i="1"/>
  <c r="AV27" i="1" s="1"/>
  <c r="AK27" i="1"/>
  <c r="AX27" i="1" s="1"/>
  <c r="AL27" i="1"/>
  <c r="AY27" i="1" s="1"/>
  <c r="AM27" i="1"/>
  <c r="AZ27" i="1" s="1"/>
  <c r="AO27" i="1"/>
  <c r="AP27" i="1"/>
  <c r="BC27" i="1" s="1"/>
  <c r="BB27" i="1"/>
  <c r="AJ28" i="1"/>
  <c r="AW28" i="1" s="1"/>
  <c r="AK28" i="1"/>
  <c r="AX28" i="1" s="1"/>
  <c r="AM28" i="1"/>
  <c r="AZ28" i="1" s="1"/>
  <c r="AN28" i="1"/>
  <c r="BA28" i="1" s="1"/>
  <c r="AO28" i="1"/>
  <c r="BB28" i="1" s="1"/>
  <c r="AP28" i="1"/>
  <c r="BC28" i="1" s="1"/>
  <c r="AF29" i="1"/>
  <c r="AS29" i="1" s="1"/>
  <c r="AE29" i="1"/>
  <c r="AR29" i="1" s="1"/>
  <c r="AK29" i="1"/>
  <c r="AX29" i="1" s="1"/>
  <c r="AL29" i="1"/>
  <c r="AY29" i="1" s="1"/>
  <c r="AO29" i="1"/>
  <c r="BB29" i="1" s="1"/>
  <c r="AP29" i="1"/>
  <c r="BC29" i="1" s="1"/>
  <c r="AN30" i="1"/>
  <c r="BA30" i="1" s="1"/>
  <c r="AE31" i="1"/>
  <c r="AR31" i="1" s="1"/>
  <c r="AH31" i="1"/>
  <c r="AU31" i="1" s="1"/>
  <c r="AI31" i="1"/>
  <c r="AV31" i="1" s="1"/>
  <c r="AJ31" i="1"/>
  <c r="AW31" i="1" s="1"/>
  <c r="AK31" i="1"/>
  <c r="AX31" i="1" s="1"/>
  <c r="AP31" i="1"/>
  <c r="BC31" i="1" s="1"/>
  <c r="AH32" i="1"/>
  <c r="AU32" i="1" s="1"/>
  <c r="AK32" i="1"/>
  <c r="AX32" i="1" s="1"/>
  <c r="AL32" i="1"/>
  <c r="AY32" i="1" s="1"/>
  <c r="AM32" i="1"/>
  <c r="AZ32" i="1" s="1"/>
  <c r="AN32" i="1"/>
  <c r="BA32" i="1" s="1"/>
  <c r="AO32" i="1"/>
  <c r="BB32" i="1" s="1"/>
  <c r="AI33" i="1"/>
  <c r="AV33" i="1" s="1"/>
  <c r="AJ33" i="1"/>
  <c r="AW33" i="1" s="1"/>
  <c r="AK33" i="1"/>
  <c r="AX33" i="1" s="1"/>
  <c r="AL33" i="1"/>
  <c r="AM33" i="1"/>
  <c r="AZ33" i="1" s="1"/>
  <c r="AN33" i="1"/>
  <c r="BA33" i="1" s="1"/>
  <c r="AO33" i="1"/>
  <c r="BB33" i="1" s="1"/>
  <c r="AY33" i="1"/>
  <c r="AH34" i="1"/>
  <c r="AU34" i="1" s="1"/>
  <c r="AK34" i="1"/>
  <c r="AX34" i="1" s="1"/>
  <c r="AL34" i="1"/>
  <c r="AY34" i="1" s="1"/>
  <c r="AM34" i="1"/>
  <c r="AZ34" i="1" s="1"/>
  <c r="AN34" i="1"/>
  <c r="BA34" i="1" s="1"/>
  <c r="AO34" i="1"/>
  <c r="BB34" i="1" s="1"/>
  <c r="AP34" i="1"/>
  <c r="BC34" i="1" s="1"/>
  <c r="AJ35" i="1"/>
  <c r="AW35" i="1" s="1"/>
  <c r="AM35" i="1"/>
  <c r="AZ35" i="1" s="1"/>
  <c r="AN35" i="1"/>
  <c r="BA35" i="1" s="1"/>
  <c r="AO35" i="1"/>
  <c r="BB35" i="1"/>
  <c r="AF36" i="1"/>
  <c r="AS36" i="1" s="1"/>
  <c r="AG36" i="1"/>
  <c r="AT36" i="1" s="1"/>
  <c r="AL36" i="1"/>
  <c r="AY36" i="1" s="1"/>
  <c r="AO36" i="1"/>
  <c r="BB36" i="1" s="1"/>
  <c r="AP36" i="1"/>
  <c r="BC36" i="1" s="1"/>
  <c r="AI37" i="1"/>
  <c r="AV37" i="1" s="1"/>
  <c r="AJ37" i="1"/>
  <c r="AW37" i="1" s="1"/>
  <c r="AK37" i="1"/>
  <c r="AX37" i="1" s="1"/>
  <c r="AN37" i="1"/>
  <c r="BA37" i="1" s="1"/>
  <c r="AF38" i="1"/>
  <c r="AS38" i="1" s="1"/>
  <c r="AI38" i="1"/>
  <c r="AV38" i="1" s="1"/>
  <c r="AJ38" i="1"/>
  <c r="AW38" i="1" s="1"/>
  <c r="AE38" i="1"/>
  <c r="AR38" i="1" s="1"/>
  <c r="AL38" i="1"/>
  <c r="AY38" i="1" s="1"/>
  <c r="AM38" i="1"/>
  <c r="AZ38" i="1" s="1"/>
  <c r="AN38" i="1"/>
  <c r="BA38" i="1" s="1"/>
  <c r="AH39" i="1"/>
  <c r="AU39" i="1" s="1"/>
  <c r="AK39" i="1"/>
  <c r="AX39" i="1" s="1"/>
  <c r="AL39" i="1"/>
  <c r="AY39" i="1" s="1"/>
  <c r="AI40" i="1"/>
  <c r="AV40" i="1" s="1"/>
  <c r="AK40" i="1"/>
  <c r="AX40" i="1" s="1"/>
  <c r="AL40" i="1"/>
  <c r="AY40" i="1" s="1"/>
  <c r="AM40" i="1"/>
  <c r="AZ40" i="1" s="1"/>
  <c r="AN40" i="1"/>
  <c r="BA40" i="1" s="1"/>
  <c r="AH41" i="1"/>
  <c r="AU41" i="1" s="1"/>
  <c r="AK41" i="1"/>
  <c r="AX41" i="1" s="1"/>
  <c r="AL41" i="1"/>
  <c r="AY41" i="1" s="1"/>
  <c r="AM41" i="1"/>
  <c r="AZ41" i="1" s="1"/>
  <c r="AN41" i="1"/>
  <c r="BA41" i="1" s="1"/>
  <c r="AO41" i="1"/>
  <c r="BB41" i="1" s="1"/>
  <c r="AP41" i="1"/>
  <c r="BC41" i="1" s="1"/>
  <c r="AM42" i="1"/>
  <c r="AZ42" i="1" s="1"/>
  <c r="AN42" i="1"/>
  <c r="BA42" i="1" s="1"/>
  <c r="AO42" i="1"/>
  <c r="BB42" i="1" s="1"/>
  <c r="AP42" i="1"/>
  <c r="BC42" i="1" s="1"/>
  <c r="AE43" i="1"/>
  <c r="AR43" i="1" s="1"/>
  <c r="AG43" i="1"/>
  <c r="AT43" i="1" s="1"/>
  <c r="AL43" i="1"/>
  <c r="AY43" i="1" s="1"/>
  <c r="AO43" i="1"/>
  <c r="BB43" i="1" s="1"/>
  <c r="AP43" i="1"/>
  <c r="BC43" i="1" s="1"/>
  <c r="AZ43" i="1"/>
  <c r="AF44" i="1"/>
  <c r="AS44" i="1" s="1"/>
  <c r="AG44" i="1"/>
  <c r="AT44" i="1" s="1"/>
  <c r="AI44" i="1"/>
  <c r="AV44" i="1" s="1"/>
  <c r="AJ44" i="1"/>
  <c r="AW44" i="1" s="1"/>
  <c r="AK44" i="1"/>
  <c r="AX44" i="1" s="1"/>
  <c r="AN44" i="1"/>
  <c r="BA44" i="1" s="1"/>
  <c r="AE45" i="1"/>
  <c r="AR45" i="1" s="1"/>
  <c r="AF45" i="1"/>
  <c r="AS45" i="1" s="1"/>
  <c r="AI45" i="1"/>
  <c r="AV45" i="1" s="1"/>
  <c r="AJ45" i="1"/>
  <c r="AW45" i="1" s="1"/>
  <c r="AK45" i="1"/>
  <c r="AX45" i="1" s="1"/>
  <c r="AL45" i="1"/>
  <c r="AY45" i="1" s="1"/>
  <c r="AM45" i="1"/>
  <c r="AZ45" i="1" s="1"/>
  <c r="AN45" i="1"/>
  <c r="BA45" i="1" s="1"/>
  <c r="AP45" i="1"/>
  <c r="BC45" i="1"/>
  <c r="AG46" i="1"/>
  <c r="AT46" i="1" s="1"/>
  <c r="AK46" i="1"/>
  <c r="AX46" i="1" s="1"/>
  <c r="AL46" i="1"/>
  <c r="AY46" i="1" s="1"/>
  <c r="AK47" i="1"/>
  <c r="AL47" i="1"/>
  <c r="AY47" i="1" s="1"/>
  <c r="AM47" i="1"/>
  <c r="AZ47" i="1" s="1"/>
  <c r="AN47" i="1"/>
  <c r="BA47" i="1" s="1"/>
  <c r="AX47" i="1"/>
  <c r="AH48" i="1"/>
  <c r="AU48" i="1" s="1"/>
  <c r="AK48" i="1"/>
  <c r="AX48" i="1" s="1"/>
  <c r="AL48" i="1"/>
  <c r="AY48" i="1" s="1"/>
  <c r="AM48" i="1"/>
  <c r="AZ48" i="1" s="1"/>
  <c r="AN48" i="1"/>
  <c r="BA48" i="1" s="1"/>
  <c r="AO48" i="1"/>
  <c r="BB48" i="1" s="1"/>
  <c r="AP48" i="1"/>
  <c r="BC48" i="1" s="1"/>
  <c r="AM49" i="1"/>
  <c r="AZ49" i="1" s="1"/>
  <c r="AN49" i="1"/>
  <c r="BA49" i="1" s="1"/>
  <c r="AO49" i="1"/>
  <c r="BB49" i="1" s="1"/>
  <c r="AP49" i="1"/>
  <c r="BC49" i="1" s="1"/>
  <c r="AE50" i="1"/>
  <c r="AR50" i="1" s="1"/>
  <c r="AF50" i="1"/>
  <c r="AS50" i="1" s="1"/>
  <c r="AL50" i="1"/>
  <c r="AY50" i="1" s="1"/>
  <c r="AO50" i="1"/>
  <c r="BB50" i="1" s="1"/>
  <c r="AP50" i="1"/>
  <c r="BC50" i="1" s="1"/>
  <c r="AN51" i="1"/>
  <c r="BA51" i="1" s="1"/>
  <c r="AE52" i="1"/>
  <c r="AR52" i="1" s="1"/>
  <c r="AF52" i="1"/>
  <c r="AS52" i="1" s="1"/>
  <c r="AG52" i="1"/>
  <c r="AT52" i="1" s="1"/>
  <c r="AH52" i="1"/>
  <c r="AU52" i="1" s="1"/>
  <c r="AI52" i="1"/>
  <c r="AV52" i="1" s="1"/>
  <c r="AL52" i="1"/>
  <c r="AY52" i="1" s="1"/>
  <c r="AP52" i="1"/>
  <c r="BC52" i="1" s="1"/>
  <c r="AK53" i="1"/>
  <c r="AL53" i="1"/>
  <c r="AY53" i="1" s="1"/>
  <c r="AO53" i="1"/>
  <c r="BB53" i="1" s="1"/>
  <c r="AX53" i="1"/>
  <c r="AF54" i="1"/>
  <c r="AS54" i="1" s="1"/>
  <c r="AI54" i="1"/>
  <c r="AV54" i="1" s="1"/>
  <c r="AJ54" i="1"/>
  <c r="AW54" i="1" s="1"/>
  <c r="AK54" i="1"/>
  <c r="AX54" i="1" s="1"/>
  <c r="AM54" i="1"/>
  <c r="AZ54" i="1" s="1"/>
  <c r="AN54" i="1"/>
  <c r="BA54" i="1" s="1"/>
  <c r="AO54" i="1"/>
  <c r="BB54" i="1" s="1"/>
  <c r="AK55" i="1"/>
  <c r="AL55" i="1"/>
  <c r="AY55" i="1" s="1"/>
  <c r="AN55" i="1"/>
  <c r="AO55" i="1"/>
  <c r="BB55" i="1" s="1"/>
  <c r="AP55" i="1"/>
  <c r="BC55" i="1" s="1"/>
  <c r="AX55" i="1"/>
  <c r="BA55" i="1"/>
  <c r="AJ56" i="1"/>
  <c r="AW56" i="1" s="1"/>
  <c r="AM56" i="1"/>
  <c r="AZ56" i="1" s="1"/>
  <c r="AN56" i="1"/>
  <c r="BA56" i="1" s="1"/>
  <c r="AO56" i="1"/>
  <c r="BB56" i="1" s="1"/>
  <c r="AP56" i="1"/>
  <c r="BC56" i="1" s="1"/>
  <c r="AE57" i="1"/>
  <c r="AR57" i="1" s="1"/>
  <c r="AJ57" i="1"/>
  <c r="AW57" i="1" s="1"/>
  <c r="AL57" i="1"/>
  <c r="AY57" i="1" s="1"/>
  <c r="AO57" i="1"/>
  <c r="BB57" i="1" s="1"/>
  <c r="AP57" i="1"/>
  <c r="BC57" i="1" s="1"/>
  <c r="AK58" i="1"/>
  <c r="AX58" i="1" s="1"/>
  <c r="AL58" i="1"/>
  <c r="AY58" i="1" s="1"/>
  <c r="AM58" i="1"/>
  <c r="AZ58" i="1" s="1"/>
  <c r="AN58" i="1"/>
  <c r="BA58" i="1" s="1"/>
  <c r="AE3" i="7"/>
  <c r="AR3" i="7" s="1"/>
  <c r="AF3" i="7"/>
  <c r="AS3" i="7" s="1"/>
  <c r="AG3" i="7"/>
  <c r="AT3" i="7" s="1"/>
  <c r="AH3" i="7"/>
  <c r="AU3" i="7" s="1"/>
  <c r="AI3" i="7"/>
  <c r="AV3" i="7" s="1"/>
  <c r="AG4" i="7"/>
  <c r="AT4" i="7" s="1"/>
  <c r="AH4" i="7"/>
  <c r="AU4" i="7" s="1"/>
  <c r="AI4" i="7"/>
  <c r="AV4" i="7" s="1"/>
  <c r="AJ4" i="7"/>
  <c r="AW4" i="7" s="1"/>
  <c r="AE5" i="7"/>
  <c r="AR5" i="7" s="1"/>
  <c r="AF5" i="7"/>
  <c r="AS5" i="7" s="1"/>
  <c r="AI5" i="7"/>
  <c r="AV5" i="7" s="1"/>
  <c r="AJ5" i="7"/>
  <c r="AW5" i="7" s="1"/>
  <c r="AE6" i="7"/>
  <c r="AR6" i="7" s="1"/>
  <c r="AF7" i="7"/>
  <c r="AS7" i="7" s="1"/>
  <c r="AG7" i="7"/>
  <c r="AT7" i="7" s="1"/>
  <c r="AH7" i="7"/>
  <c r="AU7" i="7" s="1"/>
  <c r="AI7" i="7"/>
  <c r="AV7" i="7" s="1"/>
  <c r="AE8" i="7"/>
  <c r="AR8" i="7" s="1"/>
  <c r="AF8" i="7"/>
  <c r="AS8" i="7" s="1"/>
  <c r="AE9" i="7"/>
  <c r="AR9" i="7" s="1"/>
  <c r="AF9" i="7"/>
  <c r="AS9" i="7" s="1"/>
  <c r="AG9" i="7"/>
  <c r="AT9" i="7" s="1"/>
  <c r="AH9" i="7"/>
  <c r="AU9" i="7" s="1"/>
  <c r="AJ9" i="7"/>
  <c r="AW9" i="7" s="1"/>
  <c r="AE10" i="7"/>
  <c r="AR10" i="7" s="1"/>
  <c r="AF10" i="7"/>
  <c r="AS10" i="7" s="1"/>
  <c r="AH10" i="7"/>
  <c r="AU10" i="7" s="1"/>
  <c r="AG11" i="7"/>
  <c r="AT11" i="7" s="1"/>
  <c r="AE12" i="7"/>
  <c r="AR12" i="7" s="1"/>
  <c r="AF12" i="7"/>
  <c r="AS12" i="7" s="1"/>
  <c r="AI12" i="7"/>
  <c r="AV12" i="7" s="1"/>
  <c r="AE15" i="7"/>
  <c r="AR15" i="7" s="1"/>
  <c r="AF15" i="7"/>
  <c r="AS15" i="7" s="1"/>
  <c r="AI15" i="7"/>
  <c r="AV15" i="7" s="1"/>
  <c r="AF16" i="7"/>
  <c r="AS16" i="7" s="1"/>
  <c r="AG16" i="7"/>
  <c r="AT16" i="7" s="1"/>
  <c r="AH16" i="7"/>
  <c r="AU16" i="7" s="1"/>
  <c r="AI16" i="7"/>
  <c r="AV16" i="7" s="1"/>
  <c r="AJ16" i="7"/>
  <c r="AW16" i="7" s="1"/>
  <c r="AG17" i="7"/>
  <c r="AT17" i="7" s="1"/>
  <c r="AH17" i="7"/>
  <c r="AU17" i="7" s="1"/>
  <c r="AI17" i="7"/>
  <c r="AV17" i="7" s="1"/>
  <c r="AG18" i="7"/>
  <c r="AT18" i="7" s="1"/>
  <c r="AH18" i="7"/>
  <c r="AU18" i="7" s="1"/>
  <c r="AI18" i="7"/>
  <c r="AV18" i="7" s="1"/>
  <c r="AJ18" i="7"/>
  <c r="AW18" i="7" s="1"/>
  <c r="AE19" i="7"/>
  <c r="AR19" i="7" s="1"/>
  <c r="AF19" i="7"/>
  <c r="AS19" i="7" s="1"/>
  <c r="AG19" i="7"/>
  <c r="AT19" i="7" s="1"/>
  <c r="AI19" i="7"/>
  <c r="AV19" i="7" s="1"/>
  <c r="AJ19" i="7"/>
  <c r="AW19" i="7" s="1"/>
  <c r="AE20" i="7"/>
  <c r="AR20" i="7" s="1"/>
  <c r="AE21" i="7"/>
  <c r="AR21" i="7" s="1"/>
  <c r="AE22" i="7"/>
  <c r="AR22" i="7" s="1"/>
  <c r="AF22" i="7"/>
  <c r="AS22" i="7" s="1"/>
  <c r="AJ22" i="7"/>
  <c r="AW22" i="7" s="1"/>
  <c r="AJ23" i="7"/>
  <c r="AW23" i="7" s="1"/>
  <c r="AE24" i="7"/>
  <c r="AR24" i="7" s="1"/>
  <c r="AH24" i="7"/>
  <c r="AU24" i="7" s="1"/>
  <c r="AI24" i="7"/>
  <c r="AV24" i="7" s="1"/>
  <c r="AG25" i="7"/>
  <c r="AT25" i="7" s="1"/>
  <c r="AH25" i="7"/>
  <c r="AU25" i="7" s="1"/>
  <c r="AI25" i="7"/>
  <c r="AV25" i="7" s="1"/>
  <c r="AJ25" i="7"/>
  <c r="AW25" i="7" s="1"/>
  <c r="AI26" i="7"/>
  <c r="AV26" i="7" s="1"/>
  <c r="AF28" i="7"/>
  <c r="AS28" i="7" s="1"/>
  <c r="AF29" i="7"/>
  <c r="AS29" i="7" s="1"/>
  <c r="AG29" i="7"/>
  <c r="AT29" i="7" s="1"/>
  <c r="AI29" i="7"/>
  <c r="AV29" i="7" s="1"/>
  <c r="AE30" i="7"/>
  <c r="AR30" i="7" s="1"/>
  <c r="AG30" i="7"/>
  <c r="AT30" i="7" s="1"/>
  <c r="AH30" i="7"/>
  <c r="AU30" i="7" s="1"/>
  <c r="AI30" i="7"/>
  <c r="AV30" i="7" s="1"/>
  <c r="AJ30" i="7"/>
  <c r="AW30" i="7" s="1"/>
  <c r="AE31" i="7"/>
  <c r="AR31" i="7" s="1"/>
  <c r="AF31" i="7"/>
  <c r="AS31" i="7" s="1"/>
  <c r="AG31" i="7"/>
  <c r="AT31" i="7" s="1"/>
  <c r="AH31" i="7"/>
  <c r="AU31" i="7" s="1"/>
  <c r="AG32" i="7"/>
  <c r="AT32" i="7" s="1"/>
  <c r="AI32" i="7"/>
  <c r="AV32" i="7" s="1"/>
  <c r="AJ32" i="7"/>
  <c r="AW32" i="7" s="1"/>
  <c r="AE33" i="7"/>
  <c r="AR33" i="7" s="1"/>
  <c r="AF33" i="7"/>
  <c r="AS33" i="7" s="1"/>
  <c r="AI33" i="7"/>
  <c r="AV33" i="7" s="1"/>
  <c r="AJ33" i="7"/>
  <c r="AW33" i="7" s="1"/>
  <c r="AF35" i="7"/>
  <c r="AS35" i="7" s="1"/>
  <c r="AG35" i="7"/>
  <c r="AT35" i="7" s="1"/>
  <c r="AH35" i="7"/>
  <c r="AU35" i="7" s="1"/>
  <c r="AI35" i="7"/>
  <c r="AV35" i="7" s="1"/>
  <c r="AJ35" i="7"/>
  <c r="AW35" i="7" s="1"/>
  <c r="AF36" i="7"/>
  <c r="AS36" i="7" s="1"/>
  <c r="AE37" i="7"/>
  <c r="AR37" i="7" s="1"/>
  <c r="AF37" i="7"/>
  <c r="AS37" i="7" s="1"/>
  <c r="AG37" i="7"/>
  <c r="AT37" i="7" s="1"/>
  <c r="AH37" i="7"/>
  <c r="AU37" i="7" s="1"/>
  <c r="AJ37" i="7"/>
  <c r="AW37" i="7" s="1"/>
  <c r="AE38" i="7"/>
  <c r="AR38" i="7" s="1"/>
  <c r="AF38" i="7"/>
  <c r="AS38" i="7" s="1"/>
  <c r="AG38" i="7"/>
  <c r="AT38" i="7" s="1"/>
  <c r="AH38" i="7"/>
  <c r="AU38" i="7" s="1"/>
  <c r="AG39" i="7"/>
  <c r="AT39" i="7" s="1"/>
  <c r="AI40" i="7"/>
  <c r="AV40" i="7" s="1"/>
  <c r="AE42" i="7"/>
  <c r="AR42" i="7" s="1"/>
  <c r="AF42" i="7"/>
  <c r="AS42" i="7" s="1"/>
  <c r="AG42" i="7"/>
  <c r="AT42" i="7" s="1"/>
  <c r="AH42" i="7"/>
  <c r="AU42" i="7" s="1"/>
  <c r="AI42" i="7"/>
  <c r="AV42" i="7" s="1"/>
  <c r="AJ42" i="7"/>
  <c r="AW42" i="7" s="1"/>
  <c r="AE43" i="7"/>
  <c r="AR43" i="7" s="1"/>
  <c r="AF43" i="7"/>
  <c r="AS43" i="7" s="1"/>
  <c r="AG44" i="7"/>
  <c r="AT44" i="7" s="1"/>
  <c r="AH44" i="7"/>
  <c r="AI44" i="7"/>
  <c r="AV44" i="7" s="1"/>
  <c r="AJ44" i="7"/>
  <c r="AW44" i="7" s="1"/>
  <c r="AE45" i="7"/>
  <c r="AR45" i="7" s="1"/>
  <c r="AG45" i="7"/>
  <c r="AT45" i="7" s="1"/>
  <c r="AG46" i="7"/>
  <c r="AT46" i="7" s="1"/>
  <c r="AH46" i="7"/>
  <c r="AU46" i="7" s="1"/>
  <c r="AI46" i="7"/>
  <c r="AV46" i="7" s="1"/>
  <c r="AJ46" i="7"/>
  <c r="AW46" i="7" s="1"/>
  <c r="AE47" i="7"/>
  <c r="AR47" i="7" s="1"/>
  <c r="AF47" i="7"/>
  <c r="AS47" i="7" s="1"/>
  <c r="AI47" i="7"/>
  <c r="AV47" i="7" s="1"/>
  <c r="AJ47" i="7"/>
  <c r="AW47" i="7" s="1"/>
  <c r="AF49" i="7"/>
  <c r="AS49" i="7" s="1"/>
  <c r="AG49" i="7"/>
  <c r="AT49" i="7" s="1"/>
  <c r="AH49" i="7"/>
  <c r="AU49" i="7" s="1"/>
  <c r="AI49" i="7"/>
  <c r="AV49" i="7" s="1"/>
  <c r="AE50" i="7"/>
  <c r="AR50" i="7" s="1"/>
  <c r="AF50" i="7"/>
  <c r="AS50" i="7" s="1"/>
  <c r="AE51" i="7"/>
  <c r="AR51" i="7" s="1"/>
  <c r="AI51" i="7"/>
  <c r="AV51" i="7" s="1"/>
  <c r="AJ51" i="7"/>
  <c r="AW51" i="7" s="1"/>
  <c r="AH52" i="7"/>
  <c r="AU52" i="7" s="1"/>
  <c r="AG53" i="7"/>
  <c r="AT53" i="7" s="1"/>
  <c r="AH53" i="7"/>
  <c r="AU53" i="7" s="1"/>
  <c r="AI53" i="7"/>
  <c r="AV53" i="7" s="1"/>
  <c r="AJ53" i="7"/>
  <c r="AW53" i="7" s="1"/>
  <c r="AE54" i="7"/>
  <c r="AR54" i="7" s="1"/>
  <c r="AF54" i="7"/>
  <c r="AS54" i="7" s="1"/>
  <c r="AG54" i="7"/>
  <c r="AT54" i="7" s="1"/>
  <c r="AI54" i="7"/>
  <c r="AV54" i="7" s="1"/>
  <c r="AF56" i="7"/>
  <c r="AS56" i="7" s="1"/>
  <c r="AE57" i="7"/>
  <c r="AR57" i="7" s="1"/>
  <c r="AF57" i="7"/>
  <c r="AS57" i="7" s="1"/>
  <c r="AG57" i="7"/>
  <c r="AT57" i="7" s="1"/>
  <c r="AI57" i="7"/>
  <c r="AV57" i="7" s="1"/>
  <c r="AF58" i="7"/>
  <c r="AS58" i="7" s="1"/>
  <c r="AG58" i="7"/>
  <c r="AT58" i="7" s="1"/>
  <c r="AH58" i="7"/>
  <c r="AU58" i="7" s="1"/>
  <c r="AJ58" i="7"/>
  <c r="AW58" i="7" s="1"/>
  <c r="AI2" i="7"/>
  <c r="AV2" i="7" s="1"/>
  <c r="AH2" i="7"/>
  <c r="AU2" i="7" s="1"/>
  <c r="AG2" i="7"/>
  <c r="AT2" i="7" s="1"/>
  <c r="AF2" i="7"/>
  <c r="AS2" i="7" s="1"/>
  <c r="AE2" i="7"/>
  <c r="AR2" i="7" s="1"/>
  <c r="AK58" i="7"/>
  <c r="AX58" i="7" s="1"/>
  <c r="AP57" i="7"/>
  <c r="BC57" i="7" s="1"/>
  <c r="AO57" i="7"/>
  <c r="BB57" i="7" s="1"/>
  <c r="AM57" i="7"/>
  <c r="AZ57" i="7" s="1"/>
  <c r="AH57" i="7"/>
  <c r="AU57" i="7" s="1"/>
  <c r="AO56" i="7"/>
  <c r="BB56" i="7" s="1"/>
  <c r="AM56" i="7"/>
  <c r="AZ56" i="7" s="1"/>
  <c r="AP55" i="7"/>
  <c r="BC55" i="7" s="1"/>
  <c r="AO55" i="7"/>
  <c r="BB55" i="7" s="1"/>
  <c r="AN55" i="7"/>
  <c r="BA55" i="7" s="1"/>
  <c r="AM55" i="7"/>
  <c r="AZ55" i="7" s="1"/>
  <c r="AL55" i="7"/>
  <c r="AY55" i="7" s="1"/>
  <c r="AK55" i="7"/>
  <c r="AX55" i="7" s="1"/>
  <c r="AE55" i="7"/>
  <c r="AR55" i="7" s="1"/>
  <c r="AP54" i="7"/>
  <c r="BC54" i="7" s="1"/>
  <c r="AO54" i="7"/>
  <c r="BB54" i="7" s="1"/>
  <c r="AN54" i="7"/>
  <c r="BA54" i="7" s="1"/>
  <c r="AM54" i="7"/>
  <c r="AZ54" i="7" s="1"/>
  <c r="AL54" i="7"/>
  <c r="AY54" i="7" s="1"/>
  <c r="AJ54" i="7"/>
  <c r="AW54" i="7" s="1"/>
  <c r="AO53" i="7"/>
  <c r="BB53" i="7" s="1"/>
  <c r="AN53" i="7"/>
  <c r="BA53" i="7" s="1"/>
  <c r="AL53" i="7"/>
  <c r="AY53" i="7" s="1"/>
  <c r="AK53" i="7"/>
  <c r="AX53" i="7" s="1"/>
  <c r="AW52" i="7"/>
  <c r="AV52" i="7"/>
  <c r="AP52" i="7"/>
  <c r="BC52" i="7" s="1"/>
  <c r="AO52" i="7"/>
  <c r="BB52" i="7" s="1"/>
  <c r="AL52" i="7"/>
  <c r="AY52" i="7" s="1"/>
  <c r="AK52" i="7"/>
  <c r="AX52" i="7" s="1"/>
  <c r="AJ52" i="7"/>
  <c r="AI52" i="7"/>
  <c r="AE52" i="7"/>
  <c r="AR52" i="7" s="1"/>
  <c r="AM51" i="7"/>
  <c r="AZ51" i="7" s="1"/>
  <c r="AL51" i="7"/>
  <c r="AY51" i="7" s="1"/>
  <c r="AK51" i="7"/>
  <c r="AX51" i="7" s="1"/>
  <c r="AH51" i="7"/>
  <c r="AU51" i="7" s="1"/>
  <c r="AG51" i="7"/>
  <c r="AT51" i="7" s="1"/>
  <c r="AF51" i="7"/>
  <c r="AS51" i="7" s="1"/>
  <c r="AP50" i="7"/>
  <c r="BC50" i="7" s="1"/>
  <c r="AO50" i="7"/>
  <c r="BB50" i="7" s="1"/>
  <c r="AI50" i="7"/>
  <c r="AV50" i="7" s="1"/>
  <c r="AH50" i="7"/>
  <c r="AU50" i="7" s="1"/>
  <c r="AP49" i="7"/>
  <c r="BC49" i="7" s="1"/>
  <c r="AO49" i="7"/>
  <c r="BB49" i="7" s="1"/>
  <c r="AN49" i="7"/>
  <c r="BA49" i="7" s="1"/>
  <c r="AM49" i="7"/>
  <c r="AZ49" i="7" s="1"/>
  <c r="AP48" i="7"/>
  <c r="BC48" i="7" s="1"/>
  <c r="AO48" i="7"/>
  <c r="BB48" i="7" s="1"/>
  <c r="AN48" i="7"/>
  <c r="BA48" i="7" s="1"/>
  <c r="AL48" i="7"/>
  <c r="AY48" i="7" s="1"/>
  <c r="AK48" i="7"/>
  <c r="AX48" i="7" s="1"/>
  <c r="AF48" i="7"/>
  <c r="AS48" i="7" s="1"/>
  <c r="AZ47" i="7"/>
  <c r="AP47" i="7"/>
  <c r="BC47" i="7" s="1"/>
  <c r="AO47" i="7"/>
  <c r="BB47" i="7" s="1"/>
  <c r="AN47" i="7"/>
  <c r="BA47" i="7" s="1"/>
  <c r="AM47" i="7"/>
  <c r="AO46" i="7"/>
  <c r="BB46" i="7" s="1"/>
  <c r="AN46" i="7"/>
  <c r="BA46" i="7" s="1"/>
  <c r="AM46" i="7"/>
  <c r="AZ46" i="7" s="1"/>
  <c r="AL46" i="7"/>
  <c r="AY46" i="7" s="1"/>
  <c r="AK46" i="7"/>
  <c r="AX46" i="7" s="1"/>
  <c r="AF46" i="7"/>
  <c r="AS46" i="7" s="1"/>
  <c r="AL45" i="7"/>
  <c r="AY45" i="7" s="1"/>
  <c r="AK45" i="7"/>
  <c r="AX45" i="7" s="1"/>
  <c r="AJ45" i="7"/>
  <c r="AW45" i="7" s="1"/>
  <c r="AI45" i="7"/>
  <c r="AV45" i="7" s="1"/>
  <c r="AU44" i="7"/>
  <c r="AN44" i="7"/>
  <c r="BA44" i="7" s="1"/>
  <c r="AM44" i="7"/>
  <c r="AZ44" i="7" s="1"/>
  <c r="AF44" i="7"/>
  <c r="AS44" i="7" s="1"/>
  <c r="AE44" i="7"/>
  <c r="AR44" i="7" s="1"/>
  <c r="AO43" i="7"/>
  <c r="BB43" i="7" s="1"/>
  <c r="AJ43" i="7"/>
  <c r="AW43" i="7" s="1"/>
  <c r="AI43" i="7"/>
  <c r="AV43" i="7" s="1"/>
  <c r="AH43" i="7"/>
  <c r="AU43" i="7" s="1"/>
  <c r="AG43" i="7"/>
  <c r="AT43" i="7" s="1"/>
  <c r="AO42" i="7"/>
  <c r="BB42" i="7" s="1"/>
  <c r="AN42" i="7"/>
  <c r="BA42" i="7" s="1"/>
  <c r="AM42" i="7"/>
  <c r="AZ42" i="7" s="1"/>
  <c r="AP41" i="7"/>
  <c r="BC41" i="7" s="1"/>
  <c r="AO41" i="7"/>
  <c r="BB41" i="7" s="1"/>
  <c r="AN41" i="7"/>
  <c r="BA41" i="7" s="1"/>
  <c r="AM41" i="7"/>
  <c r="AZ41" i="7" s="1"/>
  <c r="AL41" i="7"/>
  <c r="AY41" i="7" s="1"/>
  <c r="AK41" i="7"/>
  <c r="AX41" i="7" s="1"/>
  <c r="AI41" i="7"/>
  <c r="AV41" i="7" s="1"/>
  <c r="AP40" i="7"/>
  <c r="BC40" i="7" s="1"/>
  <c r="AN40" i="7"/>
  <c r="BA40" i="7" s="1"/>
  <c r="AM40" i="7"/>
  <c r="AZ40" i="7" s="1"/>
  <c r="AK40" i="7"/>
  <c r="AX40" i="7" s="1"/>
  <c r="AP39" i="7"/>
  <c r="BC39" i="7" s="1"/>
  <c r="AO39" i="7"/>
  <c r="BB39" i="7" s="1"/>
  <c r="AN39" i="7"/>
  <c r="BA39" i="7" s="1"/>
  <c r="AL39" i="7"/>
  <c r="AY39" i="7" s="1"/>
  <c r="AK39" i="7"/>
  <c r="AX39" i="7" s="1"/>
  <c r="AJ39" i="7"/>
  <c r="AW39" i="7" s="1"/>
  <c r="AM38" i="7"/>
  <c r="AZ38" i="7" s="1"/>
  <c r="AL38" i="7"/>
  <c r="AY38" i="7" s="1"/>
  <c r="AK38" i="7"/>
  <c r="AX38" i="7" s="1"/>
  <c r="AJ38" i="7"/>
  <c r="AW38" i="7" s="1"/>
  <c r="AI38" i="7"/>
  <c r="AV38" i="7" s="1"/>
  <c r="AP36" i="7"/>
  <c r="BC36" i="7" s="1"/>
  <c r="AO36" i="7"/>
  <c r="BB36" i="7" s="1"/>
  <c r="AK36" i="7"/>
  <c r="AX36" i="7" s="1"/>
  <c r="AJ36" i="7"/>
  <c r="AW36" i="7" s="1"/>
  <c r="AI36" i="7"/>
  <c r="AV36" i="7" s="1"/>
  <c r="AH36" i="7"/>
  <c r="AU36" i="7" s="1"/>
  <c r="AE36" i="7"/>
  <c r="AR36" i="7" s="1"/>
  <c r="AP35" i="7"/>
  <c r="BC35" i="7" s="1"/>
  <c r="AO35" i="7"/>
  <c r="BB35" i="7" s="1"/>
  <c r="AM35" i="7"/>
  <c r="AZ35" i="7" s="1"/>
  <c r="AP34" i="7"/>
  <c r="BC34" i="7" s="1"/>
  <c r="AO34" i="7"/>
  <c r="BB34" i="7" s="1"/>
  <c r="AN34" i="7"/>
  <c r="BA34" i="7" s="1"/>
  <c r="AM34" i="7"/>
  <c r="AZ34" i="7" s="1"/>
  <c r="AL34" i="7"/>
  <c r="AY34" i="7" s="1"/>
  <c r="AK34" i="7"/>
  <c r="AX34" i="7" s="1"/>
  <c r="AE34" i="7"/>
  <c r="AR34" i="7" s="1"/>
  <c r="AP33" i="7"/>
  <c r="BC33" i="7" s="1"/>
  <c r="AN33" i="7"/>
  <c r="BA33" i="7" s="1"/>
  <c r="AM33" i="7"/>
  <c r="AZ33" i="7" s="1"/>
  <c r="AL33" i="7"/>
  <c r="AY33" i="7" s="1"/>
  <c r="AK33" i="7"/>
  <c r="AX33" i="7" s="1"/>
  <c r="AP32" i="7"/>
  <c r="BC32" i="7" s="1"/>
  <c r="AO32" i="7"/>
  <c r="BB32" i="7" s="1"/>
  <c r="AN32" i="7"/>
  <c r="BA32" i="7" s="1"/>
  <c r="AM32" i="7"/>
  <c r="AZ32" i="7" s="1"/>
  <c r="AL32" i="7"/>
  <c r="AY32" i="7" s="1"/>
  <c r="AK32" i="7"/>
  <c r="AX32" i="7" s="1"/>
  <c r="AH32" i="7"/>
  <c r="AU32" i="7" s="1"/>
  <c r="AL31" i="7"/>
  <c r="AY31" i="7" s="1"/>
  <c r="AK31" i="7"/>
  <c r="AX31" i="7" s="1"/>
  <c r="AJ31" i="7"/>
  <c r="AW31" i="7" s="1"/>
  <c r="AI31" i="7"/>
  <c r="AV31" i="7" s="1"/>
  <c r="AP30" i="7"/>
  <c r="BC30" i="7" s="1"/>
  <c r="AO29" i="7"/>
  <c r="BB29" i="7" s="1"/>
  <c r="AK29" i="7"/>
  <c r="AX29" i="7" s="1"/>
  <c r="AJ29" i="7"/>
  <c r="AW29" i="7" s="1"/>
  <c r="AH29" i="7"/>
  <c r="AU29" i="7" s="1"/>
  <c r="AE29" i="7"/>
  <c r="AR29" i="7" s="1"/>
  <c r="AP28" i="7"/>
  <c r="BC28" i="7" s="1"/>
  <c r="AO28" i="7"/>
  <c r="BB28" i="7" s="1"/>
  <c r="AN28" i="7"/>
  <c r="BA28" i="7" s="1"/>
  <c r="AM28" i="7"/>
  <c r="AZ28" i="7" s="1"/>
  <c r="AP27" i="7"/>
  <c r="BC27" i="7" s="1"/>
  <c r="AO27" i="7"/>
  <c r="BB27" i="7" s="1"/>
  <c r="AN27" i="7"/>
  <c r="BA27" i="7" s="1"/>
  <c r="AM27" i="7"/>
  <c r="AZ27" i="7" s="1"/>
  <c r="AL27" i="7"/>
  <c r="AY27" i="7" s="1"/>
  <c r="AK27" i="7"/>
  <c r="AX27" i="7" s="1"/>
  <c r="AE27" i="7"/>
  <c r="AR27" i="7" s="1"/>
  <c r="AP26" i="7"/>
  <c r="BC26" i="7" s="1"/>
  <c r="AN26" i="7"/>
  <c r="BA26" i="7" s="1"/>
  <c r="AM26" i="7"/>
  <c r="AZ26" i="7" s="1"/>
  <c r="AL26" i="7"/>
  <c r="AY26" i="7" s="1"/>
  <c r="AK26" i="7"/>
  <c r="AX26" i="7" s="1"/>
  <c r="AP25" i="7"/>
  <c r="BC25" i="7" s="1"/>
  <c r="AO25" i="7"/>
  <c r="BB25" i="7" s="1"/>
  <c r="AN25" i="7"/>
  <c r="BA25" i="7" s="1"/>
  <c r="AM25" i="7"/>
  <c r="AZ25" i="7" s="1"/>
  <c r="AL25" i="7"/>
  <c r="AY25" i="7" s="1"/>
  <c r="AK25" i="7"/>
  <c r="AX25" i="7" s="1"/>
  <c r="AL24" i="7"/>
  <c r="AY24" i="7" s="1"/>
  <c r="AK24" i="7"/>
  <c r="AX24" i="7" s="1"/>
  <c r="AJ24" i="7"/>
  <c r="AW24" i="7" s="1"/>
  <c r="AG24" i="7"/>
  <c r="AT24" i="7" s="1"/>
  <c r="AF24" i="7"/>
  <c r="AS24" i="7" s="1"/>
  <c r="AP23" i="7"/>
  <c r="BC23" i="7" s="1"/>
  <c r="AH23" i="7"/>
  <c r="AU23" i="7" s="1"/>
  <c r="AG23" i="7"/>
  <c r="AT23" i="7" s="1"/>
  <c r="AF23" i="7"/>
  <c r="AS23" i="7" s="1"/>
  <c r="AE23" i="7"/>
  <c r="AR23" i="7" s="1"/>
  <c r="AP22" i="7"/>
  <c r="BC22" i="7" s="1"/>
  <c r="AO22" i="7"/>
  <c r="BB22" i="7" s="1"/>
  <c r="AN22" i="7"/>
  <c r="BA22" i="7" s="1"/>
  <c r="AM22" i="7"/>
  <c r="AZ22" i="7" s="1"/>
  <c r="AI22" i="7"/>
  <c r="AV22" i="7" s="1"/>
  <c r="AH22" i="7"/>
  <c r="AU22" i="7" s="1"/>
  <c r="AP21" i="7"/>
  <c r="BC21" i="7" s="1"/>
  <c r="AO21" i="7"/>
  <c r="BB21" i="7" s="1"/>
  <c r="AN21" i="7"/>
  <c r="BA21" i="7" s="1"/>
  <c r="AM21" i="7"/>
  <c r="AZ21" i="7" s="1"/>
  <c r="AK21" i="7"/>
  <c r="AX21" i="7" s="1"/>
  <c r="AF21" i="7"/>
  <c r="AS21" i="7" s="1"/>
  <c r="AP20" i="7"/>
  <c r="BC20" i="7" s="1"/>
  <c r="AO20" i="7"/>
  <c r="BB20" i="7" s="1"/>
  <c r="AN20" i="7"/>
  <c r="BA20" i="7" s="1"/>
  <c r="AM20" i="7"/>
  <c r="AZ20" i="7" s="1"/>
  <c r="AK20" i="7"/>
  <c r="AX20" i="7" s="1"/>
  <c r="AF20" i="7"/>
  <c r="AS20" i="7" s="1"/>
  <c r="AP19" i="7"/>
  <c r="BC19" i="7" s="1"/>
  <c r="AO19" i="7"/>
  <c r="BB19" i="7" s="1"/>
  <c r="AN19" i="7"/>
  <c r="BA19" i="7" s="1"/>
  <c r="AM19" i="7"/>
  <c r="AZ19" i="7" s="1"/>
  <c r="AL19" i="7"/>
  <c r="AY19" i="7" s="1"/>
  <c r="AK19" i="7"/>
  <c r="AX19" i="7" s="1"/>
  <c r="AO18" i="7"/>
  <c r="BB18" i="7" s="1"/>
  <c r="AN18" i="7"/>
  <c r="BA18" i="7" s="1"/>
  <c r="AL18" i="7"/>
  <c r="AY18" i="7" s="1"/>
  <c r="AK18" i="7"/>
  <c r="AX18" i="7" s="1"/>
  <c r="AO17" i="7"/>
  <c r="BB17" i="7" s="1"/>
  <c r="AN17" i="7"/>
  <c r="BA17" i="7" s="1"/>
  <c r="AM17" i="7"/>
  <c r="AZ17" i="7" s="1"/>
  <c r="AL17" i="7"/>
  <c r="AY17" i="7" s="1"/>
  <c r="AJ17" i="7"/>
  <c r="AW17" i="7" s="1"/>
  <c r="AF17" i="7"/>
  <c r="AS17" i="7" s="1"/>
  <c r="AE17" i="7"/>
  <c r="AR17" i="7" s="1"/>
  <c r="AL16" i="7"/>
  <c r="AY16" i="7" s="1"/>
  <c r="AK16" i="7"/>
  <c r="AX16" i="7" s="1"/>
  <c r="AE16" i="7"/>
  <c r="AR16" i="7" s="1"/>
  <c r="AP15" i="7"/>
  <c r="BC15" i="7" s="1"/>
  <c r="AO15" i="7"/>
  <c r="BB15" i="7" s="1"/>
  <c r="AH15" i="7"/>
  <c r="AU15" i="7" s="1"/>
  <c r="AG15" i="7"/>
  <c r="AT15" i="7" s="1"/>
  <c r="AP14" i="7"/>
  <c r="BC14" i="7" s="1"/>
  <c r="AO14" i="7"/>
  <c r="BB14" i="7" s="1"/>
  <c r="AN14" i="7"/>
  <c r="BA14" i="7" s="1"/>
  <c r="AM14" i="7"/>
  <c r="AZ14" i="7" s="1"/>
  <c r="AK14" i="7"/>
  <c r="AX14" i="7" s="1"/>
  <c r="AF14" i="7"/>
  <c r="AS14" i="7" s="1"/>
  <c r="AE14" i="7"/>
  <c r="AR14" i="7" s="1"/>
  <c r="AP13" i="7"/>
  <c r="BC13" i="7" s="1"/>
  <c r="AO13" i="7"/>
  <c r="BB13" i="7" s="1"/>
  <c r="AN13" i="7"/>
  <c r="BA13" i="7" s="1"/>
  <c r="AM13" i="7"/>
  <c r="AZ13" i="7" s="1"/>
  <c r="AL13" i="7"/>
  <c r="AY13" i="7" s="1"/>
  <c r="AK13" i="7"/>
  <c r="AX13" i="7" s="1"/>
  <c r="AG13" i="7"/>
  <c r="AT13" i="7" s="1"/>
  <c r="AF13" i="7"/>
  <c r="AS13" i="7" s="1"/>
  <c r="AE13" i="7"/>
  <c r="AR13" i="7" s="1"/>
  <c r="AP12" i="7"/>
  <c r="BC12" i="7" s="1"/>
  <c r="AO12" i="7"/>
  <c r="BB12" i="7" s="1"/>
  <c r="AN12" i="7"/>
  <c r="BA12" i="7" s="1"/>
  <c r="AM12" i="7"/>
  <c r="AZ12" i="7" s="1"/>
  <c r="AL12" i="7"/>
  <c r="AY12" i="7" s="1"/>
  <c r="AK12" i="7"/>
  <c r="AX12" i="7" s="1"/>
  <c r="AJ12" i="7"/>
  <c r="AW12" i="7" s="1"/>
  <c r="AO11" i="7"/>
  <c r="BB11" i="7" s="1"/>
  <c r="AN11" i="7"/>
  <c r="BA11" i="7" s="1"/>
  <c r="AM11" i="7"/>
  <c r="AZ11" i="7" s="1"/>
  <c r="AL11" i="7"/>
  <c r="AY11" i="7" s="1"/>
  <c r="AK11" i="7"/>
  <c r="AX11" i="7" s="1"/>
  <c r="AJ11" i="7"/>
  <c r="AW11" i="7" s="1"/>
  <c r="AI11" i="7"/>
  <c r="AV11" i="7" s="1"/>
  <c r="AH11" i="7"/>
  <c r="AU11" i="7" s="1"/>
  <c r="AL10" i="7"/>
  <c r="AY10" i="7" s="1"/>
  <c r="AK10" i="7"/>
  <c r="AX10" i="7" s="1"/>
  <c r="AJ10" i="7"/>
  <c r="AW10" i="7" s="1"/>
  <c r="AI10" i="7"/>
  <c r="AV10" i="7" s="1"/>
  <c r="AG10" i="7"/>
  <c r="AT10" i="7" s="1"/>
  <c r="AK9" i="7"/>
  <c r="AX9" i="7" s="1"/>
  <c r="AP8" i="7"/>
  <c r="BC8" i="7" s="1"/>
  <c r="AO8" i="7"/>
  <c r="BB8" i="7" s="1"/>
  <c r="AL8" i="7"/>
  <c r="AY8" i="7" s="1"/>
  <c r="AK8" i="7"/>
  <c r="AX8" i="7" s="1"/>
  <c r="AJ8" i="7"/>
  <c r="AW8" i="7" s="1"/>
  <c r="AH8" i="7"/>
  <c r="AU8" i="7" s="1"/>
  <c r="AP7" i="7"/>
  <c r="BC7" i="7" s="1"/>
  <c r="AO7" i="7"/>
  <c r="BB7" i="7" s="1"/>
  <c r="AN7" i="7"/>
  <c r="BA7" i="7" s="1"/>
  <c r="AM7" i="7"/>
  <c r="AZ7" i="7" s="1"/>
  <c r="AY6" i="7"/>
  <c r="AP6" i="7"/>
  <c r="BC6" i="7" s="1"/>
  <c r="AO6" i="7"/>
  <c r="BB6" i="7" s="1"/>
  <c r="AN6" i="7"/>
  <c r="BA6" i="7" s="1"/>
  <c r="AM6" i="7"/>
  <c r="AZ6" i="7" s="1"/>
  <c r="AL6" i="7"/>
  <c r="AK6" i="7"/>
  <c r="AX6" i="7" s="1"/>
  <c r="AP5" i="7"/>
  <c r="BC5" i="7" s="1"/>
  <c r="AO5" i="7"/>
  <c r="BB5" i="7" s="1"/>
  <c r="AN5" i="7"/>
  <c r="BA5" i="7" s="1"/>
  <c r="AM5" i="7"/>
  <c r="AZ5" i="7" s="1"/>
  <c r="AL5" i="7"/>
  <c r="AY5" i="7" s="1"/>
  <c r="AK5" i="7"/>
  <c r="AX5" i="7" s="1"/>
  <c r="AP4" i="7"/>
  <c r="BC4" i="7" s="1"/>
  <c r="AN4" i="7"/>
  <c r="BA4" i="7" s="1"/>
  <c r="AM4" i="7"/>
  <c r="AZ4" i="7" s="1"/>
  <c r="AL4" i="7"/>
  <c r="AY4" i="7" s="1"/>
  <c r="AK4" i="7"/>
  <c r="AX4" i="7" s="1"/>
  <c r="AM3" i="7"/>
  <c r="AZ3" i="7" s="1"/>
  <c r="AL3" i="7"/>
  <c r="AY3" i="7" s="1"/>
  <c r="AK3" i="7"/>
  <c r="AX3" i="7" s="1"/>
  <c r="AJ3" i="7"/>
  <c r="AW3" i="7" s="1"/>
  <c r="AL2" i="7"/>
  <c r="AY2" i="7" s="1"/>
  <c r="Q18" i="17" l="1"/>
  <c r="Q20" i="17"/>
  <c r="Q19" i="17"/>
  <c r="R19" i="17" s="1"/>
  <c r="Q17" i="17"/>
  <c r="Q23" i="17"/>
  <c r="Q13" i="17"/>
  <c r="Q14" i="17"/>
  <c r="Q21" i="17"/>
  <c r="R21" i="17" s="1"/>
  <c r="Q15" i="17"/>
  <c r="R15" i="17" s="1"/>
  <c r="K15" i="17" s="1"/>
  <c r="Q22" i="17"/>
  <c r="Q16" i="17"/>
  <c r="Q8" i="17"/>
  <c r="R8" i="17" s="1"/>
  <c r="Q12" i="17"/>
  <c r="Q11" i="17"/>
  <c r="R11" i="17" s="1"/>
  <c r="Q10" i="17"/>
  <c r="Q9" i="17"/>
  <c r="Q2" i="17"/>
  <c r="R22" i="17"/>
  <c r="Q6" i="17"/>
  <c r="R6" i="17" s="1"/>
  <c r="Q5" i="17"/>
  <c r="R17" i="17"/>
  <c r="Q7" i="17"/>
  <c r="Q3" i="17"/>
  <c r="R13" i="17"/>
  <c r="Q2" i="31"/>
  <c r="R9" i="17"/>
  <c r="R20" i="17"/>
  <c r="AP2" i="12"/>
  <c r="BC2" i="12" s="1"/>
  <c r="AL2" i="12"/>
  <c r="AY2" i="12" s="1"/>
  <c r="AF2" i="12"/>
  <c r="AS2" i="12" s="1"/>
  <c r="AO2" i="12"/>
  <c r="BB2" i="12" s="1"/>
  <c r="AK2" i="12"/>
  <c r="AX2" i="12" s="1"/>
  <c r="AN2" i="12"/>
  <c r="BA2" i="12" s="1"/>
  <c r="AJ2" i="12"/>
  <c r="AW2" i="12" s="1"/>
  <c r="AK2" i="7"/>
  <c r="AX2" i="7" s="1"/>
  <c r="AO2" i="7"/>
  <c r="BB2" i="7" s="1"/>
  <c r="AJ2" i="7"/>
  <c r="AW2" i="7" s="1"/>
  <c r="AN2" i="7"/>
  <c r="BA2" i="7" s="1"/>
  <c r="AM2" i="1"/>
  <c r="AZ2" i="1" s="1"/>
  <c r="AF2" i="1"/>
  <c r="AS2" i="1" s="1"/>
  <c r="AK2" i="1"/>
  <c r="AX2" i="1" s="1"/>
  <c r="AO2" i="1"/>
  <c r="BB2" i="1" s="1"/>
  <c r="AN2" i="1"/>
  <c r="BA2" i="1" s="1"/>
  <c r="AJ2" i="1"/>
  <c r="AW2" i="1" s="1"/>
  <c r="AP58" i="5"/>
  <c r="BC58" i="5" s="1"/>
  <c r="AO58" i="5"/>
  <c r="BB58" i="5" s="1"/>
  <c r="AN58" i="5"/>
  <c r="BA58" i="5" s="1"/>
  <c r="AM58" i="5"/>
  <c r="AZ58" i="5" s="1"/>
  <c r="AL58" i="5"/>
  <c r="AY58" i="5" s="1"/>
  <c r="AK58" i="5"/>
  <c r="AX58" i="5" s="1"/>
  <c r="AJ58" i="5"/>
  <c r="AW58" i="5" s="1"/>
  <c r="AI58" i="5"/>
  <c r="AV58" i="5" s="1"/>
  <c r="AH58" i="5"/>
  <c r="AU58" i="5" s="1"/>
  <c r="AG58" i="5"/>
  <c r="AT58" i="5" s="1"/>
  <c r="AF58" i="5"/>
  <c r="AS58" i="5" s="1"/>
  <c r="AE58" i="5"/>
  <c r="AR58" i="5" s="1"/>
  <c r="AP57" i="5"/>
  <c r="BC57" i="5" s="1"/>
  <c r="AO57" i="5"/>
  <c r="BB57" i="5" s="1"/>
  <c r="AN57" i="5"/>
  <c r="BA57" i="5" s="1"/>
  <c r="AM57" i="5"/>
  <c r="AZ57" i="5" s="1"/>
  <c r="AL57" i="5"/>
  <c r="AY57" i="5" s="1"/>
  <c r="AK57" i="5"/>
  <c r="AX57" i="5" s="1"/>
  <c r="AJ57" i="5"/>
  <c r="AW57" i="5" s="1"/>
  <c r="AI57" i="5"/>
  <c r="AV57" i="5" s="1"/>
  <c r="AH57" i="5"/>
  <c r="AU57" i="5" s="1"/>
  <c r="AG57" i="5"/>
  <c r="AT57" i="5" s="1"/>
  <c r="AF57" i="5"/>
  <c r="AS57" i="5" s="1"/>
  <c r="AE57" i="5"/>
  <c r="AR57" i="5" s="1"/>
  <c r="AP56" i="5"/>
  <c r="BC56" i="5" s="1"/>
  <c r="AO56" i="5"/>
  <c r="BB56" i="5" s="1"/>
  <c r="AN56" i="5"/>
  <c r="BA56" i="5" s="1"/>
  <c r="AM56" i="5"/>
  <c r="AZ56" i="5" s="1"/>
  <c r="AL56" i="5"/>
  <c r="AY56" i="5" s="1"/>
  <c r="AK56" i="5"/>
  <c r="AX56" i="5" s="1"/>
  <c r="AJ56" i="5"/>
  <c r="AW56" i="5" s="1"/>
  <c r="AI56" i="5"/>
  <c r="AV56" i="5" s="1"/>
  <c r="AH56" i="5"/>
  <c r="AU56" i="5" s="1"/>
  <c r="AG56" i="5"/>
  <c r="AT56" i="5" s="1"/>
  <c r="AF56" i="5"/>
  <c r="AS56" i="5" s="1"/>
  <c r="AE56" i="5"/>
  <c r="AR56" i="5" s="1"/>
  <c r="AP55" i="5"/>
  <c r="BC55" i="5" s="1"/>
  <c r="AO55" i="5"/>
  <c r="BB55" i="5" s="1"/>
  <c r="AN55" i="5"/>
  <c r="BA55" i="5" s="1"/>
  <c r="AM55" i="5"/>
  <c r="AZ55" i="5" s="1"/>
  <c r="AL55" i="5"/>
  <c r="AY55" i="5" s="1"/>
  <c r="AK55" i="5"/>
  <c r="AX55" i="5" s="1"/>
  <c r="AJ55" i="5"/>
  <c r="AW55" i="5" s="1"/>
  <c r="AI55" i="5"/>
  <c r="AV55" i="5" s="1"/>
  <c r="AH55" i="5"/>
  <c r="AU55" i="5" s="1"/>
  <c r="AG55" i="5"/>
  <c r="AT55" i="5" s="1"/>
  <c r="AF55" i="5"/>
  <c r="AS55" i="5" s="1"/>
  <c r="AE55" i="5"/>
  <c r="AR55" i="5" s="1"/>
  <c r="AP54" i="5"/>
  <c r="BC54" i="5" s="1"/>
  <c r="AO54" i="5"/>
  <c r="BB54" i="5" s="1"/>
  <c r="AN54" i="5"/>
  <c r="BA54" i="5" s="1"/>
  <c r="AM54" i="5"/>
  <c r="AZ54" i="5" s="1"/>
  <c r="AL54" i="5"/>
  <c r="AY54" i="5" s="1"/>
  <c r="AK54" i="5"/>
  <c r="AX54" i="5" s="1"/>
  <c r="AJ54" i="5"/>
  <c r="AW54" i="5" s="1"/>
  <c r="AI54" i="5"/>
  <c r="AV54" i="5" s="1"/>
  <c r="AH54" i="5"/>
  <c r="AU54" i="5" s="1"/>
  <c r="AG54" i="5"/>
  <c r="AT54" i="5" s="1"/>
  <c r="AF54" i="5"/>
  <c r="AS54" i="5" s="1"/>
  <c r="AE54" i="5"/>
  <c r="AR54" i="5" s="1"/>
  <c r="AP53" i="5"/>
  <c r="BC53" i="5" s="1"/>
  <c r="AO53" i="5"/>
  <c r="BB53" i="5" s="1"/>
  <c r="AN53" i="5"/>
  <c r="BA53" i="5" s="1"/>
  <c r="AM53" i="5"/>
  <c r="AZ53" i="5" s="1"/>
  <c r="AL53" i="5"/>
  <c r="AY53" i="5" s="1"/>
  <c r="AK53" i="5"/>
  <c r="AX53" i="5" s="1"/>
  <c r="AJ53" i="5"/>
  <c r="AW53" i="5" s="1"/>
  <c r="AI53" i="5"/>
  <c r="AV53" i="5" s="1"/>
  <c r="AH53" i="5"/>
  <c r="AU53" i="5" s="1"/>
  <c r="AG53" i="5"/>
  <c r="AT53" i="5" s="1"/>
  <c r="AF53" i="5"/>
  <c r="AS53" i="5" s="1"/>
  <c r="AE53" i="5"/>
  <c r="AR53" i="5" s="1"/>
  <c r="AP52" i="5"/>
  <c r="BC52" i="5" s="1"/>
  <c r="AO52" i="5"/>
  <c r="BB52" i="5" s="1"/>
  <c r="AN52" i="5"/>
  <c r="BA52" i="5" s="1"/>
  <c r="AM52" i="5"/>
  <c r="AZ52" i="5" s="1"/>
  <c r="AL52" i="5"/>
  <c r="AY52" i="5" s="1"/>
  <c r="AK52" i="5"/>
  <c r="AX52" i="5" s="1"/>
  <c r="AJ52" i="5"/>
  <c r="AW52" i="5" s="1"/>
  <c r="AI52" i="5"/>
  <c r="AV52" i="5" s="1"/>
  <c r="AH52" i="5"/>
  <c r="AU52" i="5" s="1"/>
  <c r="AG52" i="5"/>
  <c r="AT52" i="5" s="1"/>
  <c r="AF52" i="5"/>
  <c r="AS52" i="5" s="1"/>
  <c r="AE52" i="5"/>
  <c r="AR52" i="5" s="1"/>
  <c r="BA51" i="5"/>
  <c r="AP51" i="5"/>
  <c r="BC51" i="5" s="1"/>
  <c r="AO51" i="5"/>
  <c r="BB51" i="5" s="1"/>
  <c r="AN51" i="5"/>
  <c r="AM51" i="5"/>
  <c r="AZ51" i="5" s="1"/>
  <c r="AL51" i="5"/>
  <c r="AY51" i="5" s="1"/>
  <c r="AK51" i="5"/>
  <c r="AX51" i="5" s="1"/>
  <c r="AJ51" i="5"/>
  <c r="AW51" i="5" s="1"/>
  <c r="AI51" i="5"/>
  <c r="AV51" i="5" s="1"/>
  <c r="AH51" i="5"/>
  <c r="AU51" i="5" s="1"/>
  <c r="AG51" i="5"/>
  <c r="AT51" i="5" s="1"/>
  <c r="AF51" i="5"/>
  <c r="AS51" i="5" s="1"/>
  <c r="AE51" i="5"/>
  <c r="AR51" i="5" s="1"/>
  <c r="AP50" i="5"/>
  <c r="BC50" i="5" s="1"/>
  <c r="AO50" i="5"/>
  <c r="BB50" i="5" s="1"/>
  <c r="AN50" i="5"/>
  <c r="BA50" i="5" s="1"/>
  <c r="AM50" i="5"/>
  <c r="AZ50" i="5" s="1"/>
  <c r="AL50" i="5"/>
  <c r="AY50" i="5" s="1"/>
  <c r="AK50" i="5"/>
  <c r="AX50" i="5" s="1"/>
  <c r="AJ50" i="5"/>
  <c r="AW50" i="5" s="1"/>
  <c r="AI50" i="5"/>
  <c r="AV50" i="5" s="1"/>
  <c r="AH50" i="5"/>
  <c r="AU50" i="5" s="1"/>
  <c r="AG50" i="5"/>
  <c r="AT50" i="5" s="1"/>
  <c r="AF50" i="5"/>
  <c r="AS50" i="5" s="1"/>
  <c r="AE50" i="5"/>
  <c r="AR50" i="5" s="1"/>
  <c r="AP49" i="5"/>
  <c r="BC49" i="5" s="1"/>
  <c r="AO49" i="5"/>
  <c r="BB49" i="5" s="1"/>
  <c r="AN49" i="5"/>
  <c r="BA49" i="5" s="1"/>
  <c r="AM49" i="5"/>
  <c r="AZ49" i="5" s="1"/>
  <c r="AL49" i="5"/>
  <c r="AY49" i="5" s="1"/>
  <c r="AK49" i="5"/>
  <c r="AX49" i="5" s="1"/>
  <c r="AJ49" i="5"/>
  <c r="AW49" i="5" s="1"/>
  <c r="AI49" i="5"/>
  <c r="AV49" i="5" s="1"/>
  <c r="AH49" i="5"/>
  <c r="AU49" i="5" s="1"/>
  <c r="AG49" i="5"/>
  <c r="AT49" i="5" s="1"/>
  <c r="AF49" i="5"/>
  <c r="AS49" i="5" s="1"/>
  <c r="AE49" i="5"/>
  <c r="AR49" i="5" s="1"/>
  <c r="AY48" i="5"/>
  <c r="AX48" i="5"/>
  <c r="AP48" i="5"/>
  <c r="BC48" i="5" s="1"/>
  <c r="AO48" i="5"/>
  <c r="BB48" i="5" s="1"/>
  <c r="AN48" i="5"/>
  <c r="BA48" i="5" s="1"/>
  <c r="AM48" i="5"/>
  <c r="AZ48" i="5" s="1"/>
  <c r="AL48" i="5"/>
  <c r="AK48" i="5"/>
  <c r="AJ48" i="5"/>
  <c r="AW48" i="5" s="1"/>
  <c r="AI48" i="5"/>
  <c r="AV48" i="5" s="1"/>
  <c r="AH48" i="5"/>
  <c r="AU48" i="5" s="1"/>
  <c r="AG48" i="5"/>
  <c r="AT48" i="5" s="1"/>
  <c r="AF48" i="5"/>
  <c r="AS48" i="5" s="1"/>
  <c r="AE48" i="5"/>
  <c r="AR48" i="5" s="1"/>
  <c r="BA47" i="5"/>
  <c r="AY47" i="5"/>
  <c r="AX47" i="5"/>
  <c r="AP47" i="5"/>
  <c r="BC47" i="5" s="1"/>
  <c r="AO47" i="5"/>
  <c r="BB47" i="5" s="1"/>
  <c r="AN47" i="5"/>
  <c r="AM47" i="5"/>
  <c r="AZ47" i="5" s="1"/>
  <c r="AL47" i="5"/>
  <c r="AK47" i="5"/>
  <c r="AJ47" i="5"/>
  <c r="AW47" i="5" s="1"/>
  <c r="AI47" i="5"/>
  <c r="AV47" i="5" s="1"/>
  <c r="AH47" i="5"/>
  <c r="AU47" i="5" s="1"/>
  <c r="AG47" i="5"/>
  <c r="AT47" i="5" s="1"/>
  <c r="AF47" i="5"/>
  <c r="AS47" i="5" s="1"/>
  <c r="AE47" i="5"/>
  <c r="AR47" i="5" s="1"/>
  <c r="AU46" i="5"/>
  <c r="AP46" i="5"/>
  <c r="BC46" i="5" s="1"/>
  <c r="AO46" i="5"/>
  <c r="BB46" i="5" s="1"/>
  <c r="AN46" i="5"/>
  <c r="BA46" i="5" s="1"/>
  <c r="AM46" i="5"/>
  <c r="AZ46" i="5" s="1"/>
  <c r="AL46" i="5"/>
  <c r="AY46" i="5" s="1"/>
  <c r="AK46" i="5"/>
  <c r="AX46" i="5" s="1"/>
  <c r="AJ46" i="5"/>
  <c r="AW46" i="5" s="1"/>
  <c r="AI46" i="5"/>
  <c r="AV46" i="5" s="1"/>
  <c r="AH46" i="5"/>
  <c r="AG46" i="5"/>
  <c r="AT46" i="5" s="1"/>
  <c r="AF46" i="5"/>
  <c r="AS46" i="5" s="1"/>
  <c r="AE46" i="5"/>
  <c r="AR46" i="5" s="1"/>
  <c r="AX45" i="5"/>
  <c r="AV45" i="5"/>
  <c r="AP45" i="5"/>
  <c r="BC45" i="5" s="1"/>
  <c r="AO45" i="5"/>
  <c r="BB45" i="5" s="1"/>
  <c r="AN45" i="5"/>
  <c r="BA45" i="5" s="1"/>
  <c r="AM45" i="5"/>
  <c r="AZ45" i="5" s="1"/>
  <c r="AL45" i="5"/>
  <c r="AY45" i="5" s="1"/>
  <c r="AK45" i="5"/>
  <c r="AJ45" i="5"/>
  <c r="AW45" i="5" s="1"/>
  <c r="AI45" i="5"/>
  <c r="AH45" i="5"/>
  <c r="AU45" i="5" s="1"/>
  <c r="AG45" i="5"/>
  <c r="AT45" i="5" s="1"/>
  <c r="AF45" i="5"/>
  <c r="AS45" i="5" s="1"/>
  <c r="AE45" i="5"/>
  <c r="AR45" i="5" s="1"/>
  <c r="BA44" i="5"/>
  <c r="AZ44" i="5"/>
  <c r="AP44" i="5"/>
  <c r="BC44" i="5" s="1"/>
  <c r="AO44" i="5"/>
  <c r="BB44" i="5" s="1"/>
  <c r="AN44" i="5"/>
  <c r="AM44" i="5"/>
  <c r="AL44" i="5"/>
  <c r="AY44" i="5" s="1"/>
  <c r="AK44" i="5"/>
  <c r="AX44" i="5" s="1"/>
  <c r="AJ44" i="5"/>
  <c r="AW44" i="5" s="1"/>
  <c r="AI44" i="5"/>
  <c r="AV44" i="5" s="1"/>
  <c r="AH44" i="5"/>
  <c r="AU44" i="5" s="1"/>
  <c r="AG44" i="5"/>
  <c r="AT44" i="5" s="1"/>
  <c r="AF44" i="5"/>
  <c r="AS44" i="5" s="1"/>
  <c r="AE44" i="5"/>
  <c r="AR44" i="5" s="1"/>
  <c r="AP43" i="5"/>
  <c r="BC43" i="5" s="1"/>
  <c r="AO43" i="5"/>
  <c r="BB43" i="5" s="1"/>
  <c r="AN43" i="5"/>
  <c r="BA43" i="5" s="1"/>
  <c r="AM43" i="5"/>
  <c r="AZ43" i="5" s="1"/>
  <c r="AL43" i="5"/>
  <c r="AY43" i="5" s="1"/>
  <c r="AK43" i="5"/>
  <c r="AX43" i="5" s="1"/>
  <c r="AJ43" i="5"/>
  <c r="AW43" i="5" s="1"/>
  <c r="AI43" i="5"/>
  <c r="AV43" i="5" s="1"/>
  <c r="AH43" i="5"/>
  <c r="AU43" i="5" s="1"/>
  <c r="AG43" i="5"/>
  <c r="AT43" i="5" s="1"/>
  <c r="AF43" i="5"/>
  <c r="AS43" i="5" s="1"/>
  <c r="AE43" i="5"/>
  <c r="AR43" i="5" s="1"/>
  <c r="AP42" i="5"/>
  <c r="BC42" i="5" s="1"/>
  <c r="AO42" i="5"/>
  <c r="BB42" i="5" s="1"/>
  <c r="AN42" i="5"/>
  <c r="BA42" i="5" s="1"/>
  <c r="AM42" i="5"/>
  <c r="AZ42" i="5" s="1"/>
  <c r="AL42" i="5"/>
  <c r="AY42" i="5" s="1"/>
  <c r="AK42" i="5"/>
  <c r="AX42" i="5" s="1"/>
  <c r="AJ42" i="5"/>
  <c r="AW42" i="5" s="1"/>
  <c r="AI42" i="5"/>
  <c r="AV42" i="5" s="1"/>
  <c r="AH42" i="5"/>
  <c r="AU42" i="5" s="1"/>
  <c r="AG42" i="5"/>
  <c r="AT42" i="5" s="1"/>
  <c r="AF42" i="5"/>
  <c r="AS42" i="5" s="1"/>
  <c r="AE42" i="5"/>
  <c r="AR42" i="5" s="1"/>
  <c r="AP41" i="5"/>
  <c r="BC41" i="5" s="1"/>
  <c r="AO41" i="5"/>
  <c r="BB41" i="5" s="1"/>
  <c r="AN41" i="5"/>
  <c r="BA41" i="5" s="1"/>
  <c r="AM41" i="5"/>
  <c r="AZ41" i="5" s="1"/>
  <c r="AL41" i="5"/>
  <c r="AY41" i="5" s="1"/>
  <c r="AK41" i="5"/>
  <c r="AX41" i="5" s="1"/>
  <c r="AJ41" i="5"/>
  <c r="AW41" i="5" s="1"/>
  <c r="AI41" i="5"/>
  <c r="AV41" i="5" s="1"/>
  <c r="AH41" i="5"/>
  <c r="AU41" i="5" s="1"/>
  <c r="AG41" i="5"/>
  <c r="AT41" i="5" s="1"/>
  <c r="AF41" i="5"/>
  <c r="AS41" i="5" s="1"/>
  <c r="AE41" i="5"/>
  <c r="AR41" i="5" s="1"/>
  <c r="AP40" i="5"/>
  <c r="BC40" i="5" s="1"/>
  <c r="AO40" i="5"/>
  <c r="BB40" i="5" s="1"/>
  <c r="AN40" i="5"/>
  <c r="BA40" i="5" s="1"/>
  <c r="AM40" i="5"/>
  <c r="AZ40" i="5" s="1"/>
  <c r="AL40" i="5"/>
  <c r="AY40" i="5" s="1"/>
  <c r="AK40" i="5"/>
  <c r="AX40" i="5" s="1"/>
  <c r="AJ40" i="5"/>
  <c r="AW40" i="5" s="1"/>
  <c r="AI40" i="5"/>
  <c r="AV40" i="5" s="1"/>
  <c r="AH40" i="5"/>
  <c r="AU40" i="5" s="1"/>
  <c r="AG40" i="5"/>
  <c r="AT40" i="5" s="1"/>
  <c r="AF40" i="5"/>
  <c r="AS40" i="5" s="1"/>
  <c r="AE40" i="5"/>
  <c r="AR40" i="5" s="1"/>
  <c r="AP39" i="5"/>
  <c r="BC39" i="5" s="1"/>
  <c r="AO39" i="5"/>
  <c r="BB39" i="5" s="1"/>
  <c r="AN39" i="5"/>
  <c r="BA39" i="5" s="1"/>
  <c r="AM39" i="5"/>
  <c r="AZ39" i="5" s="1"/>
  <c r="AL39" i="5"/>
  <c r="AY39" i="5" s="1"/>
  <c r="AK39" i="5"/>
  <c r="AX39" i="5" s="1"/>
  <c r="AJ39" i="5"/>
  <c r="AW39" i="5" s="1"/>
  <c r="AI39" i="5"/>
  <c r="AV39" i="5" s="1"/>
  <c r="AH39" i="5"/>
  <c r="AU39" i="5" s="1"/>
  <c r="AG39" i="5"/>
  <c r="AT39" i="5" s="1"/>
  <c r="AF39" i="5"/>
  <c r="AS39" i="5" s="1"/>
  <c r="AE39" i="5"/>
  <c r="AR39" i="5" s="1"/>
  <c r="AP38" i="5"/>
  <c r="BC38" i="5" s="1"/>
  <c r="AO38" i="5"/>
  <c r="BB38" i="5" s="1"/>
  <c r="AN38" i="5"/>
  <c r="BA38" i="5" s="1"/>
  <c r="AM38" i="5"/>
  <c r="AZ38" i="5" s="1"/>
  <c r="AL38" i="5"/>
  <c r="AY38" i="5" s="1"/>
  <c r="AK38" i="5"/>
  <c r="AX38" i="5" s="1"/>
  <c r="AJ38" i="5"/>
  <c r="AW38" i="5" s="1"/>
  <c r="AI38" i="5"/>
  <c r="AV38" i="5" s="1"/>
  <c r="AH38" i="5"/>
  <c r="AU38" i="5" s="1"/>
  <c r="AG38" i="5"/>
  <c r="AT38" i="5" s="1"/>
  <c r="AF38" i="5"/>
  <c r="AS38" i="5" s="1"/>
  <c r="AE38" i="5"/>
  <c r="AR38" i="5" s="1"/>
  <c r="AP37" i="5"/>
  <c r="BC37" i="5" s="1"/>
  <c r="AO37" i="5"/>
  <c r="BB37" i="5" s="1"/>
  <c r="AN37" i="5"/>
  <c r="BA37" i="5" s="1"/>
  <c r="AM37" i="5"/>
  <c r="AZ37" i="5" s="1"/>
  <c r="AL37" i="5"/>
  <c r="AY37" i="5" s="1"/>
  <c r="AK37" i="5"/>
  <c r="AX37" i="5" s="1"/>
  <c r="AJ37" i="5"/>
  <c r="AW37" i="5" s="1"/>
  <c r="AI37" i="5"/>
  <c r="AV37" i="5" s="1"/>
  <c r="AH37" i="5"/>
  <c r="AU37" i="5" s="1"/>
  <c r="AG37" i="5"/>
  <c r="AT37" i="5" s="1"/>
  <c r="AF37" i="5"/>
  <c r="AS37" i="5" s="1"/>
  <c r="AE37" i="5"/>
  <c r="AR37" i="5" s="1"/>
  <c r="AP36" i="5"/>
  <c r="BC36" i="5" s="1"/>
  <c r="AO36" i="5"/>
  <c r="BB36" i="5" s="1"/>
  <c r="AN36" i="5"/>
  <c r="BA36" i="5" s="1"/>
  <c r="AM36" i="5"/>
  <c r="AZ36" i="5" s="1"/>
  <c r="AL36" i="5"/>
  <c r="AY36" i="5" s="1"/>
  <c r="AK36" i="5"/>
  <c r="AX36" i="5" s="1"/>
  <c r="AJ36" i="5"/>
  <c r="AW36" i="5" s="1"/>
  <c r="AI36" i="5"/>
  <c r="AV36" i="5" s="1"/>
  <c r="AH36" i="5"/>
  <c r="AU36" i="5" s="1"/>
  <c r="AG36" i="5"/>
  <c r="AT36" i="5" s="1"/>
  <c r="AF36" i="5"/>
  <c r="AS36" i="5" s="1"/>
  <c r="AE36" i="5"/>
  <c r="AR36" i="5" s="1"/>
  <c r="AP35" i="5"/>
  <c r="BC35" i="5" s="1"/>
  <c r="AO35" i="5"/>
  <c r="BB35" i="5" s="1"/>
  <c r="AN35" i="5"/>
  <c r="BA35" i="5" s="1"/>
  <c r="AM35" i="5"/>
  <c r="AZ35" i="5" s="1"/>
  <c r="AL35" i="5"/>
  <c r="AY35" i="5" s="1"/>
  <c r="AK35" i="5"/>
  <c r="AX35" i="5" s="1"/>
  <c r="AJ35" i="5"/>
  <c r="AW35" i="5" s="1"/>
  <c r="AI35" i="5"/>
  <c r="AV35" i="5" s="1"/>
  <c r="AH35" i="5"/>
  <c r="AU35" i="5" s="1"/>
  <c r="AG35" i="5"/>
  <c r="AT35" i="5" s="1"/>
  <c r="AF35" i="5"/>
  <c r="AS35" i="5" s="1"/>
  <c r="AE35" i="5"/>
  <c r="AR35" i="5" s="1"/>
  <c r="AP34" i="5"/>
  <c r="BC34" i="5" s="1"/>
  <c r="AO34" i="5"/>
  <c r="BB34" i="5" s="1"/>
  <c r="AN34" i="5"/>
  <c r="BA34" i="5" s="1"/>
  <c r="AM34" i="5"/>
  <c r="AZ34" i="5" s="1"/>
  <c r="AL34" i="5"/>
  <c r="AY34" i="5" s="1"/>
  <c r="AK34" i="5"/>
  <c r="AX34" i="5" s="1"/>
  <c r="AJ34" i="5"/>
  <c r="AW34" i="5" s="1"/>
  <c r="AI34" i="5"/>
  <c r="AV34" i="5" s="1"/>
  <c r="AH34" i="5"/>
  <c r="AU34" i="5" s="1"/>
  <c r="AG34" i="5"/>
  <c r="AT34" i="5" s="1"/>
  <c r="AF34" i="5"/>
  <c r="AS34" i="5" s="1"/>
  <c r="AE34" i="5"/>
  <c r="AR34" i="5" s="1"/>
  <c r="AP33" i="5"/>
  <c r="BC33" i="5" s="1"/>
  <c r="AO33" i="5"/>
  <c r="BB33" i="5" s="1"/>
  <c r="AN33" i="5"/>
  <c r="BA33" i="5" s="1"/>
  <c r="AM33" i="5"/>
  <c r="AZ33" i="5" s="1"/>
  <c r="AL33" i="5"/>
  <c r="AY33" i="5" s="1"/>
  <c r="AK33" i="5"/>
  <c r="AX33" i="5" s="1"/>
  <c r="AJ33" i="5"/>
  <c r="AW33" i="5" s="1"/>
  <c r="AI33" i="5"/>
  <c r="AV33" i="5" s="1"/>
  <c r="AH33" i="5"/>
  <c r="AU33" i="5" s="1"/>
  <c r="AG33" i="5"/>
  <c r="AT33" i="5" s="1"/>
  <c r="AF33" i="5"/>
  <c r="AS33" i="5" s="1"/>
  <c r="AE33" i="5"/>
  <c r="AR33" i="5" s="1"/>
  <c r="AP32" i="5"/>
  <c r="BC32" i="5" s="1"/>
  <c r="AO32" i="5"/>
  <c r="BB32" i="5" s="1"/>
  <c r="AN32" i="5"/>
  <c r="BA32" i="5" s="1"/>
  <c r="AM32" i="5"/>
  <c r="AZ32" i="5" s="1"/>
  <c r="AL32" i="5"/>
  <c r="AY32" i="5" s="1"/>
  <c r="AK32" i="5"/>
  <c r="AX32" i="5" s="1"/>
  <c r="AJ32" i="5"/>
  <c r="AW32" i="5" s="1"/>
  <c r="AI32" i="5"/>
  <c r="AV32" i="5" s="1"/>
  <c r="AH32" i="5"/>
  <c r="AU32" i="5" s="1"/>
  <c r="AG32" i="5"/>
  <c r="AT32" i="5" s="1"/>
  <c r="AF32" i="5"/>
  <c r="AS32" i="5" s="1"/>
  <c r="AE32" i="5"/>
  <c r="AR32" i="5" s="1"/>
  <c r="AP31" i="5"/>
  <c r="BC31" i="5" s="1"/>
  <c r="AO31" i="5"/>
  <c r="BB31" i="5" s="1"/>
  <c r="AN31" i="5"/>
  <c r="BA31" i="5" s="1"/>
  <c r="AM31" i="5"/>
  <c r="AZ31" i="5" s="1"/>
  <c r="AL31" i="5"/>
  <c r="AY31" i="5" s="1"/>
  <c r="AK31" i="5"/>
  <c r="AX31" i="5" s="1"/>
  <c r="AJ31" i="5"/>
  <c r="AW31" i="5" s="1"/>
  <c r="AI31" i="5"/>
  <c r="AV31" i="5" s="1"/>
  <c r="AH31" i="5"/>
  <c r="AU31" i="5" s="1"/>
  <c r="AG31" i="5"/>
  <c r="AT31" i="5" s="1"/>
  <c r="AF31" i="5"/>
  <c r="AS31" i="5" s="1"/>
  <c r="AE31" i="5"/>
  <c r="AR31" i="5" s="1"/>
  <c r="AP30" i="5"/>
  <c r="BC30" i="5" s="1"/>
  <c r="AO30" i="5"/>
  <c r="BB30" i="5" s="1"/>
  <c r="AN30" i="5"/>
  <c r="BA30" i="5" s="1"/>
  <c r="AM30" i="5"/>
  <c r="AZ30" i="5" s="1"/>
  <c r="AL30" i="5"/>
  <c r="AY30" i="5" s="1"/>
  <c r="AK30" i="5"/>
  <c r="AX30" i="5" s="1"/>
  <c r="AJ30" i="5"/>
  <c r="AW30" i="5" s="1"/>
  <c r="AI30" i="5"/>
  <c r="AV30" i="5" s="1"/>
  <c r="AH30" i="5"/>
  <c r="AU30" i="5" s="1"/>
  <c r="AG30" i="5"/>
  <c r="AT30" i="5" s="1"/>
  <c r="AF30" i="5"/>
  <c r="AS30" i="5" s="1"/>
  <c r="AE30" i="5"/>
  <c r="AR30" i="5" s="1"/>
  <c r="AP29" i="5"/>
  <c r="BC29" i="5" s="1"/>
  <c r="AO29" i="5"/>
  <c r="BB29" i="5" s="1"/>
  <c r="AN29" i="5"/>
  <c r="BA29" i="5" s="1"/>
  <c r="AM29" i="5"/>
  <c r="AZ29" i="5" s="1"/>
  <c r="AL29" i="5"/>
  <c r="AY29" i="5" s="1"/>
  <c r="AK29" i="5"/>
  <c r="AX29" i="5" s="1"/>
  <c r="AJ29" i="5"/>
  <c r="AW29" i="5" s="1"/>
  <c r="AI29" i="5"/>
  <c r="AV29" i="5" s="1"/>
  <c r="AH29" i="5"/>
  <c r="AU29" i="5" s="1"/>
  <c r="AG29" i="5"/>
  <c r="AT29" i="5" s="1"/>
  <c r="AF29" i="5"/>
  <c r="AS29" i="5" s="1"/>
  <c r="AE29" i="5"/>
  <c r="AR29" i="5" s="1"/>
  <c r="AP28" i="5"/>
  <c r="BC28" i="5" s="1"/>
  <c r="AO28" i="5"/>
  <c r="BB28" i="5" s="1"/>
  <c r="AN28" i="5"/>
  <c r="BA28" i="5" s="1"/>
  <c r="AM28" i="5"/>
  <c r="AZ28" i="5" s="1"/>
  <c r="AL28" i="5"/>
  <c r="AY28" i="5" s="1"/>
  <c r="AK28" i="5"/>
  <c r="AX28" i="5" s="1"/>
  <c r="AJ28" i="5"/>
  <c r="AW28" i="5" s="1"/>
  <c r="AI28" i="5"/>
  <c r="AV28" i="5" s="1"/>
  <c r="AH28" i="5"/>
  <c r="AU28" i="5" s="1"/>
  <c r="AG28" i="5"/>
  <c r="AT28" i="5" s="1"/>
  <c r="AF28" i="5"/>
  <c r="AS28" i="5" s="1"/>
  <c r="AE28" i="5"/>
  <c r="AR28" i="5" s="1"/>
  <c r="AP27" i="5"/>
  <c r="BC27" i="5" s="1"/>
  <c r="AO27" i="5"/>
  <c r="BB27" i="5" s="1"/>
  <c r="AN27" i="5"/>
  <c r="BA27" i="5" s="1"/>
  <c r="AM27" i="5"/>
  <c r="AZ27" i="5" s="1"/>
  <c r="AL27" i="5"/>
  <c r="AY27" i="5" s="1"/>
  <c r="AK27" i="5"/>
  <c r="AX27" i="5" s="1"/>
  <c r="AJ27" i="5"/>
  <c r="AW27" i="5" s="1"/>
  <c r="AI27" i="5"/>
  <c r="AV27" i="5" s="1"/>
  <c r="AH27" i="5"/>
  <c r="AU27" i="5" s="1"/>
  <c r="AG27" i="5"/>
  <c r="AT27" i="5" s="1"/>
  <c r="AF27" i="5"/>
  <c r="AS27" i="5" s="1"/>
  <c r="AE27" i="5"/>
  <c r="AR27" i="5" s="1"/>
  <c r="AP26" i="5"/>
  <c r="BC26" i="5" s="1"/>
  <c r="AO26" i="5"/>
  <c r="BB26" i="5" s="1"/>
  <c r="AN26" i="5"/>
  <c r="BA26" i="5" s="1"/>
  <c r="AM26" i="5"/>
  <c r="AZ26" i="5" s="1"/>
  <c r="AL26" i="5"/>
  <c r="AY26" i="5" s="1"/>
  <c r="AK26" i="5"/>
  <c r="AX26" i="5" s="1"/>
  <c r="AJ26" i="5"/>
  <c r="AW26" i="5" s="1"/>
  <c r="AI26" i="5"/>
  <c r="AV26" i="5" s="1"/>
  <c r="AH26" i="5"/>
  <c r="AU26" i="5" s="1"/>
  <c r="AG26" i="5"/>
  <c r="AT26" i="5" s="1"/>
  <c r="AF26" i="5"/>
  <c r="AS26" i="5" s="1"/>
  <c r="AE26" i="5"/>
  <c r="AR26" i="5" s="1"/>
  <c r="AP25" i="5"/>
  <c r="BC25" i="5" s="1"/>
  <c r="AO25" i="5"/>
  <c r="BB25" i="5" s="1"/>
  <c r="AN25" i="5"/>
  <c r="BA25" i="5" s="1"/>
  <c r="AM25" i="5"/>
  <c r="AZ25" i="5" s="1"/>
  <c r="AL25" i="5"/>
  <c r="AY25" i="5" s="1"/>
  <c r="AK25" i="5"/>
  <c r="AX25" i="5" s="1"/>
  <c r="AJ25" i="5"/>
  <c r="AW25" i="5" s="1"/>
  <c r="AI25" i="5"/>
  <c r="AV25" i="5" s="1"/>
  <c r="AH25" i="5"/>
  <c r="AU25" i="5" s="1"/>
  <c r="AG25" i="5"/>
  <c r="AT25" i="5" s="1"/>
  <c r="AF25" i="5"/>
  <c r="AS25" i="5" s="1"/>
  <c r="AE25" i="5"/>
  <c r="AR25" i="5" s="1"/>
  <c r="AP24" i="5"/>
  <c r="BC24" i="5" s="1"/>
  <c r="AO24" i="5"/>
  <c r="BB24" i="5" s="1"/>
  <c r="AN24" i="5"/>
  <c r="BA24" i="5" s="1"/>
  <c r="AM24" i="5"/>
  <c r="AZ24" i="5" s="1"/>
  <c r="AL24" i="5"/>
  <c r="AY24" i="5" s="1"/>
  <c r="AK24" i="5"/>
  <c r="AX24" i="5" s="1"/>
  <c r="AJ24" i="5"/>
  <c r="AW24" i="5" s="1"/>
  <c r="AI24" i="5"/>
  <c r="AV24" i="5" s="1"/>
  <c r="AH24" i="5"/>
  <c r="AU24" i="5" s="1"/>
  <c r="AG24" i="5"/>
  <c r="AT24" i="5" s="1"/>
  <c r="AF24" i="5"/>
  <c r="AS24" i="5" s="1"/>
  <c r="AE24" i="5"/>
  <c r="AR24" i="5" s="1"/>
  <c r="AP23" i="5"/>
  <c r="BC23" i="5" s="1"/>
  <c r="AO23" i="5"/>
  <c r="BB23" i="5" s="1"/>
  <c r="AN23" i="5"/>
  <c r="BA23" i="5" s="1"/>
  <c r="AM23" i="5"/>
  <c r="AZ23" i="5" s="1"/>
  <c r="AL23" i="5"/>
  <c r="AY23" i="5" s="1"/>
  <c r="AK23" i="5"/>
  <c r="AX23" i="5" s="1"/>
  <c r="AJ23" i="5"/>
  <c r="AW23" i="5" s="1"/>
  <c r="AI23" i="5"/>
  <c r="AV23" i="5" s="1"/>
  <c r="AH23" i="5"/>
  <c r="AU23" i="5" s="1"/>
  <c r="AG23" i="5"/>
  <c r="AT23" i="5" s="1"/>
  <c r="AF23" i="5"/>
  <c r="AS23" i="5" s="1"/>
  <c r="AE23" i="5"/>
  <c r="AR23" i="5" s="1"/>
  <c r="AP22" i="5"/>
  <c r="BC22" i="5" s="1"/>
  <c r="AO22" i="5"/>
  <c r="BB22" i="5" s="1"/>
  <c r="AN22" i="5"/>
  <c r="BA22" i="5" s="1"/>
  <c r="AM22" i="5"/>
  <c r="AZ22" i="5" s="1"/>
  <c r="AL22" i="5"/>
  <c r="AY22" i="5" s="1"/>
  <c r="AK22" i="5"/>
  <c r="AX22" i="5" s="1"/>
  <c r="AJ22" i="5"/>
  <c r="AW22" i="5" s="1"/>
  <c r="AI22" i="5"/>
  <c r="AV22" i="5" s="1"/>
  <c r="AH22" i="5"/>
  <c r="AU22" i="5" s="1"/>
  <c r="AG22" i="5"/>
  <c r="AT22" i="5" s="1"/>
  <c r="AF22" i="5"/>
  <c r="AS22" i="5" s="1"/>
  <c r="AE22" i="5"/>
  <c r="AR22" i="5" s="1"/>
  <c r="AP21" i="5"/>
  <c r="BC21" i="5" s="1"/>
  <c r="AO21" i="5"/>
  <c r="BB21" i="5" s="1"/>
  <c r="AN21" i="5"/>
  <c r="BA21" i="5" s="1"/>
  <c r="AM21" i="5"/>
  <c r="AZ21" i="5" s="1"/>
  <c r="AL21" i="5"/>
  <c r="AY21" i="5" s="1"/>
  <c r="AK21" i="5"/>
  <c r="AX21" i="5" s="1"/>
  <c r="AJ21" i="5"/>
  <c r="AW21" i="5" s="1"/>
  <c r="AI21" i="5"/>
  <c r="AV21" i="5" s="1"/>
  <c r="AH21" i="5"/>
  <c r="AU21" i="5" s="1"/>
  <c r="AG21" i="5"/>
  <c r="AT21" i="5" s="1"/>
  <c r="AF21" i="5"/>
  <c r="AS21" i="5" s="1"/>
  <c r="AE21" i="5"/>
  <c r="AR21" i="5" s="1"/>
  <c r="AP20" i="5"/>
  <c r="BC20" i="5" s="1"/>
  <c r="AO20" i="5"/>
  <c r="BB20" i="5" s="1"/>
  <c r="AN20" i="5"/>
  <c r="BA20" i="5" s="1"/>
  <c r="AM20" i="5"/>
  <c r="AZ20" i="5" s="1"/>
  <c r="AL20" i="5"/>
  <c r="AY20" i="5" s="1"/>
  <c r="AK20" i="5"/>
  <c r="AX20" i="5" s="1"/>
  <c r="AJ20" i="5"/>
  <c r="AW20" i="5" s="1"/>
  <c r="AI20" i="5"/>
  <c r="AV20" i="5" s="1"/>
  <c r="AH20" i="5"/>
  <c r="AU20" i="5" s="1"/>
  <c r="AG20" i="5"/>
  <c r="AT20" i="5" s="1"/>
  <c r="AF20" i="5"/>
  <c r="AS20" i="5" s="1"/>
  <c r="AE20" i="5"/>
  <c r="AR20" i="5" s="1"/>
  <c r="AP19" i="5"/>
  <c r="BC19" i="5" s="1"/>
  <c r="AO19" i="5"/>
  <c r="BB19" i="5" s="1"/>
  <c r="AN19" i="5"/>
  <c r="BA19" i="5" s="1"/>
  <c r="AM19" i="5"/>
  <c r="AZ19" i="5" s="1"/>
  <c r="AL19" i="5"/>
  <c r="AY19" i="5" s="1"/>
  <c r="AK19" i="5"/>
  <c r="AX19" i="5" s="1"/>
  <c r="AJ19" i="5"/>
  <c r="AW19" i="5" s="1"/>
  <c r="AI19" i="5"/>
  <c r="AV19" i="5" s="1"/>
  <c r="AH19" i="5"/>
  <c r="AU19" i="5" s="1"/>
  <c r="AG19" i="5"/>
  <c r="AT19" i="5" s="1"/>
  <c r="AF19" i="5"/>
  <c r="AS19" i="5" s="1"/>
  <c r="AE19" i="5"/>
  <c r="AR19" i="5" s="1"/>
  <c r="AP18" i="5"/>
  <c r="BC18" i="5" s="1"/>
  <c r="AO18" i="5"/>
  <c r="BB18" i="5" s="1"/>
  <c r="AN18" i="5"/>
  <c r="BA18" i="5" s="1"/>
  <c r="AM18" i="5"/>
  <c r="AZ18" i="5" s="1"/>
  <c r="AL18" i="5"/>
  <c r="AY18" i="5" s="1"/>
  <c r="AK18" i="5"/>
  <c r="AX18" i="5" s="1"/>
  <c r="AJ18" i="5"/>
  <c r="AW18" i="5" s="1"/>
  <c r="AI18" i="5"/>
  <c r="AV18" i="5" s="1"/>
  <c r="AH18" i="5"/>
  <c r="AU18" i="5" s="1"/>
  <c r="AG18" i="5"/>
  <c r="AT18" i="5" s="1"/>
  <c r="AF18" i="5"/>
  <c r="AS18" i="5" s="1"/>
  <c r="AE18" i="5"/>
  <c r="AR18" i="5" s="1"/>
  <c r="AP17" i="5"/>
  <c r="BC17" i="5" s="1"/>
  <c r="AO17" i="5"/>
  <c r="BB17" i="5" s="1"/>
  <c r="AN17" i="5"/>
  <c r="BA17" i="5" s="1"/>
  <c r="AM17" i="5"/>
  <c r="AZ17" i="5" s="1"/>
  <c r="AL17" i="5"/>
  <c r="AY17" i="5" s="1"/>
  <c r="AK17" i="5"/>
  <c r="AX17" i="5" s="1"/>
  <c r="AJ17" i="5"/>
  <c r="AW17" i="5" s="1"/>
  <c r="AI17" i="5"/>
  <c r="AV17" i="5" s="1"/>
  <c r="AH17" i="5"/>
  <c r="AU17" i="5" s="1"/>
  <c r="AG17" i="5"/>
  <c r="AT17" i="5" s="1"/>
  <c r="AF17" i="5"/>
  <c r="AS17" i="5" s="1"/>
  <c r="AE17" i="5"/>
  <c r="AR17" i="5" s="1"/>
  <c r="AP16" i="5"/>
  <c r="BC16" i="5" s="1"/>
  <c r="AO16" i="5"/>
  <c r="BB16" i="5" s="1"/>
  <c r="AN16" i="5"/>
  <c r="BA16" i="5" s="1"/>
  <c r="AM16" i="5"/>
  <c r="AZ16" i="5" s="1"/>
  <c r="AL16" i="5"/>
  <c r="AY16" i="5" s="1"/>
  <c r="AK16" i="5"/>
  <c r="AX16" i="5" s="1"/>
  <c r="AJ16" i="5"/>
  <c r="AW16" i="5" s="1"/>
  <c r="AI16" i="5"/>
  <c r="AV16" i="5" s="1"/>
  <c r="AH16" i="5"/>
  <c r="AU16" i="5" s="1"/>
  <c r="AG16" i="5"/>
  <c r="AT16" i="5" s="1"/>
  <c r="AF16" i="5"/>
  <c r="AS16" i="5" s="1"/>
  <c r="AE16" i="5"/>
  <c r="AR16" i="5" s="1"/>
  <c r="AP15" i="5"/>
  <c r="BC15" i="5" s="1"/>
  <c r="AO15" i="5"/>
  <c r="BB15" i="5" s="1"/>
  <c r="AN15" i="5"/>
  <c r="BA15" i="5" s="1"/>
  <c r="AM15" i="5"/>
  <c r="AZ15" i="5" s="1"/>
  <c r="AL15" i="5"/>
  <c r="AY15" i="5" s="1"/>
  <c r="AK15" i="5"/>
  <c r="AX15" i="5" s="1"/>
  <c r="AJ15" i="5"/>
  <c r="AW15" i="5" s="1"/>
  <c r="AI15" i="5"/>
  <c r="AV15" i="5" s="1"/>
  <c r="AH15" i="5"/>
  <c r="AU15" i="5" s="1"/>
  <c r="AG15" i="5"/>
  <c r="AT15" i="5" s="1"/>
  <c r="AF15" i="5"/>
  <c r="AS15" i="5" s="1"/>
  <c r="AE15" i="5"/>
  <c r="AR15" i="5" s="1"/>
  <c r="AU14" i="5"/>
  <c r="AP14" i="5"/>
  <c r="BC14" i="5" s="1"/>
  <c r="AO14" i="5"/>
  <c r="BB14" i="5" s="1"/>
  <c r="AN14" i="5"/>
  <c r="BA14" i="5" s="1"/>
  <c r="AM14" i="5"/>
  <c r="AZ14" i="5" s="1"/>
  <c r="AL14" i="5"/>
  <c r="AY14" i="5" s="1"/>
  <c r="AK14" i="5"/>
  <c r="AX14" i="5" s="1"/>
  <c r="AJ14" i="5"/>
  <c r="AW14" i="5" s="1"/>
  <c r="AI14" i="5"/>
  <c r="AV14" i="5" s="1"/>
  <c r="AH14" i="5"/>
  <c r="AG14" i="5"/>
  <c r="AT14" i="5" s="1"/>
  <c r="AF14" i="5"/>
  <c r="AS14" i="5" s="1"/>
  <c r="AE14" i="5"/>
  <c r="AR14" i="5" s="1"/>
  <c r="AP13" i="5"/>
  <c r="BC13" i="5" s="1"/>
  <c r="AO13" i="5"/>
  <c r="BB13" i="5" s="1"/>
  <c r="AN13" i="5"/>
  <c r="BA13" i="5" s="1"/>
  <c r="AM13" i="5"/>
  <c r="AZ13" i="5" s="1"/>
  <c r="AL13" i="5"/>
  <c r="AY13" i="5" s="1"/>
  <c r="AK13" i="5"/>
  <c r="AX13" i="5" s="1"/>
  <c r="AJ13" i="5"/>
  <c r="AW13" i="5" s="1"/>
  <c r="AI13" i="5"/>
  <c r="AV13" i="5" s="1"/>
  <c r="AH13" i="5"/>
  <c r="AU13" i="5" s="1"/>
  <c r="AG13" i="5"/>
  <c r="AT13" i="5" s="1"/>
  <c r="AF13" i="5"/>
  <c r="AS13" i="5" s="1"/>
  <c r="AE13" i="5"/>
  <c r="AR13" i="5" s="1"/>
  <c r="AP12" i="5"/>
  <c r="BC12" i="5" s="1"/>
  <c r="AO12" i="5"/>
  <c r="BB12" i="5" s="1"/>
  <c r="AN12" i="5"/>
  <c r="BA12" i="5" s="1"/>
  <c r="AM12" i="5"/>
  <c r="AZ12" i="5" s="1"/>
  <c r="AL12" i="5"/>
  <c r="AY12" i="5" s="1"/>
  <c r="AK12" i="5"/>
  <c r="AX12" i="5" s="1"/>
  <c r="AJ12" i="5"/>
  <c r="AW12" i="5" s="1"/>
  <c r="AI12" i="5"/>
  <c r="AV12" i="5" s="1"/>
  <c r="AH12" i="5"/>
  <c r="AU12" i="5" s="1"/>
  <c r="AG12" i="5"/>
  <c r="AT12" i="5" s="1"/>
  <c r="AF12" i="5"/>
  <c r="AS12" i="5" s="1"/>
  <c r="AE12" i="5"/>
  <c r="AR12" i="5" s="1"/>
  <c r="AP11" i="5"/>
  <c r="BC11" i="5" s="1"/>
  <c r="AO11" i="5"/>
  <c r="BB11" i="5" s="1"/>
  <c r="AN11" i="5"/>
  <c r="BA11" i="5" s="1"/>
  <c r="AM11" i="5"/>
  <c r="AZ11" i="5" s="1"/>
  <c r="AL11" i="5"/>
  <c r="AY11" i="5" s="1"/>
  <c r="AK11" i="5"/>
  <c r="AX11" i="5" s="1"/>
  <c r="AJ11" i="5"/>
  <c r="AW11" i="5" s="1"/>
  <c r="AI11" i="5"/>
  <c r="AV11" i="5" s="1"/>
  <c r="AH11" i="5"/>
  <c r="AU11" i="5" s="1"/>
  <c r="AG11" i="5"/>
  <c r="AT11" i="5" s="1"/>
  <c r="AF11" i="5"/>
  <c r="AS11" i="5" s="1"/>
  <c r="AE11" i="5"/>
  <c r="AR11" i="5" s="1"/>
  <c r="AP10" i="5"/>
  <c r="BC10" i="5" s="1"/>
  <c r="AO10" i="5"/>
  <c r="BB10" i="5" s="1"/>
  <c r="AN10" i="5"/>
  <c r="BA10" i="5" s="1"/>
  <c r="AM10" i="5"/>
  <c r="AZ10" i="5" s="1"/>
  <c r="AL10" i="5"/>
  <c r="AY10" i="5" s="1"/>
  <c r="AK10" i="5"/>
  <c r="AX10" i="5" s="1"/>
  <c r="AJ10" i="5"/>
  <c r="AW10" i="5" s="1"/>
  <c r="AI10" i="5"/>
  <c r="AV10" i="5" s="1"/>
  <c r="AH10" i="5"/>
  <c r="AU10" i="5" s="1"/>
  <c r="AG10" i="5"/>
  <c r="AT10" i="5" s="1"/>
  <c r="AF10" i="5"/>
  <c r="AS10" i="5" s="1"/>
  <c r="AE10" i="5"/>
  <c r="AR10" i="5" s="1"/>
  <c r="AP9" i="5"/>
  <c r="BC9" i="5" s="1"/>
  <c r="AO9" i="5"/>
  <c r="BB9" i="5" s="1"/>
  <c r="AN9" i="5"/>
  <c r="BA9" i="5" s="1"/>
  <c r="AM9" i="5"/>
  <c r="AZ9" i="5" s="1"/>
  <c r="AL9" i="5"/>
  <c r="AY9" i="5" s="1"/>
  <c r="AK9" i="5"/>
  <c r="AX9" i="5" s="1"/>
  <c r="AJ9" i="5"/>
  <c r="AW9" i="5" s="1"/>
  <c r="AI9" i="5"/>
  <c r="AV9" i="5" s="1"/>
  <c r="AH9" i="5"/>
  <c r="AU9" i="5" s="1"/>
  <c r="AG9" i="5"/>
  <c r="AT9" i="5" s="1"/>
  <c r="AF9" i="5"/>
  <c r="AS9" i="5" s="1"/>
  <c r="AE9" i="5"/>
  <c r="AR9" i="5" s="1"/>
  <c r="AP8" i="5"/>
  <c r="BC8" i="5" s="1"/>
  <c r="AO8" i="5"/>
  <c r="BB8" i="5" s="1"/>
  <c r="AN8" i="5"/>
  <c r="BA8" i="5" s="1"/>
  <c r="AM8" i="5"/>
  <c r="AZ8" i="5" s="1"/>
  <c r="AL8" i="5"/>
  <c r="AY8" i="5" s="1"/>
  <c r="AK8" i="5"/>
  <c r="AX8" i="5" s="1"/>
  <c r="AJ8" i="5"/>
  <c r="AW8" i="5" s="1"/>
  <c r="AV8" i="5"/>
  <c r="AH8" i="5"/>
  <c r="AU8" i="5" s="1"/>
  <c r="AG8" i="5"/>
  <c r="AT8" i="5" s="1"/>
  <c r="AF8" i="5"/>
  <c r="AS8" i="5" s="1"/>
  <c r="AE8" i="5"/>
  <c r="AR8" i="5" s="1"/>
  <c r="AP7" i="5"/>
  <c r="BC7" i="5" s="1"/>
  <c r="AO7" i="5"/>
  <c r="BB7" i="5" s="1"/>
  <c r="AN7" i="5"/>
  <c r="BA7" i="5" s="1"/>
  <c r="AM7" i="5"/>
  <c r="AZ7" i="5" s="1"/>
  <c r="AL7" i="5"/>
  <c r="AY7" i="5" s="1"/>
  <c r="AK7" i="5"/>
  <c r="AX7" i="5" s="1"/>
  <c r="AJ7" i="5"/>
  <c r="AW7" i="5" s="1"/>
  <c r="AI7" i="5"/>
  <c r="AV7" i="5" s="1"/>
  <c r="AH7" i="5"/>
  <c r="AU7" i="5" s="1"/>
  <c r="AG7" i="5"/>
  <c r="AT7" i="5" s="1"/>
  <c r="AF7" i="5"/>
  <c r="AS7" i="5" s="1"/>
  <c r="AE7" i="5"/>
  <c r="AR7" i="5" s="1"/>
  <c r="AP6" i="5"/>
  <c r="BC6" i="5" s="1"/>
  <c r="AO6" i="5"/>
  <c r="BB6" i="5" s="1"/>
  <c r="AN6" i="5"/>
  <c r="BA6" i="5" s="1"/>
  <c r="AM6" i="5"/>
  <c r="AZ6" i="5" s="1"/>
  <c r="AL6" i="5"/>
  <c r="AY6" i="5" s="1"/>
  <c r="AK6" i="5"/>
  <c r="AX6" i="5" s="1"/>
  <c r="AJ6" i="5"/>
  <c r="AW6" i="5" s="1"/>
  <c r="AI6" i="5"/>
  <c r="AV6" i="5" s="1"/>
  <c r="AH6" i="5"/>
  <c r="AU6" i="5" s="1"/>
  <c r="AG6" i="5"/>
  <c r="AT6" i="5" s="1"/>
  <c r="AF6" i="5"/>
  <c r="AS6" i="5" s="1"/>
  <c r="AE6" i="5"/>
  <c r="AR6" i="5" s="1"/>
  <c r="AP5" i="5"/>
  <c r="BC5" i="5" s="1"/>
  <c r="AO5" i="5"/>
  <c r="BB5" i="5" s="1"/>
  <c r="AN5" i="5"/>
  <c r="BA5" i="5" s="1"/>
  <c r="AM5" i="5"/>
  <c r="AZ5" i="5" s="1"/>
  <c r="AL5" i="5"/>
  <c r="AY5" i="5" s="1"/>
  <c r="AK5" i="5"/>
  <c r="AX5" i="5" s="1"/>
  <c r="AJ5" i="5"/>
  <c r="AW5" i="5" s="1"/>
  <c r="AI5" i="5"/>
  <c r="AV5" i="5" s="1"/>
  <c r="AH5" i="5"/>
  <c r="AU5" i="5" s="1"/>
  <c r="AG5" i="5"/>
  <c r="AT5" i="5" s="1"/>
  <c r="AF5" i="5"/>
  <c r="AS5" i="5" s="1"/>
  <c r="AE5" i="5"/>
  <c r="AR5" i="5" s="1"/>
  <c r="AP4" i="5"/>
  <c r="BC4" i="5" s="1"/>
  <c r="AO4" i="5"/>
  <c r="BB4" i="5" s="1"/>
  <c r="AN4" i="5"/>
  <c r="BA4" i="5" s="1"/>
  <c r="AM4" i="5"/>
  <c r="AZ4" i="5" s="1"/>
  <c r="AL4" i="5"/>
  <c r="AY4" i="5" s="1"/>
  <c r="AK4" i="5"/>
  <c r="AX4" i="5" s="1"/>
  <c r="AJ4" i="5"/>
  <c r="AW4" i="5" s="1"/>
  <c r="AI4" i="5"/>
  <c r="AV4" i="5" s="1"/>
  <c r="AH4" i="5"/>
  <c r="AU4" i="5" s="1"/>
  <c r="AG4" i="5"/>
  <c r="AT4" i="5" s="1"/>
  <c r="AF4" i="5"/>
  <c r="AS4" i="5" s="1"/>
  <c r="AE4" i="5"/>
  <c r="AR4" i="5" s="1"/>
  <c r="AP3" i="5"/>
  <c r="BC3" i="5" s="1"/>
  <c r="AO3" i="5"/>
  <c r="BB3" i="5" s="1"/>
  <c r="AN3" i="5"/>
  <c r="BA3" i="5" s="1"/>
  <c r="AM3" i="5"/>
  <c r="AZ3" i="5" s="1"/>
  <c r="AL3" i="5"/>
  <c r="AY3" i="5" s="1"/>
  <c r="AK3" i="5"/>
  <c r="AX3" i="5" s="1"/>
  <c r="AJ3" i="5"/>
  <c r="AW3" i="5" s="1"/>
  <c r="AI3" i="5"/>
  <c r="AV3" i="5" s="1"/>
  <c r="AH3" i="5"/>
  <c r="AU3" i="5" s="1"/>
  <c r="AG3" i="5"/>
  <c r="AT3" i="5" s="1"/>
  <c r="AF3" i="5"/>
  <c r="AS3" i="5" s="1"/>
  <c r="AE3" i="5"/>
  <c r="AR3" i="5" s="1"/>
  <c r="AP2" i="5"/>
  <c r="BC2" i="5" s="1"/>
  <c r="AO2" i="5"/>
  <c r="BB2" i="5" s="1"/>
  <c r="AN2" i="5"/>
  <c r="BA2" i="5" s="1"/>
  <c r="AM2" i="5"/>
  <c r="AZ2" i="5" s="1"/>
  <c r="AL2" i="5"/>
  <c r="AY2" i="5" s="1"/>
  <c r="AK2" i="5"/>
  <c r="AX2" i="5" s="1"/>
  <c r="AJ2" i="5"/>
  <c r="AW2" i="5" s="1"/>
  <c r="AI2" i="5"/>
  <c r="AV2" i="5" s="1"/>
  <c r="AH2" i="5"/>
  <c r="AU2" i="5" s="1"/>
  <c r="AG2" i="5"/>
  <c r="AT2" i="5" s="1"/>
  <c r="AF2" i="5"/>
  <c r="AS2" i="5" s="1"/>
  <c r="AE2" i="5"/>
  <c r="AR2" i="5" s="1"/>
  <c r="T3" i="17" l="1"/>
  <c r="U3" i="17"/>
  <c r="AL2" i="1"/>
  <c r="AY2" i="1" s="1"/>
  <c r="AP2" i="1"/>
  <c r="BC2" i="1" s="1"/>
  <c r="L42" i="10"/>
  <c r="H30" i="10"/>
  <c r="A28" i="10"/>
  <c r="A27" i="10"/>
  <c r="A26" i="10"/>
  <c r="A25" i="10"/>
  <c r="R19" i="10"/>
  <c r="R48" i="10" s="1"/>
  <c r="Q19" i="10"/>
  <c r="Q48" i="10" s="1"/>
  <c r="J19" i="10"/>
  <c r="R14" i="10"/>
  <c r="Q14" i="10"/>
  <c r="L12" i="10"/>
  <c r="D22" i="10" s="1"/>
  <c r="K12" i="10"/>
  <c r="Z10" i="10"/>
  <c r="AA9" i="10"/>
  <c r="Z9" i="10"/>
  <c r="Z7" i="10"/>
  <c r="R6" i="10"/>
  <c r="R45" i="10" s="1"/>
  <c r="Z5" i="10"/>
  <c r="R2" i="10"/>
  <c r="R20" i="10" s="1"/>
  <c r="Q2" i="10"/>
  <c r="Q20" i="10" s="1"/>
  <c r="P2" i="10"/>
  <c r="P19" i="10" s="1"/>
  <c r="P48" i="10" s="1"/>
  <c r="O2" i="10"/>
  <c r="O14" i="10" s="1"/>
  <c r="N2" i="10"/>
  <c r="N14" i="10" s="1"/>
  <c r="M2" i="10"/>
  <c r="M14" i="10" s="1"/>
  <c r="L2" i="10"/>
  <c r="L10" i="10" s="1"/>
  <c r="K17" i="10"/>
  <c r="F45" i="16" s="1"/>
  <c r="J13" i="10"/>
  <c r="L42" i="9"/>
  <c r="H30" i="9"/>
  <c r="A28" i="9"/>
  <c r="A27" i="9"/>
  <c r="A26" i="9"/>
  <c r="A25" i="9"/>
  <c r="L20" i="9"/>
  <c r="L19" i="9"/>
  <c r="L48" i="9" s="1"/>
  <c r="J19" i="9"/>
  <c r="M16" i="9"/>
  <c r="M47" i="9" s="1"/>
  <c r="L16" i="9"/>
  <c r="L47" i="9" s="1"/>
  <c r="M14" i="9"/>
  <c r="K14" i="9"/>
  <c r="F72" i="16" s="1"/>
  <c r="J14" i="9"/>
  <c r="E72" i="16" s="1"/>
  <c r="L13" i="9"/>
  <c r="E22" i="9" s="1"/>
  <c r="M12" i="9"/>
  <c r="D23" i="9" s="1"/>
  <c r="L12" i="9"/>
  <c r="D22" i="9" s="1"/>
  <c r="L11" i="9"/>
  <c r="C22" i="9" s="1"/>
  <c r="J11" i="9"/>
  <c r="Z10" i="9"/>
  <c r="Z9" i="9"/>
  <c r="AA9" i="9" s="1"/>
  <c r="Z7" i="9"/>
  <c r="R7" i="9"/>
  <c r="Q7" i="9"/>
  <c r="M6" i="9"/>
  <c r="L6" i="9"/>
  <c r="L45" i="9" s="1"/>
  <c r="J45" i="9"/>
  <c r="Z5" i="9"/>
  <c r="R2" i="9"/>
  <c r="R10" i="9" s="1"/>
  <c r="Q2" i="9"/>
  <c r="Q17" i="9" s="1"/>
  <c r="P2" i="9"/>
  <c r="P13" i="9" s="1"/>
  <c r="E26" i="9" s="1"/>
  <c r="O2" i="9"/>
  <c r="O10" i="9" s="1"/>
  <c r="B25" i="9" s="1"/>
  <c r="N2" i="9"/>
  <c r="N17" i="9" s="1"/>
  <c r="M2" i="9"/>
  <c r="M13" i="9" s="1"/>
  <c r="E23" i="9" s="1"/>
  <c r="L2" i="9"/>
  <c r="L17" i="9" s="1"/>
  <c r="K13" i="9"/>
  <c r="J20" i="9"/>
  <c r="E78" i="16" s="1"/>
  <c r="A27" i="2"/>
  <c r="A26" i="2"/>
  <c r="A25" i="2"/>
  <c r="D2" i="4"/>
  <c r="B2" i="4"/>
  <c r="A28" i="2"/>
  <c r="W2" i="17" l="1"/>
  <c r="Y2" i="31" s="1"/>
  <c r="X2" i="17"/>
  <c r="E21" i="9"/>
  <c r="F71" i="16"/>
  <c r="K45" i="9"/>
  <c r="F64" i="16"/>
  <c r="D21" i="10"/>
  <c r="F40" i="16"/>
  <c r="BK10" i="12"/>
  <c r="E41" i="16"/>
  <c r="J48" i="10"/>
  <c r="E47" i="16"/>
  <c r="J48" i="9"/>
  <c r="E77" i="16"/>
  <c r="BL11" i="5"/>
  <c r="E69" i="16"/>
  <c r="M8" i="9"/>
  <c r="O20" i="9"/>
  <c r="O12" i="9"/>
  <c r="D25" i="9" s="1"/>
  <c r="O16" i="9"/>
  <c r="O47" i="9" s="1"/>
  <c r="Q16" i="9"/>
  <c r="Q47" i="9" s="1"/>
  <c r="R8" i="9"/>
  <c r="Q13" i="9"/>
  <c r="E27" i="9" s="1"/>
  <c r="R16" i="9"/>
  <c r="R47" i="9" s="1"/>
  <c r="R13" i="9"/>
  <c r="E28" i="9" s="1"/>
  <c r="O6" i="9"/>
  <c r="O45" i="9" s="1"/>
  <c r="K11" i="9"/>
  <c r="L14" i="9"/>
  <c r="K19" i="9"/>
  <c r="BN11" i="5"/>
  <c r="R46" i="9"/>
  <c r="B28" i="9"/>
  <c r="P16" i="9"/>
  <c r="P47" i="9" s="1"/>
  <c r="O13" i="9"/>
  <c r="E25" i="9" s="1"/>
  <c r="R17" i="9"/>
  <c r="K7" i="9"/>
  <c r="O7" i="9"/>
  <c r="J12" i="9"/>
  <c r="J16" i="9"/>
  <c r="E74" i="16" s="1"/>
  <c r="O19" i="9"/>
  <c r="O48" i="9" s="1"/>
  <c r="O8" i="9"/>
  <c r="O17" i="9"/>
  <c r="L7" i="9"/>
  <c r="O11" i="9"/>
  <c r="C25" i="9" s="1"/>
  <c r="O14" i="9"/>
  <c r="M19" i="9"/>
  <c r="M38" i="9" s="1"/>
  <c r="P7" i="9"/>
  <c r="K12" i="9"/>
  <c r="K16" i="9"/>
  <c r="K20" i="9"/>
  <c r="F78" i="16" s="1"/>
  <c r="K13" i="10"/>
  <c r="J7" i="10"/>
  <c r="E35" i="16" s="1"/>
  <c r="J14" i="10"/>
  <c r="E42" i="16" s="1"/>
  <c r="J8" i="10"/>
  <c r="E36" i="16" s="1"/>
  <c r="I48" i="10"/>
  <c r="K7" i="10"/>
  <c r="F35" i="16" s="1"/>
  <c r="L7" i="10"/>
  <c r="J20" i="10"/>
  <c r="E48" i="16" s="1"/>
  <c r="L20" i="10"/>
  <c r="L14" i="10"/>
  <c r="P14" i="10"/>
  <c r="J16" i="10"/>
  <c r="Q11" i="10"/>
  <c r="C27" i="10" s="1"/>
  <c r="L16" i="10"/>
  <c r="L47" i="10" s="1"/>
  <c r="BN10" i="12"/>
  <c r="BO10" i="12"/>
  <c r="BP10" i="12"/>
  <c r="L46" i="10"/>
  <c r="B22" i="10"/>
  <c r="L13" i="10"/>
  <c r="E22" i="10" s="1"/>
  <c r="BE10" i="12" s="1"/>
  <c r="K16" i="10"/>
  <c r="L6" i="10"/>
  <c r="L45" i="10" s="1"/>
  <c r="R11" i="10"/>
  <c r="C28" i="10" s="1"/>
  <c r="J17" i="10"/>
  <c r="E45" i="16" s="1"/>
  <c r="L8" i="10"/>
  <c r="J11" i="10"/>
  <c r="Q6" i="10"/>
  <c r="Q45" i="10" s="1"/>
  <c r="J12" i="10"/>
  <c r="L17" i="10"/>
  <c r="N7" i="9"/>
  <c r="N11" i="9"/>
  <c r="C24" i="9" s="1"/>
  <c r="N14" i="9"/>
  <c r="N12" i="9"/>
  <c r="D24" i="9" s="1"/>
  <c r="N19" i="9"/>
  <c r="N48" i="9" s="1"/>
  <c r="N13" i="9"/>
  <c r="E24" i="9" s="1"/>
  <c r="N16" i="9"/>
  <c r="N47" i="9" s="1"/>
  <c r="N6" i="9"/>
  <c r="N45" i="9" s="1"/>
  <c r="N20" i="9"/>
  <c r="M20" i="9"/>
  <c r="M48" i="9"/>
  <c r="M7" i="9"/>
  <c r="M11" i="9"/>
  <c r="C23" i="9" s="1"/>
  <c r="M17" i="9"/>
  <c r="M45" i="9"/>
  <c r="O10" i="10"/>
  <c r="M7" i="10"/>
  <c r="Q8" i="10"/>
  <c r="R10" i="10"/>
  <c r="P13" i="10"/>
  <c r="E26" i="10" s="1"/>
  <c r="Q17" i="10"/>
  <c r="N7" i="10"/>
  <c r="R8" i="10"/>
  <c r="Q13" i="10"/>
  <c r="E27" i="10" s="1"/>
  <c r="M16" i="10"/>
  <c r="R17" i="10"/>
  <c r="K20" i="10"/>
  <c r="F48" i="16" s="1"/>
  <c r="M10" i="10"/>
  <c r="M8" i="10"/>
  <c r="N10" i="10"/>
  <c r="M17" i="10"/>
  <c r="M13" i="10"/>
  <c r="E23" i="10" s="1"/>
  <c r="N17" i="10"/>
  <c r="O8" i="10"/>
  <c r="P10" i="10"/>
  <c r="N13" i="10"/>
  <c r="E24" i="10" s="1"/>
  <c r="O17" i="10"/>
  <c r="P8" i="10"/>
  <c r="Q10" i="10"/>
  <c r="O13" i="10"/>
  <c r="E25" i="10" s="1"/>
  <c r="P17" i="10"/>
  <c r="O7" i="10"/>
  <c r="M12" i="10"/>
  <c r="D23" i="10" s="1"/>
  <c r="R13" i="10"/>
  <c r="E28" i="10" s="1"/>
  <c r="N16" i="10"/>
  <c r="N47" i="10" s="1"/>
  <c r="K6" i="10"/>
  <c r="F34" i="16" s="1"/>
  <c r="P7" i="10"/>
  <c r="K11" i="10"/>
  <c r="N12" i="10"/>
  <c r="D24" i="10" s="1"/>
  <c r="O16" i="10"/>
  <c r="O47" i="10" s="1"/>
  <c r="K19" i="10"/>
  <c r="M20" i="10"/>
  <c r="Q7" i="10"/>
  <c r="L11" i="10"/>
  <c r="O12" i="10"/>
  <c r="D25" i="10" s="1"/>
  <c r="K14" i="10"/>
  <c r="F42" i="16" s="1"/>
  <c r="P16" i="10"/>
  <c r="P47" i="10" s="1"/>
  <c r="L19" i="10"/>
  <c r="L48" i="10" s="1"/>
  <c r="N20" i="10"/>
  <c r="M6" i="10"/>
  <c r="R7" i="10"/>
  <c r="M11" i="10"/>
  <c r="C23" i="10" s="1"/>
  <c r="P12" i="10"/>
  <c r="D26" i="10" s="1"/>
  <c r="Q16" i="10"/>
  <c r="Q47" i="10" s="1"/>
  <c r="M19" i="10"/>
  <c r="O20" i="10"/>
  <c r="N6" i="10"/>
  <c r="J10" i="10"/>
  <c r="N11" i="10"/>
  <c r="C24" i="10" s="1"/>
  <c r="Q12" i="10"/>
  <c r="D27" i="10" s="1"/>
  <c r="R16" i="10"/>
  <c r="R47" i="10" s="1"/>
  <c r="N19" i="10"/>
  <c r="N48" i="10" s="1"/>
  <c r="P20" i="10"/>
  <c r="O6" i="10"/>
  <c r="N8" i="10"/>
  <c r="K10" i="10"/>
  <c r="F38" i="16" s="1"/>
  <c r="O11" i="10"/>
  <c r="C25" i="10" s="1"/>
  <c r="R12" i="10"/>
  <c r="D28" i="10" s="1"/>
  <c r="O19" i="10"/>
  <c r="O48" i="10" s="1"/>
  <c r="P6" i="10"/>
  <c r="K8" i="10"/>
  <c r="F36" i="16" s="1"/>
  <c r="BJ130" i="14" s="1"/>
  <c r="P11" i="10"/>
  <c r="C26" i="10" s="1"/>
  <c r="O46" i="9"/>
  <c r="P12" i="9"/>
  <c r="D26" i="9" s="1"/>
  <c r="J10" i="9"/>
  <c r="Q12" i="9"/>
  <c r="D27" i="9" s="1"/>
  <c r="P20" i="9"/>
  <c r="J8" i="9"/>
  <c r="E66" i="16" s="1"/>
  <c r="K10" i="9"/>
  <c r="F68" i="16" s="1"/>
  <c r="BI114" i="14" s="1"/>
  <c r="R12" i="9"/>
  <c r="D28" i="9" s="1"/>
  <c r="J17" i="9"/>
  <c r="E75" i="16" s="1"/>
  <c r="Q20" i="9"/>
  <c r="M37" i="9"/>
  <c r="P6" i="9"/>
  <c r="K8" i="9"/>
  <c r="F66" i="16" s="1"/>
  <c r="L10" i="9"/>
  <c r="P11" i="9"/>
  <c r="C26" i="9" s="1"/>
  <c r="J13" i="9"/>
  <c r="K17" i="9"/>
  <c r="F75" i="16" s="1"/>
  <c r="P19" i="9"/>
  <c r="P48" i="9" s="1"/>
  <c r="R20" i="9"/>
  <c r="Q6" i="9"/>
  <c r="L8" i="9"/>
  <c r="M10" i="9"/>
  <c r="Q11" i="9"/>
  <c r="C27" i="9" s="1"/>
  <c r="P14" i="9"/>
  <c r="Q19" i="9"/>
  <c r="Q48" i="9" s="1"/>
  <c r="R6" i="9"/>
  <c r="N10" i="9"/>
  <c r="R11" i="9"/>
  <c r="C28" i="9" s="1"/>
  <c r="BG11" i="5" s="1"/>
  <c r="Q14" i="9"/>
  <c r="R19" i="9"/>
  <c r="R48" i="9" s="1"/>
  <c r="J7" i="9"/>
  <c r="E65" i="16" s="1"/>
  <c r="N8" i="9"/>
  <c r="R14" i="9"/>
  <c r="I45" i="9"/>
  <c r="P10" i="9"/>
  <c r="P8" i="9"/>
  <c r="Q10" i="9"/>
  <c r="P17" i="9"/>
  <c r="I48" i="9"/>
  <c r="Q8" i="9"/>
  <c r="C58" i="1"/>
  <c r="C58" i="12" s="1"/>
  <c r="B58" i="1"/>
  <c r="B58" i="12" s="1"/>
  <c r="C57" i="1"/>
  <c r="C57" i="12" s="1"/>
  <c r="B57" i="1"/>
  <c r="B57" i="12" s="1"/>
  <c r="C56" i="1"/>
  <c r="C56" i="12" s="1"/>
  <c r="B56" i="1"/>
  <c r="B56" i="12" s="1"/>
  <c r="C55" i="1"/>
  <c r="C55" i="12" s="1"/>
  <c r="B55" i="1"/>
  <c r="B55" i="12" s="1"/>
  <c r="C54" i="1"/>
  <c r="C54" i="12" s="1"/>
  <c r="B54" i="1"/>
  <c r="B54" i="12" s="1"/>
  <c r="C53" i="1"/>
  <c r="C53" i="12" s="1"/>
  <c r="B53" i="1"/>
  <c r="B53" i="12" s="1"/>
  <c r="C52" i="1"/>
  <c r="C52" i="12" s="1"/>
  <c r="B52" i="1"/>
  <c r="B52" i="12" s="1"/>
  <c r="C51" i="1"/>
  <c r="C51" i="12" s="1"/>
  <c r="B51" i="1"/>
  <c r="B51" i="12" s="1"/>
  <c r="C50" i="1"/>
  <c r="C50" i="12" s="1"/>
  <c r="B50" i="1"/>
  <c r="B50" i="12" s="1"/>
  <c r="C49" i="1"/>
  <c r="C49" i="12" s="1"/>
  <c r="B49" i="1"/>
  <c r="B49" i="12" s="1"/>
  <c r="C48" i="1"/>
  <c r="C48" i="12" s="1"/>
  <c r="B48" i="1"/>
  <c r="B48" i="12" s="1"/>
  <c r="C47" i="1"/>
  <c r="C47" i="12" s="1"/>
  <c r="B47" i="1"/>
  <c r="B47" i="12" s="1"/>
  <c r="C46" i="1"/>
  <c r="C46" i="12" s="1"/>
  <c r="B46" i="1"/>
  <c r="B46" i="12" s="1"/>
  <c r="C45" i="1"/>
  <c r="C45" i="12" s="1"/>
  <c r="B45" i="1"/>
  <c r="B45" i="12" s="1"/>
  <c r="C44" i="1"/>
  <c r="C44" i="12" s="1"/>
  <c r="B44" i="1"/>
  <c r="B44" i="12" s="1"/>
  <c r="C43" i="1"/>
  <c r="C43" i="12" s="1"/>
  <c r="B43" i="1"/>
  <c r="B43" i="12" s="1"/>
  <c r="C42" i="1"/>
  <c r="C42" i="12" s="1"/>
  <c r="B42" i="1"/>
  <c r="B42" i="12" s="1"/>
  <c r="C41" i="1"/>
  <c r="C41" i="12" s="1"/>
  <c r="B41" i="1"/>
  <c r="B41" i="12" s="1"/>
  <c r="C40" i="1"/>
  <c r="C40" i="12" s="1"/>
  <c r="B40" i="1"/>
  <c r="B40" i="12" s="1"/>
  <c r="C39" i="1"/>
  <c r="C39" i="12" s="1"/>
  <c r="B39" i="1"/>
  <c r="B39" i="12" s="1"/>
  <c r="C38" i="1"/>
  <c r="C38" i="12" s="1"/>
  <c r="B38" i="1"/>
  <c r="B38" i="12" s="1"/>
  <c r="C37" i="1"/>
  <c r="C37" i="12" s="1"/>
  <c r="B37" i="1"/>
  <c r="B37" i="12" s="1"/>
  <c r="C36" i="1"/>
  <c r="C36" i="12" s="1"/>
  <c r="B36" i="1"/>
  <c r="B36" i="12" s="1"/>
  <c r="C35" i="1"/>
  <c r="C35" i="12" s="1"/>
  <c r="B35" i="1"/>
  <c r="B35" i="12" s="1"/>
  <c r="C34" i="1"/>
  <c r="C34" i="12" s="1"/>
  <c r="B34" i="1"/>
  <c r="B34" i="12" s="1"/>
  <c r="C33" i="1"/>
  <c r="C33" i="12" s="1"/>
  <c r="B33" i="1"/>
  <c r="B33" i="12" s="1"/>
  <c r="C32" i="1"/>
  <c r="C32" i="12" s="1"/>
  <c r="B32" i="1"/>
  <c r="B32" i="12" s="1"/>
  <c r="C31" i="1"/>
  <c r="C31" i="12" s="1"/>
  <c r="B31" i="1"/>
  <c r="B31" i="12" s="1"/>
  <c r="C30" i="1"/>
  <c r="C30" i="12" s="1"/>
  <c r="B30" i="1"/>
  <c r="B30" i="12" s="1"/>
  <c r="C29" i="1"/>
  <c r="C29" i="12" s="1"/>
  <c r="B29" i="1"/>
  <c r="B29" i="12" s="1"/>
  <c r="C28" i="1"/>
  <c r="C28" i="12" s="1"/>
  <c r="B28" i="1"/>
  <c r="B28" i="12" s="1"/>
  <c r="C27" i="1"/>
  <c r="C27" i="12" s="1"/>
  <c r="B27" i="1"/>
  <c r="B27" i="12" s="1"/>
  <c r="C26" i="1"/>
  <c r="C26" i="12" s="1"/>
  <c r="B26" i="1"/>
  <c r="B26" i="12" s="1"/>
  <c r="C25" i="1"/>
  <c r="C25" i="12" s="1"/>
  <c r="B25" i="1"/>
  <c r="B25" i="12" s="1"/>
  <c r="C24" i="1"/>
  <c r="C24" i="12" s="1"/>
  <c r="B24" i="1"/>
  <c r="B24" i="12" s="1"/>
  <c r="C23" i="1"/>
  <c r="C23" i="12" s="1"/>
  <c r="B23" i="1"/>
  <c r="B23" i="12" s="1"/>
  <c r="C22" i="1"/>
  <c r="C22" i="12" s="1"/>
  <c r="B22" i="1"/>
  <c r="B22" i="12" s="1"/>
  <c r="C21" i="1"/>
  <c r="C21" i="12" s="1"/>
  <c r="B21" i="1"/>
  <c r="B21" i="12" s="1"/>
  <c r="C20" i="1"/>
  <c r="C20" i="12" s="1"/>
  <c r="B20" i="1"/>
  <c r="B20" i="12" s="1"/>
  <c r="C19" i="1"/>
  <c r="C19" i="12" s="1"/>
  <c r="B19" i="1"/>
  <c r="B19" i="12" s="1"/>
  <c r="C18" i="1"/>
  <c r="C18" i="12" s="1"/>
  <c r="B18" i="1"/>
  <c r="B18" i="12" s="1"/>
  <c r="C17" i="1"/>
  <c r="C17" i="12" s="1"/>
  <c r="B17" i="1"/>
  <c r="B17" i="12" s="1"/>
  <c r="C16" i="1"/>
  <c r="C16" i="12" s="1"/>
  <c r="B16" i="1"/>
  <c r="B16" i="12" s="1"/>
  <c r="C15" i="1"/>
  <c r="C15" i="12" s="1"/>
  <c r="B15" i="1"/>
  <c r="B15" i="12" s="1"/>
  <c r="C14" i="1"/>
  <c r="C14" i="12" s="1"/>
  <c r="B14" i="1"/>
  <c r="B14" i="12" s="1"/>
  <c r="C13" i="1"/>
  <c r="C13" i="12" s="1"/>
  <c r="B13" i="1"/>
  <c r="B13" i="12" s="1"/>
  <c r="C12" i="1"/>
  <c r="C12" i="12" s="1"/>
  <c r="B12" i="1"/>
  <c r="B12" i="12" s="1"/>
  <c r="C11" i="1"/>
  <c r="C11" i="12" s="1"/>
  <c r="B11" i="1"/>
  <c r="B11" i="12" s="1"/>
  <c r="C10" i="1"/>
  <c r="C10" i="12" s="1"/>
  <c r="B10" i="1"/>
  <c r="B10" i="12" s="1"/>
  <c r="C9" i="1"/>
  <c r="C9" i="12" s="1"/>
  <c r="B9" i="1"/>
  <c r="B9" i="12" s="1"/>
  <c r="C8" i="1"/>
  <c r="C8" i="12" s="1"/>
  <c r="B8" i="1"/>
  <c r="B8" i="12" s="1"/>
  <c r="C7" i="1"/>
  <c r="C7" i="12" s="1"/>
  <c r="B7" i="1"/>
  <c r="B7" i="12" s="1"/>
  <c r="C6" i="1"/>
  <c r="C6" i="12" s="1"/>
  <c r="B6" i="1"/>
  <c r="B6" i="12" s="1"/>
  <c r="C5" i="1"/>
  <c r="C5" i="12" s="1"/>
  <c r="B5" i="1"/>
  <c r="B5" i="12" s="1"/>
  <c r="C4" i="1"/>
  <c r="C4" i="12" s="1"/>
  <c r="B4" i="1"/>
  <c r="B4" i="12" s="1"/>
  <c r="C3" i="1"/>
  <c r="C3" i="12" s="1"/>
  <c r="B3" i="1"/>
  <c r="B3" i="12" s="1"/>
  <c r="C2" i="1"/>
  <c r="C2" i="12" s="1"/>
  <c r="B2" i="1"/>
  <c r="B2" i="12" s="1"/>
  <c r="H30" i="2"/>
  <c r="BH11" i="5" l="1"/>
  <c r="BK131" i="14"/>
  <c r="BJ131" i="14"/>
  <c r="BG12" i="14"/>
  <c r="BF12" i="14"/>
  <c r="BA12" i="14"/>
  <c r="BJ12" i="14"/>
  <c r="BL10" i="12"/>
  <c r="BM10" i="12"/>
  <c r="BG10" i="12"/>
  <c r="BK130" i="14"/>
  <c r="BF130" i="14"/>
  <c r="BD130" i="14"/>
  <c r="BA130" i="14"/>
  <c r="BG130" i="14"/>
  <c r="BI130" i="14"/>
  <c r="BB130" i="14"/>
  <c r="Z2" i="31"/>
  <c r="K2" i="31" s="1"/>
  <c r="K48" i="9"/>
  <c r="F77" i="16"/>
  <c r="C21" i="9"/>
  <c r="F69" i="16"/>
  <c r="E21" i="10"/>
  <c r="F41" i="16"/>
  <c r="K48" i="10"/>
  <c r="F47" i="16"/>
  <c r="K47" i="9"/>
  <c r="F74" i="16"/>
  <c r="K31" i="9"/>
  <c r="F65" i="16"/>
  <c r="D21" i="9"/>
  <c r="F70" i="16"/>
  <c r="C21" i="10"/>
  <c r="F39" i="16"/>
  <c r="K47" i="10"/>
  <c r="F44" i="16"/>
  <c r="E68" i="16"/>
  <c r="BP11" i="12"/>
  <c r="E71" i="16"/>
  <c r="BG10" i="7"/>
  <c r="E40" i="16"/>
  <c r="BM11" i="5"/>
  <c r="BF11" i="5"/>
  <c r="BK11" i="5"/>
  <c r="BJ11" i="5"/>
  <c r="BI11" i="5"/>
  <c r="BP11" i="5"/>
  <c r="BO11" i="5"/>
  <c r="BO10" i="1"/>
  <c r="E38" i="16"/>
  <c r="BP10" i="5"/>
  <c r="E39" i="16"/>
  <c r="BM11" i="7"/>
  <c r="E70" i="16"/>
  <c r="BE11" i="5"/>
  <c r="J47" i="10"/>
  <c r="E44" i="16"/>
  <c r="J7" i="2"/>
  <c r="E7" i="16" s="1"/>
  <c r="E2" i="16"/>
  <c r="J19" i="2"/>
  <c r="E19" i="16" s="1"/>
  <c r="J17" i="2"/>
  <c r="E17" i="16" s="1"/>
  <c r="J14" i="2"/>
  <c r="J20" i="2"/>
  <c r="E20" i="16" s="1"/>
  <c r="J12" i="2"/>
  <c r="J16" i="2"/>
  <c r="E16" i="16" s="1"/>
  <c r="J13" i="2"/>
  <c r="J11" i="2"/>
  <c r="E6" i="16"/>
  <c r="J8" i="2"/>
  <c r="E8" i="16" s="1"/>
  <c r="L46" i="9"/>
  <c r="B22" i="9"/>
  <c r="Q46" i="9"/>
  <c r="B27" i="9"/>
  <c r="P46" i="9"/>
  <c r="B26" i="9"/>
  <c r="BI11" i="7"/>
  <c r="BJ11" i="7"/>
  <c r="BF11" i="7"/>
  <c r="BH11" i="7"/>
  <c r="BG11" i="7"/>
  <c r="BE11" i="7"/>
  <c r="BF11" i="12"/>
  <c r="BG11" i="12"/>
  <c r="BH11" i="12"/>
  <c r="BJ11" i="12"/>
  <c r="K46" i="9"/>
  <c r="B21" i="9"/>
  <c r="J47" i="9"/>
  <c r="I47" i="9"/>
  <c r="BL11" i="12"/>
  <c r="BM11" i="12"/>
  <c r="BN11" i="12"/>
  <c r="O35" i="9"/>
  <c r="O31" i="9"/>
  <c r="P46" i="10"/>
  <c r="B26" i="10"/>
  <c r="J45" i="10"/>
  <c r="I45" i="10"/>
  <c r="R46" i="10"/>
  <c r="B28" i="10"/>
  <c r="O46" i="10"/>
  <c r="B25" i="10"/>
  <c r="BH10" i="7"/>
  <c r="BE10" i="7"/>
  <c r="L31" i="10"/>
  <c r="C22" i="10"/>
  <c r="I47" i="10"/>
  <c r="Q46" i="10"/>
  <c r="B27" i="10"/>
  <c r="K46" i="10"/>
  <c r="B21" i="10"/>
  <c r="BG10" i="5"/>
  <c r="BF10" i="5"/>
  <c r="BI10" i="5"/>
  <c r="BJ10" i="5"/>
  <c r="BH10" i="5"/>
  <c r="BE10" i="5"/>
  <c r="BJ10" i="12"/>
  <c r="BI10" i="12"/>
  <c r="BF10" i="12"/>
  <c r="BH10" i="12"/>
  <c r="BI10" i="7"/>
  <c r="BJ10" i="7"/>
  <c r="BF10" i="7"/>
  <c r="N46" i="9"/>
  <c r="B24" i="9"/>
  <c r="M46" i="9"/>
  <c r="B23" i="9"/>
  <c r="N46" i="10"/>
  <c r="B24" i="10"/>
  <c r="M46" i="10"/>
  <c r="B23" i="10"/>
  <c r="D9" i="7"/>
  <c r="D9" i="5"/>
  <c r="D55" i="7"/>
  <c r="D55" i="5"/>
  <c r="D53" i="7"/>
  <c r="D53" i="5"/>
  <c r="D24" i="7"/>
  <c r="D24" i="5"/>
  <c r="D51" i="7"/>
  <c r="D51" i="5"/>
  <c r="D23" i="7"/>
  <c r="D23" i="5"/>
  <c r="D50" i="7"/>
  <c r="D50" i="5"/>
  <c r="D36" i="7"/>
  <c r="D36" i="5"/>
  <c r="D22" i="7"/>
  <c r="D22" i="5"/>
  <c r="D8" i="7"/>
  <c r="D8" i="5"/>
  <c r="D54" i="7"/>
  <c r="D54" i="5"/>
  <c r="D39" i="7"/>
  <c r="D39" i="5"/>
  <c r="D10" i="7"/>
  <c r="D10" i="5"/>
  <c r="D37" i="7"/>
  <c r="D37" i="5"/>
  <c r="D49" i="7"/>
  <c r="D49" i="5"/>
  <c r="D35" i="7"/>
  <c r="D35" i="5"/>
  <c r="D21" i="7"/>
  <c r="D21" i="5"/>
  <c r="D7" i="7"/>
  <c r="D7" i="5"/>
  <c r="D13" i="7"/>
  <c r="D13" i="5"/>
  <c r="D25" i="7"/>
  <c r="D25" i="5"/>
  <c r="D48" i="7"/>
  <c r="D48" i="5"/>
  <c r="D6" i="7"/>
  <c r="D6" i="5"/>
  <c r="D33" i="7"/>
  <c r="D33" i="5"/>
  <c r="D18" i="7"/>
  <c r="D18" i="5"/>
  <c r="D40" i="7"/>
  <c r="D40" i="5"/>
  <c r="D38" i="7"/>
  <c r="D38" i="5"/>
  <c r="D34" i="7"/>
  <c r="D34" i="5"/>
  <c r="D20" i="7"/>
  <c r="D20" i="5"/>
  <c r="D47" i="7"/>
  <c r="D47" i="5"/>
  <c r="D19" i="7"/>
  <c r="D19" i="5"/>
  <c r="D5" i="7"/>
  <c r="D5" i="5"/>
  <c r="D46" i="7"/>
  <c r="D46" i="5"/>
  <c r="D4" i="7"/>
  <c r="D4" i="5"/>
  <c r="D45" i="7"/>
  <c r="D45" i="5"/>
  <c r="D32" i="7"/>
  <c r="D32" i="5"/>
  <c r="D41" i="7"/>
  <c r="D41" i="5"/>
  <c r="D26" i="7"/>
  <c r="D26" i="5"/>
  <c r="D11" i="7"/>
  <c r="D11" i="5"/>
  <c r="D2" i="5"/>
  <c r="D2" i="7"/>
  <c r="D17" i="7"/>
  <c r="D17" i="5"/>
  <c r="D58" i="7"/>
  <c r="D58" i="5"/>
  <c r="D30" i="7"/>
  <c r="D30" i="5"/>
  <c r="D57" i="7"/>
  <c r="D57" i="5"/>
  <c r="D43" i="7"/>
  <c r="D43" i="5"/>
  <c r="D29" i="7"/>
  <c r="D29" i="5"/>
  <c r="D15" i="7"/>
  <c r="D15" i="5"/>
  <c r="D27" i="7"/>
  <c r="D27" i="5"/>
  <c r="D12" i="7"/>
  <c r="D12" i="5"/>
  <c r="D52" i="7"/>
  <c r="D52" i="5"/>
  <c r="D31" i="7"/>
  <c r="D31" i="5"/>
  <c r="D3" i="7"/>
  <c r="D3" i="5"/>
  <c r="D44" i="7"/>
  <c r="D44" i="5"/>
  <c r="D16" i="7"/>
  <c r="D16" i="5"/>
  <c r="D56" i="7"/>
  <c r="D56" i="5"/>
  <c r="D42" i="7"/>
  <c r="D42" i="5"/>
  <c r="D28" i="7"/>
  <c r="D28" i="5"/>
  <c r="D14" i="7"/>
  <c r="D14" i="5"/>
  <c r="B8" i="7"/>
  <c r="B8" i="5"/>
  <c r="B22" i="7"/>
  <c r="B22" i="5"/>
  <c r="B43" i="7"/>
  <c r="B43" i="5"/>
  <c r="B50" i="7"/>
  <c r="B50" i="5"/>
  <c r="C8" i="7"/>
  <c r="C8" i="5"/>
  <c r="C29" i="7"/>
  <c r="C29" i="5"/>
  <c r="C36" i="7"/>
  <c r="C36" i="5"/>
  <c r="C50" i="7"/>
  <c r="C50" i="5"/>
  <c r="B2" i="5"/>
  <c r="B2" i="7"/>
  <c r="B16" i="7"/>
  <c r="B16" i="5"/>
  <c r="B23" i="7"/>
  <c r="B23" i="5"/>
  <c r="B30" i="7"/>
  <c r="B30" i="5"/>
  <c r="B37" i="7"/>
  <c r="B37" i="5"/>
  <c r="B44" i="7"/>
  <c r="B44" i="5"/>
  <c r="B51" i="7"/>
  <c r="B51" i="5"/>
  <c r="B58" i="7"/>
  <c r="B58" i="5"/>
  <c r="B15" i="7"/>
  <c r="B15" i="5"/>
  <c r="B29" i="7"/>
  <c r="B29" i="5"/>
  <c r="B36" i="7"/>
  <c r="B36" i="5"/>
  <c r="B57" i="7"/>
  <c r="B57" i="5"/>
  <c r="C15" i="7"/>
  <c r="C15" i="5"/>
  <c r="C22" i="7"/>
  <c r="C22" i="5"/>
  <c r="C43" i="7"/>
  <c r="C43" i="5"/>
  <c r="C57" i="7"/>
  <c r="C57" i="5"/>
  <c r="B9" i="7"/>
  <c r="B9" i="5"/>
  <c r="C2" i="7"/>
  <c r="C2" i="5"/>
  <c r="C9" i="7"/>
  <c r="C9" i="5"/>
  <c r="C16" i="7"/>
  <c r="C16" i="5"/>
  <c r="C23" i="7"/>
  <c r="C23" i="5"/>
  <c r="C30" i="7"/>
  <c r="C30" i="5"/>
  <c r="C37" i="7"/>
  <c r="C37" i="5"/>
  <c r="C44" i="7"/>
  <c r="C44" i="5"/>
  <c r="C51" i="7"/>
  <c r="C51" i="5"/>
  <c r="C58" i="7"/>
  <c r="C58" i="5"/>
  <c r="B31" i="7"/>
  <c r="B31" i="5"/>
  <c r="B38" i="7"/>
  <c r="B38" i="5"/>
  <c r="B45" i="7"/>
  <c r="B45" i="5"/>
  <c r="B52" i="7"/>
  <c r="B52" i="5"/>
  <c r="C3" i="7"/>
  <c r="C3" i="5"/>
  <c r="C31" i="7"/>
  <c r="C31" i="5"/>
  <c r="C45" i="7"/>
  <c r="C45" i="5"/>
  <c r="C52" i="7"/>
  <c r="C52" i="5"/>
  <c r="B17" i="7"/>
  <c r="B17" i="5"/>
  <c r="B24" i="7"/>
  <c r="B24" i="5"/>
  <c r="C10" i="7"/>
  <c r="C10" i="5"/>
  <c r="C17" i="7"/>
  <c r="C17" i="5"/>
  <c r="C24" i="7"/>
  <c r="C24" i="5"/>
  <c r="C38" i="7"/>
  <c r="C38" i="5"/>
  <c r="B4" i="7"/>
  <c r="B4" i="5"/>
  <c r="B11" i="7"/>
  <c r="B11" i="5"/>
  <c r="B18" i="7"/>
  <c r="B18" i="5"/>
  <c r="B25" i="7"/>
  <c r="B25" i="5"/>
  <c r="B32" i="7"/>
  <c r="B32" i="5"/>
  <c r="B39" i="7"/>
  <c r="B39" i="5"/>
  <c r="B46" i="7"/>
  <c r="B46" i="5"/>
  <c r="B53" i="7"/>
  <c r="B53" i="5"/>
  <c r="C4" i="7"/>
  <c r="C4" i="5"/>
  <c r="C11" i="7"/>
  <c r="C11" i="5"/>
  <c r="C18" i="7"/>
  <c r="C18" i="5"/>
  <c r="C25" i="7"/>
  <c r="C25" i="5"/>
  <c r="C32" i="7"/>
  <c r="C32" i="5"/>
  <c r="C39" i="7"/>
  <c r="C39" i="5"/>
  <c r="C46" i="7"/>
  <c r="C46" i="5"/>
  <c r="C53" i="7"/>
  <c r="C53" i="5"/>
  <c r="B19" i="7"/>
  <c r="B19" i="5"/>
  <c r="B26" i="7"/>
  <c r="B26" i="5"/>
  <c r="B33" i="7"/>
  <c r="B33" i="5"/>
  <c r="B40" i="7"/>
  <c r="B40" i="5"/>
  <c r="B47" i="7"/>
  <c r="B47" i="5"/>
  <c r="B54" i="7"/>
  <c r="B54" i="5"/>
  <c r="C12" i="7"/>
  <c r="C12" i="5"/>
  <c r="C19" i="7"/>
  <c r="C19" i="5"/>
  <c r="C26" i="7"/>
  <c r="C26" i="5"/>
  <c r="C33" i="7"/>
  <c r="C33" i="5"/>
  <c r="C40" i="7"/>
  <c r="C40" i="5"/>
  <c r="C47" i="7"/>
  <c r="C47" i="5"/>
  <c r="C54" i="7"/>
  <c r="C54" i="5"/>
  <c r="B10" i="7"/>
  <c r="B10" i="5"/>
  <c r="B20" i="7"/>
  <c r="B20" i="5"/>
  <c r="B34" i="7"/>
  <c r="B34" i="5"/>
  <c r="B41" i="7"/>
  <c r="B41" i="5"/>
  <c r="B48" i="7"/>
  <c r="B48" i="5"/>
  <c r="B55" i="7"/>
  <c r="B55" i="5"/>
  <c r="B5" i="7"/>
  <c r="B5" i="5"/>
  <c r="C6" i="7"/>
  <c r="C6" i="5"/>
  <c r="C34" i="7"/>
  <c r="C34" i="5"/>
  <c r="C41" i="7"/>
  <c r="C41" i="5"/>
  <c r="C48" i="7"/>
  <c r="C48" i="5"/>
  <c r="C55" i="7"/>
  <c r="C55" i="5"/>
  <c r="B3" i="7"/>
  <c r="B3" i="5"/>
  <c r="B12" i="7"/>
  <c r="B12" i="5"/>
  <c r="C5" i="7"/>
  <c r="C5" i="5"/>
  <c r="B6" i="7"/>
  <c r="B6" i="5"/>
  <c r="B13" i="7"/>
  <c r="B13" i="5"/>
  <c r="B27" i="7"/>
  <c r="B27" i="5"/>
  <c r="C13" i="7"/>
  <c r="C13" i="5"/>
  <c r="C20" i="7"/>
  <c r="C20" i="5"/>
  <c r="C27" i="7"/>
  <c r="C27" i="5"/>
  <c r="B7" i="7"/>
  <c r="B7" i="5"/>
  <c r="B14" i="7"/>
  <c r="B14" i="5"/>
  <c r="B21" i="7"/>
  <c r="B21" i="5"/>
  <c r="B28" i="7"/>
  <c r="B28" i="5"/>
  <c r="B35" i="7"/>
  <c r="B35" i="5"/>
  <c r="B42" i="7"/>
  <c r="B42" i="5"/>
  <c r="B49" i="7"/>
  <c r="B49" i="5"/>
  <c r="B56" i="7"/>
  <c r="B56" i="5"/>
  <c r="C7" i="7"/>
  <c r="C7" i="5"/>
  <c r="C14" i="7"/>
  <c r="C14" i="5"/>
  <c r="C21" i="7"/>
  <c r="C21" i="5"/>
  <c r="C28" i="7"/>
  <c r="C28" i="5"/>
  <c r="C35" i="7"/>
  <c r="C35" i="5"/>
  <c r="C42" i="7"/>
  <c r="C42" i="5"/>
  <c r="C49" i="7"/>
  <c r="C49" i="5"/>
  <c r="C56" i="7"/>
  <c r="C56" i="5"/>
  <c r="M47" i="10"/>
  <c r="M37" i="10"/>
  <c r="O35" i="10"/>
  <c r="O45" i="10"/>
  <c r="O31" i="10"/>
  <c r="M45" i="10"/>
  <c r="M31" i="10"/>
  <c r="R31" i="10"/>
  <c r="K45" i="10"/>
  <c r="K31" i="10"/>
  <c r="Q31" i="10"/>
  <c r="J46" i="10"/>
  <c r="I46" i="10"/>
  <c r="J31" i="10"/>
  <c r="J36" i="10"/>
  <c r="M38" i="10"/>
  <c r="M48" i="10"/>
  <c r="P45" i="10"/>
  <c r="P31" i="10"/>
  <c r="N45" i="10"/>
  <c r="N31" i="10"/>
  <c r="Q31" i="9"/>
  <c r="Q45" i="9"/>
  <c r="J31" i="9"/>
  <c r="J46" i="9"/>
  <c r="I46" i="9"/>
  <c r="J36" i="9"/>
  <c r="I39" i="9" s="1"/>
  <c r="W8" i="9" s="1"/>
  <c r="Z8" i="9" s="1"/>
  <c r="Z11" i="9" s="1"/>
  <c r="AA11" i="9" s="1"/>
  <c r="N31" i="9"/>
  <c r="L31" i="9"/>
  <c r="R45" i="9"/>
  <c r="R31" i="9"/>
  <c r="M31" i="9"/>
  <c r="P31" i="9"/>
  <c r="P45" i="9"/>
  <c r="L42" i="2"/>
  <c r="Z10" i="2"/>
  <c r="Z9" i="2"/>
  <c r="Z7" i="2"/>
  <c r="Z5" i="2"/>
  <c r="R2" i="2"/>
  <c r="M2" i="16" s="1"/>
  <c r="Q2" i="2"/>
  <c r="L2" i="16" s="1"/>
  <c r="P2" i="2"/>
  <c r="K2" i="16" s="1"/>
  <c r="O2" i="2"/>
  <c r="J2" i="16" s="1"/>
  <c r="N2" i="2"/>
  <c r="M2" i="2"/>
  <c r="H2" i="16" s="1"/>
  <c r="L2" i="2"/>
  <c r="G2" i="16" s="1"/>
  <c r="F2" i="16"/>
  <c r="BL10" i="7" l="1"/>
  <c r="BI11" i="12"/>
  <c r="BE72" i="14"/>
  <c r="BI72" i="14"/>
  <c r="BK114" i="14"/>
  <c r="BD114" i="14"/>
  <c r="BG72" i="14"/>
  <c r="BC72" i="14"/>
  <c r="BD72" i="14"/>
  <c r="AZ72" i="14"/>
  <c r="BA114" i="14"/>
  <c r="BA72" i="14"/>
  <c r="BF72" i="14"/>
  <c r="AZ114" i="14"/>
  <c r="BB114" i="14"/>
  <c r="BJ72" i="14"/>
  <c r="BC114" i="14"/>
  <c r="BK72" i="14"/>
  <c r="BB72" i="14"/>
  <c r="BJ113" i="14"/>
  <c r="AZ71" i="14"/>
  <c r="BK71" i="14"/>
  <c r="BK113" i="14"/>
  <c r="BE113" i="14"/>
  <c r="BO10" i="7"/>
  <c r="BP10" i="7"/>
  <c r="BK10" i="7"/>
  <c r="BM10" i="7"/>
  <c r="BN10" i="7"/>
  <c r="BF35" i="14"/>
  <c r="BB19" i="14"/>
  <c r="BB26" i="14"/>
  <c r="BG50" i="14"/>
  <c r="BE35" i="14"/>
  <c r="BD48" i="14"/>
  <c r="BJ30" i="14"/>
  <c r="AZ39" i="14"/>
  <c r="BA33" i="14"/>
  <c r="BB39" i="14"/>
  <c r="BA40" i="14"/>
  <c r="BF16" i="14"/>
  <c r="BD8" i="14"/>
  <c r="BI30" i="14"/>
  <c r="BK10" i="14"/>
  <c r="BC4" i="14"/>
  <c r="BD15" i="14"/>
  <c r="BA8" i="14"/>
  <c r="BJ57" i="14"/>
  <c r="BK6" i="14"/>
  <c r="BK42" i="14"/>
  <c r="BB42" i="14"/>
  <c r="BK62" i="14"/>
  <c r="BI26" i="14"/>
  <c r="BI41" i="14"/>
  <c r="BA16" i="14"/>
  <c r="BE41" i="14"/>
  <c r="BC33" i="14"/>
  <c r="BA25" i="14"/>
  <c r="BE28" i="14"/>
  <c r="BK52" i="14"/>
  <c r="BC34" i="14"/>
  <c r="BF27" i="14"/>
  <c r="BJ53" i="14"/>
  <c r="BC44" i="14"/>
  <c r="BJ4" i="14"/>
  <c r="BE39" i="14"/>
  <c r="BD6" i="14"/>
  <c r="BB36" i="14"/>
  <c r="BB50" i="14"/>
  <c r="BB11" i="14"/>
  <c r="BK23" i="14"/>
  <c r="BI15" i="14"/>
  <c r="BK60" i="14"/>
  <c r="BE36" i="14"/>
  <c r="BC28" i="14"/>
  <c r="BK11" i="14"/>
  <c r="BK61" i="14"/>
  <c r="BE37" i="14"/>
  <c r="BC29" i="14"/>
  <c r="BK24" i="14"/>
  <c r="BA26" i="14"/>
  <c r="BC37" i="14"/>
  <c r="BD50" i="14"/>
  <c r="BK14" i="14"/>
  <c r="AZ4" i="14"/>
  <c r="BK34" i="14"/>
  <c r="BE10" i="14"/>
  <c r="AZ53" i="14"/>
  <c r="BB33" i="14"/>
  <c r="BJ23" i="14"/>
  <c r="BB5" i="14"/>
  <c r="BK59" i="14"/>
  <c r="BA15" i="14"/>
  <c r="BK35" i="14"/>
  <c r="BC23" i="14"/>
  <c r="BC17" i="14"/>
  <c r="BC45" i="14"/>
  <c r="AZ10" i="14"/>
  <c r="BC40" i="14"/>
  <c r="BC5" i="14"/>
  <c r="BJ45" i="14"/>
  <c r="BF29" i="14"/>
  <c r="BC35" i="14"/>
  <c r="BK18" i="14"/>
  <c r="BI10" i="14"/>
  <c r="BC36" i="14"/>
  <c r="BA28" i="14"/>
  <c r="BK19" i="14"/>
  <c r="AZ50" i="14"/>
  <c r="BJ41" i="14"/>
  <c r="BF25" i="14"/>
  <c r="BD39" i="14"/>
  <c r="BB31" i="14"/>
  <c r="BF5" i="14"/>
  <c r="BG15" i="14"/>
  <c r="BC6" i="14"/>
  <c r="BA5" i="14"/>
  <c r="BB8" i="14"/>
  <c r="BE11" i="14"/>
  <c r="BB49" i="14"/>
  <c r="BE4" i="14"/>
  <c r="BA29" i="14"/>
  <c r="BB18" i="14"/>
  <c r="BK30" i="14"/>
  <c r="BB20" i="14"/>
  <c r="AZ8" i="14"/>
  <c r="BD41" i="14"/>
  <c r="BJ29" i="14"/>
  <c r="BB21" i="14"/>
  <c r="BK27" i="14"/>
  <c r="BK7" i="14"/>
  <c r="BI29" i="14"/>
  <c r="AZ19" i="14"/>
  <c r="AZ46" i="14"/>
  <c r="BB15" i="14"/>
  <c r="BK44" i="14"/>
  <c r="BG35" i="14"/>
  <c r="BA48" i="14"/>
  <c r="BK39" i="14"/>
  <c r="BC21" i="14"/>
  <c r="BF46" i="14"/>
  <c r="BJ20" i="14"/>
  <c r="BB35" i="14"/>
  <c r="BC51" i="14"/>
  <c r="BG39" i="14"/>
  <c r="BD28" i="14"/>
  <c r="BC57" i="14"/>
  <c r="BK40" i="14"/>
  <c r="BB37" i="14"/>
  <c r="BJ42" i="14"/>
  <c r="BJ7" i="14"/>
  <c r="BK43" i="14"/>
  <c r="BG36" i="14"/>
  <c r="BF10" i="14"/>
  <c r="BD51" i="14"/>
  <c r="BK21" i="14"/>
  <c r="BJ17" i="14"/>
  <c r="BK46" i="14"/>
  <c r="BJ62" i="14"/>
  <c r="BF33" i="14"/>
  <c r="BJ47" i="14"/>
  <c r="BJ5" i="14"/>
  <c r="BK20" i="14"/>
  <c r="BK49" i="14"/>
  <c r="BK48" i="14"/>
  <c r="BA23" i="14"/>
  <c r="BF6" i="14"/>
  <c r="BK51" i="14"/>
  <c r="BB27" i="14"/>
  <c r="BF8" i="14"/>
  <c r="BK47" i="14"/>
  <c r="BJ27" i="14"/>
  <c r="BD10" i="14"/>
  <c r="BJ49" i="14"/>
  <c r="BB24" i="14"/>
  <c r="BA59" i="14"/>
  <c r="BK50" i="14"/>
  <c r="BC18" i="14"/>
  <c r="BK8" i="14"/>
  <c r="BB25" i="14"/>
  <c r="BG8" i="14"/>
  <c r="BD4" i="14"/>
  <c r="BK31" i="14"/>
  <c r="BF45" i="14"/>
  <c r="BJ19" i="14"/>
  <c r="BJ15" i="14"/>
  <c r="BD5" i="14"/>
  <c r="BD7" i="14"/>
  <c r="BI17" i="14"/>
  <c r="BE8" i="14"/>
  <c r="AZ20" i="14"/>
  <c r="AZ21" i="14"/>
  <c r="BC30" i="14"/>
  <c r="BC31" i="14"/>
  <c r="BK58" i="14"/>
  <c r="BI50" i="14"/>
  <c r="BK53" i="14"/>
  <c r="BI46" i="14"/>
  <c r="BK57" i="14"/>
  <c r="BG41" i="14"/>
  <c r="BC25" i="14"/>
  <c r="BA17" i="14"/>
  <c r="BI7" i="14"/>
  <c r="BB53" i="14"/>
  <c r="BD26" i="14"/>
  <c r="BB29" i="14"/>
  <c r="BK56" i="14"/>
  <c r="BB41" i="14"/>
  <c r="BB23" i="14"/>
  <c r="BK15" i="14"/>
  <c r="BJ39" i="14"/>
  <c r="BD23" i="14"/>
  <c r="BD49" i="14"/>
  <c r="BC8" i="14"/>
  <c r="BC53" i="14"/>
  <c r="AZ5" i="14"/>
  <c r="BA31" i="14"/>
  <c r="BB32" i="14"/>
  <c r="BF19" i="14"/>
  <c r="BK17" i="14"/>
  <c r="BJ24" i="14"/>
  <c r="BF51" i="14"/>
  <c r="BG28" i="14"/>
  <c r="BC19" i="14"/>
  <c r="BK9" i="14"/>
  <c r="BA7" i="14"/>
  <c r="BB51" i="14"/>
  <c r="BK16" i="14"/>
  <c r="BE15" i="14"/>
  <c r="BC43" i="14"/>
  <c r="BC27" i="14"/>
  <c r="BC24" i="14"/>
  <c r="BA39" i="14"/>
  <c r="BD56" i="14"/>
  <c r="BC7" i="14"/>
  <c r="BG24" i="14"/>
  <c r="BG7" i="14"/>
  <c r="BK25" i="14"/>
  <c r="BE40" i="14"/>
  <c r="BF28" i="14"/>
  <c r="BK29" i="14"/>
  <c r="BF34" i="14"/>
  <c r="BC10" i="14"/>
  <c r="BC15" i="14"/>
  <c r="BF39" i="14"/>
  <c r="BB30" i="14"/>
  <c r="BK22" i="14"/>
  <c r="BK33" i="14"/>
  <c r="BI6" i="14"/>
  <c r="BC26" i="14"/>
  <c r="BF15" i="14"/>
  <c r="BC11" i="14"/>
  <c r="BA46" i="14"/>
  <c r="BA34" i="14"/>
  <c r="BB10" i="14"/>
  <c r="BJ6" i="14"/>
  <c r="BC48" i="14"/>
  <c r="BK32" i="14"/>
  <c r="BG57" i="14"/>
  <c r="BK4" i="14"/>
  <c r="BK37" i="14"/>
  <c r="BA6" i="14"/>
  <c r="BK5" i="14"/>
  <c r="BJ48" i="14"/>
  <c r="BC39" i="14"/>
  <c r="BK28" i="14"/>
  <c r="BD46" i="14"/>
  <c r="BJ33" i="14"/>
  <c r="BB34" i="14"/>
  <c r="BG59" i="14"/>
  <c r="BK45" i="14"/>
  <c r="BD42" i="14"/>
  <c r="BK26" i="14"/>
  <c r="BJ46" i="14"/>
  <c r="BI31" i="14"/>
  <c r="BJ35" i="14"/>
  <c r="BB16" i="14"/>
  <c r="BF26" i="14"/>
  <c r="BB4" i="14"/>
  <c r="BK36" i="14"/>
  <c r="BC46" i="14"/>
  <c r="BA36" i="14"/>
  <c r="BK41" i="14"/>
  <c r="BJ155" i="14"/>
  <c r="BD138" i="14"/>
  <c r="BI155" i="14"/>
  <c r="BA137" i="14"/>
  <c r="BI141" i="14"/>
  <c r="BE125" i="14"/>
  <c r="BB153" i="14"/>
  <c r="AZ145" i="14"/>
  <c r="BJ136" i="14"/>
  <c r="BB147" i="14"/>
  <c r="AZ139" i="14"/>
  <c r="BD145" i="14"/>
  <c r="BI134" i="14"/>
  <c r="BG140" i="14"/>
  <c r="BA123" i="14"/>
  <c r="AZ152" i="14"/>
  <c r="BF127" i="14"/>
  <c r="BB154" i="14"/>
  <c r="AZ146" i="14"/>
  <c r="BJ137" i="14"/>
  <c r="BA154" i="14"/>
  <c r="BI151" i="14"/>
  <c r="BI137" i="14"/>
  <c r="BK139" i="14"/>
  <c r="BA134" i="14"/>
  <c r="BB150" i="14"/>
  <c r="AZ142" i="14"/>
  <c r="BJ133" i="14"/>
  <c r="BF124" i="14"/>
  <c r="BD152" i="14"/>
  <c r="BB144" i="14"/>
  <c r="BA151" i="14"/>
  <c r="BE132" i="14"/>
  <c r="BC138" i="14"/>
  <c r="BJ150" i="14"/>
  <c r="BF134" i="14"/>
  <c r="BB125" i="14"/>
  <c r="BJ144" i="14"/>
  <c r="BG150" i="14"/>
  <c r="BE149" i="14"/>
  <c r="BE135" i="14"/>
  <c r="BE136" i="14"/>
  <c r="BD133" i="14"/>
  <c r="BJ122" i="14"/>
  <c r="BJ151" i="14"/>
  <c r="AZ132" i="14"/>
  <c r="BD137" i="14"/>
  <c r="BE152" i="14"/>
  <c r="BA136" i="14"/>
  <c r="BK127" i="14"/>
  <c r="BG148" i="14"/>
  <c r="BE140" i="14"/>
  <c r="BK122" i="14"/>
  <c r="BE148" i="14"/>
  <c r="BA132" i="14"/>
  <c r="BI122" i="14"/>
  <c r="BA144" i="14"/>
  <c r="BD141" i="14"/>
  <c r="BI138" i="14"/>
  <c r="BF145" i="14"/>
  <c r="BF133" i="14"/>
  <c r="BB124" i="14"/>
  <c r="BB132" i="14"/>
  <c r="BK153" i="14"/>
  <c r="BK125" i="14"/>
  <c r="BB136" i="14"/>
  <c r="BC151" i="14"/>
  <c r="BA143" i="14"/>
  <c r="BK134" i="14"/>
  <c r="BG125" i="14"/>
  <c r="BJ149" i="14"/>
  <c r="BG155" i="14"/>
  <c r="BE147" i="14"/>
  <c r="BE155" i="14"/>
  <c r="BA139" i="14"/>
  <c r="BJ152" i="14"/>
  <c r="BF136" i="14"/>
  <c r="BF151" i="14"/>
  <c r="BD143" i="14"/>
  <c r="BB135" i="14"/>
  <c r="BB137" i="14"/>
  <c r="BF141" i="14"/>
  <c r="BG129" i="14"/>
  <c r="BC141" i="14"/>
  <c r="BA155" i="14"/>
  <c r="BD144" i="14"/>
  <c r="BD132" i="14"/>
  <c r="BK126" i="14"/>
  <c r="AZ136" i="14"/>
  <c r="BJ127" i="14"/>
  <c r="BD140" i="14"/>
  <c r="BI144" i="14"/>
  <c r="BC127" i="14"/>
  <c r="BK138" i="14"/>
  <c r="BG151" i="14"/>
  <c r="BJ141" i="14"/>
  <c r="BK142" i="14"/>
  <c r="BB133" i="14"/>
  <c r="BA147" i="14"/>
  <c r="BK124" i="14"/>
  <c r="BK132" i="14"/>
  <c r="BI145" i="14"/>
  <c r="BA148" i="14"/>
  <c r="BB152" i="14"/>
  <c r="BJ142" i="14"/>
  <c r="BI135" i="14"/>
  <c r="BG127" i="14"/>
  <c r="BK137" i="14"/>
  <c r="BB155" i="14"/>
  <c r="AZ134" i="14"/>
  <c r="BJ125" i="14"/>
  <c r="BB151" i="14"/>
  <c r="BI147" i="14"/>
  <c r="BK143" i="14"/>
  <c r="BA146" i="14"/>
  <c r="BJ145" i="14"/>
  <c r="BB142" i="14"/>
  <c r="BK147" i="14"/>
  <c r="BI139" i="14"/>
  <c r="AZ124" i="14"/>
  <c r="BE142" i="14"/>
  <c r="BG122" i="14"/>
  <c r="BE138" i="14"/>
  <c r="BA129" i="14"/>
  <c r="BG134" i="14"/>
  <c r="BC125" i="14"/>
  <c r="BI136" i="14"/>
  <c r="BD150" i="14"/>
  <c r="BJ132" i="14"/>
  <c r="BF142" i="14"/>
  <c r="BF138" i="14"/>
  <c r="BK155" i="14"/>
  <c r="BA152" i="14"/>
  <c r="BI142" i="14"/>
  <c r="BK144" i="14"/>
  <c r="BE127" i="14"/>
  <c r="BD135" i="14"/>
  <c r="BB127" i="14"/>
  <c r="AZ141" i="14"/>
  <c r="BK154" i="14"/>
  <c r="BG138" i="14"/>
  <c r="BA140" i="14"/>
  <c r="BA141" i="14"/>
  <c r="BJ147" i="14"/>
  <c r="BE133" i="14"/>
  <c r="BA124" i="14"/>
  <c r="BG135" i="14"/>
  <c r="BF123" i="14"/>
  <c r="BB146" i="14"/>
  <c r="BK145" i="14"/>
  <c r="BE145" i="14"/>
  <c r="BK150" i="14"/>
  <c r="BG141" i="14"/>
  <c r="BA153" i="14"/>
  <c r="BA125" i="14"/>
  <c r="BB134" i="14"/>
  <c r="BJ124" i="14"/>
  <c r="BJ139" i="14"/>
  <c r="BG145" i="14"/>
  <c r="BC129" i="14"/>
  <c r="BG126" i="14"/>
  <c r="BF125" i="14"/>
  <c r="BK148" i="14"/>
  <c r="AZ155" i="14"/>
  <c r="BJ134" i="14"/>
  <c r="BK149" i="14"/>
  <c r="BB145" i="14"/>
  <c r="BJ135" i="14"/>
  <c r="BD125" i="14"/>
  <c r="BC146" i="14"/>
  <c r="AZ133" i="14"/>
  <c r="BA126" i="14"/>
  <c r="BJ126" i="14"/>
  <c r="BF129" i="14"/>
  <c r="BG152" i="14"/>
  <c r="BE151" i="14"/>
  <c r="BI129" i="14"/>
  <c r="BC145" i="14"/>
  <c r="BK135" i="14"/>
  <c r="BI140" i="14"/>
  <c r="BD124" i="14"/>
  <c r="BI152" i="14"/>
  <c r="BI124" i="14"/>
  <c r="BA127" i="14"/>
  <c r="BK123" i="14"/>
  <c r="BD142" i="14"/>
  <c r="BA128" i="14"/>
  <c r="BD149" i="14"/>
  <c r="BG124" i="14"/>
  <c r="BJ129" i="14"/>
  <c r="BK133" i="14"/>
  <c r="BD134" i="14"/>
  <c r="BB148" i="14"/>
  <c r="AZ147" i="14"/>
  <c r="BD123" i="14"/>
  <c r="BJ128" i="14"/>
  <c r="BE150" i="14"/>
  <c r="BE124" i="14"/>
  <c r="AZ144" i="14"/>
  <c r="BA145" i="14"/>
  <c r="BE134" i="14"/>
  <c r="BC136" i="14"/>
  <c r="BD126" i="14"/>
  <c r="BB126" i="14"/>
  <c r="BG132" i="14"/>
  <c r="BK151" i="14"/>
  <c r="BA142" i="14"/>
  <c r="BD139" i="14"/>
  <c r="BB123" i="14"/>
  <c r="BD127" i="14"/>
  <c r="BC149" i="14"/>
  <c r="BJ140" i="14"/>
  <c r="BB141" i="14"/>
  <c r="BI125" i="14"/>
  <c r="BD151" i="14"/>
  <c r="BA135" i="14"/>
  <c r="BI133" i="14"/>
  <c r="BJ123" i="14"/>
  <c r="BK129" i="14"/>
  <c r="BJ138" i="14"/>
  <c r="BC124" i="14"/>
  <c r="BK141" i="14"/>
  <c r="BE141" i="14"/>
  <c r="BB139" i="14"/>
  <c r="BA133" i="14"/>
  <c r="BI149" i="14"/>
  <c r="BF132" i="14"/>
  <c r="BK128" i="14"/>
  <c r="BF155" i="14"/>
  <c r="BK146" i="14"/>
  <c r="BE144" i="14"/>
  <c r="AZ125" i="14"/>
  <c r="BI127" i="14"/>
  <c r="BG142" i="14"/>
  <c r="BI132" i="14"/>
  <c r="BK152" i="14"/>
  <c r="BG137" i="14"/>
  <c r="BB138" i="14"/>
  <c r="BA138" i="14"/>
  <c r="BG133" i="14"/>
  <c r="BG149" i="14"/>
  <c r="BA150" i="14"/>
  <c r="BK140" i="14"/>
  <c r="BK136" i="14"/>
  <c r="BA149" i="14"/>
  <c r="BK11" i="12"/>
  <c r="BO11" i="7"/>
  <c r="BK11" i="7"/>
  <c r="BL10" i="5"/>
  <c r="BE11" i="12"/>
  <c r="BN10" i="1"/>
  <c r="BK10" i="1"/>
  <c r="BE10" i="1"/>
  <c r="BL10" i="1"/>
  <c r="BM10" i="1"/>
  <c r="BO10" i="5"/>
  <c r="BO11" i="12"/>
  <c r="BK10" i="5"/>
  <c r="BN10" i="5"/>
  <c r="BP10" i="1"/>
  <c r="BM10" i="5"/>
  <c r="BP11" i="7"/>
  <c r="BL11" i="7"/>
  <c r="BQ11" i="5"/>
  <c r="BN11" i="7"/>
  <c r="BI11" i="1"/>
  <c r="BH11" i="1"/>
  <c r="BG11" i="1"/>
  <c r="BO11" i="1"/>
  <c r="BF11" i="1"/>
  <c r="BE11" i="1"/>
  <c r="BK11" i="1"/>
  <c r="BL11" i="1"/>
  <c r="BM11" i="1"/>
  <c r="BN11" i="1"/>
  <c r="BP11" i="1"/>
  <c r="BJ11" i="1"/>
  <c r="BM30" i="12"/>
  <c r="E13" i="16"/>
  <c r="BN15" i="7"/>
  <c r="E12" i="16"/>
  <c r="BO39" i="5"/>
  <c r="E11" i="16"/>
  <c r="BN22" i="1"/>
  <c r="E10" i="16"/>
  <c r="BG36" i="7"/>
  <c r="BM56" i="7"/>
  <c r="BE48" i="7"/>
  <c r="BG19" i="7"/>
  <c r="BL58" i="7"/>
  <c r="BO6" i="7"/>
  <c r="BI49" i="7"/>
  <c r="BI31" i="7"/>
  <c r="BK21" i="7"/>
  <c r="L10" i="2"/>
  <c r="L7" i="2"/>
  <c r="G7" i="16" s="1"/>
  <c r="L14" i="2"/>
  <c r="L8" i="2"/>
  <c r="G8" i="16" s="1"/>
  <c r="L11" i="2"/>
  <c r="L12" i="2"/>
  <c r="L17" i="2"/>
  <c r="G17" i="16" s="1"/>
  <c r="L13" i="2"/>
  <c r="L16" i="2"/>
  <c r="L19" i="2"/>
  <c r="L20" i="2"/>
  <c r="G20" i="16" s="1"/>
  <c r="L6" i="2"/>
  <c r="Q11" i="2"/>
  <c r="Q12" i="2"/>
  <c r="Q7" i="2"/>
  <c r="L7" i="16" s="1"/>
  <c r="Q13" i="2"/>
  <c r="Q14" i="2"/>
  <c r="Q16" i="2"/>
  <c r="L16" i="16" s="1"/>
  <c r="Q17" i="2"/>
  <c r="L17" i="16" s="1"/>
  <c r="Q19" i="2"/>
  <c r="L19" i="16" s="1"/>
  <c r="Q20" i="2"/>
  <c r="L20" i="16" s="1"/>
  <c r="Q8" i="2"/>
  <c r="L8" i="16" s="1"/>
  <c r="Q6" i="2"/>
  <c r="L6" i="16" s="1"/>
  <c r="Q10" i="2"/>
  <c r="R7" i="2"/>
  <c r="M7" i="16" s="1"/>
  <c r="R12" i="2"/>
  <c r="R8" i="2"/>
  <c r="M8" i="16" s="1"/>
  <c r="R17" i="2"/>
  <c r="M17" i="16" s="1"/>
  <c r="R10" i="2"/>
  <c r="R11" i="2"/>
  <c r="R13" i="2"/>
  <c r="R19" i="2"/>
  <c r="M19" i="16" s="1"/>
  <c r="R14" i="2"/>
  <c r="R6" i="2"/>
  <c r="M6" i="16" s="1"/>
  <c r="R16" i="2"/>
  <c r="M16" i="16" s="1"/>
  <c r="R20" i="2"/>
  <c r="M20" i="16" s="1"/>
  <c r="P14" i="2"/>
  <c r="P16" i="2"/>
  <c r="K16" i="16" s="1"/>
  <c r="P17" i="2"/>
  <c r="K17" i="16" s="1"/>
  <c r="P20" i="2"/>
  <c r="K20" i="16" s="1"/>
  <c r="P19" i="2"/>
  <c r="K19" i="16" s="1"/>
  <c r="P10" i="2"/>
  <c r="P11" i="2"/>
  <c r="P8" i="2"/>
  <c r="K8" i="16" s="1"/>
  <c r="P7" i="2"/>
  <c r="K7" i="16" s="1"/>
  <c r="P12" i="2"/>
  <c r="P13" i="2"/>
  <c r="P6" i="2"/>
  <c r="K6" i="16" s="1"/>
  <c r="BM52" i="1"/>
  <c r="O19" i="2"/>
  <c r="O6" i="2"/>
  <c r="J6" i="16" s="1"/>
  <c r="O20" i="2"/>
  <c r="J20" i="16" s="1"/>
  <c r="O12" i="2"/>
  <c r="O11" i="2"/>
  <c r="O7" i="2"/>
  <c r="J7" i="16" s="1"/>
  <c r="O8" i="2"/>
  <c r="J8" i="16" s="1"/>
  <c r="O10" i="2"/>
  <c r="O14" i="2"/>
  <c r="O13" i="2"/>
  <c r="O16" i="2"/>
  <c r="O17" i="2"/>
  <c r="J17" i="16" s="1"/>
  <c r="BN19" i="5"/>
  <c r="BN25" i="5"/>
  <c r="BH23" i="5"/>
  <c r="BO4" i="5"/>
  <c r="BN31" i="12"/>
  <c r="BM38" i="12"/>
  <c r="BE35" i="12"/>
  <c r="BL3" i="12"/>
  <c r="BO51" i="12"/>
  <c r="BJ39" i="12"/>
  <c r="BI46" i="12"/>
  <c r="BP8" i="12"/>
  <c r="BI30" i="12"/>
  <c r="BK20" i="12"/>
  <c r="BE52" i="12"/>
  <c r="BL57" i="12"/>
  <c r="BI32" i="12"/>
  <c r="BI9" i="12"/>
  <c r="BO23" i="12"/>
  <c r="BI15" i="12"/>
  <c r="BH15" i="12"/>
  <c r="BP2" i="12"/>
  <c r="BG10" i="1"/>
  <c r="BF10" i="1"/>
  <c r="BJ10" i="1"/>
  <c r="BI10" i="1"/>
  <c r="BH10" i="1"/>
  <c r="N7" i="2"/>
  <c r="I7" i="16" s="1"/>
  <c r="N8" i="2"/>
  <c r="I8" i="16" s="1"/>
  <c r="N10" i="2"/>
  <c r="N16" i="2"/>
  <c r="I16" i="16" s="1"/>
  <c r="N11" i="2"/>
  <c r="N12" i="2"/>
  <c r="N13" i="2"/>
  <c r="N14" i="2"/>
  <c r="N17" i="2"/>
  <c r="I17" i="16" s="1"/>
  <c r="N19" i="2"/>
  <c r="I19" i="16" s="1"/>
  <c r="N20" i="2"/>
  <c r="I20" i="16" s="1"/>
  <c r="N6" i="2"/>
  <c r="M8" i="2"/>
  <c r="H8" i="16" s="1"/>
  <c r="M10" i="2"/>
  <c r="M11" i="2"/>
  <c r="M12" i="2"/>
  <c r="M13" i="2"/>
  <c r="M14" i="2"/>
  <c r="M19" i="2"/>
  <c r="M7" i="2"/>
  <c r="H7" i="16" s="1"/>
  <c r="M16" i="2"/>
  <c r="H16" i="16" s="1"/>
  <c r="M17" i="2"/>
  <c r="H17" i="16" s="1"/>
  <c r="M20" i="2"/>
  <c r="H20" i="16" s="1"/>
  <c r="M6" i="2"/>
  <c r="I39" i="10"/>
  <c r="W8" i="10" s="1"/>
  <c r="Z8" i="10" s="1"/>
  <c r="Z11" i="10" s="1"/>
  <c r="AA11" i="10" s="1"/>
  <c r="K17" i="2"/>
  <c r="F17" i="16" s="1"/>
  <c r="K19" i="2"/>
  <c r="F19" i="16" s="1"/>
  <c r="K20" i="2"/>
  <c r="F20" i="16" s="1"/>
  <c r="K7" i="2"/>
  <c r="F7" i="16" s="1"/>
  <c r="K6" i="2"/>
  <c r="F6" i="16" s="1"/>
  <c r="K8" i="2"/>
  <c r="F8" i="16" s="1"/>
  <c r="K10" i="2"/>
  <c r="K11" i="2"/>
  <c r="K12" i="2"/>
  <c r="K13" i="2"/>
  <c r="K14" i="2"/>
  <c r="K16" i="2"/>
  <c r="F16" i="16" s="1"/>
  <c r="N48" i="2"/>
  <c r="AA9" i="2"/>
  <c r="J48" i="2"/>
  <c r="J47" i="2"/>
  <c r="I45" i="2"/>
  <c r="J45" i="2"/>
  <c r="BE34" i="12" l="1"/>
  <c r="BK9" i="12"/>
  <c r="BE53" i="7"/>
  <c r="BJ57" i="12"/>
  <c r="BL18" i="12"/>
  <c r="BH45" i="7"/>
  <c r="BK3" i="12"/>
  <c r="BP9" i="7"/>
  <c r="BK24" i="12"/>
  <c r="BK12" i="12"/>
  <c r="BJ31" i="7"/>
  <c r="BP38" i="7"/>
  <c r="BL39" i="7"/>
  <c r="BL29" i="12"/>
  <c r="BM6" i="7"/>
  <c r="BK55" i="12"/>
  <c r="BK16" i="12"/>
  <c r="BO28" i="7"/>
  <c r="BG33" i="7"/>
  <c r="BM24" i="7"/>
  <c r="BK19" i="7"/>
  <c r="BM17" i="12"/>
  <c r="BN27" i="12"/>
  <c r="BK2" i="7"/>
  <c r="BK32" i="12"/>
  <c r="BJ52" i="7"/>
  <c r="BN35" i="12"/>
  <c r="BO14" i="12"/>
  <c r="BJ47" i="7"/>
  <c r="BF22" i="7"/>
  <c r="BK39" i="12"/>
  <c r="BL30" i="12"/>
  <c r="BG48" i="7"/>
  <c r="BL19" i="7"/>
  <c r="BK29" i="12"/>
  <c r="BK58" i="12"/>
  <c r="BL48" i="12"/>
  <c r="BJ35" i="12"/>
  <c r="BH30" i="12"/>
  <c r="BI31" i="12"/>
  <c r="BH23" i="7"/>
  <c r="BM32" i="7"/>
  <c r="BF43" i="7"/>
  <c r="BM26" i="7"/>
  <c r="BO23" i="7"/>
  <c r="BK7" i="7"/>
  <c r="BH35" i="12"/>
  <c r="BH8" i="12"/>
  <c r="BM14" i="7"/>
  <c r="BK54" i="7"/>
  <c r="BM52" i="7"/>
  <c r="BG44" i="12"/>
  <c r="BO32" i="12"/>
  <c r="BP28" i="12"/>
  <c r="BP8" i="7"/>
  <c r="BN25" i="7"/>
  <c r="BN37" i="7"/>
  <c r="BP20" i="12"/>
  <c r="BO34" i="12"/>
  <c r="BI52" i="12"/>
  <c r="BG14" i="12"/>
  <c r="BK25" i="12"/>
  <c r="BL55" i="12"/>
  <c r="BE17" i="7"/>
  <c r="BM2" i="7"/>
  <c r="BE29" i="7"/>
  <c r="BN18" i="7"/>
  <c r="BM34" i="7"/>
  <c r="BO48" i="7"/>
  <c r="BF40" i="7"/>
  <c r="BM7" i="7"/>
  <c r="BN41" i="12"/>
  <c r="BN7" i="12"/>
  <c r="BN25" i="12"/>
  <c r="BP33" i="12"/>
  <c r="BP58" i="12"/>
  <c r="BI45" i="12"/>
  <c r="BN3" i="7"/>
  <c r="BL26" i="7"/>
  <c r="BH41" i="7"/>
  <c r="BK50" i="7"/>
  <c r="BJ4" i="7"/>
  <c r="BG26" i="7"/>
  <c r="BM20" i="7"/>
  <c r="BK4" i="7"/>
  <c r="BG38" i="7"/>
  <c r="BP5" i="7"/>
  <c r="BK14" i="7"/>
  <c r="BH39" i="7"/>
  <c r="BN9" i="7"/>
  <c r="BK23" i="12"/>
  <c r="BG43" i="12"/>
  <c r="BP12" i="7"/>
  <c r="BM47" i="7"/>
  <c r="BK47" i="12"/>
  <c r="BI39" i="12"/>
  <c r="BI24" i="12"/>
  <c r="BH56" i="12"/>
  <c r="BL54" i="12"/>
  <c r="BK16" i="1"/>
  <c r="BN26" i="7"/>
  <c r="BE52" i="7"/>
  <c r="BO50" i="7"/>
  <c r="BM22" i="7"/>
  <c r="BH36" i="7"/>
  <c r="BN5" i="7"/>
  <c r="BO13" i="7"/>
  <c r="BE19" i="7"/>
  <c r="BJ38" i="7"/>
  <c r="BI44" i="7"/>
  <c r="BK35" i="7"/>
  <c r="BM50" i="7"/>
  <c r="BK47" i="7"/>
  <c r="BK25" i="7"/>
  <c r="BL54" i="7"/>
  <c r="BP25" i="12"/>
  <c r="BI55" i="7"/>
  <c r="BL13" i="12"/>
  <c r="BL45" i="12"/>
  <c r="BH38" i="12"/>
  <c r="BN22" i="7"/>
  <c r="BE21" i="7"/>
  <c r="BM12" i="7"/>
  <c r="BO56" i="12"/>
  <c r="BI41" i="12"/>
  <c r="BN44" i="12"/>
  <c r="BE37" i="12"/>
  <c r="BP12" i="1"/>
  <c r="BN27" i="7"/>
  <c r="BH15" i="7"/>
  <c r="BO55" i="7"/>
  <c r="BG25" i="7"/>
  <c r="BJ45" i="7"/>
  <c r="BG27" i="7"/>
  <c r="BN17" i="12"/>
  <c r="BP26" i="12"/>
  <c r="BE25" i="12"/>
  <c r="BH32" i="12"/>
  <c r="BE46" i="12"/>
  <c r="BN17" i="1"/>
  <c r="BM41" i="7"/>
  <c r="BF58" i="7"/>
  <c r="BF46" i="7"/>
  <c r="BP28" i="7"/>
  <c r="BF37" i="7"/>
  <c r="BG41" i="7"/>
  <c r="BN40" i="7"/>
  <c r="BL16" i="5"/>
  <c r="BL42" i="7"/>
  <c r="BF52" i="7"/>
  <c r="BI25" i="7"/>
  <c r="BP22" i="7"/>
  <c r="BN19" i="7"/>
  <c r="BI52" i="7"/>
  <c r="BL27" i="7"/>
  <c r="BF48" i="7"/>
  <c r="BH44" i="7"/>
  <c r="BP13" i="7"/>
  <c r="BE58" i="7"/>
  <c r="BG6" i="7"/>
  <c r="BO43" i="7"/>
  <c r="BH13" i="7"/>
  <c r="BJ7" i="7"/>
  <c r="BI42" i="7"/>
  <c r="BL53" i="7"/>
  <c r="BG28" i="5"/>
  <c r="BJ20" i="7"/>
  <c r="BO16" i="7"/>
  <c r="BK29" i="7"/>
  <c r="BF25" i="7"/>
  <c r="BO44" i="7"/>
  <c r="BP46" i="12"/>
  <c r="BL19" i="12"/>
  <c r="BN23" i="12"/>
  <c r="BE2" i="12"/>
  <c r="BJ53" i="12"/>
  <c r="BO25" i="12"/>
  <c r="BM34" i="12"/>
  <c r="BK32" i="5"/>
  <c r="BG54" i="1"/>
  <c r="BK13" i="7"/>
  <c r="BP43" i="7"/>
  <c r="BP26" i="7"/>
  <c r="BF26" i="7"/>
  <c r="BH50" i="7"/>
  <c r="BI43" i="7"/>
  <c r="BE26" i="7"/>
  <c r="BI57" i="7"/>
  <c r="BN2" i="7"/>
  <c r="BL13" i="7"/>
  <c r="BO34" i="7"/>
  <c r="BL40" i="7"/>
  <c r="BO19" i="7"/>
  <c r="BM37" i="7"/>
  <c r="BP21" i="7"/>
  <c r="BH48" i="5"/>
  <c r="BM19" i="7"/>
  <c r="BE50" i="7"/>
  <c r="BO17" i="12"/>
  <c r="BG6" i="12"/>
  <c r="BG31" i="12"/>
  <c r="BM39" i="12"/>
  <c r="BP48" i="12"/>
  <c r="BH45" i="12"/>
  <c r="BP36" i="12"/>
  <c r="BP22" i="12"/>
  <c r="BE16" i="12"/>
  <c r="BG30" i="1"/>
  <c r="BG52" i="7"/>
  <c r="BL3" i="7"/>
  <c r="BG45" i="7"/>
  <c r="BP32" i="7"/>
  <c r="BN29" i="7"/>
  <c r="BN42" i="7"/>
  <c r="BL23" i="7"/>
  <c r="BO32" i="7"/>
  <c r="BP55" i="7"/>
  <c r="BE40" i="7"/>
  <c r="BL15" i="7"/>
  <c r="BJ9" i="7"/>
  <c r="BL35" i="7"/>
  <c r="BH28" i="7"/>
  <c r="BF33" i="7"/>
  <c r="BL21" i="7"/>
  <c r="BO2" i="7"/>
  <c r="BP52" i="7"/>
  <c r="BM2" i="12"/>
  <c r="BE8" i="12"/>
  <c r="BK22" i="12"/>
  <c r="BO38" i="12"/>
  <c r="BH58" i="7"/>
  <c r="BP7" i="7"/>
  <c r="BG32" i="7"/>
  <c r="BO41" i="7"/>
  <c r="BO14" i="7"/>
  <c r="BL49" i="7"/>
  <c r="BK34" i="7"/>
  <c r="BO42" i="1"/>
  <c r="BO7" i="5"/>
  <c r="BL16" i="7"/>
  <c r="BL28" i="7"/>
  <c r="BO5" i="7"/>
  <c r="BK8" i="7"/>
  <c r="BJ32" i="7"/>
  <c r="BJ3" i="1"/>
  <c r="BF20" i="7"/>
  <c r="BM15" i="7"/>
  <c r="BK28" i="7"/>
  <c r="BL38" i="7"/>
  <c r="BJ41" i="12"/>
  <c r="BI4" i="12"/>
  <c r="BN16" i="12"/>
  <c r="BH50" i="12"/>
  <c r="BG26" i="1"/>
  <c r="BP30" i="7"/>
  <c r="BP4" i="7"/>
  <c r="BJ3" i="7"/>
  <c r="BF18" i="7"/>
  <c r="BO51" i="7"/>
  <c r="BL34" i="7"/>
  <c r="BL51" i="7"/>
  <c r="BO33" i="12"/>
  <c r="BE6" i="12"/>
  <c r="BI36" i="12"/>
  <c r="BP44" i="12"/>
  <c r="BM28" i="12"/>
  <c r="BM37" i="12"/>
  <c r="BM16" i="12"/>
  <c r="BM33" i="12"/>
  <c r="BO37" i="1"/>
  <c r="BM5" i="7"/>
  <c r="BP40" i="7"/>
  <c r="BJ19" i="7"/>
  <c r="BH25" i="7"/>
  <c r="BP2" i="7"/>
  <c r="BK31" i="7"/>
  <c r="BK30" i="7"/>
  <c r="BL25" i="7"/>
  <c r="BG9" i="7"/>
  <c r="BH3" i="7"/>
  <c r="BL50" i="7"/>
  <c r="BH38" i="7"/>
  <c r="BP18" i="7"/>
  <c r="BE27" i="7"/>
  <c r="BG4" i="1"/>
  <c r="BM49" i="1"/>
  <c r="BJ45" i="1"/>
  <c r="BO38" i="1"/>
  <c r="BF2" i="1"/>
  <c r="BF48" i="1"/>
  <c r="BG2" i="1"/>
  <c r="BN18" i="5"/>
  <c r="BN55" i="1"/>
  <c r="BK22" i="5"/>
  <c r="BK9" i="5"/>
  <c r="BN33" i="5"/>
  <c r="BG38" i="1"/>
  <c r="BN52" i="1"/>
  <c r="BM38" i="1"/>
  <c r="BN24" i="1"/>
  <c r="BP56" i="1"/>
  <c r="BP40" i="1"/>
  <c r="BK53" i="5"/>
  <c r="BN30" i="1"/>
  <c r="BK36" i="5"/>
  <c r="BH53" i="1"/>
  <c r="BH15" i="1"/>
  <c r="BH32" i="1"/>
  <c r="BK50" i="1"/>
  <c r="BN45" i="1"/>
  <c r="BO13" i="1"/>
  <c r="BO17" i="1"/>
  <c r="BO2" i="12"/>
  <c r="BM20" i="12"/>
  <c r="BO19" i="12"/>
  <c r="BL16" i="12"/>
  <c r="BP15" i="12"/>
  <c r="BG49" i="12"/>
  <c r="BE44" i="12"/>
  <c r="BL28" i="12"/>
  <c r="BG47" i="12"/>
  <c r="BN20" i="12"/>
  <c r="BJ17" i="12"/>
  <c r="BL26" i="12"/>
  <c r="BN36" i="12"/>
  <c r="BM6" i="12"/>
  <c r="BJ23" i="5"/>
  <c r="BO56" i="5"/>
  <c r="BP13" i="5"/>
  <c r="BG57" i="1"/>
  <c r="BE12" i="1"/>
  <c r="BJ44" i="1"/>
  <c r="BH56" i="1"/>
  <c r="BL56" i="1"/>
  <c r="BM28" i="1"/>
  <c r="BO7" i="1"/>
  <c r="BN5" i="1"/>
  <c r="BM41" i="1"/>
  <c r="BO6" i="1"/>
  <c r="BH46" i="7"/>
  <c r="BL42" i="1"/>
  <c r="BG47" i="1"/>
  <c r="BM20" i="1"/>
  <c r="BP48" i="5"/>
  <c r="BI22" i="1"/>
  <c r="BO33" i="1"/>
  <c r="BL37" i="1"/>
  <c r="BP58" i="5"/>
  <c r="BN31" i="5"/>
  <c r="BN9" i="1"/>
  <c r="BH38" i="1"/>
  <c r="BL3" i="1"/>
  <c r="BO40" i="1"/>
  <c r="BL49" i="1"/>
  <c r="BN19" i="1"/>
  <c r="BM7" i="5"/>
  <c r="BL44" i="1"/>
  <c r="BH36" i="1"/>
  <c r="BM45" i="5"/>
  <c r="BJ17" i="1"/>
  <c r="BL2" i="1"/>
  <c r="BN12" i="1"/>
  <c r="BM35" i="1"/>
  <c r="BK38" i="1"/>
  <c r="BO41" i="12"/>
  <c r="BO3" i="12"/>
  <c r="BH53" i="12"/>
  <c r="BH12" i="12"/>
  <c r="BE40" i="12"/>
  <c r="BO30" i="12"/>
  <c r="BN46" i="12"/>
  <c r="BO29" i="12"/>
  <c r="BM50" i="12"/>
  <c r="BG28" i="12"/>
  <c r="BO39" i="12"/>
  <c r="BP21" i="12"/>
  <c r="BP32" i="12"/>
  <c r="BG40" i="12"/>
  <c r="BG56" i="5"/>
  <c r="BH32" i="5"/>
  <c r="BN52" i="5"/>
  <c r="BE45" i="1"/>
  <c r="BG37" i="1"/>
  <c r="BN2" i="1"/>
  <c r="BJ13" i="1"/>
  <c r="BL22" i="1"/>
  <c r="BO50" i="1"/>
  <c r="BO12" i="1"/>
  <c r="BO54" i="1"/>
  <c r="BK43" i="1"/>
  <c r="BM34" i="1"/>
  <c r="BF54" i="1"/>
  <c r="BM26" i="1"/>
  <c r="BO18" i="1"/>
  <c r="BG50" i="1"/>
  <c r="BG18" i="12"/>
  <c r="BP3" i="12"/>
  <c r="BK37" i="12"/>
  <c r="BH21" i="12"/>
  <c r="BL46" i="12"/>
  <c r="BP37" i="12"/>
  <c r="BP16" i="12"/>
  <c r="BI22" i="12"/>
  <c r="BM23" i="12"/>
  <c r="BK26" i="12"/>
  <c r="BM3" i="12"/>
  <c r="BK31" i="12"/>
  <c r="BM55" i="12"/>
  <c r="BM29" i="12"/>
  <c r="BL56" i="5"/>
  <c r="BK54" i="5"/>
  <c r="BJ49" i="5"/>
  <c r="BJ33" i="1"/>
  <c r="BG51" i="1"/>
  <c r="BJ25" i="1"/>
  <c r="BI29" i="1"/>
  <c r="BM17" i="1"/>
  <c r="BK23" i="1"/>
  <c r="BL51" i="1"/>
  <c r="BP7" i="1"/>
  <c r="BP8" i="1"/>
  <c r="BK33" i="1"/>
  <c r="BH13" i="1"/>
  <c r="BL52" i="1"/>
  <c r="BI44" i="1"/>
  <c r="BP54" i="1"/>
  <c r="BI56" i="1"/>
  <c r="BP2" i="1"/>
  <c r="BJ42" i="1"/>
  <c r="BM9" i="1"/>
  <c r="BK27" i="1"/>
  <c r="BP37" i="1"/>
  <c r="BL36" i="5"/>
  <c r="BL32" i="1"/>
  <c r="BL25" i="5"/>
  <c r="BE55" i="1"/>
  <c r="BF46" i="1"/>
  <c r="BO32" i="1"/>
  <c r="BP57" i="12"/>
  <c r="BO21" i="12"/>
  <c r="BI39" i="5"/>
  <c r="BE46" i="1"/>
  <c r="BJ15" i="1"/>
  <c r="BG53" i="1"/>
  <c r="BN35" i="1"/>
  <c r="BO45" i="1"/>
  <c r="BP35" i="1"/>
  <c r="BL31" i="1"/>
  <c r="BP42" i="1"/>
  <c r="BP53" i="1"/>
  <c r="BO22" i="5"/>
  <c r="BF58" i="1"/>
  <c r="BM55" i="1"/>
  <c r="BF44" i="5"/>
  <c r="BE44" i="1"/>
  <c r="BL25" i="1"/>
  <c r="BP30" i="1"/>
  <c r="BO27" i="12"/>
  <c r="BL25" i="12"/>
  <c r="BK53" i="12"/>
  <c r="BP18" i="12"/>
  <c r="BG33" i="12"/>
  <c r="BL31" i="12"/>
  <c r="BH36" i="12"/>
  <c r="BH17" i="12"/>
  <c r="BO31" i="5"/>
  <c r="BJ51" i="1"/>
  <c r="BH18" i="12"/>
  <c r="BH6" i="12"/>
  <c r="BH24" i="12"/>
  <c r="BO22" i="12"/>
  <c r="BN15" i="12"/>
  <c r="BG46" i="12"/>
  <c r="BJ30" i="12"/>
  <c r="BM43" i="12"/>
  <c r="BK40" i="12"/>
  <c r="BG27" i="12"/>
  <c r="BL14" i="12"/>
  <c r="BK36" i="12"/>
  <c r="BM52" i="12"/>
  <c r="BM36" i="5"/>
  <c r="BP39" i="5"/>
  <c r="BG52" i="5"/>
  <c r="BI6" i="1"/>
  <c r="BE9" i="1"/>
  <c r="BG22" i="1"/>
  <c r="BJ19" i="1"/>
  <c r="BJ56" i="1"/>
  <c r="BL14" i="1"/>
  <c r="BP27" i="1"/>
  <c r="BM21" i="1"/>
  <c r="BO27" i="1"/>
  <c r="BO4" i="1"/>
  <c r="BF44" i="7"/>
  <c r="BK36" i="7"/>
  <c r="BN38" i="7"/>
  <c r="BG37" i="7"/>
  <c r="BN50" i="5"/>
  <c r="BL50" i="1"/>
  <c r="BJ28" i="1"/>
  <c r="BN37" i="5"/>
  <c r="BJ57" i="1"/>
  <c r="BG45" i="1"/>
  <c r="BM13" i="1"/>
  <c r="BL58" i="1"/>
  <c r="BE31" i="12"/>
  <c r="BP9" i="12"/>
  <c r="BM40" i="12"/>
  <c r="BO5" i="5"/>
  <c r="BI33" i="5"/>
  <c r="BE39" i="1"/>
  <c r="BJ2" i="12"/>
  <c r="BI8" i="12"/>
  <c r="BN54" i="12"/>
  <c r="BH29" i="12"/>
  <c r="BP49" i="12"/>
  <c r="BE43" i="12"/>
  <c r="BI50" i="12"/>
  <c r="BI17" i="12"/>
  <c r="BG8" i="12"/>
  <c r="BM26" i="12"/>
  <c r="BF19" i="12"/>
  <c r="BG39" i="12"/>
  <c r="BN56" i="12"/>
  <c r="BK8" i="12"/>
  <c r="BM4" i="5"/>
  <c r="BI55" i="5"/>
  <c r="BM33" i="5"/>
  <c r="BH20" i="1"/>
  <c r="BF8" i="1"/>
  <c r="BJ34" i="1"/>
  <c r="BG29" i="1"/>
  <c r="BP47" i="1"/>
  <c r="BK41" i="1"/>
  <c r="BM15" i="1"/>
  <c r="BN4" i="1"/>
  <c r="BM7" i="1"/>
  <c r="BN31" i="1"/>
  <c r="BI48" i="7"/>
  <c r="BP34" i="7"/>
  <c r="BO17" i="7"/>
  <c r="BL57" i="7"/>
  <c r="BG56" i="1"/>
  <c r="BK4" i="1"/>
  <c r="BJ21" i="1"/>
  <c r="BF30" i="1"/>
  <c r="BG21" i="1"/>
  <c r="BF25" i="1"/>
  <c r="BE37" i="1"/>
  <c r="BE26" i="1"/>
  <c r="BO2" i="1"/>
  <c r="BE20" i="1"/>
  <c r="BM2" i="1"/>
  <c r="BJ46" i="1"/>
  <c r="BF33" i="1"/>
  <c r="BO9" i="1"/>
  <c r="BN57" i="1"/>
  <c r="BO41" i="1"/>
  <c r="BK5" i="1"/>
  <c r="BO30" i="1"/>
  <c r="BO20" i="1"/>
  <c r="BL34" i="1"/>
  <c r="BP55" i="1"/>
  <c r="BM36" i="1"/>
  <c r="BK19" i="1"/>
  <c r="BL21" i="1"/>
  <c r="BM33" i="1"/>
  <c r="BK35" i="1"/>
  <c r="BK12" i="1"/>
  <c r="BL27" i="1"/>
  <c r="BN46" i="1"/>
  <c r="BM12" i="1"/>
  <c r="BF15" i="1"/>
  <c r="BK14" i="1"/>
  <c r="BM25" i="1"/>
  <c r="BE56" i="1"/>
  <c r="BK48" i="1"/>
  <c r="BP35" i="5"/>
  <c r="BO26" i="5"/>
  <c r="BG35" i="5"/>
  <c r="BL15" i="5"/>
  <c r="BF19" i="5"/>
  <c r="BL9" i="1"/>
  <c r="BJ36" i="1"/>
  <c r="BJ54" i="1"/>
  <c r="BH44" i="1"/>
  <c r="BI18" i="1"/>
  <c r="BJ40" i="1"/>
  <c r="BI5" i="1"/>
  <c r="BE34" i="1"/>
  <c r="BJ24" i="1"/>
  <c r="BE27" i="1"/>
  <c r="BG44" i="1"/>
  <c r="V5" i="4"/>
  <c r="BO34" i="1"/>
  <c r="BP25" i="1"/>
  <c r="BM29" i="1"/>
  <c r="BO19" i="1"/>
  <c r="BO35" i="1"/>
  <c r="BL18" i="1"/>
  <c r="BO43" i="1"/>
  <c r="BP23" i="1"/>
  <c r="BP3" i="1"/>
  <c r="BK26" i="1"/>
  <c r="BN15" i="1"/>
  <c r="BL41" i="1"/>
  <c r="BN32" i="1"/>
  <c r="BO46" i="1"/>
  <c r="BO21" i="1"/>
  <c r="BN27" i="1"/>
  <c r="BA110" i="14"/>
  <c r="BJ93" i="14"/>
  <c r="AZ81" i="14"/>
  <c r="BA91" i="14"/>
  <c r="BF98" i="14"/>
  <c r="BK80" i="14"/>
  <c r="BI65" i="14"/>
  <c r="BD106" i="14"/>
  <c r="BD119" i="14"/>
  <c r="BC106" i="14"/>
  <c r="BA98" i="14"/>
  <c r="BK89" i="14"/>
  <c r="BI81" i="14"/>
  <c r="BB103" i="14"/>
  <c r="BJ110" i="14"/>
  <c r="AZ70" i="14"/>
  <c r="BC120" i="14"/>
  <c r="AZ94" i="14"/>
  <c r="BI107" i="14"/>
  <c r="BC90" i="14"/>
  <c r="BD117" i="14"/>
  <c r="BK108" i="14"/>
  <c r="BB118" i="14"/>
  <c r="BK96" i="14"/>
  <c r="BI88" i="14"/>
  <c r="BB63" i="14"/>
  <c r="AZ63" i="14"/>
  <c r="BB96" i="14"/>
  <c r="BI110" i="14"/>
  <c r="BG116" i="14"/>
  <c r="BK91" i="14"/>
  <c r="AZ101" i="14"/>
  <c r="BB98" i="14"/>
  <c r="BA85" i="14"/>
  <c r="BK118" i="14"/>
  <c r="BF107" i="14"/>
  <c r="BF101" i="14"/>
  <c r="BC100" i="14"/>
  <c r="BE116" i="14"/>
  <c r="BC94" i="14"/>
  <c r="BK107" i="14"/>
  <c r="BE83" i="14"/>
  <c r="BK65" i="14"/>
  <c r="BK66" i="14"/>
  <c r="AZ117" i="14"/>
  <c r="BB102" i="14"/>
  <c r="BE91" i="14"/>
  <c r="BC76" i="14"/>
  <c r="BJ115" i="14"/>
  <c r="BK103" i="14"/>
  <c r="BI95" i="14"/>
  <c r="BG87" i="14"/>
  <c r="BB119" i="14"/>
  <c r="BJ92" i="14"/>
  <c r="AZ112" i="14"/>
  <c r="BC79" i="14"/>
  <c r="AZ104" i="14"/>
  <c r="BE88" i="14"/>
  <c r="BK63" i="14"/>
  <c r="BD89" i="14"/>
  <c r="AZ110" i="14"/>
  <c r="BC92" i="14"/>
  <c r="BJ64" i="14"/>
  <c r="BI96" i="14"/>
  <c r="BE102" i="14"/>
  <c r="BJ116" i="14"/>
  <c r="BC110" i="14"/>
  <c r="BE76" i="14"/>
  <c r="BG118" i="14"/>
  <c r="BD105" i="14"/>
  <c r="BK102" i="14"/>
  <c r="BE78" i="14"/>
  <c r="BC70" i="14"/>
  <c r="BB82" i="14"/>
  <c r="BK73" i="14"/>
  <c r="BI115" i="14"/>
  <c r="BB116" i="14"/>
  <c r="BB117" i="14"/>
  <c r="BG88" i="14"/>
  <c r="BB109" i="14"/>
  <c r="BK83" i="14"/>
  <c r="BK100" i="14"/>
  <c r="BI92" i="14"/>
  <c r="AZ85" i="14"/>
  <c r="BD69" i="14"/>
  <c r="BE63" i="14"/>
  <c r="BK110" i="14"/>
  <c r="BJ81" i="14"/>
  <c r="AZ98" i="14"/>
  <c r="BK111" i="14"/>
  <c r="BA100" i="14"/>
  <c r="BK109" i="14"/>
  <c r="BI101" i="14"/>
  <c r="BG93" i="14"/>
  <c r="BE85" i="14"/>
  <c r="BK67" i="14"/>
  <c r="BK68" i="14"/>
  <c r="BD108" i="14"/>
  <c r="BB100" i="14"/>
  <c r="AZ92" i="14"/>
  <c r="BJ83" i="14"/>
  <c r="BD66" i="14"/>
  <c r="AZ119" i="14"/>
  <c r="BD109" i="14"/>
  <c r="BJ63" i="14"/>
  <c r="BJ118" i="14"/>
  <c r="BB115" i="14"/>
  <c r="BE117" i="14"/>
  <c r="BK92" i="14"/>
  <c r="BE121" i="14"/>
  <c r="BJ99" i="14"/>
  <c r="BE80" i="14"/>
  <c r="BI64" i="14"/>
  <c r="BK101" i="14"/>
  <c r="BK87" i="14"/>
  <c r="BE70" i="14"/>
  <c r="BC99" i="14"/>
  <c r="AZ87" i="14"/>
  <c r="BF105" i="14"/>
  <c r="BK76" i="14"/>
  <c r="BE90" i="14"/>
  <c r="BG63" i="14"/>
  <c r="BJ121" i="14"/>
  <c r="BG74" i="14"/>
  <c r="BB90" i="14"/>
  <c r="BC119" i="14"/>
  <c r="AZ64" i="14"/>
  <c r="BC95" i="14"/>
  <c r="BG69" i="14"/>
  <c r="AZ88" i="14"/>
  <c r="BK117" i="14"/>
  <c r="BE81" i="14"/>
  <c r="BK98" i="14"/>
  <c r="BE94" i="14"/>
  <c r="BA76" i="14"/>
  <c r="BK85" i="14"/>
  <c r="BI77" i="14"/>
  <c r="BK75" i="14"/>
  <c r="BB106" i="14"/>
  <c r="BG96" i="14"/>
  <c r="BC84" i="14"/>
  <c r="BE65" i="14"/>
  <c r="AZ99" i="14"/>
  <c r="BD67" i="14"/>
  <c r="BE110" i="14"/>
  <c r="BA94" i="14"/>
  <c r="AZ74" i="14"/>
  <c r="BG85" i="14"/>
  <c r="BI116" i="14"/>
  <c r="AZ91" i="14"/>
  <c r="BK77" i="14"/>
  <c r="BG117" i="14"/>
  <c r="BE95" i="14"/>
  <c r="BK70" i="14"/>
  <c r="AZ95" i="14"/>
  <c r="BK90" i="14"/>
  <c r="BE92" i="14"/>
  <c r="BK74" i="14"/>
  <c r="BE64" i="14"/>
  <c r="BB107" i="14"/>
  <c r="BD102" i="14"/>
  <c r="BA121" i="14"/>
  <c r="BD90" i="14"/>
  <c r="AZ108" i="14"/>
  <c r="BE107" i="14"/>
  <c r="BG94" i="14"/>
  <c r="BI74" i="14"/>
  <c r="BD100" i="14"/>
  <c r="BC93" i="14"/>
  <c r="BB91" i="14"/>
  <c r="BB78" i="14"/>
  <c r="BG95" i="14"/>
  <c r="BK79" i="14"/>
  <c r="BD70" i="14"/>
  <c r="BA83" i="14"/>
  <c r="BG99" i="14"/>
  <c r="BK82" i="14"/>
  <c r="BA64" i="14"/>
  <c r="BE74" i="14"/>
  <c r="BE87" i="14"/>
  <c r="BI90" i="14"/>
  <c r="BG70" i="14"/>
  <c r="BF119" i="14"/>
  <c r="BC91" i="14"/>
  <c r="AZ106" i="14"/>
  <c r="BG83" i="14"/>
  <c r="BK119" i="14"/>
  <c r="BJ100" i="14"/>
  <c r="BA117" i="14"/>
  <c r="BK116" i="14"/>
  <c r="BF115" i="14"/>
  <c r="BC103" i="14"/>
  <c r="BA74" i="14"/>
  <c r="BK81" i="14"/>
  <c r="AZ107" i="14"/>
  <c r="BE82" i="14"/>
  <c r="BK115" i="14"/>
  <c r="BJ102" i="14"/>
  <c r="BF104" i="14"/>
  <c r="AZ116" i="14"/>
  <c r="BK93" i="14"/>
  <c r="BB80" i="14"/>
  <c r="BA63" i="14"/>
  <c r="BK106" i="14"/>
  <c r="BI87" i="14"/>
  <c r="BE106" i="14"/>
  <c r="BD94" i="14"/>
  <c r="BJ74" i="14"/>
  <c r="AZ118" i="14"/>
  <c r="BJ95" i="14"/>
  <c r="AZ109" i="14"/>
  <c r="BB64" i="14"/>
  <c r="BB77" i="14"/>
  <c r="BI80" i="14"/>
  <c r="BG90" i="14"/>
  <c r="BC81" i="14"/>
  <c r="BB69" i="14"/>
  <c r="BE119" i="14"/>
  <c r="BB86" i="14"/>
  <c r="AZ69" i="14"/>
  <c r="BB110" i="14"/>
  <c r="BJ104" i="14"/>
  <c r="BI104" i="14"/>
  <c r="BK120" i="14"/>
  <c r="BJ65" i="14"/>
  <c r="BK105" i="14"/>
  <c r="BK121" i="14"/>
  <c r="AZ73" i="14"/>
  <c r="BK86" i="14"/>
  <c r="BB74" i="14"/>
  <c r="BF120" i="14"/>
  <c r="BE86" i="14"/>
  <c r="BB95" i="14"/>
  <c r="BK84" i="14"/>
  <c r="BC87" i="14"/>
  <c r="BJ101" i="14"/>
  <c r="BB83" i="14"/>
  <c r="BJ105" i="14"/>
  <c r="AZ79" i="14"/>
  <c r="BK99" i="14"/>
  <c r="AZ120" i="14"/>
  <c r="BK69" i="14"/>
  <c r="BF99" i="14"/>
  <c r="BE120" i="14"/>
  <c r="BI105" i="14"/>
  <c r="BC105" i="14"/>
  <c r="AZ68" i="14"/>
  <c r="BD83" i="14"/>
  <c r="BB99" i="14"/>
  <c r="BA86" i="14"/>
  <c r="BF92" i="14"/>
  <c r="BI108" i="14"/>
  <c r="AZ78" i="14"/>
  <c r="BB120" i="14"/>
  <c r="BB121" i="14"/>
  <c r="BA108" i="14"/>
  <c r="BE89" i="14"/>
  <c r="AZ82" i="14"/>
  <c r="BC116" i="14"/>
  <c r="BI70" i="14"/>
  <c r="BC108" i="14"/>
  <c r="BJ76" i="14"/>
  <c r="BK78" i="14"/>
  <c r="BI89" i="14"/>
  <c r="BE93" i="14"/>
  <c r="BF74" i="14"/>
  <c r="BE69" i="14"/>
  <c r="AZ66" i="14"/>
  <c r="AZ80" i="14"/>
  <c r="BK112" i="14"/>
  <c r="BK88" i="14"/>
  <c r="BB87" i="14"/>
  <c r="BI69" i="14"/>
  <c r="BJ112" i="14"/>
  <c r="BB65" i="14"/>
  <c r="AZ65" i="14"/>
  <c r="BK95" i="14"/>
  <c r="BE66" i="14"/>
  <c r="BD79" i="14"/>
  <c r="BJ91" i="14"/>
  <c r="BF112" i="14"/>
  <c r="BJ67" i="14"/>
  <c r="BC74" i="14"/>
  <c r="BK94" i="14"/>
  <c r="BJ66" i="14"/>
  <c r="BI117" i="14"/>
  <c r="BE104" i="14"/>
  <c r="BA95" i="14"/>
  <c r="BJ94" i="14"/>
  <c r="BA69" i="14"/>
  <c r="BK104" i="14"/>
  <c r="BD74" i="14"/>
  <c r="BB94" i="14"/>
  <c r="BK64" i="14"/>
  <c r="BE108" i="14"/>
  <c r="BJ26" i="1"/>
  <c r="BE24" i="1"/>
  <c r="BK9" i="1"/>
  <c r="BG58" i="1"/>
  <c r="BP43" i="1"/>
  <c r="BK56" i="1"/>
  <c r="BN21" i="1"/>
  <c r="BP38" i="1"/>
  <c r="BH33" i="1"/>
  <c r="BH34" i="1"/>
  <c r="BJ27" i="1"/>
  <c r="BG13" i="1"/>
  <c r="BO23" i="1"/>
  <c r="BP34" i="1"/>
  <c r="BN18" i="1"/>
  <c r="BO8" i="1"/>
  <c r="BJ30" i="1"/>
  <c r="BE19" i="1"/>
  <c r="BN36" i="1"/>
  <c r="BO44" i="1"/>
  <c r="BN57" i="5"/>
  <c r="BI5" i="5"/>
  <c r="BK50" i="5"/>
  <c r="BL26" i="5"/>
  <c r="BM6" i="5"/>
  <c r="BJ9" i="1"/>
  <c r="BI46" i="1"/>
  <c r="BI47" i="1"/>
  <c r="BJ58" i="1"/>
  <c r="BG25" i="1"/>
  <c r="BE53" i="1"/>
  <c r="BG19" i="1"/>
  <c r="BE5" i="1"/>
  <c r="BE33" i="1"/>
  <c r="BG34" i="1"/>
  <c r="BE31" i="1"/>
  <c r="BN48" i="1"/>
  <c r="BO22" i="1"/>
  <c r="BP16" i="1"/>
  <c r="BP33" i="1"/>
  <c r="BM23" i="1"/>
  <c r="BK42" i="1"/>
  <c r="BM57" i="1"/>
  <c r="BM18" i="1"/>
  <c r="BK6" i="1"/>
  <c r="BP15" i="1"/>
  <c r="BM37" i="1"/>
  <c r="BL46" i="1"/>
  <c r="BN14" i="1"/>
  <c r="BN6" i="1"/>
  <c r="BO36" i="1"/>
  <c r="BO48" i="1"/>
  <c r="BP20" i="1"/>
  <c r="BJ40" i="7"/>
  <c r="BE51" i="7"/>
  <c r="BK55" i="7"/>
  <c r="BF57" i="7"/>
  <c r="BN56" i="7"/>
  <c r="BO24" i="7"/>
  <c r="BM53" i="7"/>
  <c r="BG53" i="7"/>
  <c r="BF17" i="7"/>
  <c r="BE22" i="7"/>
  <c r="BL30" i="7"/>
  <c r="BN17" i="7"/>
  <c r="BK56" i="7"/>
  <c r="BE4" i="7"/>
  <c r="BG4" i="7"/>
  <c r="BL33" i="7"/>
  <c r="BK38" i="7"/>
  <c r="BN21" i="7"/>
  <c r="BI33" i="1"/>
  <c r="BM44" i="1"/>
  <c r="BG8" i="1"/>
  <c r="BM14" i="1"/>
  <c r="BL53" i="1"/>
  <c r="BG40" i="1"/>
  <c r="BE50" i="1"/>
  <c r="BK17" i="1"/>
  <c r="BM30" i="1"/>
  <c r="BP6" i="5"/>
  <c r="BH31" i="1"/>
  <c r="BE48" i="1"/>
  <c r="BL45" i="1"/>
  <c r="BM32" i="1"/>
  <c r="BE42" i="1"/>
  <c r="BM6" i="1"/>
  <c r="W5" i="4"/>
  <c r="BL48" i="1"/>
  <c r="BF22" i="1"/>
  <c r="BE47" i="1"/>
  <c r="BP36" i="1"/>
  <c r="BO56" i="1"/>
  <c r="BH52" i="5"/>
  <c r="BJ53" i="1"/>
  <c r="BI28" i="1"/>
  <c r="BI9" i="1"/>
  <c r="BN40" i="1"/>
  <c r="BK30" i="1"/>
  <c r="BP45" i="1"/>
  <c r="BN34" i="1"/>
  <c r="BP51" i="5"/>
  <c r="BE7" i="1"/>
  <c r="BM56" i="1"/>
  <c r="BP17" i="1"/>
  <c r="BN36" i="7"/>
  <c r="BH47" i="7"/>
  <c r="BI36" i="1"/>
  <c r="BH18" i="1"/>
  <c r="BH51" i="1"/>
  <c r="BK2" i="1"/>
  <c r="BP24" i="1"/>
  <c r="BM43" i="1"/>
  <c r="BO26" i="1"/>
  <c r="BP52" i="1"/>
  <c r="BO29" i="1"/>
  <c r="BM45" i="1"/>
  <c r="BP5" i="1"/>
  <c r="BF24" i="1"/>
  <c r="BH37" i="1"/>
  <c r="BF34" i="1"/>
  <c r="BE51" i="1"/>
  <c r="BP9" i="1"/>
  <c r="BK34" i="1"/>
  <c r="BL4" i="1"/>
  <c r="BK24" i="1"/>
  <c r="BL15" i="1"/>
  <c r="BP28" i="1"/>
  <c r="BL24" i="1"/>
  <c r="BP4" i="1"/>
  <c r="BN43" i="1"/>
  <c r="BE30" i="1"/>
  <c r="BG55" i="1"/>
  <c r="BE54" i="1"/>
  <c r="BJ8" i="1"/>
  <c r="BI54" i="1"/>
  <c r="BN7" i="1"/>
  <c r="BK40" i="1"/>
  <c r="BN51" i="1"/>
  <c r="BM51" i="1"/>
  <c r="BL13" i="1"/>
  <c r="BM4" i="1"/>
  <c r="BK49" i="1"/>
  <c r="BM16" i="1"/>
  <c r="BN25" i="1"/>
  <c r="BN38" i="1"/>
  <c r="BK21" i="1"/>
  <c r="BN29" i="5"/>
  <c r="BM48" i="5"/>
  <c r="BI47" i="5"/>
  <c r="BJ29" i="1"/>
  <c r="BJ50" i="1"/>
  <c r="BH48" i="1"/>
  <c r="BE21" i="1"/>
  <c r="BJ5" i="1"/>
  <c r="BE18" i="1"/>
  <c r="BM3" i="1"/>
  <c r="BL33" i="1"/>
  <c r="BL55" i="1"/>
  <c r="BK51" i="1"/>
  <c r="BL36" i="1"/>
  <c r="BN16" i="1"/>
  <c r="BK32" i="1"/>
  <c r="BL12" i="1"/>
  <c r="BO31" i="1"/>
  <c r="BK46" i="1"/>
  <c r="AZ153" i="14"/>
  <c r="BJ148" i="14"/>
  <c r="AZ128" i="14"/>
  <c r="BC147" i="14"/>
  <c r="BB140" i="14"/>
  <c r="AZ151" i="14"/>
  <c r="BF152" i="14"/>
  <c r="AZ135" i="14"/>
  <c r="BD148" i="14"/>
  <c r="BD136" i="14"/>
  <c r="BK15" i="5"/>
  <c r="BM50" i="5"/>
  <c r="BK20" i="5"/>
  <c r="BI6" i="5"/>
  <c r="BG33" i="1"/>
  <c r="BH57" i="1"/>
  <c r="BE13" i="1"/>
  <c r="BJ20" i="1"/>
  <c r="BF38" i="1"/>
  <c r="BJ31" i="1"/>
  <c r="BF13" i="1"/>
  <c r="BE4" i="1"/>
  <c r="BE17" i="1"/>
  <c r="BH23" i="1"/>
  <c r="BK37" i="1"/>
  <c r="BN58" i="1"/>
  <c r="BK36" i="1"/>
  <c r="BO15" i="1"/>
  <c r="BK45" i="1"/>
  <c r="BL7" i="1"/>
  <c r="BO51" i="1"/>
  <c r="BN42" i="1"/>
  <c r="BL57" i="1"/>
  <c r="BL28" i="1"/>
  <c r="BM40" i="1"/>
  <c r="BL16" i="1"/>
  <c r="BL29" i="1"/>
  <c r="BK15" i="1"/>
  <c r="BJ28" i="7"/>
  <c r="BO56" i="7"/>
  <c r="BO20" i="7"/>
  <c r="BI28" i="7"/>
  <c r="BN33" i="7"/>
  <c r="BH14" i="7"/>
  <c r="BM49" i="7"/>
  <c r="BN41" i="7"/>
  <c r="BM16" i="7"/>
  <c r="BP24" i="7"/>
  <c r="BK37" i="7"/>
  <c r="BP31" i="7"/>
  <c r="BK12" i="7"/>
  <c r="BH29" i="7"/>
  <c r="BM3" i="7"/>
  <c r="BM18" i="7"/>
  <c r="BF42" i="14"/>
  <c r="BF48" i="14"/>
  <c r="BB7" i="14"/>
  <c r="BB43" i="14"/>
  <c r="BA57" i="14"/>
  <c r="BF24" i="14"/>
  <c r="BF58" i="14"/>
  <c r="BB14" i="14"/>
  <c r="AZ6" i="14"/>
  <c r="BD47" i="14"/>
  <c r="AZ24" i="14"/>
  <c r="BJ50" i="14"/>
  <c r="AZ25" i="14"/>
  <c r="BF62" i="14"/>
  <c r="BI48" i="14"/>
  <c r="BF4" i="14"/>
  <c r="BI52" i="14"/>
  <c r="BA20" i="14"/>
  <c r="BI16" i="14"/>
  <c r="BE7" i="14"/>
  <c r="BB56" i="14"/>
  <c r="BD44" i="14"/>
  <c r="BI59" i="14"/>
  <c r="BA27" i="14"/>
  <c r="BB58" i="14"/>
  <c r="BC41" i="14"/>
  <c r="BD43" i="14"/>
  <c r="BF37" i="14"/>
  <c r="BA50" i="14"/>
  <c r="BC47" i="14"/>
  <c r="AZ9" i="14"/>
  <c r="BE24" i="14"/>
  <c r="BE53" i="14"/>
  <c r="BA53" i="14"/>
  <c r="BC56" i="14"/>
  <c r="BG31" i="14"/>
  <c r="BB59" i="14"/>
  <c r="BD25" i="14"/>
  <c r="BB17" i="14"/>
  <c r="BI35" i="14"/>
  <c r="BF41" i="14"/>
  <c r="BG5" i="14"/>
  <c r="BE34" i="14"/>
  <c r="BD45" i="14"/>
  <c r="BI34" i="14"/>
  <c r="BF36" i="14"/>
  <c r="BA56" i="14"/>
  <c r="BI39" i="14"/>
  <c r="BE30" i="14"/>
  <c r="AZ36" i="14"/>
  <c r="BG34" i="14"/>
  <c r="BE26" i="14"/>
  <c r="AZ11" i="14"/>
  <c r="AZ42" i="14"/>
  <c r="BE46" i="14"/>
  <c r="BF61" i="14"/>
  <c r="BE5" i="14"/>
  <c r="BB46" i="14"/>
  <c r="BJ31" i="14"/>
  <c r="BC49" i="14"/>
  <c r="BI25" i="14"/>
  <c r="BE51" i="14"/>
  <c r="BG58" i="14"/>
  <c r="BE16" i="14"/>
  <c r="BD31" i="14"/>
  <c r="BI21" i="14"/>
  <c r="BI24" i="14"/>
  <c r="BD59" i="14"/>
  <c r="BA18" i="14"/>
  <c r="BJ21" i="14"/>
  <c r="BB40" i="14"/>
  <c r="BF49" i="14"/>
  <c r="BC16" i="14"/>
  <c r="BB47" i="14"/>
  <c r="BC50" i="14"/>
  <c r="BG33" i="14"/>
  <c r="BJ40" i="14"/>
  <c r="BJ59" i="14"/>
  <c r="BJ25" i="14"/>
  <c r="BF50" i="14"/>
  <c r="BG6" i="14"/>
  <c r="BE58" i="14"/>
  <c r="BA11" i="14"/>
  <c r="BG50" i="12"/>
  <c r="BM31" i="5"/>
  <c r="BJ32" i="5"/>
  <c r="BE26" i="5"/>
  <c r="BL21" i="5"/>
  <c r="BO9" i="5"/>
  <c r="BH46" i="1"/>
  <c r="BE57" i="1"/>
  <c r="BI43" i="1"/>
  <c r="BE3" i="1"/>
  <c r="BH41" i="1"/>
  <c r="BI8" i="1"/>
  <c r="BG35" i="1"/>
  <c r="BG16" i="1"/>
  <c r="BI13" i="1"/>
  <c r="BH9" i="1"/>
  <c r="BH26" i="1"/>
  <c r="BL40" i="1"/>
  <c r="BN37" i="1"/>
  <c r="BP32" i="1"/>
  <c r="BO52" i="1"/>
  <c r="BL26" i="1"/>
  <c r="BM50" i="1"/>
  <c r="BN8" i="1"/>
  <c r="BK54" i="1"/>
  <c r="BL19" i="1"/>
  <c r="BP57" i="1"/>
  <c r="BO25" i="1"/>
  <c r="BP6" i="1"/>
  <c r="BP21" i="1"/>
  <c r="BP48" i="1"/>
  <c r="BL35" i="1"/>
  <c r="BK58" i="1"/>
  <c r="BL44" i="7"/>
  <c r="BE2" i="1"/>
  <c r="BH40" i="7"/>
  <c r="BK33" i="7"/>
  <c r="BM33" i="7"/>
  <c r="BG55" i="7"/>
  <c r="BP58" i="7"/>
  <c r="BM27" i="7"/>
  <c r="BK32" i="7"/>
  <c r="BI33" i="7"/>
  <c r="BL36" i="7"/>
  <c r="BH21" i="7"/>
  <c r="BP56" i="7"/>
  <c r="BP29" i="7"/>
  <c r="BM28" i="7"/>
  <c r="BO3" i="7"/>
  <c r="BJ53" i="7"/>
  <c r="BN13" i="7"/>
  <c r="BQ10" i="5"/>
  <c r="BI7" i="12"/>
  <c r="BM36" i="12"/>
  <c r="BG7" i="12"/>
  <c r="BM8" i="12"/>
  <c r="BE58" i="12"/>
  <c r="BK49" i="12"/>
  <c r="BE9" i="12"/>
  <c r="BK48" i="12"/>
  <c r="BK43" i="12"/>
  <c r="BM22" i="12"/>
  <c r="BN6" i="12"/>
  <c r="BP30" i="12"/>
  <c r="BG4" i="12"/>
  <c r="BJ44" i="12"/>
  <c r="BJ20" i="12"/>
  <c r="BJ6" i="12"/>
  <c r="BI47" i="12"/>
  <c r="BJ38" i="12"/>
  <c r="BI3" i="12"/>
  <c r="BN19" i="12"/>
  <c r="BI40" i="12"/>
  <c r="BH31" i="12"/>
  <c r="BE14" i="12"/>
  <c r="BE18" i="12"/>
  <c r="BI20" i="12"/>
  <c r="BP56" i="12"/>
  <c r="BM24" i="12"/>
  <c r="BL43" i="12"/>
  <c r="BO44" i="12"/>
  <c r="BI54" i="12"/>
  <c r="BN4" i="12"/>
  <c r="BH44" i="12"/>
  <c r="BM47" i="12"/>
  <c r="BF37" i="5"/>
  <c r="BH43" i="5"/>
  <c r="BN24" i="5"/>
  <c r="BE28" i="5"/>
  <c r="BP52" i="5"/>
  <c r="BH54" i="5"/>
  <c r="BJ43" i="5"/>
  <c r="BE3" i="5"/>
  <c r="BI24" i="5"/>
  <c r="BH40" i="5"/>
  <c r="BL43" i="5"/>
  <c r="BN36" i="5"/>
  <c r="BO46" i="5"/>
  <c r="BO34" i="5"/>
  <c r="BJ31" i="5"/>
  <c r="BF55" i="5"/>
  <c r="BI9" i="5"/>
  <c r="BK6" i="5"/>
  <c r="BL9" i="5"/>
  <c r="BJ39" i="5"/>
  <c r="BE57" i="5"/>
  <c r="BK8" i="5"/>
  <c r="BO54" i="5"/>
  <c r="BG24" i="5"/>
  <c r="BL46" i="5"/>
  <c r="BK29" i="5"/>
  <c r="BK5" i="5"/>
  <c r="BM41" i="5"/>
  <c r="BK4" i="5"/>
  <c r="BK7" i="5"/>
  <c r="BF24" i="5"/>
  <c r="BK17" i="5"/>
  <c r="BK12" i="5"/>
  <c r="BI16" i="5"/>
  <c r="BM52" i="5"/>
  <c r="BM13" i="5"/>
  <c r="BE55" i="5"/>
  <c r="BK55" i="5"/>
  <c r="BL55" i="5"/>
  <c r="BN45" i="5"/>
  <c r="BP46" i="5"/>
  <c r="BN51" i="5"/>
  <c r="BL34" i="5"/>
  <c r="BK39" i="5"/>
  <c r="BL42" i="5"/>
  <c r="BI34" i="5"/>
  <c r="BM34" i="5"/>
  <c r="BP56" i="5"/>
  <c r="BH42" i="5"/>
  <c r="BJ52" i="5"/>
  <c r="BO3" i="5"/>
  <c r="BM22" i="5"/>
  <c r="BO55" i="5"/>
  <c r="BO33" i="5"/>
  <c r="BM27" i="5"/>
  <c r="BL4" i="5"/>
  <c r="BL47" i="5"/>
  <c r="BM17" i="5"/>
  <c r="BP7" i="5"/>
  <c r="BL49" i="5"/>
  <c r="BM32" i="5"/>
  <c r="BP23" i="5"/>
  <c r="BO47" i="5"/>
  <c r="BH27" i="5"/>
  <c r="BK49" i="5"/>
  <c r="BJ33" i="5"/>
  <c r="BF3" i="5"/>
  <c r="BO50" i="5"/>
  <c r="BI51" i="5"/>
  <c r="BO44" i="5"/>
  <c r="BJ47" i="5"/>
  <c r="BI46" i="5"/>
  <c r="BG5" i="5"/>
  <c r="BH19" i="12"/>
  <c r="BM4" i="12"/>
  <c r="BJ15" i="12"/>
  <c r="BJ13" i="12"/>
  <c r="BJ48" i="12"/>
  <c r="BH40" i="12"/>
  <c r="BK54" i="12"/>
  <c r="BJ52" i="12"/>
  <c r="BL41" i="12"/>
  <c r="BL23" i="12"/>
  <c r="BP14" i="12"/>
  <c r="BL52" i="12"/>
  <c r="BH22" i="12"/>
  <c r="BO26" i="12"/>
  <c r="BG52" i="12"/>
  <c r="BP51" i="12"/>
  <c r="BN42" i="12"/>
  <c r="BN57" i="12"/>
  <c r="BM51" i="12"/>
  <c r="BN18" i="12"/>
  <c r="BE17" i="12"/>
  <c r="BN51" i="12"/>
  <c r="BN58" i="12"/>
  <c r="BO35" i="12"/>
  <c r="BK52" i="12"/>
  <c r="BL36" i="12"/>
  <c r="BL53" i="12"/>
  <c r="BL7" i="12"/>
  <c r="BH54" i="12"/>
  <c r="BI42" i="12"/>
  <c r="BG2" i="12"/>
  <c r="BH14" i="12"/>
  <c r="BN14" i="12"/>
  <c r="BP47" i="12"/>
  <c r="BL40" i="12"/>
  <c r="BO58" i="5"/>
  <c r="BN7" i="5"/>
  <c r="BP40" i="5"/>
  <c r="BI18" i="5"/>
  <c r="BM3" i="5"/>
  <c r="BM16" i="5"/>
  <c r="BL2" i="5"/>
  <c r="BF26" i="5"/>
  <c r="BN53" i="5"/>
  <c r="BN23" i="5"/>
  <c r="BN3" i="5"/>
  <c r="BH41" i="5"/>
  <c r="BK13" i="5"/>
  <c r="BM47" i="5"/>
  <c r="BO12" i="5"/>
  <c r="BL30" i="5"/>
  <c r="BF16" i="5"/>
  <c r="BI8" i="5"/>
  <c r="BK41" i="5"/>
  <c r="BL13" i="5"/>
  <c r="BK50" i="12"/>
  <c r="BP53" i="12"/>
  <c r="BL4" i="12"/>
  <c r="BH47" i="12"/>
  <c r="BG9" i="12"/>
  <c r="BH13" i="12"/>
  <c r="BJ18" i="12"/>
  <c r="BP50" i="12"/>
  <c r="BO18" i="12"/>
  <c r="BK15" i="12"/>
  <c r="BM21" i="12"/>
  <c r="BE3" i="12"/>
  <c r="BN22" i="12"/>
  <c r="BN24" i="12"/>
  <c r="BI28" i="12"/>
  <c r="BL6" i="12"/>
  <c r="BO48" i="5"/>
  <c r="BG27" i="5"/>
  <c r="BJ5" i="5"/>
  <c r="BO41" i="5"/>
  <c r="BG17" i="5"/>
  <c r="BM25" i="5"/>
  <c r="BO17" i="5"/>
  <c r="BM15" i="5"/>
  <c r="BL53" i="5"/>
  <c r="BP19" i="5"/>
  <c r="BM12" i="5"/>
  <c r="BP53" i="5"/>
  <c r="BN22" i="5"/>
  <c r="BL31" i="5"/>
  <c r="BG13" i="5"/>
  <c r="BP49" i="5"/>
  <c r="BK40" i="5"/>
  <c r="BH3" i="5"/>
  <c r="BP2" i="5"/>
  <c r="BK3" i="5"/>
  <c r="BG50" i="5"/>
  <c r="BN55" i="5"/>
  <c r="BP18" i="5"/>
  <c r="BI36" i="5"/>
  <c r="BL8" i="5"/>
  <c r="BK18" i="5"/>
  <c r="BG6" i="5"/>
  <c r="BO21" i="5"/>
  <c r="BI48" i="12"/>
  <c r="BN39" i="12"/>
  <c r="BI14" i="12"/>
  <c r="BK56" i="12"/>
  <c r="BK19" i="12"/>
  <c r="BO47" i="12"/>
  <c r="BK41" i="12"/>
  <c r="BL8" i="12"/>
  <c r="BI6" i="12"/>
  <c r="BE42" i="12"/>
  <c r="BJ29" i="12"/>
  <c r="BO45" i="12"/>
  <c r="BF40" i="12"/>
  <c r="BO7" i="12"/>
  <c r="BO2" i="5"/>
  <c r="BN2" i="12"/>
  <c r="BE4" i="12"/>
  <c r="BO54" i="12"/>
  <c r="BG29" i="12"/>
  <c r="BG13" i="12"/>
  <c r="BM31" i="12"/>
  <c r="BE13" i="12"/>
  <c r="BP6" i="12"/>
  <c r="BL42" i="12"/>
  <c r="BJ22" i="12"/>
  <c r="BG54" i="12"/>
  <c r="BH37" i="12"/>
  <c r="BO24" i="12"/>
  <c r="BK13" i="12"/>
  <c r="BO42" i="12"/>
  <c r="BG53" i="12"/>
  <c r="BM44" i="12"/>
  <c r="BM35" i="12"/>
  <c r="BN38" i="12"/>
  <c r="BG51" i="12"/>
  <c r="BO15" i="12"/>
  <c r="BN3" i="12"/>
  <c r="BE15" i="12"/>
  <c r="BJ12" i="12"/>
  <c r="BN8" i="12"/>
  <c r="BO40" i="12"/>
  <c r="BM15" i="12"/>
  <c r="BO37" i="12"/>
  <c r="BL15" i="12"/>
  <c r="BL51" i="12"/>
  <c r="BE20" i="12"/>
  <c r="BO52" i="12"/>
  <c r="BN13" i="12"/>
  <c r="BJ14" i="12"/>
  <c r="BO4" i="12"/>
  <c r="BL50" i="12"/>
  <c r="BI37" i="12"/>
  <c r="BI45" i="5"/>
  <c r="BN58" i="5"/>
  <c r="BF42" i="5"/>
  <c r="BP4" i="5"/>
  <c r="BO20" i="5"/>
  <c r="BF50" i="5"/>
  <c r="BI32" i="5"/>
  <c r="BH8" i="5"/>
  <c r="BK44" i="5"/>
  <c r="BK56" i="5"/>
  <c r="BN4" i="5"/>
  <c r="BM19" i="5"/>
  <c r="BG36" i="5"/>
  <c r="BK38" i="5"/>
  <c r="BN8" i="5"/>
  <c r="BJ13" i="5"/>
  <c r="BJ34" i="5"/>
  <c r="BE23" i="5"/>
  <c r="BP22" i="5"/>
  <c r="BI5" i="12"/>
  <c r="BF38" i="12"/>
  <c r="BK45" i="12"/>
  <c r="BG58" i="12"/>
  <c r="BN53" i="12"/>
  <c r="BL44" i="12"/>
  <c r="BJ34" i="12"/>
  <c r="BI58" i="12"/>
  <c r="BN45" i="12"/>
  <c r="BP12" i="12"/>
  <c r="BO53" i="12"/>
  <c r="BL47" i="12"/>
  <c r="BO13" i="12"/>
  <c r="BO6" i="12"/>
  <c r="BL2" i="12"/>
  <c r="BI51" i="12"/>
  <c r="BP17" i="12"/>
  <c r="BM14" i="12"/>
  <c r="BL22" i="12"/>
  <c r="BK51" i="12"/>
  <c r="BH4" i="12"/>
  <c r="BJ9" i="12"/>
  <c r="BM13" i="12"/>
  <c r="BK5" i="12"/>
  <c r="BL27" i="12"/>
  <c r="BL12" i="12"/>
  <c r="BO57" i="12"/>
  <c r="BI29" i="12"/>
  <c r="BM7" i="12"/>
  <c r="BP39" i="12"/>
  <c r="BI18" i="12"/>
  <c r="BO43" i="12"/>
  <c r="BK14" i="12"/>
  <c r="BM32" i="12"/>
  <c r="BP13" i="12"/>
  <c r="BN21" i="12"/>
  <c r="BP4" i="12"/>
  <c r="BH57" i="12"/>
  <c r="BO46" i="12"/>
  <c r="BM9" i="12"/>
  <c r="BI49" i="12"/>
  <c r="BP55" i="12"/>
  <c r="BJ45" i="12"/>
  <c r="BH46" i="12"/>
  <c r="BN47" i="12"/>
  <c r="BG15" i="12"/>
  <c r="BJ7" i="12"/>
  <c r="BM45" i="12"/>
  <c r="BG41" i="12"/>
  <c r="BL33" i="12"/>
  <c r="BM18" i="12"/>
  <c r="BL45" i="5"/>
  <c r="BE6" i="5"/>
  <c r="BO45" i="5"/>
  <c r="BP44" i="5"/>
  <c r="BN34" i="5"/>
  <c r="BN38" i="5"/>
  <c r="BE16" i="5"/>
  <c r="BK33" i="5"/>
  <c r="BP5" i="5"/>
  <c r="BN39" i="5"/>
  <c r="BN13" i="5"/>
  <c r="BP33" i="5"/>
  <c r="BO19" i="5"/>
  <c r="BE46" i="5"/>
  <c r="BK14" i="5"/>
  <c r="BF5" i="5"/>
  <c r="BP16" i="5"/>
  <c r="BP21" i="5"/>
  <c r="BH44" i="5"/>
  <c r="BG20" i="5"/>
  <c r="BM57" i="12"/>
  <c r="BG3" i="12"/>
  <c r="BG36" i="12"/>
  <c r="BO49" i="12"/>
  <c r="BI53" i="12"/>
  <c r="BO9" i="12"/>
  <c r="BK6" i="12"/>
  <c r="BI38" i="12"/>
  <c r="BM5" i="12"/>
  <c r="BH41" i="12"/>
  <c r="BE50" i="12"/>
  <c r="BG22" i="12"/>
  <c r="BL56" i="12"/>
  <c r="BO12" i="12"/>
  <c r="BM42" i="12"/>
  <c r="BP34" i="12"/>
  <c r="BN49" i="12"/>
  <c r="BG5" i="12"/>
  <c r="BL17" i="12"/>
  <c r="BJ23" i="12"/>
  <c r="BP5" i="12"/>
  <c r="BE51" i="12"/>
  <c r="BO50" i="12"/>
  <c r="BE45" i="12"/>
  <c r="BN50" i="12"/>
  <c r="BL37" i="12"/>
  <c r="BK7" i="12"/>
  <c r="BK17" i="12"/>
  <c r="BM48" i="12"/>
  <c r="BN28" i="12"/>
  <c r="BK4" i="12"/>
  <c r="BN52" i="12"/>
  <c r="BP29" i="12"/>
  <c r="BE39" i="12"/>
  <c r="BP45" i="12"/>
  <c r="BE47" i="12"/>
  <c r="BO28" i="12"/>
  <c r="BH9" i="12"/>
  <c r="BN49" i="5"/>
  <c r="BO35" i="5"/>
  <c r="BM42" i="5"/>
  <c r="BL28" i="5"/>
  <c r="BO13" i="5"/>
  <c r="BL38" i="5"/>
  <c r="BG42" i="5"/>
  <c r="BF22" i="5"/>
  <c r="BP14" i="5"/>
  <c r="BM43" i="5"/>
  <c r="BO25" i="5"/>
  <c r="BM9" i="5"/>
  <c r="BI57" i="5"/>
  <c r="BP28" i="5"/>
  <c r="BH21" i="5"/>
  <c r="BH56" i="5"/>
  <c r="BM8" i="5"/>
  <c r="BL44" i="5"/>
  <c r="BN26" i="5"/>
  <c r="BO37" i="5"/>
  <c r="BL50" i="5"/>
  <c r="BK2" i="12"/>
  <c r="BK33" i="12"/>
  <c r="BM27" i="12"/>
  <c r="BP23" i="12"/>
  <c r="BN12" i="12"/>
  <c r="BH42" i="12"/>
  <c r="BN43" i="12"/>
  <c r="BE53" i="12"/>
  <c r="BM54" i="12"/>
  <c r="BL34" i="12"/>
  <c r="BL39" i="12"/>
  <c r="BP24" i="12"/>
  <c r="BO31" i="12"/>
  <c r="BP27" i="12"/>
  <c r="BN32" i="12"/>
  <c r="BM41" i="12"/>
  <c r="BE7" i="12"/>
  <c r="BK57" i="12"/>
  <c r="BG38" i="12"/>
  <c r="BL20" i="12"/>
  <c r="BG21" i="12"/>
  <c r="BH2" i="12"/>
  <c r="BH7" i="12"/>
  <c r="BK38" i="12"/>
  <c r="BL58" i="12"/>
  <c r="BN5" i="12"/>
  <c r="BO58" i="12"/>
  <c r="BL38" i="12"/>
  <c r="BG23" i="12"/>
  <c r="BN40" i="12"/>
  <c r="BJ3" i="12"/>
  <c r="BM19" i="12"/>
  <c r="BJ28" i="12"/>
  <c r="BK30" i="12"/>
  <c r="BK27" i="12"/>
  <c r="BL9" i="12"/>
  <c r="BN26" i="12"/>
  <c r="BK18" i="12"/>
  <c r="BK21" i="5"/>
  <c r="BK19" i="5"/>
  <c r="BL6" i="5"/>
  <c r="BK35" i="5"/>
  <c r="BO51" i="5"/>
  <c r="BK42" i="5"/>
  <c r="BL48" i="5"/>
  <c r="BF56" i="5"/>
  <c r="BE34" i="5"/>
  <c r="BE24" i="5"/>
  <c r="BF31" i="5"/>
  <c r="BO32" i="5"/>
  <c r="BK26" i="5"/>
  <c r="BK34" i="5"/>
  <c r="BM24" i="5"/>
  <c r="BL12" i="5"/>
  <c r="BI28" i="5"/>
  <c r="BP26" i="5"/>
  <c r="BE7" i="5"/>
  <c r="BK2" i="5"/>
  <c r="BK27" i="5"/>
  <c r="BG20" i="12"/>
  <c r="BE33" i="12"/>
  <c r="BP35" i="12"/>
  <c r="BE21" i="12"/>
  <c r="BN55" i="12"/>
  <c r="BO5" i="12"/>
  <c r="BP19" i="12"/>
  <c r="BN29" i="12"/>
  <c r="BE5" i="12"/>
  <c r="BP41" i="12"/>
  <c r="BH23" i="12"/>
  <c r="BM12" i="12"/>
  <c r="BJ40" i="12"/>
  <c r="BK35" i="12"/>
  <c r="BG35" i="12"/>
  <c r="BK42" i="12"/>
  <c r="BE38" i="12"/>
  <c r="BO48" i="12"/>
  <c r="BO20" i="12"/>
  <c r="BK44" i="12"/>
  <c r="BM49" i="12"/>
  <c r="BH25" i="12"/>
  <c r="BN48" i="12"/>
  <c r="BE12" i="12"/>
  <c r="BK21" i="12"/>
  <c r="BP52" i="12"/>
  <c r="BG30" i="12"/>
  <c r="BP7" i="12"/>
  <c r="BN30" i="12"/>
  <c r="BH52" i="12"/>
  <c r="BM46" i="12"/>
  <c r="BK28" i="12"/>
  <c r="BH20" i="12"/>
  <c r="BI2" i="12"/>
  <c r="BN9" i="12"/>
  <c r="BE23" i="12"/>
  <c r="BM53" i="12"/>
  <c r="BI30" i="5"/>
  <c r="BE5" i="5"/>
  <c r="BK16" i="5"/>
  <c r="BN46" i="5"/>
  <c r="BK46" i="5"/>
  <c r="BL54" i="5"/>
  <c r="BN12" i="5"/>
  <c r="BL33" i="5"/>
  <c r="BN47" i="5"/>
  <c r="BH6" i="5"/>
  <c r="BO14" i="5"/>
  <c r="BF9" i="5"/>
  <c r="BP43" i="5"/>
  <c r="BI53" i="5"/>
  <c r="BG14" i="5"/>
  <c r="BP29" i="5"/>
  <c r="BL7" i="5"/>
  <c r="BP47" i="5"/>
  <c r="BO27" i="5"/>
  <c r="BJ17" i="5"/>
  <c r="BG12" i="5"/>
  <c r="BN48" i="5"/>
  <c r="BE49" i="12"/>
  <c r="BM25" i="12"/>
  <c r="BI23" i="12"/>
  <c r="BP42" i="12"/>
  <c r="BJ36" i="12"/>
  <c r="BK46" i="12"/>
  <c r="BH5" i="12"/>
  <c r="BP54" i="12"/>
  <c r="BM58" i="12"/>
  <c r="BK34" i="12"/>
  <c r="BO16" i="12"/>
  <c r="BL24" i="12"/>
  <c r="BI13" i="12"/>
  <c r="BJ8" i="12"/>
  <c r="BO8" i="12"/>
  <c r="BL5" i="12"/>
  <c r="BL32" i="12"/>
  <c r="BH51" i="12"/>
  <c r="BL35" i="12"/>
  <c r="BN37" i="12"/>
  <c r="BH39" i="12"/>
  <c r="BJ47" i="12"/>
  <c r="BP43" i="12"/>
  <c r="BO36" i="12"/>
  <c r="BH33" i="12"/>
  <c r="BM56" i="12"/>
  <c r="BJ32" i="12"/>
  <c r="BP38" i="12"/>
  <c r="BL21" i="12"/>
  <c r="BL49" i="12"/>
  <c r="BN34" i="12"/>
  <c r="BP40" i="12"/>
  <c r="BE30" i="12"/>
  <c r="BO55" i="12"/>
  <c r="BH3" i="12"/>
  <c r="BN33" i="12"/>
  <c r="BP31" i="12"/>
  <c r="BN21" i="5"/>
  <c r="BG23" i="5"/>
  <c r="BF33" i="5"/>
  <c r="BI21" i="5"/>
  <c r="BJ35" i="5"/>
  <c r="BH26" i="5"/>
  <c r="BO29" i="5"/>
  <c r="BG54" i="5"/>
  <c r="BP15" i="5"/>
  <c r="BO36" i="5"/>
  <c r="BM26" i="5"/>
  <c r="BK48" i="5"/>
  <c r="BP42" i="5"/>
  <c r="BN28" i="5"/>
  <c r="BM18" i="5"/>
  <c r="BF45" i="5"/>
  <c r="BL41" i="5"/>
  <c r="BM28" i="5"/>
  <c r="BI2" i="7"/>
  <c r="BP50" i="7"/>
  <c r="BE15" i="7"/>
  <c r="BG17" i="7"/>
  <c r="BL5" i="7"/>
  <c r="BI9" i="7"/>
  <c r="BM44" i="7"/>
  <c r="BJ17" i="7"/>
  <c r="BM54" i="1"/>
  <c r="BL30" i="1"/>
  <c r="BP26" i="1"/>
  <c r="BL23" i="1"/>
  <c r="BP44" i="1"/>
  <c r="BK57" i="1"/>
  <c r="BL5" i="1"/>
  <c r="BL39" i="1"/>
  <c r="BO24" i="1"/>
  <c r="BN50" i="1"/>
  <c r="BO49" i="1"/>
  <c r="BK18" i="1"/>
  <c r="BM5" i="1"/>
  <c r="BO58" i="1"/>
  <c r="BK47" i="1"/>
  <c r="BK25" i="1"/>
  <c r="BK20" i="1"/>
  <c r="BN39" i="1"/>
  <c r="BL8" i="1"/>
  <c r="BN20" i="1"/>
  <c r="BI47" i="7"/>
  <c r="BM42" i="7"/>
  <c r="BN55" i="7"/>
  <c r="BN20" i="7"/>
  <c r="BP53" i="7"/>
  <c r="BO9" i="7"/>
  <c r="BG5" i="7"/>
  <c r="BH32" i="7"/>
  <c r="BN48" i="7"/>
  <c r="BJ48" i="7"/>
  <c r="BN34" i="7"/>
  <c r="BL56" i="7"/>
  <c r="BN32" i="7"/>
  <c r="BP46" i="7"/>
  <c r="BH19" i="7"/>
  <c r="BM17" i="7"/>
  <c r="BI21" i="7"/>
  <c r="BH31" i="7"/>
  <c r="BP48" i="7"/>
  <c r="BP25" i="7"/>
  <c r="BL17" i="7"/>
  <c r="BM8" i="7"/>
  <c r="BI51" i="7"/>
  <c r="BF34" i="7"/>
  <c r="BK51" i="7"/>
  <c r="BL43" i="7"/>
  <c r="BO47" i="7"/>
  <c r="BH9" i="7"/>
  <c r="BI39" i="7"/>
  <c r="BL4" i="7"/>
  <c r="BJ26" i="7"/>
  <c r="BE20" i="7"/>
  <c r="BL48" i="7"/>
  <c r="BO27" i="7"/>
  <c r="BJ48" i="1"/>
  <c r="BG52" i="1"/>
  <c r="BH29" i="1"/>
  <c r="BJ32" i="1"/>
  <c r="BO28" i="1"/>
  <c r="BO47" i="1"/>
  <c r="BN53" i="1"/>
  <c r="BM19" i="1"/>
  <c r="BO39" i="1"/>
  <c r="BO14" i="1"/>
  <c r="BM48" i="1"/>
  <c r="BM8" i="1"/>
  <c r="BM22" i="1"/>
  <c r="BN13" i="1"/>
  <c r="BP31" i="1"/>
  <c r="BN29" i="1"/>
  <c r="BL38" i="1"/>
  <c r="BP58" i="1"/>
  <c r="BP49" i="1"/>
  <c r="BK53" i="1"/>
  <c r="BM31" i="1"/>
  <c r="BM53" i="1"/>
  <c r="BP46" i="1"/>
  <c r="BP13" i="1"/>
  <c r="BP15" i="7"/>
  <c r="BM13" i="7"/>
  <c r="BJ24" i="7"/>
  <c r="BI26" i="7"/>
  <c r="BK6" i="7"/>
  <c r="BE44" i="7"/>
  <c r="BK49" i="7"/>
  <c r="BI40" i="7"/>
  <c r="BI27" i="7"/>
  <c r="BO57" i="7"/>
  <c r="BM35" i="7"/>
  <c r="BG51" i="7"/>
  <c r="BI15" i="7"/>
  <c r="BO12" i="7"/>
  <c r="BF41" i="7"/>
  <c r="BG42" i="7"/>
  <c r="BP51" i="7"/>
  <c r="BI24" i="7"/>
  <c r="BN8" i="7"/>
  <c r="BN57" i="7"/>
  <c r="BH49" i="7"/>
  <c r="BI13" i="7"/>
  <c r="BE28" i="7"/>
  <c r="BL31" i="7"/>
  <c r="BK57" i="7"/>
  <c r="BN30" i="7"/>
  <c r="BJ55" i="7"/>
  <c r="BF13" i="7"/>
  <c r="BK58" i="7"/>
  <c r="BO58" i="7"/>
  <c r="BN52" i="7"/>
  <c r="BO46" i="7"/>
  <c r="BO26" i="7"/>
  <c r="BP19" i="7"/>
  <c r="BP14" i="1"/>
  <c r="BP18" i="1"/>
  <c r="BO16" i="1"/>
  <c r="BN26" i="1"/>
  <c r="BM39" i="1"/>
  <c r="BM4" i="7"/>
  <c r="BG23" i="7"/>
  <c r="BL2" i="7"/>
  <c r="BO33" i="7"/>
  <c r="BM46" i="7"/>
  <c r="BK9" i="7"/>
  <c r="BF16" i="7"/>
  <c r="BE56" i="7"/>
  <c r="BO54" i="7"/>
  <c r="BJ46" i="7"/>
  <c r="BJ6" i="7"/>
  <c r="BN7" i="7"/>
  <c r="BO4" i="7"/>
  <c r="BK27" i="7"/>
  <c r="BP45" i="7"/>
  <c r="BJ21" i="7"/>
  <c r="BE7" i="7"/>
  <c r="BH52" i="7"/>
  <c r="BH4" i="7"/>
  <c r="BE2" i="7"/>
  <c r="BF23" i="7"/>
  <c r="BM57" i="7"/>
  <c r="BJ2" i="7"/>
  <c r="BK44" i="7"/>
  <c r="BP16" i="7"/>
  <c r="BM43" i="7"/>
  <c r="BL45" i="7"/>
  <c r="BL41" i="7"/>
  <c r="BL8" i="7"/>
  <c r="BO53" i="7"/>
  <c r="BP41" i="7"/>
  <c r="BJ34" i="7"/>
  <c r="BF49" i="7"/>
  <c r="BJ49" i="7"/>
  <c r="BK3" i="1"/>
  <c r="BK39" i="1"/>
  <c r="BK44" i="1"/>
  <c r="BN33" i="1"/>
  <c r="BH27" i="7"/>
  <c r="BN58" i="7"/>
  <c r="BO29" i="7"/>
  <c r="BF36" i="7"/>
  <c r="BO49" i="7"/>
  <c r="BF21" i="7"/>
  <c r="BI30" i="7"/>
  <c r="BO21" i="7"/>
  <c r="BP17" i="7"/>
  <c r="BK16" i="7"/>
  <c r="BK15" i="7"/>
  <c r="BG50" i="7"/>
  <c r="BP39" i="7"/>
  <c r="BN51" i="7"/>
  <c r="BM48" i="7"/>
  <c r="BN49" i="7"/>
  <c r="BM25" i="7"/>
  <c r="BK39" i="7"/>
  <c r="BG39" i="7"/>
  <c r="BK41" i="7"/>
  <c r="BK52" i="7"/>
  <c r="BF50" i="7"/>
  <c r="BF14" i="7"/>
  <c r="BO40" i="7"/>
  <c r="BM9" i="7"/>
  <c r="BK42" i="7"/>
  <c r="BN47" i="7"/>
  <c r="BE57" i="7"/>
  <c r="BO36" i="7"/>
  <c r="BG18" i="7"/>
  <c r="BM39" i="7"/>
  <c r="BI8" i="7"/>
  <c r="BL47" i="7"/>
  <c r="BN16" i="7"/>
  <c r="BO53" i="1"/>
  <c r="BK55" i="1"/>
  <c r="BJ8" i="7"/>
  <c r="BN46" i="7"/>
  <c r="BM51" i="7"/>
  <c r="BE37" i="7"/>
  <c r="BI19" i="7"/>
  <c r="BG47" i="7"/>
  <c r="BO15" i="7"/>
  <c r="BO22" i="7"/>
  <c r="BM54" i="7"/>
  <c r="BK43" i="7"/>
  <c r="BH42" i="7"/>
  <c r="BJ42" i="7"/>
  <c r="BN28" i="7"/>
  <c r="BM30" i="7"/>
  <c r="BG40" i="7"/>
  <c r="BL37" i="7"/>
  <c r="BP35" i="7"/>
  <c r="BN45" i="7"/>
  <c r="BJ23" i="7"/>
  <c r="BP47" i="7"/>
  <c r="BL9" i="7"/>
  <c r="BH33" i="7"/>
  <c r="BG57" i="7"/>
  <c r="BK20" i="7"/>
  <c r="BN50" i="7"/>
  <c r="BN14" i="7"/>
  <c r="BF35" i="7"/>
  <c r="BK40" i="7"/>
  <c r="BE46" i="7"/>
  <c r="BM29" i="7"/>
  <c r="BN6" i="7"/>
  <c r="BI53" i="7"/>
  <c r="BH30" i="7"/>
  <c r="BH56" i="7"/>
  <c r="BG8" i="7"/>
  <c r="BO8" i="7"/>
  <c r="BH24" i="7"/>
  <c r="BL20" i="7"/>
  <c r="BE49" i="7"/>
  <c r="BO31" i="7"/>
  <c r="BK23" i="7"/>
  <c r="BO39" i="7"/>
  <c r="BP3" i="7"/>
  <c r="BI38" i="7"/>
  <c r="BH53" i="7"/>
  <c r="BN12" i="7"/>
  <c r="BJ22" i="7"/>
  <c r="BE43" i="7"/>
  <c r="BM40" i="7"/>
  <c r="BK18" i="7"/>
  <c r="BP20" i="7"/>
  <c r="BI5" i="7"/>
  <c r="BH26" i="7"/>
  <c r="BK5" i="7"/>
  <c r="BF47" i="7"/>
  <c r="BM55" i="7"/>
  <c r="BL24" i="7"/>
  <c r="BJ33" i="7"/>
  <c r="BG16" i="7"/>
  <c r="BG20" i="7"/>
  <c r="BF55" i="7"/>
  <c r="BJ29" i="7"/>
  <c r="BI36" i="7"/>
  <c r="BH55" i="7"/>
  <c r="BL46" i="7"/>
  <c r="BH7" i="7"/>
  <c r="BE13" i="7"/>
  <c r="BN35" i="7"/>
  <c r="BJ56" i="7"/>
  <c r="BH37" i="7"/>
  <c r="BJ2" i="1"/>
  <c r="BL6" i="1"/>
  <c r="BO57" i="1"/>
  <c r="BL47" i="1"/>
  <c r="BN47" i="1"/>
  <c r="BL20" i="1"/>
  <c r="BP51" i="1"/>
  <c r="BN49" i="1"/>
  <c r="BK13" i="1"/>
  <c r="BN3" i="1"/>
  <c r="BN54" i="1"/>
  <c r="BK31" i="1"/>
  <c r="BK7" i="1"/>
  <c r="BM27" i="1"/>
  <c r="BN23" i="1"/>
  <c r="BM47" i="1"/>
  <c r="BK29" i="1"/>
  <c r="BP50" i="1"/>
  <c r="BP22" i="1"/>
  <c r="BN44" i="1"/>
  <c r="BK52" i="1"/>
  <c r="BM42" i="1"/>
  <c r="BK8" i="1"/>
  <c r="BP29" i="1"/>
  <c r="BO55" i="1"/>
  <c r="BM24" i="1"/>
  <c r="BL54" i="1"/>
  <c r="BO3" i="1"/>
  <c r="BN28" i="1"/>
  <c r="BN41" i="1"/>
  <c r="BM58" i="1"/>
  <c r="BL43" i="1"/>
  <c r="BL17" i="1"/>
  <c r="BK22" i="1"/>
  <c r="BN56" i="1"/>
  <c r="BP19" i="1"/>
  <c r="BM46" i="1"/>
  <c r="BP41" i="1"/>
  <c r="BP39" i="1"/>
  <c r="BK28" i="1"/>
  <c r="BO5" i="1"/>
  <c r="E5" i="4"/>
  <c r="BG3" i="1"/>
  <c r="BF3" i="1"/>
  <c r="BJ22" i="1"/>
  <c r="BI38" i="1"/>
  <c r="BI40" i="1"/>
  <c r="BG48" i="1"/>
  <c r="BH30" i="1"/>
  <c r="BE8" i="1"/>
  <c r="BG41" i="1"/>
  <c r="BJ4" i="1"/>
  <c r="BH43" i="1"/>
  <c r="BG17" i="1"/>
  <c r="BM39" i="5"/>
  <c r="BM46" i="5"/>
  <c r="BO15" i="5"/>
  <c r="BL27" i="5"/>
  <c r="BK51" i="5"/>
  <c r="BM2" i="5"/>
  <c r="BN41" i="5"/>
  <c r="BN2" i="5"/>
  <c r="BF54" i="5"/>
  <c r="BO23" i="5"/>
  <c r="BM44" i="5"/>
  <c r="BM54" i="5"/>
  <c r="BL52" i="7"/>
  <c r="BO37" i="7"/>
  <c r="BF38" i="7"/>
  <c r="BN53" i="7"/>
  <c r="BP27" i="7"/>
  <c r="BP57" i="7"/>
  <c r="BL18" i="7"/>
  <c r="BL6" i="7"/>
  <c r="BH43" i="7"/>
  <c r="BK22" i="7"/>
  <c r="BL14" i="7"/>
  <c r="BI46" i="7"/>
  <c r="BL32" i="7"/>
  <c r="BO45" i="7"/>
  <c r="BO30" i="7"/>
  <c r="BI12" i="7"/>
  <c r="BG46" i="7"/>
  <c r="BH20" i="7"/>
  <c r="BG54" i="7"/>
  <c r="BP49" i="7"/>
  <c r="BM38" i="7"/>
  <c r="BF51" i="7"/>
  <c r="BJ57" i="7"/>
  <c r="BK53" i="7"/>
  <c r="BL22" i="7"/>
  <c r="BO35" i="7"/>
  <c r="BF15" i="7"/>
  <c r="BH48" i="7"/>
  <c r="BE12" i="7"/>
  <c r="BJ54" i="7"/>
  <c r="BP36" i="7"/>
  <c r="BG49" i="7"/>
  <c r="BN39" i="7"/>
  <c r="BP14" i="7"/>
  <c r="BJ41" i="7"/>
  <c r="BO7" i="7"/>
  <c r="BG21" i="7"/>
  <c r="BF27" i="7"/>
  <c r="BO25" i="7"/>
  <c r="BL7" i="7"/>
  <c r="BP54" i="7"/>
  <c r="BI34" i="7"/>
  <c r="BF19" i="7"/>
  <c r="BM23" i="7"/>
  <c r="BO38" i="7"/>
  <c r="BN44" i="7"/>
  <c r="BP44" i="7"/>
  <c r="BG24" i="7"/>
  <c r="BN43" i="7"/>
  <c r="BK48" i="7"/>
  <c r="BK26" i="7"/>
  <c r="BK17" i="7"/>
  <c r="BH12" i="7"/>
  <c r="BK3" i="7"/>
  <c r="BI4" i="7"/>
  <c r="BM45" i="7"/>
  <c r="BL55" i="7"/>
  <c r="BE18" i="7"/>
  <c r="BF12" i="7"/>
  <c r="BF53" i="7"/>
  <c r="BJ43" i="7"/>
  <c r="BM36" i="7"/>
  <c r="BM31" i="7"/>
  <c r="BF29" i="7"/>
  <c r="BK24" i="7"/>
  <c r="BP42" i="7"/>
  <c r="BG22" i="7"/>
  <c r="BE33" i="7"/>
  <c r="BO42" i="7"/>
  <c r="BJ50" i="7"/>
  <c r="BE9" i="7"/>
  <c r="BK46" i="7"/>
  <c r="BE48" i="12"/>
  <c r="J13" i="16"/>
  <c r="H10" i="16"/>
  <c r="BG17" i="12"/>
  <c r="G13" i="16"/>
  <c r="BH49" i="12"/>
  <c r="H13" i="16"/>
  <c r="BJ16" i="7"/>
  <c r="H12" i="16"/>
  <c r="O47" i="2"/>
  <c r="J16" i="16"/>
  <c r="L47" i="2"/>
  <c r="G16" i="16"/>
  <c r="BM55" i="5"/>
  <c r="BF47" i="5"/>
  <c r="BM35" i="5"/>
  <c r="BJ14" i="5"/>
  <c r="BJ7" i="5"/>
  <c r="BE44" i="5"/>
  <c r="BO24" i="5"/>
  <c r="BP34" i="5"/>
  <c r="BN27" i="5"/>
  <c r="BM37" i="5"/>
  <c r="BG48" i="5"/>
  <c r="BL3" i="5"/>
  <c r="BN44" i="5"/>
  <c r="BP38" i="5"/>
  <c r="BL5" i="5"/>
  <c r="BP55" i="5"/>
  <c r="BH28" i="5"/>
  <c r="BH5" i="5"/>
  <c r="BH39" i="5"/>
  <c r="BG32" i="1"/>
  <c r="J10" i="16"/>
  <c r="BI29" i="5"/>
  <c r="J11" i="16"/>
  <c r="BI41" i="7"/>
  <c r="K12" i="16"/>
  <c r="L48" i="2"/>
  <c r="G19" i="16"/>
  <c r="BH6" i="7"/>
  <c r="G12" i="16"/>
  <c r="BG39" i="1"/>
  <c r="I10" i="16"/>
  <c r="BI25" i="1"/>
  <c r="L10" i="16"/>
  <c r="BE17" i="5"/>
  <c r="H11" i="16"/>
  <c r="BJ29" i="5"/>
  <c r="G11" i="16"/>
  <c r="BF56" i="7"/>
  <c r="J12" i="16"/>
  <c r="BG44" i="5"/>
  <c r="M11" i="16"/>
  <c r="BJ12" i="5"/>
  <c r="BP25" i="5"/>
  <c r="BI52" i="5"/>
  <c r="BM20" i="5"/>
  <c r="BI20" i="5"/>
  <c r="BO8" i="5"/>
  <c r="BL57" i="5"/>
  <c r="BG7" i="5"/>
  <c r="BH18" i="5"/>
  <c r="BP3" i="5"/>
  <c r="BF17" i="5"/>
  <c r="BJ27" i="5"/>
  <c r="BL37" i="5"/>
  <c r="BF21" i="5"/>
  <c r="BN5" i="5"/>
  <c r="BJ36" i="5"/>
  <c r="BO30" i="5"/>
  <c r="BL18" i="5"/>
  <c r="BG22" i="5"/>
  <c r="BP32" i="5"/>
  <c r="BO53" i="5"/>
  <c r="BL51" i="5"/>
  <c r="BO38" i="5"/>
  <c r="BK28" i="5"/>
  <c r="BN14" i="5"/>
  <c r="BO42" i="5"/>
  <c r="BK57" i="5"/>
  <c r="BM56" i="5"/>
  <c r="BO49" i="5"/>
  <c r="BG34" i="5"/>
  <c r="BH47" i="5"/>
  <c r="BP27" i="5"/>
  <c r="BP8" i="5"/>
  <c r="BI49" i="5"/>
  <c r="BM53" i="5"/>
  <c r="BF49" i="5"/>
  <c r="K11" i="16"/>
  <c r="M10" i="16"/>
  <c r="BI42" i="1"/>
  <c r="G10" i="16"/>
  <c r="BE54" i="12"/>
  <c r="K13" i="16"/>
  <c r="BJ27" i="12"/>
  <c r="L13" i="16"/>
  <c r="BE41" i="12"/>
  <c r="F13" i="16"/>
  <c r="I12" i="16"/>
  <c r="BO43" i="5"/>
  <c r="BL24" i="5"/>
  <c r="BP36" i="5"/>
  <c r="BK25" i="5"/>
  <c r="BM23" i="5"/>
  <c r="BP31" i="5"/>
  <c r="BN35" i="5"/>
  <c r="BL23" i="5"/>
  <c r="BL39" i="5"/>
  <c r="BG33" i="5"/>
  <c r="BI43" i="5"/>
  <c r="BN30" i="5"/>
  <c r="BP57" i="5"/>
  <c r="BL58" i="5"/>
  <c r="BG47" i="5"/>
  <c r="BM58" i="5"/>
  <c r="BL14" i="5"/>
  <c r="BL52" i="5"/>
  <c r="BO28" i="5"/>
  <c r="BO52" i="5"/>
  <c r="BP9" i="5"/>
  <c r="BL32" i="5"/>
  <c r="BM29" i="5"/>
  <c r="BK43" i="5"/>
  <c r="BN17" i="5"/>
  <c r="BI25" i="5"/>
  <c r="BO57" i="5"/>
  <c r="BP37" i="5"/>
  <c r="BP50" i="5"/>
  <c r="BI22" i="5"/>
  <c r="BI31" i="5"/>
  <c r="BG8" i="5"/>
  <c r="BM38" i="5"/>
  <c r="BK31" i="5"/>
  <c r="BN20" i="5"/>
  <c r="O48" i="2"/>
  <c r="J19" i="16"/>
  <c r="BI2" i="1"/>
  <c r="K10" i="16"/>
  <c r="BI6" i="7"/>
  <c r="L12" i="16"/>
  <c r="BH51" i="7"/>
  <c r="BO18" i="7"/>
  <c r="BN23" i="7"/>
  <c r="BP33" i="7"/>
  <c r="BN54" i="7"/>
  <c r="BM21" i="7"/>
  <c r="BE3" i="7"/>
  <c r="BI20" i="7"/>
  <c r="BG7" i="7"/>
  <c r="BP23" i="7"/>
  <c r="BH34" i="7"/>
  <c r="BI35" i="7"/>
  <c r="BL12" i="7"/>
  <c r="BN31" i="7"/>
  <c r="BE36" i="7"/>
  <c r="BL29" i="7"/>
  <c r="BN24" i="7"/>
  <c r="BN4" i="7"/>
  <c r="BM58" i="7"/>
  <c r="BP6" i="7"/>
  <c r="BP37" i="7"/>
  <c r="BO52" i="7"/>
  <c r="BK45" i="7"/>
  <c r="N45" i="2"/>
  <c r="I6" i="16"/>
  <c r="H6" i="16"/>
  <c r="BF2" i="12"/>
  <c r="M13" i="16"/>
  <c r="BI35" i="12"/>
  <c r="I13" i="16"/>
  <c r="BI7" i="7"/>
  <c r="F12" i="16"/>
  <c r="BF40" i="5"/>
  <c r="F11" i="16"/>
  <c r="M38" i="2"/>
  <c r="H19" i="16"/>
  <c r="BI48" i="5"/>
  <c r="I11" i="16"/>
  <c r="BP30" i="5"/>
  <c r="BI26" i="5"/>
  <c r="BL20" i="5"/>
  <c r="BK52" i="5"/>
  <c r="BP12" i="5"/>
  <c r="BF53" i="5"/>
  <c r="BJ15" i="5"/>
  <c r="BI40" i="5"/>
  <c r="BM40" i="5"/>
  <c r="BO16" i="5"/>
  <c r="BP20" i="5"/>
  <c r="BK23" i="5"/>
  <c r="BG40" i="5"/>
  <c r="BO40" i="5"/>
  <c r="BG9" i="5"/>
  <c r="BH36" i="5"/>
  <c r="BP24" i="5"/>
  <c r="BG37" i="5"/>
  <c r="BK45" i="5"/>
  <c r="BN32" i="5"/>
  <c r="BN16" i="5"/>
  <c r="BE14" i="5"/>
  <c r="BL22" i="5"/>
  <c r="BL17" i="5"/>
  <c r="BL35" i="5"/>
  <c r="BN6" i="5"/>
  <c r="BI19" i="5"/>
  <c r="BP17" i="5"/>
  <c r="BH46" i="5"/>
  <c r="BE13" i="5"/>
  <c r="BE56" i="5"/>
  <c r="BO6" i="5"/>
  <c r="BK47" i="5"/>
  <c r="BG15" i="5"/>
  <c r="BI3" i="5"/>
  <c r="BH24" i="5"/>
  <c r="L11" i="16"/>
  <c r="BI50" i="7"/>
  <c r="BJ38" i="1"/>
  <c r="F10" i="16"/>
  <c r="BE19" i="5"/>
  <c r="BP45" i="5"/>
  <c r="BP41" i="5"/>
  <c r="BL19" i="5"/>
  <c r="BM57" i="5"/>
  <c r="BN9" i="5"/>
  <c r="BN40" i="5"/>
  <c r="BN43" i="5"/>
  <c r="BM5" i="5"/>
  <c r="BL29" i="5"/>
  <c r="BP54" i="5"/>
  <c r="BE18" i="5"/>
  <c r="BM21" i="5"/>
  <c r="BK24" i="5"/>
  <c r="BN15" i="5"/>
  <c r="BN56" i="5"/>
  <c r="BM49" i="5"/>
  <c r="BF30" i="5"/>
  <c r="BO18" i="5"/>
  <c r="BH53" i="5"/>
  <c r="BK30" i="5"/>
  <c r="BF8" i="5"/>
  <c r="BK37" i="5"/>
  <c r="BF6" i="5"/>
  <c r="BM30" i="5"/>
  <c r="BN42" i="5"/>
  <c r="BF39" i="5"/>
  <c r="BK58" i="5"/>
  <c r="BE31" i="5"/>
  <c r="BM51" i="5"/>
  <c r="BL40" i="5"/>
  <c r="BG46" i="5"/>
  <c r="BM14" i="5"/>
  <c r="BN54" i="5"/>
  <c r="BE14" i="7"/>
  <c r="M12" i="16"/>
  <c r="L45" i="2"/>
  <c r="R46" i="2"/>
  <c r="P46" i="2"/>
  <c r="O46" i="2"/>
  <c r="N46" i="2"/>
  <c r="BE39" i="7"/>
  <c r="BI56" i="7"/>
  <c r="BE24" i="7"/>
  <c r="BG12" i="7"/>
  <c r="BH57" i="7"/>
  <c r="BI3" i="7"/>
  <c r="BF4" i="7"/>
  <c r="BH22" i="7"/>
  <c r="BE45" i="7"/>
  <c r="BI32" i="7"/>
  <c r="BH16" i="7"/>
  <c r="BJ15" i="7"/>
  <c r="BJ35" i="7"/>
  <c r="BI17" i="7"/>
  <c r="BG13" i="7"/>
  <c r="BJ51" i="7"/>
  <c r="BJ14" i="7"/>
  <c r="BG35" i="7"/>
  <c r="BG34" i="7"/>
  <c r="BG14" i="7"/>
  <c r="BJ30" i="7"/>
  <c r="K31" i="2"/>
  <c r="N5" i="4"/>
  <c r="O5" i="4"/>
  <c r="BG6" i="1"/>
  <c r="BG9" i="1"/>
  <c r="BE6" i="1"/>
  <c r="BF44" i="1"/>
  <c r="BI24" i="1"/>
  <c r="BG12" i="1"/>
  <c r="BF51" i="1"/>
  <c r="BF12" i="1"/>
  <c r="BF27" i="1"/>
  <c r="BE29" i="1"/>
  <c r="BG30" i="7"/>
  <c r="BF31" i="7"/>
  <c r="BI22" i="7"/>
  <c r="BH6" i="1"/>
  <c r="BE16" i="1"/>
  <c r="BH49" i="1"/>
  <c r="BI32" i="1"/>
  <c r="BF49" i="1"/>
  <c r="S5" i="4"/>
  <c r="BH4" i="1"/>
  <c r="BF21" i="1"/>
  <c r="R5" i="4"/>
  <c r="BG42" i="12"/>
  <c r="BF35" i="12"/>
  <c r="BJ30" i="5"/>
  <c r="BE21" i="5"/>
  <c r="BE36" i="5"/>
  <c r="BH51" i="5"/>
  <c r="BJ9" i="5"/>
  <c r="BF4" i="5"/>
  <c r="BG29" i="5"/>
  <c r="BE30" i="7"/>
  <c r="BH35" i="7"/>
  <c r="BE5" i="7"/>
  <c r="BF9" i="7"/>
  <c r="BJ58" i="7"/>
  <c r="BJ13" i="7"/>
  <c r="BG3" i="7"/>
  <c r="BF57" i="12"/>
  <c r="BF34" i="12"/>
  <c r="BF56" i="12"/>
  <c r="BJ58" i="12"/>
  <c r="BI56" i="12"/>
  <c r="BF12" i="12"/>
  <c r="BJ24" i="12"/>
  <c r="BF8" i="12"/>
  <c r="BG57" i="12"/>
  <c r="BF45" i="12"/>
  <c r="BG48" i="12"/>
  <c r="BF51" i="12"/>
  <c r="BG49" i="5"/>
  <c r="BF54" i="7"/>
  <c r="BE38" i="7"/>
  <c r="BJ12" i="7"/>
  <c r="BF2" i="7"/>
  <c r="BE8" i="7"/>
  <c r="BE55" i="7"/>
  <c r="BJ36" i="7"/>
  <c r="BJ4" i="5"/>
  <c r="BF35" i="5"/>
  <c r="BH35" i="5"/>
  <c r="BE12" i="5"/>
  <c r="BJ6" i="5"/>
  <c r="BG39" i="5"/>
  <c r="BE53" i="5"/>
  <c r="BE35" i="5"/>
  <c r="BE15" i="5"/>
  <c r="BJ37" i="5"/>
  <c r="BE33" i="5"/>
  <c r="BH58" i="5"/>
  <c r="BF48" i="5"/>
  <c r="BE37" i="5"/>
  <c r="BJ53" i="5"/>
  <c r="BJ8" i="5"/>
  <c r="BI27" i="5"/>
  <c r="BG58" i="5"/>
  <c r="BG25" i="5"/>
  <c r="BE38" i="5"/>
  <c r="BJ57" i="5"/>
  <c r="BJ26" i="5"/>
  <c r="BJ58" i="5"/>
  <c r="BG18" i="5"/>
  <c r="BF58" i="5"/>
  <c r="BI23" i="5"/>
  <c r="BJ16" i="5"/>
  <c r="BH17" i="5"/>
  <c r="BG19" i="5"/>
  <c r="BF7" i="5"/>
  <c r="BE30" i="5"/>
  <c r="BG57" i="5"/>
  <c r="BJ2" i="5"/>
  <c r="BJ55" i="5"/>
  <c r="BH55" i="5"/>
  <c r="BE49" i="5"/>
  <c r="BF34" i="5"/>
  <c r="BE51" i="5"/>
  <c r="BE52" i="5"/>
  <c r="BI44" i="5"/>
  <c r="BJ38" i="5"/>
  <c r="BJ54" i="5"/>
  <c r="BH20" i="5"/>
  <c r="BE8" i="5"/>
  <c r="BG2" i="5"/>
  <c r="BE48" i="5"/>
  <c r="BI35" i="5"/>
  <c r="BI37" i="5"/>
  <c r="BG32" i="5"/>
  <c r="BH22" i="5"/>
  <c r="BH37" i="5"/>
  <c r="BF46" i="5"/>
  <c r="BE45" i="5"/>
  <c r="BJ51" i="5"/>
  <c r="BI38" i="5"/>
  <c r="BJ18" i="5"/>
  <c r="BI17" i="5"/>
  <c r="BH7" i="5"/>
  <c r="BF18" i="5"/>
  <c r="BG43" i="5"/>
  <c r="BI13" i="5"/>
  <c r="BF14" i="5"/>
  <c r="BJ22" i="5"/>
  <c r="BF39" i="12"/>
  <c r="BE50" i="5"/>
  <c r="BE41" i="5"/>
  <c r="BH33" i="5"/>
  <c r="BH19" i="5"/>
  <c r="BJ28" i="5"/>
  <c r="BJ50" i="5"/>
  <c r="BJ24" i="5"/>
  <c r="T5" i="4"/>
  <c r="BJ16" i="1"/>
  <c r="BF14" i="1"/>
  <c r="BF53" i="1"/>
  <c r="BF39" i="1"/>
  <c r="BI16" i="1"/>
  <c r="BH58" i="1"/>
  <c r="BH54" i="1"/>
  <c r="BI17" i="1"/>
  <c r="BI35" i="1"/>
  <c r="BH16" i="1"/>
  <c r="BH35" i="1"/>
  <c r="BI19" i="1"/>
  <c r="BE41" i="1"/>
  <c r="BF45" i="1"/>
  <c r="BH22" i="1"/>
  <c r="BI12" i="1"/>
  <c r="BJ55" i="1"/>
  <c r="BI31" i="1"/>
  <c r="BH25" i="1"/>
  <c r="BF19" i="1"/>
  <c r="BH12" i="1"/>
  <c r="BF41" i="1"/>
  <c r="BH47" i="1"/>
  <c r="BI27" i="1"/>
  <c r="BJ14" i="1"/>
  <c r="BF37" i="1"/>
  <c r="BI34" i="1"/>
  <c r="BG28" i="1"/>
  <c r="BI15" i="1"/>
  <c r="BE22" i="1"/>
  <c r="BI37" i="1"/>
  <c r="BI30" i="1"/>
  <c r="BG31" i="1"/>
  <c r="BI58" i="1"/>
  <c r="BG18" i="1"/>
  <c r="BH55" i="1"/>
  <c r="BE28" i="1"/>
  <c r="BH14" i="1"/>
  <c r="BE14" i="1"/>
  <c r="BI57" i="1"/>
  <c r="BH3" i="1"/>
  <c r="U5" i="4"/>
  <c r="BI26" i="1"/>
  <c r="BI14" i="1"/>
  <c r="BF4" i="1"/>
  <c r="BG42" i="1"/>
  <c r="BF42" i="1"/>
  <c r="BI50" i="1"/>
  <c r="BH27" i="1"/>
  <c r="BI21" i="1"/>
  <c r="BE23" i="1"/>
  <c r="BH7" i="1"/>
  <c r="BF55" i="1"/>
  <c r="BF50" i="1"/>
  <c r="BH17" i="1"/>
  <c r="BI19" i="12"/>
  <c r="BJ5" i="12"/>
  <c r="Q46" i="2"/>
  <c r="BI49" i="1"/>
  <c r="BH45" i="1"/>
  <c r="BF47" i="1"/>
  <c r="BI7" i="1"/>
  <c r="BE58" i="1"/>
  <c r="BG24" i="1"/>
  <c r="BF28" i="1"/>
  <c r="BI23" i="1"/>
  <c r="BH2" i="1"/>
  <c r="BJ5" i="7"/>
  <c r="BI54" i="7"/>
  <c r="BE35" i="7"/>
  <c r="M46" i="2"/>
  <c r="BJ31" i="12"/>
  <c r="BI43" i="12"/>
  <c r="BI18" i="7"/>
  <c r="BG56" i="7"/>
  <c r="BG2" i="7"/>
  <c r="BF5" i="7"/>
  <c r="BI14" i="7"/>
  <c r="BJ37" i="7"/>
  <c r="BJ39" i="7"/>
  <c r="BF29" i="5"/>
  <c r="BG38" i="5"/>
  <c r="BF15" i="5"/>
  <c r="BJ44" i="5"/>
  <c r="BF28" i="5"/>
  <c r="BH13" i="5"/>
  <c r="BJ21" i="5"/>
  <c r="BG55" i="5"/>
  <c r="BG4" i="5"/>
  <c r="BH9" i="5"/>
  <c r="M48" i="2"/>
  <c r="BH17" i="7"/>
  <c r="BF30" i="7"/>
  <c r="BF45" i="7"/>
  <c r="BF32" i="7"/>
  <c r="BI58" i="7"/>
  <c r="BF6" i="7"/>
  <c r="BH18" i="7"/>
  <c r="BI56" i="5"/>
  <c r="K5" i="4"/>
  <c r="J5" i="4"/>
  <c r="BH52" i="1"/>
  <c r="BE49" i="1"/>
  <c r="BI4" i="1"/>
  <c r="BF40" i="1"/>
  <c r="BI52" i="1"/>
  <c r="BI45" i="1"/>
  <c r="BJ18" i="1"/>
  <c r="BJ12" i="1"/>
  <c r="BG7" i="1"/>
  <c r="BE38" i="1"/>
  <c r="BE25" i="1"/>
  <c r="BI53" i="1"/>
  <c r="BF29" i="1"/>
  <c r="BJ52" i="1"/>
  <c r="M31" i="2"/>
  <c r="K47" i="2"/>
  <c r="K48" i="2"/>
  <c r="M47" i="2"/>
  <c r="N31" i="2"/>
  <c r="N47" i="2"/>
  <c r="M37" i="2"/>
  <c r="L31" i="2"/>
  <c r="I47" i="2"/>
  <c r="I48" i="2"/>
  <c r="J31" i="2"/>
  <c r="O35" i="2"/>
  <c r="O45" i="2"/>
  <c r="O31" i="2"/>
  <c r="I46" i="2"/>
  <c r="K46" i="2"/>
  <c r="J46" i="2"/>
  <c r="L46" i="2"/>
  <c r="P47" i="2"/>
  <c r="R31" i="2"/>
  <c r="R45" i="2"/>
  <c r="P45" i="2"/>
  <c r="P31" i="2"/>
  <c r="Q48" i="2"/>
  <c r="R48" i="2"/>
  <c r="Q31" i="2"/>
  <c r="Q45" i="2"/>
  <c r="Q47" i="2"/>
  <c r="P48" i="2"/>
  <c r="P9" i="17" l="1"/>
  <c r="K9" i="17" s="1"/>
  <c r="P22" i="17"/>
  <c r="K22" i="17" s="1"/>
  <c r="P20" i="17"/>
  <c r="K20" i="17" s="1"/>
  <c r="P11" i="17"/>
  <c r="K11" i="17" s="1"/>
  <c r="P13" i="17"/>
  <c r="K13" i="17" s="1"/>
  <c r="P12" i="17"/>
  <c r="K12" i="17" s="1"/>
  <c r="BE19" i="12"/>
  <c r="BI27" i="12"/>
  <c r="BF20" i="1"/>
  <c r="BG19" i="12"/>
  <c r="BE25" i="5"/>
  <c r="BB75" i="14"/>
  <c r="BE112" i="14"/>
  <c r="BA105" i="14"/>
  <c r="BB112" i="14"/>
  <c r="BE67" i="14"/>
  <c r="BC66" i="14"/>
  <c r="BI86" i="14"/>
  <c r="AZ105" i="14"/>
  <c r="BA67" i="14"/>
  <c r="BA70" i="14"/>
  <c r="AZ96" i="14"/>
  <c r="BJ87" i="14"/>
  <c r="BD81" i="14"/>
  <c r="BE84" i="14"/>
  <c r="BE100" i="14"/>
  <c r="BJ82" i="14"/>
  <c r="BA77" i="14"/>
  <c r="BE101" i="14"/>
  <c r="BG102" i="14"/>
  <c r="BC82" i="14"/>
  <c r="BA68" i="14"/>
  <c r="BD98" i="14"/>
  <c r="BJ90" i="14"/>
  <c r="BE68" i="14"/>
  <c r="BA81" i="14"/>
  <c r="BC102" i="14"/>
  <c r="BA84" i="14"/>
  <c r="BI79" i="14"/>
  <c r="BB66" i="14"/>
  <c r="BI100" i="14"/>
  <c r="BA66" i="14"/>
  <c r="BB76" i="14"/>
  <c r="AZ76" i="14"/>
  <c r="BG105" i="14"/>
  <c r="BJ70" i="14"/>
  <c r="AZ102" i="14"/>
  <c r="BE99" i="14"/>
  <c r="BC98" i="14"/>
  <c r="BA87" i="14"/>
  <c r="BD118" i="14"/>
  <c r="BG110" i="14"/>
  <c r="BE96" i="14"/>
  <c r="AZ93" i="14"/>
  <c r="BE27" i="12"/>
  <c r="BI57" i="12"/>
  <c r="BH40" i="1"/>
  <c r="BH50" i="1"/>
  <c r="BE43" i="1"/>
  <c r="BH5" i="1"/>
  <c r="BH21" i="1"/>
  <c r="BF23" i="1"/>
  <c r="BF43" i="1"/>
  <c r="BE15" i="1"/>
  <c r="BQ24" i="5"/>
  <c r="BQ55" i="5"/>
  <c r="BI55" i="12"/>
  <c r="BG14" i="1"/>
  <c r="BE35" i="1"/>
  <c r="G5" i="4"/>
  <c r="BJ40" i="5"/>
  <c r="BE32" i="12"/>
  <c r="BG49" i="1"/>
  <c r="BQ28" i="5"/>
  <c r="BI14" i="5"/>
  <c r="BJ37" i="12"/>
  <c r="BJ41" i="5"/>
  <c r="BF7" i="1"/>
  <c r="BF16" i="1"/>
  <c r="F5" i="4"/>
  <c r="BG45" i="5"/>
  <c r="BH14" i="5"/>
  <c r="BF31" i="1"/>
  <c r="BF20" i="5"/>
  <c r="BE36" i="1"/>
  <c r="BI12" i="12"/>
  <c r="BJ43" i="1"/>
  <c r="BG36" i="1"/>
  <c r="BE16" i="7"/>
  <c r="BJ42" i="12"/>
  <c r="BF36" i="12"/>
  <c r="BH5" i="7"/>
  <c r="BG26" i="5"/>
  <c r="BQ26" i="5" s="1"/>
  <c r="BJ6" i="1"/>
  <c r="BJ35" i="1"/>
  <c r="BF38" i="5"/>
  <c r="BH42" i="1"/>
  <c r="BF17" i="1"/>
  <c r="BQ6" i="5"/>
  <c r="BF9" i="1"/>
  <c r="BG20" i="1"/>
  <c r="BF6" i="1"/>
  <c r="BF42" i="12"/>
  <c r="BE27" i="5"/>
  <c r="BI34" i="12"/>
  <c r="BF36" i="1"/>
  <c r="BF28" i="7"/>
  <c r="BF56" i="1"/>
  <c r="BJ7" i="1"/>
  <c r="BF23" i="5"/>
  <c r="BQ23" i="5" s="1"/>
  <c r="BI39" i="1"/>
  <c r="BJ47" i="1"/>
  <c r="BJ23" i="1"/>
  <c r="BG27" i="1"/>
  <c r="BG53" i="5"/>
  <c r="BQ53" i="5" s="1"/>
  <c r="BJ43" i="12"/>
  <c r="BI48" i="1"/>
  <c r="BI16" i="7"/>
  <c r="BI25" i="12"/>
  <c r="BJ50" i="12"/>
  <c r="BG15" i="1"/>
  <c r="BQ5" i="5"/>
  <c r="BF52" i="1"/>
  <c r="BE52" i="1"/>
  <c r="BJ39" i="1"/>
  <c r="BE9" i="5"/>
  <c r="BQ9" i="5" s="1"/>
  <c r="BH28" i="1"/>
  <c r="BI20" i="1"/>
  <c r="BH57" i="5"/>
  <c r="L5" i="4"/>
  <c r="BI41" i="1"/>
  <c r="BH39" i="1"/>
  <c r="BF31" i="12"/>
  <c r="BH25" i="5"/>
  <c r="BF26" i="1"/>
  <c r="M5" i="4"/>
  <c r="P5" i="4"/>
  <c r="BJ41" i="1"/>
  <c r="BE26" i="12"/>
  <c r="BF52" i="12"/>
  <c r="BF32" i="5"/>
  <c r="BE40" i="1"/>
  <c r="BJ56" i="5"/>
  <c r="BQ56" i="5" s="1"/>
  <c r="BQ17" i="5"/>
  <c r="BH15" i="5"/>
  <c r="Q5" i="4"/>
  <c r="I5" i="4"/>
  <c r="BF58" i="12"/>
  <c r="BF55" i="12"/>
  <c r="BG56" i="12"/>
  <c r="BI16" i="12"/>
  <c r="BF5" i="1"/>
  <c r="BJ42" i="5"/>
  <c r="BG21" i="5"/>
  <c r="BQ21" i="5" s="1"/>
  <c r="BI54" i="5"/>
  <c r="BE32" i="7"/>
  <c r="BI51" i="1"/>
  <c r="H5" i="4"/>
  <c r="BI33" i="12"/>
  <c r="BE25" i="7"/>
  <c r="BG24" i="12"/>
  <c r="BJ46" i="12"/>
  <c r="BF18" i="1"/>
  <c r="BJ27" i="7"/>
  <c r="BG15" i="7"/>
  <c r="BG5" i="1"/>
  <c r="BF51" i="5"/>
  <c r="BJ48" i="5"/>
  <c r="BQ48" i="5" s="1"/>
  <c r="BF7" i="7"/>
  <c r="BG43" i="1"/>
  <c r="BQ35" i="5"/>
  <c r="BG25" i="12"/>
  <c r="BF5" i="12"/>
  <c r="BG45" i="12"/>
  <c r="BG31" i="7"/>
  <c r="BE31" i="7"/>
  <c r="BI55" i="1"/>
  <c r="BE32" i="1"/>
  <c r="BQ8" i="5"/>
  <c r="BI45" i="7"/>
  <c r="BG3" i="5"/>
  <c r="BF13" i="12"/>
  <c r="BE55" i="12"/>
  <c r="BE22" i="12"/>
  <c r="BG32" i="12"/>
  <c r="BF3" i="12"/>
  <c r="BF46" i="12"/>
  <c r="BF43" i="5"/>
  <c r="BH19" i="1"/>
  <c r="BE6" i="7"/>
  <c r="BI29" i="7"/>
  <c r="BH16" i="5"/>
  <c r="BH2" i="5"/>
  <c r="BF36" i="5"/>
  <c r="BQ36" i="5" s="1"/>
  <c r="BH30" i="5"/>
  <c r="BE39" i="5"/>
  <c r="BQ39" i="5" s="1"/>
  <c r="BF41" i="5"/>
  <c r="BJ45" i="5"/>
  <c r="BI2" i="5"/>
  <c r="BG55" i="12"/>
  <c r="BF26" i="12"/>
  <c r="BE24" i="12"/>
  <c r="BG34" i="12"/>
  <c r="BF21" i="12"/>
  <c r="BJ56" i="12"/>
  <c r="BJ18" i="7"/>
  <c r="BF3" i="7"/>
  <c r="BG28" i="7"/>
  <c r="BH29" i="5"/>
  <c r="P8" i="17"/>
  <c r="K8" i="17" s="1"/>
  <c r="BQ44" i="5"/>
  <c r="BI15" i="5"/>
  <c r="BJ25" i="5"/>
  <c r="BF57" i="1"/>
  <c r="BF42" i="7"/>
  <c r="BG58" i="7"/>
  <c r="BH49" i="5"/>
  <c r="BQ49" i="5" s="1"/>
  <c r="BE54" i="5"/>
  <c r="BE2" i="5"/>
  <c r="BF13" i="5"/>
  <c r="BQ13" i="5" s="1"/>
  <c r="BE40" i="5"/>
  <c r="BI7" i="5"/>
  <c r="BQ7" i="5" s="1"/>
  <c r="BF27" i="5"/>
  <c r="BE28" i="12"/>
  <c r="BI21" i="12"/>
  <c r="BF7" i="12"/>
  <c r="BF14" i="12"/>
  <c r="BI26" i="12"/>
  <c r="BF33" i="12"/>
  <c r="BF16" i="12"/>
  <c r="BJ49" i="1"/>
  <c r="BG43" i="7"/>
  <c r="BH8" i="7"/>
  <c r="BF8" i="7"/>
  <c r="BG16" i="5"/>
  <c r="BJ16" i="12"/>
  <c r="BQ33" i="5"/>
  <c r="BF47" i="12"/>
  <c r="P23" i="17"/>
  <c r="K23" i="17" s="1"/>
  <c r="BF25" i="5"/>
  <c r="BE47" i="7"/>
  <c r="BJ46" i="5"/>
  <c r="BQ46" i="5" s="1"/>
  <c r="BE42" i="5"/>
  <c r="BI23" i="7"/>
  <c r="BJ26" i="12"/>
  <c r="BF9" i="12"/>
  <c r="BF54" i="12"/>
  <c r="BF53" i="12"/>
  <c r="BF22" i="12"/>
  <c r="BG29" i="7"/>
  <c r="BF28" i="12"/>
  <c r="BF25" i="12"/>
  <c r="BJ20" i="5"/>
  <c r="BJ49" i="12"/>
  <c r="BF32" i="1"/>
  <c r="BE42" i="7"/>
  <c r="BH2" i="7"/>
  <c r="BF18" i="12"/>
  <c r="BE57" i="12"/>
  <c r="BF4" i="12"/>
  <c r="BF37" i="12"/>
  <c r="BE56" i="12"/>
  <c r="BG16" i="12"/>
  <c r="BF49" i="12"/>
  <c r="BJ25" i="7"/>
  <c r="BH38" i="5"/>
  <c r="BI42" i="5"/>
  <c r="BJ19" i="12"/>
  <c r="BF35" i="1"/>
  <c r="BF24" i="7"/>
  <c r="BH54" i="7"/>
  <c r="BH12" i="5"/>
  <c r="BE22" i="5"/>
  <c r="BQ22" i="5" s="1"/>
  <c r="BH50" i="5"/>
  <c r="BI12" i="5"/>
  <c r="BE20" i="5"/>
  <c r="BG41" i="5"/>
  <c r="BG51" i="5"/>
  <c r="BH31" i="5"/>
  <c r="BF27" i="12"/>
  <c r="BF43" i="12"/>
  <c r="BG12" i="12"/>
  <c r="BF29" i="12"/>
  <c r="BJ25" i="12"/>
  <c r="BF17" i="12"/>
  <c r="BH58" i="12"/>
  <c r="BH28" i="12"/>
  <c r="BE23" i="7"/>
  <c r="BE4" i="5"/>
  <c r="BG44" i="7"/>
  <c r="BQ37" i="5"/>
  <c r="BJ4" i="12"/>
  <c r="BH8" i="1"/>
  <c r="BH16" i="12"/>
  <c r="BF52" i="5"/>
  <c r="BQ52" i="5" s="1"/>
  <c r="BE34" i="7"/>
  <c r="BE43" i="5"/>
  <c r="BF20" i="12"/>
  <c r="BE41" i="7"/>
  <c r="BF2" i="5"/>
  <c r="BF6" i="12"/>
  <c r="BQ18" i="5"/>
  <c r="BG46" i="1"/>
  <c r="BG37" i="12"/>
  <c r="BI41" i="5"/>
  <c r="BG23" i="1"/>
  <c r="BE54" i="7"/>
  <c r="BF30" i="12"/>
  <c r="BF15" i="12"/>
  <c r="BJ51" i="12"/>
  <c r="BG26" i="12"/>
  <c r="BJ44" i="7"/>
  <c r="BJ21" i="12"/>
  <c r="BE36" i="12"/>
  <c r="BE29" i="12"/>
  <c r="BF32" i="12"/>
  <c r="BI44" i="12"/>
  <c r="BF23" i="12"/>
  <c r="BI4" i="5"/>
  <c r="BI58" i="5"/>
  <c r="BH24" i="1"/>
  <c r="BJ33" i="12"/>
  <c r="BF39" i="7"/>
  <c r="BH34" i="5"/>
  <c r="BQ34" i="5" s="1"/>
  <c r="BG30" i="5"/>
  <c r="BE47" i="5"/>
  <c r="BQ47" i="5" s="1"/>
  <c r="BF57" i="5"/>
  <c r="BE58" i="5"/>
  <c r="BH45" i="5"/>
  <c r="BF12" i="5"/>
  <c r="BJ55" i="12"/>
  <c r="BH55" i="12"/>
  <c r="BH26" i="12"/>
  <c r="BF24" i="12"/>
  <c r="BH27" i="12"/>
  <c r="BF48" i="12"/>
  <c r="BH43" i="12"/>
  <c r="BE29" i="5"/>
  <c r="BI3" i="1"/>
  <c r="BI50" i="5"/>
  <c r="BH4" i="5"/>
  <c r="BJ19" i="5"/>
  <c r="BQ19" i="5" s="1"/>
  <c r="BE32" i="5"/>
  <c r="BJ3" i="5"/>
  <c r="BG31" i="5"/>
  <c r="BJ54" i="12"/>
  <c r="BH34" i="12"/>
  <c r="BF50" i="12"/>
  <c r="BF44" i="12"/>
  <c r="BF41" i="12"/>
  <c r="BH48" i="12"/>
  <c r="BI37" i="7"/>
  <c r="BJ37" i="1"/>
  <c r="W8" i="2"/>
  <c r="Z8" i="2" s="1"/>
  <c r="Z11" i="2" s="1"/>
  <c r="AA11" i="2" s="1"/>
  <c r="P17" i="17" l="1"/>
  <c r="K17" i="17" s="1"/>
  <c r="P18" i="17"/>
  <c r="K18" i="17" s="1"/>
  <c r="K6" i="17"/>
  <c r="P2" i="17"/>
  <c r="K2" i="17" s="1"/>
  <c r="P3" i="17"/>
  <c r="K3" i="17" s="1"/>
  <c r="BQ29" i="5"/>
  <c r="BQ30" i="5"/>
  <c r="BQ12" i="5"/>
  <c r="BQ31" i="5"/>
  <c r="BQ14" i="5"/>
  <c r="BQ50" i="5"/>
  <c r="BQ45" i="5"/>
  <c r="P10" i="17"/>
  <c r="K10" i="17" s="1"/>
  <c r="BQ57" i="5"/>
  <c r="P21" i="17"/>
  <c r="K21" i="17" s="1"/>
  <c r="BQ27" i="5"/>
  <c r="BQ20" i="5"/>
  <c r="BQ16" i="5"/>
  <c r="BQ15" i="5"/>
  <c r="P16" i="17"/>
  <c r="K16" i="17" s="1"/>
  <c r="BQ51" i="5"/>
  <c r="BQ41" i="5"/>
  <c r="BQ40" i="5"/>
  <c r="BQ54" i="5"/>
  <c r="BQ42" i="5"/>
  <c r="BQ32" i="5"/>
  <c r="BQ38" i="5"/>
  <c r="BQ25" i="5"/>
  <c r="BQ2" i="5"/>
  <c r="P19" i="17"/>
  <c r="K19" i="17" s="1"/>
  <c r="BQ43" i="5"/>
  <c r="K5" i="17"/>
  <c r="P14" i="17"/>
  <c r="K14" i="17" s="1"/>
  <c r="BQ4" i="5"/>
  <c r="BQ3" i="5"/>
  <c r="BQ58" i="5"/>
  <c r="K7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A2" authorId="0" shapeId="0" xr:uid="{CB858E41-4546-4E80-8C83-3168C300DDED}">
      <text>
        <r>
          <rPr>
            <b/>
            <sz val="9"/>
            <color indexed="81"/>
            <rFont val="Tahoma"/>
            <charset val="222"/>
          </rPr>
          <t>Windows User:</t>
        </r>
        <r>
          <rPr>
            <sz val="9"/>
            <color indexed="81"/>
            <rFont val="Tahoma"/>
            <charset val="222"/>
          </rPr>
          <t xml:space="preserve">
ตัวเลขสมมติ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<sst xmlns="http://schemas.openxmlformats.org/spreadsheetml/2006/main" count="2649" uniqueCount="408">
  <si>
    <t>AJINOMOTO</t>
  </si>
  <si>
    <t>Row Labels</t>
  </si>
  <si>
    <t>April</t>
  </si>
  <si>
    <t>May</t>
  </si>
  <si>
    <t>June</t>
  </si>
  <si>
    <t>July</t>
  </si>
  <si>
    <t>August</t>
  </si>
  <si>
    <t>September</t>
  </si>
  <si>
    <t>Incentive base</t>
  </si>
  <si>
    <t>Money</t>
  </si>
  <si>
    <t>Simulation</t>
  </si>
  <si>
    <t>Depot</t>
  </si>
  <si>
    <t>Now</t>
  </si>
  <si>
    <t>New</t>
  </si>
  <si>
    <t>Incentive $</t>
  </si>
  <si>
    <t>GOAL</t>
  </si>
  <si>
    <t>Total</t>
  </si>
  <si>
    <t>Area Manger</t>
  </si>
  <si>
    <t xml:space="preserve">Real </t>
  </si>
  <si>
    <t>Sales (1-2-3-4)</t>
  </si>
  <si>
    <t>Depocho</t>
  </si>
  <si>
    <t>D.Depocho</t>
  </si>
  <si>
    <t>ROSDEE</t>
  </si>
  <si>
    <t>New Metod</t>
  </si>
  <si>
    <t>Sales 1</t>
  </si>
  <si>
    <t>CV</t>
  </si>
  <si>
    <t>Sales 2</t>
  </si>
  <si>
    <t>Driver</t>
  </si>
  <si>
    <t>Sales3</t>
  </si>
  <si>
    <t>CVFV</t>
  </si>
  <si>
    <t>AJI-PLUS</t>
  </si>
  <si>
    <t>Sales 4</t>
  </si>
  <si>
    <t>WSF</t>
  </si>
  <si>
    <t>ROSDEE MENU KKR</t>
  </si>
  <si>
    <t>Average</t>
  </si>
  <si>
    <t>WH</t>
  </si>
  <si>
    <t>Takumi-Aji</t>
  </si>
  <si>
    <t>ROSDEE CUBE</t>
  </si>
  <si>
    <t>ROSDEE MENU</t>
  </si>
  <si>
    <t>YUMYUM</t>
  </si>
  <si>
    <t>Cascade concept</t>
  </si>
  <si>
    <t>Salesman</t>
  </si>
  <si>
    <t>Incentive</t>
  </si>
  <si>
    <t>G1</t>
  </si>
  <si>
    <t>G2</t>
  </si>
  <si>
    <t>G3</t>
  </si>
  <si>
    <t>G4</t>
  </si>
  <si>
    <t>Others</t>
  </si>
  <si>
    <t>All Depot Salesman</t>
  </si>
  <si>
    <t>incentive</t>
  </si>
  <si>
    <t>All Area depot result</t>
  </si>
  <si>
    <t>Area Manager</t>
  </si>
  <si>
    <t>All Area manager Result</t>
  </si>
  <si>
    <t>Division manager</t>
  </si>
  <si>
    <t>Incetive</t>
  </si>
  <si>
    <t>TOTAL</t>
  </si>
  <si>
    <t>EXTRA</t>
  </si>
  <si>
    <t>Special KPI</t>
  </si>
  <si>
    <t>Ot</t>
  </si>
  <si>
    <t>Extreme</t>
  </si>
  <si>
    <t>&lt;80%</t>
  </si>
  <si>
    <t>80% to &lt;90%</t>
  </si>
  <si>
    <t>90% to &lt;95%</t>
  </si>
  <si>
    <t>95% to &lt;100%</t>
  </si>
  <si>
    <t>100% to &lt;105%</t>
  </si>
  <si>
    <t>105% to &lt;110%</t>
  </si>
  <si>
    <t>110% to &lt;115%</t>
  </si>
  <si>
    <t>115% to &lt; 120%</t>
  </si>
  <si>
    <t>120% to &lt;130%</t>
  </si>
  <si>
    <t>&gt;130%</t>
  </si>
  <si>
    <t>Option1</t>
  </si>
  <si>
    <t>&gt;100% to &lt;=105%</t>
  </si>
  <si>
    <t>&gt;105% to &lt;=110%</t>
  </si>
  <si>
    <t>&gt;110% to &lt;=115%</t>
  </si>
  <si>
    <t>&gt;115% to &lt; =120%</t>
  </si>
  <si>
    <t>&gt;120% to &gt; 130%</t>
  </si>
  <si>
    <t>G1(CORE)</t>
  </si>
  <si>
    <t>G2(GD)</t>
  </si>
  <si>
    <t>G3(BB)</t>
  </si>
  <si>
    <t>Thonburi</t>
  </si>
  <si>
    <t>Nonthaburi</t>
  </si>
  <si>
    <t>Pattanakarn</t>
  </si>
  <si>
    <t>Bangpoo</t>
  </si>
  <si>
    <t>Ramindra</t>
  </si>
  <si>
    <t>Pathumthani</t>
  </si>
  <si>
    <t>Chiangmai</t>
  </si>
  <si>
    <t>Chiangrai</t>
  </si>
  <si>
    <t>Phrae</t>
  </si>
  <si>
    <t>Lampang</t>
  </si>
  <si>
    <t>P.Sanulok</t>
  </si>
  <si>
    <t>N.Sawan</t>
  </si>
  <si>
    <t>Kampeng.P</t>
  </si>
  <si>
    <t>Tak</t>
  </si>
  <si>
    <t>Rayong</t>
  </si>
  <si>
    <t>Chachoengsao</t>
  </si>
  <si>
    <t>Chantaburi</t>
  </si>
  <si>
    <t>Lopburi</t>
  </si>
  <si>
    <t>Ratchaburi</t>
  </si>
  <si>
    <t>Huahin</t>
  </si>
  <si>
    <t>Suphanburi</t>
  </si>
  <si>
    <t>Nakornpathom</t>
  </si>
  <si>
    <t>Chonburi</t>
  </si>
  <si>
    <t>Sa Kaeo</t>
  </si>
  <si>
    <t>Korat</t>
  </si>
  <si>
    <t>Ubolratchathani</t>
  </si>
  <si>
    <t>Roi-et</t>
  </si>
  <si>
    <t>Surin</t>
  </si>
  <si>
    <t>Khonkaen</t>
  </si>
  <si>
    <t>Udonthani</t>
  </si>
  <si>
    <t>S.Nakon</t>
  </si>
  <si>
    <t>Chumphae</t>
  </si>
  <si>
    <t>Hat-yai</t>
  </si>
  <si>
    <t>Suratthani</t>
  </si>
  <si>
    <t>N.Thamarat</t>
  </si>
  <si>
    <t>Trang</t>
  </si>
  <si>
    <t>Phuket</t>
  </si>
  <si>
    <t>October</t>
  </si>
  <si>
    <t>November</t>
  </si>
  <si>
    <t>December</t>
  </si>
  <si>
    <t>January</t>
  </si>
  <si>
    <t>February</t>
  </si>
  <si>
    <t>March</t>
  </si>
  <si>
    <t>MR.X</t>
  </si>
  <si>
    <t>Salesman Code</t>
  </si>
  <si>
    <t>Sales Office</t>
  </si>
  <si>
    <t>BIRDY</t>
  </si>
  <si>
    <t>SalesmanCode</t>
  </si>
  <si>
    <t>Product</t>
  </si>
  <si>
    <t>Target</t>
  </si>
  <si>
    <t>Actual</t>
  </si>
  <si>
    <t>Apr_T</t>
  </si>
  <si>
    <t>May_T</t>
  </si>
  <si>
    <t>Jun_T</t>
  </si>
  <si>
    <t>Jul_T</t>
  </si>
  <si>
    <t>Aug_T</t>
  </si>
  <si>
    <t>Sep_T</t>
  </si>
  <si>
    <t>Oct_T</t>
  </si>
  <si>
    <t>Nov_T</t>
  </si>
  <si>
    <t>Dec_T</t>
  </si>
  <si>
    <t>Jan_T</t>
  </si>
  <si>
    <t>Feb_T</t>
  </si>
  <si>
    <t>Mar_T</t>
  </si>
  <si>
    <t>Apr_A</t>
  </si>
  <si>
    <t>May_A</t>
  </si>
  <si>
    <t>Jun_A</t>
  </si>
  <si>
    <t>Jul_A</t>
  </si>
  <si>
    <t>Aug_A</t>
  </si>
  <si>
    <t>Sep_A</t>
  </si>
  <si>
    <t>Oct_A</t>
  </si>
  <si>
    <t>Nov_A</t>
  </si>
  <si>
    <t>Dec_A</t>
  </si>
  <si>
    <t>Jan_A</t>
  </si>
  <si>
    <t>Feb_A</t>
  </si>
  <si>
    <t>Mar_A</t>
  </si>
  <si>
    <t>Apr_P</t>
  </si>
  <si>
    <t>May_P</t>
  </si>
  <si>
    <t>Jun_P</t>
  </si>
  <si>
    <t>Jul_P</t>
  </si>
  <si>
    <t>Aug_P</t>
  </si>
  <si>
    <t>Sep_P</t>
  </si>
  <si>
    <t>Oct_P</t>
  </si>
  <si>
    <t>Nov_P</t>
  </si>
  <si>
    <t>Dec_P</t>
  </si>
  <si>
    <t>Jan_P</t>
  </si>
  <si>
    <t>Feb_P</t>
  </si>
  <si>
    <t>Mar_P</t>
  </si>
  <si>
    <t>Apr_I</t>
  </si>
  <si>
    <t>May_I</t>
  </si>
  <si>
    <t>Jun_I</t>
  </si>
  <si>
    <t>Jul_I</t>
  </si>
  <si>
    <t>Aug_I</t>
  </si>
  <si>
    <t>Sep_I</t>
  </si>
  <si>
    <t>Oct_I</t>
  </si>
  <si>
    <t>Nov_I</t>
  </si>
  <si>
    <t>Dec_I</t>
  </si>
  <si>
    <t>Jan_I</t>
  </si>
  <si>
    <t>Feb_I</t>
  </si>
  <si>
    <t>Mar_I</t>
  </si>
  <si>
    <t>Top WS</t>
  </si>
  <si>
    <t>WS SF</t>
  </si>
  <si>
    <t>WS WH</t>
  </si>
  <si>
    <t>Team</t>
  </si>
  <si>
    <t>Variable</t>
  </si>
  <si>
    <t>Sales Bangkok</t>
  </si>
  <si>
    <t>Pathum Thani</t>
  </si>
  <si>
    <t>Supervisor</t>
  </si>
  <si>
    <t>รูปแบบการจ่าย</t>
  </si>
  <si>
    <t>รอบการจ่าย Incentive</t>
  </si>
  <si>
    <t>sales incentive ของเดือน</t>
  </si>
  <si>
    <t>Monthly Sales compensation</t>
  </si>
  <si>
    <t>Job Function</t>
  </si>
  <si>
    <t>User/Employee ID</t>
  </si>
  <si>
    <t>Full Name Alt1 (Auto)</t>
  </si>
  <si>
    <t>Full Name (Auto)</t>
  </si>
  <si>
    <t>Date of Birth</t>
  </si>
  <si>
    <t>Age (YY.MM.DD) (Auto)</t>
  </si>
  <si>
    <t>Division Name</t>
  </si>
  <si>
    <t>Department Department Name</t>
  </si>
  <si>
    <t>Section Section Name</t>
  </si>
  <si>
    <t>Job Title</t>
  </si>
  <si>
    <t>Position Name (TH)</t>
  </si>
  <si>
    <t>Position Level</t>
  </si>
  <si>
    <t>Job Grade</t>
  </si>
  <si>
    <t>Section Manager</t>
  </si>
  <si>
    <t>Department Manager</t>
  </si>
  <si>
    <t>Ram Indra</t>
  </si>
  <si>
    <t>Staff</t>
  </si>
  <si>
    <t>Pattanakan</t>
  </si>
  <si>
    <t>Division Manager</t>
  </si>
  <si>
    <t>Associate Director</t>
  </si>
  <si>
    <t>เดือน</t>
  </si>
  <si>
    <t>ปี</t>
  </si>
  <si>
    <t>Area</t>
  </si>
  <si>
    <t>รหัสพนักงาน (พนักงานขาย)</t>
  </si>
  <si>
    <t>ชื่อ - นามสกุล (พนักงานขาย)</t>
  </si>
  <si>
    <t>รหัสพนักงาน (พนักงานผู้ช่วยขาย)</t>
  </si>
  <si>
    <t>ชื่อ - นามสกุล (พนักงานผู้ช่วยขาย)</t>
  </si>
  <si>
    <t>สถานะพนักงาน (พนักงานผู้ช่วยขาย)</t>
  </si>
  <si>
    <t>ทีม</t>
  </si>
  <si>
    <t>ทะเบียนรถ</t>
  </si>
  <si>
    <t>ประเภทรถยนต์</t>
  </si>
  <si>
    <t>หมายเหตุ</t>
  </si>
  <si>
    <t>ตรวจสอบ</t>
  </si>
  <si>
    <t>BANGKOK</t>
  </si>
  <si>
    <t>Apr-26</t>
  </si>
  <si>
    <t>May-26</t>
  </si>
  <si>
    <t>POWDER COFFEE</t>
  </si>
  <si>
    <t>ROSDEE NOODLE</t>
  </si>
  <si>
    <t>MergeName</t>
  </si>
  <si>
    <t>EmpCode</t>
  </si>
  <si>
    <t>Direct Sup</t>
  </si>
  <si>
    <t>DirectSupCode</t>
  </si>
  <si>
    <t>Direct Sup.</t>
  </si>
  <si>
    <t>Default column</t>
  </si>
  <si>
    <t>Direct superior</t>
  </si>
  <si>
    <t>%Direct superior</t>
  </si>
  <si>
    <t>Compensation rate</t>
  </si>
  <si>
    <t>%Dept Mgr</t>
  </si>
  <si>
    <t>Div Mgr</t>
  </si>
  <si>
    <t>%Div Mgr</t>
  </si>
  <si>
    <t>Dept Mgr Code</t>
  </si>
  <si>
    <t>Div Mgr Code</t>
  </si>
  <si>
    <t>Dept Mgr</t>
  </si>
  <si>
    <t>%Salesman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</si>
  <si>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</si>
  <si>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</si>
  <si>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</si>
  <si>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</si>
  <si>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</si>
  <si>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</si>
  <si>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</si>
  <si>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</si>
  <si>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</si>
  <si>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</si>
  <si>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</si>
  <si>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Shortage</t>
  </si>
  <si>
    <t>Fix rate</t>
  </si>
  <si>
    <t>SF WH</t>
  </si>
  <si>
    <t>TT Division Manager</t>
  </si>
  <si>
    <t>TT Area Manager/Dept Mgr</t>
  </si>
  <si>
    <t>TT Depot Cho</t>
  </si>
  <si>
    <t>รอบการจ่าย Incentive (Variable)</t>
  </si>
  <si>
    <t>รอบการจ่าย Incentive (Fixed)</t>
  </si>
  <si>
    <t>TT AD (inc. Laos)</t>
  </si>
  <si>
    <t>%AD</t>
  </si>
  <si>
    <t>AD</t>
  </si>
  <si>
    <t>Laos Dept</t>
  </si>
  <si>
    <t>Employment Details Hire Date/Concurrent Date</t>
  </si>
  <si>
    <t>Company Company Name</t>
  </si>
  <si>
    <t>Location Location Name</t>
  </si>
  <si>
    <t>Cost Centre</t>
  </si>
  <si>
    <t>Employment Details Service Year</t>
  </si>
  <si>
    <t>Employment Details Time in Job Grade</t>
  </si>
  <si>
    <t>Employment Details Retirement Date</t>
  </si>
  <si>
    <t>*Direct Superior</t>
  </si>
  <si>
    <t>Department Head of Department</t>
  </si>
  <si>
    <t>Head of Division</t>
  </si>
  <si>
    <t>Last Name</t>
  </si>
  <si>
    <t>First Name</t>
  </si>
  <si>
    <t>Jun-26</t>
  </si>
  <si>
    <t>Apr-27</t>
  </si>
  <si>
    <t>May-27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</si>
  <si>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</si>
  <si>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</si>
  <si>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</si>
  <si>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</si>
  <si>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</si>
  <si>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</si>
  <si>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</si>
  <si>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</si>
  <si>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</si>
  <si>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ชื่อต้องตรงกับ BI</t>
  </si>
  <si>
    <t>TT Deputy TT Deputy Depot Cho (Top W)</t>
  </si>
  <si>
    <t>TT Deputy TT Deputy Depot Cho (Shop Front)</t>
  </si>
  <si>
    <t>TT Deputy TT Deputy Depot Cho (Warehouse)</t>
  </si>
  <si>
    <t>TT Deputy TT Deputy Depot Cho</t>
  </si>
  <si>
    <t>Old</t>
  </si>
  <si>
    <t>Traditional Trade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</si>
  <si>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</si>
  <si>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</si>
  <si>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</si>
  <si>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</si>
  <si>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</si>
  <si>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</si>
  <si>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</si>
  <si>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</si>
  <si>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</si>
  <si>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</si>
  <si>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</si>
  <si>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</si>
  <si>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</si>
  <si>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</si>
  <si>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</si>
  <si>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</si>
  <si>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</si>
  <si>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</si>
  <si>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</si>
  <si>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</si>
  <si>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</si>
  <si>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</si>
  <si>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</si>
  <si>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</si>
  <si>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</si>
  <si>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</si>
  <si>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</si>
  <si>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</si>
  <si>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</si>
  <si>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</si>
  <si>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</si>
  <si>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</si>
  <si>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</si>
  <si>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</si>
  <si>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</si>
  <si>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</si>
  <si>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</si>
  <si>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</si>
  <si>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</si>
  <si>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</si>
  <si>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</si>
  <si>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</si>
  <si>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</si>
  <si>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</si>
  <si>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</si>
  <si>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</si>
  <si>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</si>
  <si>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</si>
  <si>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</si>
  <si>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</si>
  <si>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</si>
  <si>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</si>
  <si>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</si>
  <si>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</si>
  <si>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</si>
  <si>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</si>
  <si>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</si>
  <si>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</si>
  <si>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</si>
  <si>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</si>
  <si>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</si>
  <si>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</si>
  <si>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</si>
  <si>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</si>
  <si>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</si>
  <si>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</si>
  <si>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</si>
  <si>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</si>
  <si>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</si>
  <si>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</si>
  <si>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</si>
  <si>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</si>
  <si>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</si>
  <si>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</si>
  <si>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</si>
  <si>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</si>
  <si>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</si>
  <si>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</si>
  <si>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</si>
  <si>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</si>
  <si>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</si>
  <si>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</si>
  <si>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</si>
  <si>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</si>
  <si>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</si>
  <si>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</si>
  <si>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</si>
  <si>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</si>
  <si>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</si>
  <si>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</si>
  <si>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A</t>
  </si>
  <si>
    <t>R</t>
  </si>
  <si>
    <t>B</t>
  </si>
  <si>
    <t>Y</t>
  </si>
  <si>
    <t>P</t>
  </si>
  <si>
    <t>T</t>
  </si>
  <si>
    <t>RK</t>
  </si>
  <si>
    <t>AP</t>
  </si>
  <si>
    <t>Q</t>
  </si>
  <si>
    <t>PeQent  (Actual vs Target)</t>
  </si>
  <si>
    <t>PeQent (Round) (Actual vs Target)</t>
  </si>
  <si>
    <t>MaQh</t>
  </si>
  <si>
    <t>DeptMgQode</t>
  </si>
  <si>
    <t>DivMgQode</t>
  </si>
  <si>
    <t>M</t>
  </si>
  <si>
    <t>Company E-mail (Personnel)  Email InfoMation Company Email</t>
  </si>
  <si>
    <t>Company E-mail (Center)  Email InfoMation Company Email</t>
  </si>
  <si>
    <t>NS</t>
  </si>
  <si>
    <t>Maintain ที่ระบบนี้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</si>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</sst>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_-[$฿-41E]* #,##0.00_-;\-[$฿-41E]* #,##0.00_-;_-[$฿-41E]* &quot;-&quot;??_-;_-@_-"/>
    <numFmt numFmtId="167" formatCode="B1mmm\-yy"/>
    <numFmt numFmtId="168" formatCode="_-&quot;฿&quot;* #,##0_-;\-&quot;฿&quot;* #,##0_-;_-&quot;฿&quot;* &quot;-&quot;??_-;_-@_-"/>
    <numFmt numFmtId="169" formatCode="0.0%"/>
    <numFmt numFmtId="170" formatCode="0.000%"/>
    <numFmt numFmtId="171" formatCode="[$-1010809]dd/mm/yyyy"/>
    <numFmt numFmtId="172" formatCode="_-* #,##0_-;\-* #,##0_-;_-* &quot;-&quot;??_-;_-@_-"/>
  </numFmts>
  <fonts count="42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8"/>
      <color rgb="FF000000"/>
      <name val="Arial"/>
      <family val="2"/>
    </font>
    <font>
      <sz val="12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22"/>
      <scheme val="minor"/>
    </font>
    <font>
      <sz val="8"/>
      <color theme="1"/>
      <name val="Aptos Narrow"/>
      <family val="2"/>
      <charset val="222"/>
      <scheme val="minor"/>
    </font>
    <font>
      <sz val="8"/>
      <color theme="1"/>
      <name val="Aptos Display"/>
      <family val="2"/>
      <scheme val="major"/>
    </font>
    <font>
      <b/>
      <sz val="8"/>
      <color rgb="FF000000"/>
      <name val="Aptos Display"/>
      <family val="2"/>
      <scheme val="major"/>
    </font>
    <font>
      <sz val="8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sz val="8"/>
      <color rgb="FFFF0000"/>
      <name val="Aptos Display"/>
      <family val="2"/>
      <scheme val="major"/>
    </font>
    <font>
      <b/>
      <sz val="8"/>
      <color rgb="FFFF0000"/>
      <name val="Aptos Display"/>
      <family val="2"/>
      <scheme val="major"/>
    </font>
    <font>
      <sz val="8"/>
      <color theme="0"/>
      <name val="Aptos Display"/>
      <family val="2"/>
      <scheme val="major"/>
    </font>
    <font>
      <b/>
      <sz val="8"/>
      <name val="Aptos Display"/>
      <family val="2"/>
      <scheme val="major"/>
    </font>
    <font>
      <b/>
      <sz val="9"/>
      <color rgb="FF000000"/>
      <name val="Trebuchet MS"/>
      <family val="2"/>
    </font>
    <font>
      <sz val="9"/>
      <color rgb="FF000000"/>
      <name val="Trebuchet MS"/>
      <family val="2"/>
    </font>
    <font>
      <sz val="8"/>
      <color indexed="8"/>
      <name val="Aptos Display"/>
      <family val="2"/>
      <scheme val="maj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0070C0"/>
      <name val="Aptos Display"/>
      <family val="2"/>
      <scheme val="major"/>
    </font>
    <font>
      <sz val="8"/>
      <color rgb="FF0070C0"/>
      <name val="Aptos Display"/>
      <family val="2"/>
      <scheme val="major"/>
    </font>
    <font>
      <sz val="8"/>
      <color rgb="FFFFFF00"/>
      <name val="Aptos Narrow"/>
      <family val="2"/>
      <charset val="222"/>
      <scheme val="minor"/>
    </font>
    <font>
      <sz val="8"/>
      <color theme="5" tint="0.79998168889431442"/>
      <name val="Aptos Narrow"/>
      <family val="2"/>
      <charset val="222"/>
      <scheme val="minor"/>
    </font>
    <font>
      <sz val="8"/>
      <color theme="2" tint="-0.249977111117893"/>
      <name val="Aptos Narrow"/>
      <family val="2"/>
      <charset val="222"/>
      <scheme val="minor"/>
    </font>
    <font>
      <sz val="8"/>
      <color theme="4" tint="0.79998168889431442"/>
      <name val="Aptos Narrow"/>
      <family val="2"/>
      <charset val="222"/>
      <scheme val="minor"/>
    </font>
    <font>
      <sz val="8"/>
      <color theme="6" tint="0.59999389629810485"/>
      <name val="Aptos Narrow"/>
      <family val="2"/>
      <charset val="222"/>
      <scheme val="minor"/>
    </font>
    <font>
      <b/>
      <sz val="8"/>
      <color theme="7" tint="-0.249977111117893"/>
      <name val="Aptos Display"/>
      <family val="2"/>
      <scheme val="major"/>
    </font>
    <font>
      <sz val="8"/>
      <color theme="7" tint="-0.249977111117893"/>
      <name val="Aptos Display"/>
      <family val="2"/>
      <scheme val="major"/>
    </font>
    <font>
      <sz val="8"/>
      <color rgb="FFFF0000"/>
      <name val="Aptos Narrow"/>
      <family val="2"/>
      <charset val="222"/>
      <scheme val="minor"/>
    </font>
    <font>
      <sz val="14"/>
      <name val="Arial"/>
      <family val="2"/>
    </font>
    <font>
      <sz val="14"/>
      <name val="Arial"/>
      <family val="2"/>
      <charset val="222"/>
    </font>
    <font>
      <sz val="12"/>
      <name val="Arial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</fonts>
  <fills count="3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CB"/>
        <bgColor rgb="FFFFC0CB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B71F4"/>
        <bgColor indexed="64"/>
      </patternFill>
    </fill>
    <fill>
      <patternFill patternType="solid">
        <fgColor rgb="FFF7C5F1"/>
        <bgColor indexed="64"/>
      </patternFill>
    </fill>
    <fill>
      <patternFill patternType="solid">
        <fgColor theme="9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B2B2B2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00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1" xfId="0" applyFont="1" applyFill="1" applyBorder="1"/>
    <xf numFmtId="166" fontId="2" fillId="2" borderId="2" xfId="0" applyNumberFormat="1" applyFont="1" applyFill="1" applyBorder="1"/>
    <xf numFmtId="166" fontId="2" fillId="2" borderId="3" xfId="0" applyNumberFormat="1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2" borderId="4" xfId="0" applyFont="1" applyFill="1" applyBorder="1"/>
    <xf numFmtId="9" fontId="2" fillId="2" borderId="0" xfId="2" applyFont="1" applyFill="1" applyBorder="1"/>
    <xf numFmtId="9" fontId="2" fillId="2" borderId="5" xfId="2" applyFont="1" applyFill="1" applyBorder="1"/>
    <xf numFmtId="0" fontId="3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3" borderId="8" xfId="0" applyFont="1" applyFill="1" applyBorder="1"/>
    <xf numFmtId="166" fontId="2" fillId="3" borderId="9" xfId="0" applyNumberFormat="1" applyFont="1" applyFill="1" applyBorder="1"/>
    <xf numFmtId="0" fontId="2" fillId="2" borderId="8" xfId="0" applyFont="1" applyFill="1" applyBorder="1"/>
    <xf numFmtId="9" fontId="4" fillId="2" borderId="10" xfId="2" applyFont="1" applyFill="1" applyBorder="1"/>
    <xf numFmtId="9" fontId="4" fillId="2" borderId="11" xfId="2" applyFont="1" applyFill="1" applyBorder="1"/>
    <xf numFmtId="0" fontId="2" fillId="4" borderId="4" xfId="0" applyFont="1" applyFill="1" applyBorder="1"/>
    <xf numFmtId="0" fontId="2" fillId="4" borderId="0" xfId="0" applyFont="1" applyFill="1"/>
    <xf numFmtId="167" fontId="2" fillId="4" borderId="0" xfId="0" applyNumberFormat="1" applyFont="1" applyFill="1"/>
    <xf numFmtId="0" fontId="2" fillId="4" borderId="5" xfId="0" applyFont="1" applyFill="1" applyBorder="1"/>
    <xf numFmtId="168" fontId="2" fillId="0" borderId="0" xfId="1" applyNumberFormat="1" applyFont="1"/>
    <xf numFmtId="164" fontId="2" fillId="4" borderId="0" xfId="1" applyFont="1" applyFill="1" applyBorder="1"/>
    <xf numFmtId="168" fontId="2" fillId="4" borderId="0" xfId="1" applyNumberFormat="1" applyFont="1" applyFill="1"/>
    <xf numFmtId="0" fontId="2" fillId="0" borderId="8" xfId="0" applyFont="1" applyBorder="1"/>
    <xf numFmtId="164" fontId="2" fillId="4" borderId="0" xfId="0" applyNumberFormat="1" applyFont="1" applyFill="1"/>
    <xf numFmtId="0" fontId="2" fillId="7" borderId="0" xfId="0" applyFont="1" applyFill="1"/>
    <xf numFmtId="168" fontId="2" fillId="7" borderId="0" xfId="1" applyNumberFormat="1" applyFont="1" applyFill="1"/>
    <xf numFmtId="0" fontId="2" fillId="4" borderId="8" xfId="0" applyFont="1" applyFill="1" applyBorder="1"/>
    <xf numFmtId="0" fontId="2" fillId="4" borderId="9" xfId="0" applyFont="1" applyFill="1" applyBorder="1"/>
    <xf numFmtId="164" fontId="2" fillId="4" borderId="9" xfId="0" applyNumberFormat="1" applyFont="1" applyFill="1" applyBorder="1"/>
    <xf numFmtId="169" fontId="2" fillId="4" borderId="13" xfId="2" applyNumberFormat="1" applyFont="1" applyFill="1" applyBorder="1"/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9" fontId="2" fillId="0" borderId="0" xfId="0" applyNumberFormat="1" applyFont="1"/>
    <xf numFmtId="3" fontId="2" fillId="0" borderId="0" xfId="0" applyNumberFormat="1" applyFont="1"/>
    <xf numFmtId="0" fontId="2" fillId="0" borderId="9" xfId="0" applyFont="1" applyBorder="1"/>
    <xf numFmtId="166" fontId="2" fillId="0" borderId="9" xfId="0" applyNumberFormat="1" applyFont="1" applyBorder="1"/>
    <xf numFmtId="0" fontId="2" fillId="0" borderId="13" xfId="0" applyFont="1" applyBorder="1"/>
    <xf numFmtId="0" fontId="2" fillId="2" borderId="6" xfId="0" applyFont="1" applyFill="1" applyBorder="1"/>
    <xf numFmtId="0" fontId="2" fillId="2" borderId="17" xfId="0" applyFont="1" applyFill="1" applyBorder="1"/>
    <xf numFmtId="0" fontId="2" fillId="2" borderId="7" xfId="0" applyFont="1" applyFill="1" applyBorder="1"/>
    <xf numFmtId="0" fontId="2" fillId="0" borderId="14" xfId="0" applyFont="1" applyBorder="1"/>
    <xf numFmtId="166" fontId="2" fillId="0" borderId="14" xfId="0" applyNumberFormat="1" applyFont="1" applyBorder="1"/>
    <xf numFmtId="0" fontId="2" fillId="0" borderId="18" xfId="0" applyFont="1" applyBorder="1"/>
    <xf numFmtId="0" fontId="3" fillId="3" borderId="6" xfId="0" applyFont="1" applyFill="1" applyBorder="1"/>
    <xf numFmtId="164" fontId="3" fillId="3" borderId="7" xfId="1" applyFont="1" applyFill="1" applyBorder="1"/>
    <xf numFmtId="0" fontId="6" fillId="0" borderId="14" xfId="0" applyFont="1" applyBorder="1" applyAlignment="1">
      <alignment horizontal="center"/>
    </xf>
    <xf numFmtId="4" fontId="6" fillId="0" borderId="14" xfId="0" applyNumberFormat="1" applyFont="1" applyBorder="1" applyAlignment="1">
      <alignment horizontal="center"/>
    </xf>
    <xf numFmtId="9" fontId="2" fillId="9" borderId="0" xfId="0" applyNumberFormat="1" applyFont="1" applyFill="1"/>
    <xf numFmtId="4" fontId="2" fillId="0" borderId="0" xfId="0" applyNumberFormat="1" applyFont="1"/>
    <xf numFmtId="9" fontId="2" fillId="0" borderId="0" xfId="2" applyFont="1" applyFill="1" applyBorder="1"/>
    <xf numFmtId="9" fontId="2" fillId="10" borderId="0" xfId="2" applyFont="1" applyFill="1" applyBorder="1"/>
    <xf numFmtId="0" fontId="7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9" fontId="6" fillId="6" borderId="14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" fontId="8" fillId="0" borderId="14" xfId="0" applyNumberFormat="1" applyFont="1" applyBorder="1" applyAlignment="1">
      <alignment horizontal="center"/>
    </xf>
    <xf numFmtId="4" fontId="6" fillId="6" borderId="14" xfId="0" applyNumberFormat="1" applyFont="1" applyFill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5" fillId="5" borderId="19" xfId="0" applyFont="1" applyFill="1" applyBorder="1" applyAlignment="1">
      <alignment vertical="top" wrapText="1" readingOrder="1"/>
    </xf>
    <xf numFmtId="166" fontId="2" fillId="6" borderId="20" xfId="0" applyNumberFormat="1" applyFont="1" applyFill="1" applyBorder="1"/>
    <xf numFmtId="0" fontId="5" fillId="5" borderId="21" xfId="0" applyFont="1" applyFill="1" applyBorder="1" applyAlignment="1">
      <alignment vertical="top" wrapText="1" readingOrder="1"/>
    </xf>
    <xf numFmtId="166" fontId="2" fillId="6" borderId="12" xfId="0" applyNumberFormat="1" applyFont="1" applyFill="1" applyBorder="1"/>
    <xf numFmtId="166" fontId="2" fillId="0" borderId="12" xfId="0" applyNumberFormat="1" applyFont="1" applyBorder="1"/>
    <xf numFmtId="169" fontId="9" fillId="6" borderId="1" xfId="0" applyNumberFormat="1" applyFont="1" applyFill="1" applyBorder="1"/>
    <xf numFmtId="169" fontId="2" fillId="6" borderId="4" xfId="0" applyNumberFormat="1" applyFont="1" applyFill="1" applyBorder="1"/>
    <xf numFmtId="169" fontId="2" fillId="6" borderId="8" xfId="0" applyNumberFormat="1" applyFont="1" applyFill="1" applyBorder="1"/>
    <xf numFmtId="0" fontId="2" fillId="6" borderId="8" xfId="0" applyFont="1" applyFill="1" applyBorder="1"/>
    <xf numFmtId="9" fontId="2" fillId="6" borderId="1" xfId="2" applyFont="1" applyFill="1" applyBorder="1"/>
    <xf numFmtId="9" fontId="2" fillId="6" borderId="4" xfId="2" applyFont="1" applyFill="1" applyBorder="1"/>
    <xf numFmtId="9" fontId="2" fillId="6" borderId="8" xfId="2" applyFont="1" applyFill="1" applyBorder="1"/>
    <xf numFmtId="0" fontId="5" fillId="5" borderId="22" xfId="0" applyFont="1" applyFill="1" applyBorder="1" applyAlignment="1">
      <alignment vertical="top" wrapText="1" readingOrder="1"/>
    </xf>
    <xf numFmtId="0" fontId="2" fillId="0" borderId="5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2" borderId="0" xfId="0" applyFont="1" applyFill="1"/>
    <xf numFmtId="9" fontId="2" fillId="2" borderId="0" xfId="0" applyNumberFormat="1" applyFont="1" applyFill="1"/>
    <xf numFmtId="10" fontId="0" fillId="0" borderId="0" xfId="2" applyNumberFormat="1" applyFont="1"/>
    <xf numFmtId="3" fontId="0" fillId="8" borderId="0" xfId="0" applyNumberFormat="1" applyFill="1"/>
    <xf numFmtId="10" fontId="0" fillId="8" borderId="0" xfId="2" applyNumberFormat="1" applyFont="1" applyFill="1"/>
    <xf numFmtId="3" fontId="2" fillId="12" borderId="14" xfId="0" applyNumberFormat="1" applyFont="1" applyFill="1" applyBorder="1" applyAlignment="1">
      <alignment horizontal="center"/>
    </xf>
    <xf numFmtId="3" fontId="2" fillId="12" borderId="14" xfId="0" applyNumberFormat="1" applyFont="1" applyFill="1" applyBorder="1"/>
    <xf numFmtId="3" fontId="2" fillId="12" borderId="14" xfId="0" applyNumberFormat="1" applyFont="1" applyFill="1" applyBorder="1" applyAlignment="1">
      <alignment horizontal="right"/>
    </xf>
    <xf numFmtId="170" fontId="2" fillId="8" borderId="15" xfId="2" applyNumberFormat="1" applyFont="1" applyFill="1" applyBorder="1" applyAlignment="1">
      <alignment horizontal="right"/>
    </xf>
    <xf numFmtId="3" fontId="0" fillId="0" borderId="0" xfId="0" applyNumberFormat="1" applyAlignment="1">
      <alignment horizontal="center"/>
    </xf>
    <xf numFmtId="10" fontId="0" fillId="6" borderId="0" xfId="2" applyNumberFormat="1" applyFont="1" applyFill="1" applyAlignment="1">
      <alignment horizontal="center"/>
    </xf>
    <xf numFmtId="9" fontId="0" fillId="6" borderId="0" xfId="0" applyNumberFormat="1" applyFill="1" applyAlignment="1">
      <alignment horizontal="center"/>
    </xf>
    <xf numFmtId="10" fontId="0" fillId="6" borderId="0" xfId="0" applyNumberFormat="1" applyFill="1" applyAlignment="1">
      <alignment horizontal="center"/>
    </xf>
    <xf numFmtId="0" fontId="11" fillId="0" borderId="0" xfId="0" applyFont="1" applyAlignment="1">
      <alignment horizontal="center"/>
    </xf>
    <xf numFmtId="10" fontId="0" fillId="0" borderId="0" xfId="2" applyNumberFormat="1" applyFont="1" applyFill="1"/>
    <xf numFmtId="0" fontId="2" fillId="12" borderId="14" xfId="0" applyFont="1" applyFill="1" applyBorder="1" applyAlignment="1">
      <alignment horizontal="center"/>
    </xf>
    <xf numFmtId="3" fontId="0" fillId="11" borderId="0" xfId="0" applyNumberFormat="1" applyFill="1"/>
    <xf numFmtId="0" fontId="0" fillId="12" borderId="0" xfId="0" applyFill="1"/>
    <xf numFmtId="0" fontId="0" fillId="10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3" fontId="0" fillId="10" borderId="0" xfId="0" applyNumberFormat="1" applyFill="1"/>
    <xf numFmtId="0" fontId="0" fillId="11" borderId="0" xfId="0" applyFill="1"/>
    <xf numFmtId="3" fontId="0" fillId="14" borderId="0" xfId="0" applyNumberFormat="1" applyFill="1"/>
    <xf numFmtId="3" fontId="0" fillId="15" borderId="0" xfId="0" applyNumberFormat="1" applyFill="1"/>
    <xf numFmtId="10" fontId="0" fillId="16" borderId="0" xfId="2" applyNumberFormat="1" applyFont="1" applyFill="1"/>
    <xf numFmtId="3" fontId="12" fillId="6" borderId="0" xfId="0" applyNumberFormat="1" applyFont="1" applyFill="1"/>
    <xf numFmtId="10" fontId="0" fillId="6" borderId="0" xfId="2" applyNumberFormat="1" applyFont="1" applyFill="1"/>
    <xf numFmtId="9" fontId="7" fillId="2" borderId="0" xfId="0" applyNumberFormat="1" applyFont="1" applyFill="1"/>
    <xf numFmtId="166" fontId="7" fillId="3" borderId="9" xfId="0" applyNumberFormat="1" applyFont="1" applyFill="1" applyBorder="1"/>
    <xf numFmtId="0" fontId="13" fillId="0" borderId="0" xfId="0" applyFont="1"/>
    <xf numFmtId="165" fontId="13" fillId="0" borderId="0" xfId="3" applyFont="1"/>
    <xf numFmtId="0" fontId="13" fillId="0" borderId="0" xfId="0" applyFont="1" applyAlignment="1">
      <alignment horizontal="center"/>
    </xf>
    <xf numFmtId="165" fontId="13" fillId="6" borderId="0" xfId="3" applyFont="1" applyFill="1" applyAlignment="1">
      <alignment horizontal="center"/>
    </xf>
    <xf numFmtId="165" fontId="13" fillId="10" borderId="0" xfId="3" applyFont="1" applyFill="1" applyAlignment="1">
      <alignment horizontal="center"/>
    </xf>
    <xf numFmtId="165" fontId="13" fillId="17" borderId="0" xfId="3" applyFont="1" applyFill="1" applyAlignment="1">
      <alignment horizontal="center"/>
    </xf>
    <xf numFmtId="10" fontId="13" fillId="0" borderId="0" xfId="0" applyNumberFormat="1" applyFont="1"/>
    <xf numFmtId="169" fontId="14" fillId="6" borderId="1" xfId="0" applyNumberFormat="1" applyFont="1" applyFill="1" applyBorder="1"/>
    <xf numFmtId="0" fontId="15" fillId="5" borderId="19" xfId="0" applyFont="1" applyFill="1" applyBorder="1" applyAlignment="1">
      <alignment vertical="top" wrapText="1" readingOrder="1"/>
    </xf>
    <xf numFmtId="166" fontId="16" fillId="6" borderId="20" xfId="0" applyNumberFormat="1" applyFont="1" applyFill="1" applyBorder="1"/>
    <xf numFmtId="169" fontId="16" fillId="6" borderId="4" xfId="0" applyNumberFormat="1" applyFont="1" applyFill="1" applyBorder="1"/>
    <xf numFmtId="0" fontId="15" fillId="5" borderId="21" xfId="0" applyFont="1" applyFill="1" applyBorder="1" applyAlignment="1">
      <alignment vertical="top" wrapText="1" readingOrder="1"/>
    </xf>
    <xf numFmtId="166" fontId="16" fillId="6" borderId="12" xfId="0" applyNumberFormat="1" applyFont="1" applyFill="1" applyBorder="1"/>
    <xf numFmtId="169" fontId="16" fillId="6" borderId="8" xfId="0" applyNumberFormat="1" applyFont="1" applyFill="1" applyBorder="1"/>
    <xf numFmtId="0" fontId="16" fillId="0" borderId="0" xfId="0" applyFont="1"/>
    <xf numFmtId="166" fontId="16" fillId="0" borderId="12" xfId="0" applyNumberFormat="1" applyFont="1" applyBorder="1"/>
    <xf numFmtId="9" fontId="16" fillId="6" borderId="1" xfId="2" applyFont="1" applyFill="1" applyBorder="1"/>
    <xf numFmtId="9" fontId="16" fillId="6" borderId="4" xfId="2" applyFont="1" applyFill="1" applyBorder="1"/>
    <xf numFmtId="0" fontId="16" fillId="6" borderId="8" xfId="0" applyFont="1" applyFill="1" applyBorder="1"/>
    <xf numFmtId="0" fontId="15" fillId="5" borderId="22" xfId="0" applyFont="1" applyFill="1" applyBorder="1" applyAlignment="1">
      <alignment vertical="top" wrapText="1" readingOrder="1"/>
    </xf>
    <xf numFmtId="9" fontId="16" fillId="6" borderId="8" xfId="2" applyFont="1" applyFill="1" applyBorder="1"/>
    <xf numFmtId="0" fontId="17" fillId="0" borderId="0" xfId="0" applyFont="1"/>
    <xf numFmtId="0" fontId="14" fillId="0" borderId="0" xfId="0" applyFont="1"/>
    <xf numFmtId="0" fontId="16" fillId="0" borderId="4" xfId="0" applyFont="1" applyBorder="1"/>
    <xf numFmtId="0" fontId="16" fillId="2" borderId="1" xfId="0" applyFont="1" applyFill="1" applyBorder="1"/>
    <xf numFmtId="166" fontId="16" fillId="2" borderId="2" xfId="0" applyNumberFormat="1" applyFont="1" applyFill="1" applyBorder="1"/>
    <xf numFmtId="166" fontId="16" fillId="2" borderId="3" xfId="0" applyNumberFormat="1" applyFont="1" applyFill="1" applyBorder="1"/>
    <xf numFmtId="0" fontId="16" fillId="3" borderId="1" xfId="0" applyFont="1" applyFill="1" applyBorder="1"/>
    <xf numFmtId="0" fontId="16" fillId="3" borderId="2" xfId="0" applyFont="1" applyFill="1" applyBorder="1"/>
    <xf numFmtId="0" fontId="16" fillId="2" borderId="4" xfId="0" applyFont="1" applyFill="1" applyBorder="1"/>
    <xf numFmtId="9" fontId="16" fillId="2" borderId="0" xfId="0" applyNumberFormat="1" applyFont="1" applyFill="1"/>
    <xf numFmtId="9" fontId="18" fillId="2" borderId="0" xfId="0" applyNumberFormat="1" applyFont="1" applyFill="1"/>
    <xf numFmtId="9" fontId="16" fillId="2" borderId="0" xfId="2" applyFont="1" applyFill="1" applyBorder="1"/>
    <xf numFmtId="9" fontId="16" fillId="2" borderId="5" xfId="2" applyFont="1" applyFill="1" applyBorder="1"/>
    <xf numFmtId="0" fontId="16" fillId="3" borderId="8" xfId="0" applyFont="1" applyFill="1" applyBorder="1"/>
    <xf numFmtId="166" fontId="18" fillId="3" borderId="9" xfId="0" applyNumberFormat="1" applyFont="1" applyFill="1" applyBorder="1"/>
    <xf numFmtId="0" fontId="16" fillId="2" borderId="8" xfId="0" applyFont="1" applyFill="1" applyBorder="1"/>
    <xf numFmtId="9" fontId="19" fillId="2" borderId="10" xfId="2" applyFont="1" applyFill="1" applyBorder="1"/>
    <xf numFmtId="9" fontId="19" fillId="2" borderId="11" xfId="2" applyFont="1" applyFill="1" applyBorder="1"/>
    <xf numFmtId="0" fontId="16" fillId="0" borderId="9" xfId="0" applyFont="1" applyBorder="1"/>
    <xf numFmtId="0" fontId="16" fillId="18" borderId="0" xfId="0" applyFont="1" applyFill="1"/>
    <xf numFmtId="166" fontId="16" fillId="3" borderId="9" xfId="0" applyNumberFormat="1" applyFont="1" applyFill="1" applyBorder="1"/>
    <xf numFmtId="0" fontId="16" fillId="0" borderId="12" xfId="0" applyFont="1" applyBorder="1"/>
    <xf numFmtId="0" fontId="16" fillId="0" borderId="16" xfId="0" applyFont="1" applyBorder="1"/>
    <xf numFmtId="0" fontId="16" fillId="0" borderId="8" xfId="0" applyFont="1" applyBorder="1"/>
    <xf numFmtId="0" fontId="15" fillId="5" borderId="24" xfId="0" applyFont="1" applyFill="1" applyBorder="1" applyAlignment="1">
      <alignment vertical="top" wrapText="1" readingOrder="1"/>
    </xf>
    <xf numFmtId="9" fontId="16" fillId="6" borderId="23" xfId="2" applyFont="1" applyFill="1" applyBorder="1"/>
    <xf numFmtId="166" fontId="16" fillId="6" borderId="25" xfId="0" applyNumberFormat="1" applyFont="1" applyFill="1" applyBorder="1"/>
    <xf numFmtId="166" fontId="16" fillId="6" borderId="16" xfId="0" applyNumberFormat="1" applyFont="1" applyFill="1" applyBorder="1"/>
    <xf numFmtId="165" fontId="13" fillId="19" borderId="0" xfId="3" applyFont="1" applyFill="1" applyAlignment="1">
      <alignment horizontal="center"/>
    </xf>
    <xf numFmtId="0" fontId="13" fillId="0" borderId="0" xfId="0" quotePrefix="1" applyFont="1" applyAlignment="1">
      <alignment wrapText="1"/>
    </xf>
    <xf numFmtId="1" fontId="20" fillId="0" borderId="0" xfId="0" applyNumberFormat="1" applyFont="1"/>
    <xf numFmtId="10" fontId="20" fillId="0" borderId="0" xfId="0" applyNumberFormat="1" applyFont="1"/>
    <xf numFmtId="0" fontId="20" fillId="0" borderId="0" xfId="0" applyFont="1"/>
    <xf numFmtId="0" fontId="16" fillId="0" borderId="0" xfId="0" applyFont="1" applyAlignment="1">
      <alignment horizontal="center" vertical="center"/>
    </xf>
    <xf numFmtId="49" fontId="16" fillId="8" borderId="0" xfId="0" quotePrefix="1" applyNumberFormat="1" applyFont="1" applyFill="1" applyAlignment="1">
      <alignment horizontal="center"/>
    </xf>
    <xf numFmtId="0" fontId="14" fillId="8" borderId="0" xfId="0" applyFont="1" applyFill="1"/>
    <xf numFmtId="0" fontId="17" fillId="0" borderId="0" xfId="0" applyFont="1" applyAlignment="1">
      <alignment horizontal="center"/>
    </xf>
    <xf numFmtId="49" fontId="13" fillId="0" borderId="0" xfId="3" applyNumberFormat="1" applyFont="1" applyFill="1" applyAlignment="1">
      <alignment horizontal="center"/>
    </xf>
    <xf numFmtId="0" fontId="13" fillId="25" borderId="0" xfId="0" applyFont="1" applyFill="1"/>
    <xf numFmtId="0" fontId="13" fillId="25" borderId="0" xfId="0" applyFont="1" applyFill="1" applyAlignment="1">
      <alignment horizontal="center"/>
    </xf>
    <xf numFmtId="165" fontId="13" fillId="26" borderId="0" xfId="3" applyFont="1" applyFill="1" applyAlignment="1">
      <alignment horizontal="center"/>
    </xf>
    <xf numFmtId="0" fontId="13" fillId="26" borderId="0" xfId="0" applyFont="1" applyFill="1" applyAlignment="1">
      <alignment horizontal="center"/>
    </xf>
    <xf numFmtId="0" fontId="21" fillId="21" borderId="1" xfId="0" applyFont="1" applyFill="1" applyBorder="1" applyAlignment="1">
      <alignment horizontal="center" vertical="center"/>
    </xf>
    <xf numFmtId="0" fontId="21" fillId="21" borderId="41" xfId="0" applyFont="1" applyFill="1" applyBorder="1" applyAlignment="1">
      <alignment horizontal="center" vertical="center"/>
    </xf>
    <xf numFmtId="0" fontId="21" fillId="21" borderId="42" xfId="0" applyFont="1" applyFill="1" applyBorder="1" applyAlignment="1">
      <alignment vertical="center"/>
    </xf>
    <xf numFmtId="0" fontId="21" fillId="21" borderId="42" xfId="0" applyFont="1" applyFill="1" applyBorder="1" applyAlignment="1">
      <alignment horizontal="center" vertical="center"/>
    </xf>
    <xf numFmtId="0" fontId="22" fillId="0" borderId="27" xfId="0" applyFont="1" applyBorder="1" applyAlignment="1">
      <alignment horizontal="left"/>
    </xf>
    <xf numFmtId="0" fontId="15" fillId="6" borderId="51" xfId="0" applyFont="1" applyFill="1" applyBorder="1" applyAlignment="1">
      <alignment horizontal="left"/>
    </xf>
    <xf numFmtId="0" fontId="23" fillId="0" borderId="28" xfId="0" applyFont="1" applyBorder="1" applyAlignment="1">
      <alignment horizontal="left"/>
    </xf>
    <xf numFmtId="171" fontId="23" fillId="0" borderId="28" xfId="0" applyNumberFormat="1" applyFont="1" applyBorder="1" applyAlignment="1">
      <alignment horizontal="left"/>
    </xf>
    <xf numFmtId="0" fontId="23" fillId="0" borderId="28" xfId="0" applyFont="1" applyBorder="1"/>
    <xf numFmtId="0" fontId="24" fillId="27" borderId="0" xfId="0" applyFont="1" applyFill="1"/>
    <xf numFmtId="0" fontId="23" fillId="20" borderId="28" xfId="0" applyFont="1" applyFill="1" applyBorder="1" applyAlignment="1">
      <alignment horizontal="left"/>
    </xf>
    <xf numFmtId="171" fontId="23" fillId="20" borderId="28" xfId="0" applyNumberFormat="1" applyFont="1" applyFill="1" applyBorder="1" applyAlignment="1">
      <alignment horizontal="left"/>
    </xf>
    <xf numFmtId="0" fontId="23" fillId="20" borderId="28" xfId="0" applyFont="1" applyFill="1" applyBorder="1"/>
    <xf numFmtId="0" fontId="25" fillId="0" borderId="0" xfId="0" applyFont="1"/>
    <xf numFmtId="10" fontId="13" fillId="26" borderId="0" xfId="3" applyNumberFormat="1" applyFont="1" applyFill="1" applyAlignment="1">
      <alignment horizontal="center"/>
    </xf>
    <xf numFmtId="10" fontId="13" fillId="26" borderId="0" xfId="0" applyNumberFormat="1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65" fontId="14" fillId="24" borderId="0" xfId="3" applyFont="1" applyFill="1" applyAlignment="1">
      <alignment horizontal="center"/>
    </xf>
    <xf numFmtId="165" fontId="14" fillId="0" borderId="0" xfId="3" applyFont="1"/>
    <xf numFmtId="10" fontId="27" fillId="7" borderId="0" xfId="2" applyNumberFormat="1" applyFont="1" applyFill="1" applyAlignment="1">
      <alignment horizontal="center"/>
    </xf>
    <xf numFmtId="165" fontId="27" fillId="7" borderId="0" xfId="3" applyFont="1" applyFill="1" applyAlignment="1">
      <alignment horizontal="center"/>
    </xf>
    <xf numFmtId="0" fontId="27" fillId="7" borderId="0" xfId="0" applyFont="1" applyFill="1" applyAlignment="1">
      <alignment horizontal="center"/>
    </xf>
    <xf numFmtId="165" fontId="28" fillId="7" borderId="0" xfId="3" applyFont="1" applyFill="1"/>
    <xf numFmtId="10" fontId="28" fillId="7" borderId="0" xfId="2" applyNumberFormat="1" applyFont="1" applyFill="1"/>
    <xf numFmtId="0" fontId="28" fillId="7" borderId="0" xfId="0" applyFont="1" applyFill="1"/>
    <xf numFmtId="0" fontId="28" fillId="7" borderId="0" xfId="0" applyFont="1" applyFill="1" applyAlignment="1">
      <alignment horizontal="center"/>
    </xf>
    <xf numFmtId="1" fontId="16" fillId="22" borderId="0" xfId="0" applyNumberFormat="1" applyFont="1" applyFill="1" applyAlignment="1">
      <alignment horizontal="center"/>
    </xf>
    <xf numFmtId="0" fontId="15" fillId="8" borderId="14" xfId="0" applyFont="1" applyFill="1" applyBorder="1" applyAlignment="1">
      <alignment horizontal="left"/>
    </xf>
    <xf numFmtId="0" fontId="17" fillId="23" borderId="14" xfId="0" applyFont="1" applyFill="1" applyBorder="1" applyAlignment="1">
      <alignment horizontal="center"/>
    </xf>
    <xf numFmtId="165" fontId="17" fillId="21" borderId="14" xfId="3" applyFont="1" applyFill="1" applyBorder="1" applyAlignment="1">
      <alignment horizontal="center"/>
    </xf>
    <xf numFmtId="0" fontId="17" fillId="28" borderId="14" xfId="0" applyFont="1" applyFill="1" applyBorder="1" applyAlignment="1">
      <alignment horizontal="center"/>
    </xf>
    <xf numFmtId="49" fontId="13" fillId="29" borderId="0" xfId="3" applyNumberFormat="1" applyFont="1" applyFill="1" applyAlignment="1">
      <alignment horizontal="center"/>
    </xf>
    <xf numFmtId="17" fontId="14" fillId="29" borderId="0" xfId="0" quotePrefix="1" applyNumberFormat="1" applyFont="1" applyFill="1" applyAlignment="1">
      <alignment horizontal="center"/>
    </xf>
    <xf numFmtId="49" fontId="17" fillId="0" borderId="0" xfId="0" applyNumberFormat="1" applyFont="1" applyAlignment="1">
      <alignment horizontal="center"/>
    </xf>
    <xf numFmtId="49" fontId="14" fillId="0" borderId="0" xfId="0" quotePrefix="1" applyNumberFormat="1" applyFont="1" applyAlignment="1">
      <alignment horizontal="center"/>
    </xf>
    <xf numFmtId="49" fontId="0" fillId="0" borderId="0" xfId="0" applyNumberFormat="1"/>
    <xf numFmtId="0" fontId="21" fillId="21" borderId="52" xfId="0" applyFont="1" applyFill="1" applyBorder="1" applyAlignment="1">
      <alignment horizontal="center" vertical="center"/>
    </xf>
    <xf numFmtId="0" fontId="21" fillId="21" borderId="7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1" fontId="16" fillId="8" borderId="34" xfId="0" applyNumberFormat="1" applyFont="1" applyFill="1" applyBorder="1" applyAlignment="1">
      <alignment horizontal="center"/>
    </xf>
    <xf numFmtId="1" fontId="16" fillId="8" borderId="29" xfId="0" applyNumberFormat="1" applyFont="1" applyFill="1" applyBorder="1" applyAlignment="1">
      <alignment horizontal="center"/>
    </xf>
    <xf numFmtId="1" fontId="16" fillId="8" borderId="44" xfId="0" applyNumberFormat="1" applyFont="1" applyFill="1" applyBorder="1" applyAlignment="1">
      <alignment horizontal="center"/>
    </xf>
    <xf numFmtId="1" fontId="16" fillId="8" borderId="35" xfId="0" applyNumberFormat="1" applyFont="1" applyFill="1" applyBorder="1" applyAlignment="1">
      <alignment horizontal="center"/>
    </xf>
    <xf numFmtId="1" fontId="16" fillId="8" borderId="30" xfId="0" applyNumberFormat="1" applyFont="1" applyFill="1" applyBorder="1" applyAlignment="1">
      <alignment horizontal="center"/>
    </xf>
    <xf numFmtId="1" fontId="16" fillId="8" borderId="45" xfId="0" applyNumberFormat="1" applyFont="1" applyFill="1" applyBorder="1" applyAlignment="1">
      <alignment horizontal="center"/>
    </xf>
    <xf numFmtId="165" fontId="13" fillId="29" borderId="0" xfId="3" applyFont="1" applyFill="1" applyAlignment="1">
      <alignment horizontal="center"/>
    </xf>
    <xf numFmtId="9" fontId="13" fillId="0" borderId="0" xfId="2" quotePrefix="1" applyFont="1" applyAlignment="1">
      <alignment wrapText="1"/>
    </xf>
    <xf numFmtId="0" fontId="13" fillId="29" borderId="0" xfId="0" applyFont="1" applyFill="1"/>
    <xf numFmtId="49" fontId="13" fillId="6" borderId="0" xfId="3" applyNumberFormat="1" applyFont="1" applyFill="1" applyAlignment="1">
      <alignment horizontal="center"/>
    </xf>
    <xf numFmtId="0" fontId="25" fillId="6" borderId="0" xfId="0" applyFont="1" applyFill="1"/>
    <xf numFmtId="0" fontId="26" fillId="22" borderId="0" xfId="0" applyFont="1" applyFill="1" applyAlignment="1">
      <alignment horizontal="center"/>
    </xf>
    <xf numFmtId="0" fontId="17" fillId="30" borderId="14" xfId="0" applyFont="1" applyFill="1" applyBorder="1" applyAlignment="1">
      <alignment horizontal="center"/>
    </xf>
    <xf numFmtId="0" fontId="14" fillId="31" borderId="0" xfId="0" applyFont="1" applyFill="1" applyAlignment="1">
      <alignment horizontal="center"/>
    </xf>
    <xf numFmtId="0" fontId="19" fillId="23" borderId="14" xfId="0" applyFont="1" applyFill="1" applyBorder="1" applyAlignment="1">
      <alignment horizontal="center"/>
    </xf>
    <xf numFmtId="0" fontId="18" fillId="22" borderId="0" xfId="0" applyFont="1" applyFill="1"/>
    <xf numFmtId="10" fontId="18" fillId="0" borderId="0" xfId="2" applyNumberFormat="1" applyFont="1"/>
    <xf numFmtId="0" fontId="18" fillId="0" borderId="0" xfId="0" applyFont="1"/>
    <xf numFmtId="172" fontId="29" fillId="6" borderId="0" xfId="3" applyNumberFormat="1" applyFont="1" applyFill="1" applyAlignment="1">
      <alignment horizontal="center"/>
    </xf>
    <xf numFmtId="172" fontId="30" fillId="19" borderId="0" xfId="3" applyNumberFormat="1" applyFont="1" applyFill="1" applyAlignment="1">
      <alignment horizontal="center"/>
    </xf>
    <xf numFmtId="172" fontId="31" fillId="29" borderId="0" xfId="3" applyNumberFormat="1" applyFont="1" applyFill="1" applyAlignment="1">
      <alignment horizontal="center"/>
    </xf>
    <xf numFmtId="172" fontId="32" fillId="17" borderId="0" xfId="3" applyNumberFormat="1" applyFont="1" applyFill="1" applyAlignment="1">
      <alignment horizontal="center"/>
    </xf>
    <xf numFmtId="172" fontId="33" fillId="10" borderId="0" xfId="3" applyNumberFormat="1" applyFont="1" applyFill="1" applyAlignment="1">
      <alignment horizontal="center"/>
    </xf>
    <xf numFmtId="165" fontId="25" fillId="6" borderId="0" xfId="3" applyFont="1" applyFill="1" applyAlignment="1">
      <alignment horizontal="center"/>
    </xf>
    <xf numFmtId="0" fontId="34" fillId="7" borderId="0" xfId="0" applyFont="1" applyFill="1" applyAlignment="1">
      <alignment horizontal="center"/>
    </xf>
    <xf numFmtId="0" fontId="35" fillId="7" borderId="0" xfId="0" applyFont="1" applyFill="1" applyAlignment="1">
      <alignment horizontal="center"/>
    </xf>
    <xf numFmtId="166" fontId="2" fillId="9" borderId="2" xfId="0" applyNumberFormat="1" applyFont="1" applyFill="1" applyBorder="1"/>
    <xf numFmtId="0" fontId="0" fillId="6" borderId="0" xfId="0" applyFill="1"/>
    <xf numFmtId="10" fontId="28" fillId="7" borderId="0" xfId="0" applyNumberFormat="1" applyFont="1" applyFill="1"/>
    <xf numFmtId="2" fontId="28" fillId="7" borderId="0" xfId="0" applyNumberFormat="1" applyFont="1" applyFill="1"/>
    <xf numFmtId="165" fontId="13" fillId="0" borderId="0" xfId="0" applyNumberFormat="1" applyFont="1"/>
    <xf numFmtId="0" fontId="19" fillId="0" borderId="0" xfId="0" applyFont="1" applyAlignment="1">
      <alignment horizontal="center"/>
    </xf>
    <xf numFmtId="10" fontId="14" fillId="6" borderId="0" xfId="2" applyNumberFormat="1" applyFont="1" applyFill="1"/>
    <xf numFmtId="10" fontId="14" fillId="0" borderId="0" xfId="2" applyNumberFormat="1" applyFont="1"/>
    <xf numFmtId="166" fontId="2" fillId="6" borderId="2" xfId="0" applyNumberFormat="1" applyFont="1" applyFill="1" applyBorder="1"/>
    <xf numFmtId="166" fontId="2" fillId="32" borderId="3" xfId="0" applyNumberFormat="1" applyFont="1" applyFill="1" applyBorder="1"/>
    <xf numFmtId="166" fontId="2" fillId="32" borderId="5" xfId="0" applyNumberFormat="1" applyFont="1" applyFill="1" applyBorder="1"/>
    <xf numFmtId="166" fontId="2" fillId="0" borderId="20" xfId="0" applyNumberFormat="1" applyFont="1" applyBorder="1" applyAlignment="1">
      <alignment vertical="center"/>
    </xf>
    <xf numFmtId="166" fontId="2" fillId="0" borderId="20" xfId="0" applyNumberFormat="1" applyFont="1" applyBorder="1"/>
    <xf numFmtId="166" fontId="2" fillId="0" borderId="12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6" fontId="16" fillId="6" borderId="2" xfId="0" applyNumberFormat="1" applyFont="1" applyFill="1" applyBorder="1"/>
    <xf numFmtId="166" fontId="16" fillId="0" borderId="20" xfId="0" applyNumberFormat="1" applyFont="1" applyBorder="1" applyAlignment="1">
      <alignment vertical="center"/>
    </xf>
    <xf numFmtId="166" fontId="16" fillId="0" borderId="20" xfId="0" applyNumberFormat="1" applyFont="1" applyBorder="1"/>
    <xf numFmtId="166" fontId="16" fillId="0" borderId="12" xfId="0" applyNumberFormat="1" applyFont="1" applyBorder="1" applyAlignment="1">
      <alignment vertical="center"/>
    </xf>
    <xf numFmtId="166" fontId="16" fillId="0" borderId="16" xfId="0" applyNumberFormat="1" applyFont="1" applyBorder="1" applyAlignment="1">
      <alignment vertical="center"/>
    </xf>
    <xf numFmtId="166" fontId="16" fillId="0" borderId="16" xfId="0" applyNumberFormat="1" applyFont="1" applyBorder="1"/>
    <xf numFmtId="166" fontId="16" fillId="32" borderId="3" xfId="0" applyNumberFormat="1" applyFont="1" applyFill="1" applyBorder="1"/>
    <xf numFmtId="166" fontId="16" fillId="32" borderId="5" xfId="0" applyNumberFormat="1" applyFont="1" applyFill="1" applyBorder="1"/>
    <xf numFmtId="166" fontId="16" fillId="32" borderId="13" xfId="0" applyNumberFormat="1" applyFont="1" applyFill="1" applyBorder="1"/>
    <xf numFmtId="166" fontId="16" fillId="0" borderId="25" xfId="0" applyNumberFormat="1" applyFont="1" applyBorder="1" applyAlignment="1">
      <alignment vertical="center"/>
    </xf>
    <xf numFmtId="166" fontId="16" fillId="0" borderId="25" xfId="0" applyNumberFormat="1" applyFont="1" applyBorder="1"/>
    <xf numFmtId="166" fontId="16" fillId="32" borderId="26" xfId="0" applyNumberFormat="1" applyFont="1" applyFill="1" applyBorder="1"/>
    <xf numFmtId="165" fontId="2" fillId="9" borderId="2" xfId="3" applyFont="1" applyFill="1" applyBorder="1"/>
    <xf numFmtId="3" fontId="13" fillId="32" borderId="0" xfId="0" applyNumberFormat="1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1" fontId="37" fillId="0" borderId="43" xfId="0" applyNumberFormat="1" applyFont="1" applyBorder="1" applyAlignment="1">
      <alignment horizontal="center"/>
    </xf>
    <xf numFmtId="1" fontId="37" fillId="0" borderId="58" xfId="0" applyNumberFormat="1" applyFont="1" applyBorder="1" applyAlignment="1">
      <alignment horizontal="center"/>
    </xf>
    <xf numFmtId="1" fontId="37" fillId="0" borderId="43" xfId="0" applyNumberFormat="1" applyFont="1" applyBorder="1" applyAlignment="1">
      <alignment horizontal="center" vertical="center"/>
    </xf>
    <xf numFmtId="1" fontId="37" fillId="0" borderId="34" xfId="0" applyNumberFormat="1" applyFont="1" applyBorder="1" applyAlignment="1">
      <alignment horizontal="center"/>
    </xf>
    <xf numFmtId="49" fontId="37" fillId="0" borderId="29" xfId="0" quotePrefix="1" applyNumberFormat="1" applyFont="1" applyBorder="1" applyAlignment="1">
      <alignment horizontal="center"/>
    </xf>
    <xf numFmtId="0" fontId="37" fillId="0" borderId="29" xfId="0" applyFont="1" applyBorder="1" applyAlignment="1">
      <alignment horizontal="left"/>
    </xf>
    <xf numFmtId="0" fontId="37" fillId="0" borderId="29" xfId="0" applyFont="1" applyBorder="1" applyAlignment="1">
      <alignment horizontal="left" vertical="center"/>
    </xf>
    <xf numFmtId="0" fontId="37" fillId="0" borderId="29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0" fontId="38" fillId="0" borderId="43" xfId="0" applyFont="1" applyBorder="1" applyAlignment="1">
      <alignment horizontal="center" vertical="center"/>
    </xf>
    <xf numFmtId="1" fontId="37" fillId="0" borderId="59" xfId="0" applyNumberFormat="1" applyFont="1" applyBorder="1" applyAlignment="1">
      <alignment horizontal="center"/>
    </xf>
    <xf numFmtId="1" fontId="37" fillId="0" borderId="60" xfId="0" applyNumberFormat="1" applyFont="1" applyBorder="1" applyAlignment="1">
      <alignment horizontal="center"/>
    </xf>
    <xf numFmtId="1" fontId="37" fillId="0" borderId="36" xfId="0" applyNumberFormat="1" applyFont="1" applyBorder="1" applyAlignment="1">
      <alignment horizontal="center" vertical="center"/>
    </xf>
    <xf numFmtId="1" fontId="37" fillId="0" borderId="36" xfId="0" applyNumberFormat="1" applyFont="1" applyBorder="1" applyAlignment="1">
      <alignment horizontal="center"/>
    </xf>
    <xf numFmtId="49" fontId="37" fillId="0" borderId="31" xfId="0" quotePrefix="1" applyNumberFormat="1" applyFont="1" applyBorder="1" applyAlignment="1">
      <alignment horizontal="center"/>
    </xf>
    <xf numFmtId="0" fontId="37" fillId="0" borderId="31" xfId="0" applyFont="1" applyBorder="1" applyAlignment="1">
      <alignment horizontal="left"/>
    </xf>
    <xf numFmtId="0" fontId="37" fillId="0" borderId="31" xfId="0" applyFont="1" applyBorder="1" applyAlignment="1">
      <alignment horizontal="left" vertical="center"/>
    </xf>
    <xf numFmtId="0" fontId="37" fillId="0" borderId="46" xfId="0" applyFont="1" applyBorder="1" applyAlignment="1">
      <alignment horizontal="center" vertical="center"/>
    </xf>
    <xf numFmtId="0" fontId="37" fillId="0" borderId="47" xfId="0" applyFont="1" applyBorder="1" applyAlignment="1">
      <alignment horizontal="left" vertical="center"/>
    </xf>
    <xf numFmtId="0" fontId="37" fillId="0" borderId="47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1" fontId="37" fillId="0" borderId="49" xfId="0" applyNumberFormat="1" applyFont="1" applyBorder="1" applyAlignment="1">
      <alignment horizontal="center"/>
    </xf>
    <xf numFmtId="1" fontId="37" fillId="0" borderId="57" xfId="0" applyNumberFormat="1" applyFont="1" applyBorder="1" applyAlignment="1">
      <alignment horizontal="center"/>
    </xf>
    <xf numFmtId="0" fontId="37" fillId="0" borderId="33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1" fontId="37" fillId="0" borderId="0" xfId="0" applyNumberFormat="1" applyFont="1" applyAlignment="1">
      <alignment horizontal="center"/>
    </xf>
    <xf numFmtId="0" fontId="37" fillId="0" borderId="33" xfId="0" applyFont="1" applyBorder="1" applyAlignment="1">
      <alignment horizontal="left"/>
    </xf>
    <xf numFmtId="49" fontId="37" fillId="0" borderId="32" xfId="0" quotePrefix="1" applyNumberFormat="1" applyFont="1" applyBorder="1" applyAlignment="1">
      <alignment horizontal="center"/>
    </xf>
    <xf numFmtId="0" fontId="37" fillId="0" borderId="33" xfId="0" applyFont="1" applyBorder="1" applyAlignment="1">
      <alignment horizontal="left" vertical="center"/>
    </xf>
    <xf numFmtId="1" fontId="37" fillId="0" borderId="4" xfId="0" applyNumberFormat="1" applyFont="1" applyBorder="1" applyAlignment="1">
      <alignment horizontal="center"/>
    </xf>
    <xf numFmtId="1" fontId="37" fillId="0" borderId="48" xfId="0" applyNumberFormat="1" applyFont="1" applyBorder="1" applyAlignment="1">
      <alignment horizontal="center"/>
    </xf>
    <xf numFmtId="1" fontId="37" fillId="0" borderId="61" xfId="0" applyNumberFormat="1" applyFont="1" applyBorder="1" applyAlignment="1">
      <alignment horizontal="center"/>
    </xf>
    <xf numFmtId="1" fontId="37" fillId="0" borderId="4" xfId="0" applyNumberFormat="1" applyFont="1" applyBorder="1" applyAlignment="1">
      <alignment horizontal="center" vertical="center"/>
    </xf>
    <xf numFmtId="1" fontId="37" fillId="0" borderId="38" xfId="0" applyNumberFormat="1" applyFont="1" applyBorder="1" applyAlignment="1">
      <alignment horizontal="center"/>
    </xf>
    <xf numFmtId="1" fontId="37" fillId="0" borderId="50" xfId="0" applyNumberFormat="1" applyFont="1" applyBorder="1" applyAlignment="1">
      <alignment horizontal="center"/>
    </xf>
    <xf numFmtId="1" fontId="37" fillId="0" borderId="48" xfId="0" applyNumberFormat="1" applyFont="1" applyBorder="1" applyAlignment="1">
      <alignment horizontal="center" vertical="center"/>
    </xf>
    <xf numFmtId="1" fontId="37" fillId="0" borderId="39" xfId="0" applyNumberFormat="1" applyFont="1" applyBorder="1" applyAlignment="1">
      <alignment horizontal="center"/>
    </xf>
    <xf numFmtId="0" fontId="38" fillId="0" borderId="49" xfId="0" applyFont="1" applyBorder="1" applyAlignment="1">
      <alignment horizontal="center" vertical="center"/>
    </xf>
    <xf numFmtId="1" fontId="37" fillId="0" borderId="12" xfId="0" applyNumberFormat="1" applyFont="1" applyBorder="1" applyAlignment="1">
      <alignment horizontal="center"/>
    </xf>
    <xf numFmtId="1" fontId="37" fillId="0" borderId="49" xfId="0" applyNumberFormat="1" applyFont="1" applyBorder="1" applyAlignment="1">
      <alignment horizontal="center" vertical="center"/>
    </xf>
    <xf numFmtId="1" fontId="37" fillId="0" borderId="37" xfId="0" applyNumberFormat="1" applyFont="1" applyBorder="1" applyAlignment="1">
      <alignment horizontal="center" vertical="center"/>
    </xf>
    <xf numFmtId="49" fontId="37" fillId="0" borderId="33" xfId="0" quotePrefix="1" applyNumberFormat="1" applyFont="1" applyBorder="1" applyAlignment="1">
      <alignment horizontal="center"/>
    </xf>
    <xf numFmtId="0" fontId="37" fillId="0" borderId="33" xfId="0" applyFont="1" applyBorder="1" applyAlignment="1">
      <alignment horizontal="center"/>
    </xf>
    <xf numFmtId="49" fontId="37" fillId="0" borderId="50" xfId="0" quotePrefix="1" applyNumberFormat="1" applyFont="1" applyBorder="1" applyAlignment="1">
      <alignment horizontal="center"/>
    </xf>
    <xf numFmtId="0" fontId="38" fillId="4" borderId="49" xfId="0" applyFont="1" applyFill="1" applyBorder="1" applyAlignment="1">
      <alignment horizontal="center" vertical="center"/>
    </xf>
    <xf numFmtId="1" fontId="37" fillId="0" borderId="62" xfId="0" applyNumberFormat="1" applyFont="1" applyBorder="1" applyAlignment="1">
      <alignment horizontal="center"/>
    </xf>
    <xf numFmtId="1" fontId="37" fillId="0" borderId="40" xfId="0" applyNumberFormat="1" applyFont="1" applyBorder="1" applyAlignment="1">
      <alignment horizontal="center" vertical="center"/>
    </xf>
    <xf numFmtId="1" fontId="37" fillId="0" borderId="40" xfId="0" applyNumberFormat="1" applyFont="1" applyBorder="1" applyAlignment="1">
      <alignment horizontal="center"/>
    </xf>
    <xf numFmtId="1" fontId="37" fillId="0" borderId="37" xfId="0" applyNumberFormat="1" applyFont="1" applyBorder="1" applyAlignment="1">
      <alignment horizontal="center"/>
    </xf>
    <xf numFmtId="49" fontId="37" fillId="0" borderId="32" xfId="0" applyNumberFormat="1" applyFont="1" applyBorder="1" applyAlignment="1">
      <alignment horizontal="center"/>
    </xf>
    <xf numFmtId="0" fontId="39" fillId="0" borderId="32" xfId="0" applyFont="1" applyBorder="1" applyAlignment="1">
      <alignment horizontal="left" vertical="center"/>
    </xf>
    <xf numFmtId="0" fontId="37" fillId="0" borderId="50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32" xfId="0" applyFont="1" applyBorder="1" applyAlignment="1">
      <alignment horizontal="left"/>
    </xf>
    <xf numFmtId="9" fontId="13" fillId="0" borderId="0" xfId="2" quotePrefix="1" applyFont="1" applyFill="1" applyAlignment="1">
      <alignment wrapText="1"/>
    </xf>
    <xf numFmtId="0" fontId="24" fillId="6" borderId="0" xfId="0" applyFont="1" applyFill="1"/>
    <xf numFmtId="165" fontId="26" fillId="22" borderId="0" xfId="3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1" fontId="37" fillId="0" borderId="63" xfId="0" applyNumberFormat="1" applyFont="1" applyBorder="1" applyAlignment="1">
      <alignment horizontal="center"/>
    </xf>
    <xf numFmtId="1" fontId="37" fillId="0" borderId="63" xfId="0" applyNumberFormat="1" applyFont="1" applyBorder="1" applyAlignment="1">
      <alignment horizontal="center" vertical="center"/>
    </xf>
    <xf numFmtId="49" fontId="37" fillId="0" borderId="54" xfId="0" quotePrefix="1" applyNumberFormat="1" applyFont="1" applyBorder="1" applyAlignment="1">
      <alignment horizontal="center"/>
    </xf>
    <xf numFmtId="0" fontId="37" fillId="0" borderId="54" xfId="0" applyFont="1" applyBorder="1" applyAlignment="1">
      <alignment horizontal="left"/>
    </xf>
    <xf numFmtId="0" fontId="37" fillId="0" borderId="54" xfId="0" applyFont="1" applyBorder="1" applyAlignment="1">
      <alignment horizontal="left" vertical="center"/>
    </xf>
    <xf numFmtId="0" fontId="37" fillId="0" borderId="54" xfId="0" applyFont="1" applyBorder="1" applyAlignment="1">
      <alignment horizontal="center" vertical="center"/>
    </xf>
    <xf numFmtId="0" fontId="39" fillId="0" borderId="64" xfId="0" applyFont="1" applyBorder="1" applyAlignment="1">
      <alignment horizontal="center" vertical="center"/>
    </xf>
    <xf numFmtId="0" fontId="37" fillId="0" borderId="63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/>
    </xf>
    <xf numFmtId="0" fontId="39" fillId="0" borderId="33" xfId="0" applyFont="1" applyBorder="1" applyAlignment="1">
      <alignment horizontal="left"/>
    </xf>
    <xf numFmtId="1" fontId="37" fillId="0" borderId="7" xfId="0" applyNumberFormat="1" applyFont="1" applyBorder="1" applyAlignment="1">
      <alignment horizontal="center"/>
    </xf>
    <xf numFmtId="1" fontId="37" fillId="0" borderId="53" xfId="0" applyNumberFormat="1" applyFont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23" fillId="0" borderId="28" xfId="0" quotePrefix="1" applyFont="1" applyBorder="1" applyAlignment="1">
      <alignment horizontal="left"/>
    </xf>
    <xf numFmtId="0" fontId="23" fillId="20" borderId="28" xfId="0" quotePrefix="1" applyFont="1" applyFill="1" applyBorder="1" applyAlignment="1">
      <alignment horizontal="left"/>
    </xf>
    <xf numFmtId="0" fontId="23" fillId="0" borderId="28" xfId="0" quotePrefix="1" applyFont="1" applyBorder="1"/>
    <xf numFmtId="0" fontId="23" fillId="20" borderId="28" xfId="0" quotePrefix="1" applyFont="1" applyFill="1" applyBorder="1"/>
    <xf numFmtId="0" fontId="26" fillId="6" borderId="14" xfId="0" applyFont="1" applyFill="1" applyBorder="1" applyAlignment="1">
      <alignment horizontal="center"/>
    </xf>
    <xf numFmtId="0" fontId="13" fillId="6" borderId="14" xfId="0" applyFont="1" applyFill="1" applyBorder="1"/>
    <xf numFmtId="0" fontId="34" fillId="7" borderId="0" xfId="0" applyFont="1" applyFill="1" applyAlignment="1">
      <alignment horizontal="center" wrapText="1"/>
    </xf>
    <xf numFmtId="10" fontId="27" fillId="7" borderId="0" xfId="2" applyNumberFormat="1" applyFont="1" applyFill="1" applyAlignment="1">
      <alignment horizontal="center" wrapText="1"/>
    </xf>
    <xf numFmtId="165" fontId="27" fillId="7" borderId="0" xfId="3" applyFont="1" applyFill="1" applyAlignment="1">
      <alignment horizontal="center" wrapText="1"/>
    </xf>
    <xf numFmtId="0" fontId="27" fillId="7" borderId="0" xfId="0" applyFont="1" applyFill="1" applyAlignment="1">
      <alignment horizontal="center" wrapText="1"/>
    </xf>
    <xf numFmtId="0" fontId="14" fillId="0" borderId="0" xfId="0" applyFont="1" applyAlignment="1">
      <alignment wrapText="1"/>
    </xf>
    <xf numFmtId="0" fontId="15" fillId="9" borderId="14" xfId="0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165" fontId="17" fillId="21" borderId="14" xfId="3" applyFont="1" applyFill="1" applyBorder="1" applyAlignment="1">
      <alignment horizontal="center" vertical="center" wrapText="1"/>
    </xf>
    <xf numFmtId="0" fontId="17" fillId="28" borderId="14" xfId="0" applyFont="1" applyFill="1" applyBorder="1" applyAlignment="1">
      <alignment horizontal="center" vertical="center" wrapText="1"/>
    </xf>
    <xf numFmtId="0" fontId="17" fillId="30" borderId="14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165" fontId="13" fillId="6" borderId="0" xfId="3" applyFont="1" applyFill="1" applyAlignment="1">
      <alignment horizontal="center"/>
    </xf>
    <xf numFmtId="165" fontId="13" fillId="10" borderId="0" xfId="3" applyFont="1" applyFill="1" applyAlignment="1">
      <alignment horizontal="center"/>
    </xf>
    <xf numFmtId="165" fontId="13" fillId="17" borderId="0" xfId="3" applyFont="1" applyFill="1" applyAlignment="1">
      <alignment horizontal="center"/>
    </xf>
    <xf numFmtId="165" fontId="13" fillId="19" borderId="0" xfId="3" applyFont="1" applyFill="1" applyAlignment="1">
      <alignment horizontal="center"/>
    </xf>
    <xf numFmtId="165" fontId="13" fillId="29" borderId="0" xfId="3" applyFont="1" applyFill="1" applyAlignment="1">
      <alignment horizontal="center"/>
    </xf>
    <xf numFmtId="0" fontId="18" fillId="27" borderId="0" xfId="0" applyFont="1" applyFill="1"/>
    <xf numFmtId="0" fontId="36" fillId="0" borderId="0" xfId="0" applyFont="1"/>
    <xf numFmtId="0" fontId="36" fillId="0" borderId="0" xfId="0" applyFont="1" applyAlignment="1">
      <alignment horizontal="center" vertical="center"/>
    </xf>
    <xf numFmtId="165" fontId="36" fillId="10" borderId="0" xfId="3" applyFont="1" applyFill="1" applyAlignment="1">
      <alignment horizontal="center"/>
    </xf>
    <xf numFmtId="165" fontId="36" fillId="6" borderId="0" xfId="3" applyFont="1" applyFill="1" applyAlignment="1">
      <alignment horizontal="center"/>
    </xf>
    <xf numFmtId="168" fontId="2" fillId="0" borderId="14" xfId="1" applyNumberFormat="1" applyFont="1" applyBorder="1"/>
    <xf numFmtId="168" fontId="2" fillId="4" borderId="14" xfId="1" applyNumberFormat="1" applyFont="1" applyFill="1" applyBorder="1"/>
    <xf numFmtId="168" fontId="2" fillId="7" borderId="14" xfId="1" applyNumberFormat="1" applyFont="1" applyFill="1" applyBorder="1"/>
    <xf numFmtId="0" fontId="2" fillId="6" borderId="3" xfId="0" applyFont="1" applyFill="1" applyBorder="1"/>
    <xf numFmtId="168" fontId="2" fillId="6" borderId="14" xfId="1" applyNumberFormat="1" applyFont="1" applyFill="1" applyBorder="1"/>
    <xf numFmtId="0" fontId="2" fillId="6" borderId="14" xfId="0" applyFont="1" applyFill="1" applyBorder="1"/>
    <xf numFmtId="0" fontId="13" fillId="6" borderId="0" xfId="0" applyFont="1" applyFill="1"/>
    <xf numFmtId="49" fontId="16" fillId="6" borderId="0" xfId="0" quotePrefix="1" applyNumberFormat="1" applyFont="1" applyFill="1" applyAlignment="1">
      <alignment horizontal="center"/>
    </xf>
    <xf numFmtId="1" fontId="16" fillId="6" borderId="0" xfId="0" applyNumberFormat="1" applyFont="1" applyFill="1" applyAlignment="1">
      <alignment horizontal="center"/>
    </xf>
    <xf numFmtId="0" fontId="14" fillId="6" borderId="0" xfId="0" applyFont="1" applyFill="1"/>
    <xf numFmtId="0" fontId="18" fillId="6" borderId="0" xfId="0" applyFont="1" applyFill="1"/>
    <xf numFmtId="165" fontId="14" fillId="6" borderId="0" xfId="3" applyFont="1" applyFill="1" applyAlignment="1">
      <alignment horizontal="center"/>
    </xf>
    <xf numFmtId="17" fontId="14" fillId="6" borderId="0" xfId="0" quotePrefix="1" applyNumberFormat="1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165" fontId="28" fillId="6" borderId="0" xfId="3" applyFont="1" applyFill="1"/>
    <xf numFmtId="10" fontId="28" fillId="6" borderId="0" xfId="2" applyNumberFormat="1" applyFont="1" applyFill="1"/>
    <xf numFmtId="0" fontId="28" fillId="6" borderId="0" xfId="0" applyFont="1" applyFill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7C5F1"/>
      <color rgb="FFFFFFCC"/>
      <color rgb="FFFF9900"/>
      <color rgb="FFFB71F4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137583</xdr:colOff>
      <xdr:row>7</xdr:row>
      <xdr:rowOff>148167</xdr:rowOff>
    </xdr:from>
    <xdr:to>
      <xdr:col>21</xdr:col>
      <xdr:colOff>56478</xdr:colOff>
      <xdr:row>11</xdr:row>
      <xdr:rowOff>172277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C3C872-5702-530A-5954-50EBFBF9A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3500" y="1407584"/>
          <a:ext cx="10809145" cy="7437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nawara_sopak/Desktop/New%20Simulation%20with%20New%20Scale/20251009%20Sales%20Target%20FY25%20Deputy%20Depot%20Cho.xlsx" TargetMode="External"/><Relationship Id="rId1" Type="http://schemas.openxmlformats.org/officeDocument/2006/relationships/externalLinkPath" Target="/nawara_sopak/Desktop/New%20Simulation%20with%20New%20Scale/20251009%20Sales%20Target%20FY25%20Deputy%20Depot%20C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riginal"/>
      <sheetName val="1"/>
      <sheetName val="Sheet2"/>
      <sheetName val="AJI"/>
      <sheetName val="RD"/>
      <sheetName val="B"/>
      <sheetName val="Aji+"/>
      <sheetName val="RDQ"/>
      <sheetName val="RDM"/>
      <sheetName val="RDNS"/>
      <sheetName val="YY"/>
      <sheetName val="B3"/>
      <sheetName val="TKM"/>
      <sheetName val="KKR"/>
    </sheetNames>
    <sheetDataSet>
      <sheetData sheetId="0"/>
      <sheetData sheetId="1"/>
      <sheetData sheetId="2">
        <row r="2">
          <cell r="A2">
            <v>1190011200</v>
          </cell>
          <cell r="B2">
            <v>61022</v>
          </cell>
          <cell r="C2" t="str">
            <v>นายสกนธ์ เจริญบุตร</v>
          </cell>
        </row>
        <row r="3">
          <cell r="A3">
            <v>1190011201</v>
          </cell>
          <cell r="B3">
            <v>76001</v>
          </cell>
          <cell r="C3" t="str">
            <v>นายวิโรจน์ แซ่ฉั่ว</v>
          </cell>
        </row>
        <row r="4">
          <cell r="A4">
            <v>1190011203</v>
          </cell>
          <cell r="B4">
            <v>63008</v>
          </cell>
          <cell r="C4" t="str">
            <v>นายอนุศิษฏ์ เจริญพิทย์</v>
          </cell>
        </row>
        <row r="5">
          <cell r="A5">
            <v>1190011203</v>
          </cell>
          <cell r="B5" t="str">
            <v/>
          </cell>
          <cell r="C5" t="str">
            <v/>
          </cell>
        </row>
        <row r="6">
          <cell r="A6">
            <v>1190011204</v>
          </cell>
          <cell r="B6">
            <v>100779</v>
          </cell>
          <cell r="C6" t="str">
            <v>นายวีระชัย เฉลิมชัยกุล</v>
          </cell>
        </row>
        <row r="7">
          <cell r="A7">
            <v>1190011205</v>
          </cell>
          <cell r="B7">
            <v>77065</v>
          </cell>
          <cell r="C7" t="str">
            <v>นายธนชาติ สอนมาก</v>
          </cell>
        </row>
        <row r="8">
          <cell r="A8">
            <v>1190011207</v>
          </cell>
          <cell r="B8">
            <v>101751</v>
          </cell>
          <cell r="C8" t="str">
            <v>นายธีรพงศ์ รัตนะ</v>
          </cell>
        </row>
        <row r="9">
          <cell r="A9">
            <v>1190011208</v>
          </cell>
          <cell r="B9">
            <v>101414</v>
          </cell>
          <cell r="C9" t="str">
            <v>นายพงศธร ชัยศีร</v>
          </cell>
        </row>
        <row r="10">
          <cell r="A10">
            <v>1190011209</v>
          </cell>
          <cell r="B10">
            <v>28993</v>
          </cell>
          <cell r="C10" t="str">
            <v>นายภัสนุพงษ์ อยู่กรัด</v>
          </cell>
        </row>
        <row r="11">
          <cell r="A11">
            <v>1190011210</v>
          </cell>
          <cell r="B11">
            <v>100505</v>
          </cell>
          <cell r="C11" t="str">
            <v>นายภรัณยู หน่อชัย</v>
          </cell>
        </row>
        <row r="12">
          <cell r="A12">
            <v>1190011214</v>
          </cell>
          <cell r="B12">
            <v>71328</v>
          </cell>
          <cell r="C12" t="str">
            <v>นายประเสริฐ สุขีธรรม</v>
          </cell>
        </row>
        <row r="13">
          <cell r="A13">
            <v>1190011400</v>
          </cell>
          <cell r="B13">
            <v>27599</v>
          </cell>
          <cell r="C13" t="str">
            <v>นายนรากร สินยัง</v>
          </cell>
        </row>
        <row r="14">
          <cell r="A14">
            <v>1190011401</v>
          </cell>
          <cell r="B14">
            <v>63723</v>
          </cell>
          <cell r="C14" t="str">
            <v>นายธนาพัทธ์ จงเทพสกุลชัย</v>
          </cell>
        </row>
        <row r="15">
          <cell r="A15">
            <v>1190011402</v>
          </cell>
          <cell r="B15">
            <v>60408</v>
          </cell>
          <cell r="C15" t="str">
            <v>นายดุสิต จุฑาสุวรรณ</v>
          </cell>
        </row>
        <row r="16">
          <cell r="A16">
            <v>1190011403</v>
          </cell>
          <cell r="B16">
            <v>78582</v>
          </cell>
          <cell r="C16" t="str">
            <v>นายนพคุณ สุขสำราญ</v>
          </cell>
        </row>
        <row r="17">
          <cell r="A17">
            <v>1190011408</v>
          </cell>
          <cell r="B17">
            <v>101516</v>
          </cell>
          <cell r="C17" t="str">
            <v>นายภูษิต เจริญพิทย์</v>
          </cell>
        </row>
        <row r="18">
          <cell r="A18">
            <v>1190011409</v>
          </cell>
          <cell r="B18">
            <v>101230</v>
          </cell>
          <cell r="C18" t="str">
            <v>นายนิติพน สีหนาจ</v>
          </cell>
        </row>
        <row r="19">
          <cell r="A19">
            <v>1190011410</v>
          </cell>
          <cell r="B19">
            <v>100104</v>
          </cell>
          <cell r="C19" t="str">
            <v>นายธนาธิป เลิศลาวี</v>
          </cell>
        </row>
        <row r="20">
          <cell r="A20">
            <v>1190011411</v>
          </cell>
          <cell r="B20">
            <v>101221</v>
          </cell>
          <cell r="C20" t="str">
            <v>นายสุดเขต กลิ่นสอน</v>
          </cell>
        </row>
        <row r="21">
          <cell r="A21">
            <v>1190011412</v>
          </cell>
          <cell r="B21">
            <v>71043</v>
          </cell>
          <cell r="C21" t="str">
            <v>นายเสริมโชค อยู่อุดมสุข</v>
          </cell>
        </row>
        <row r="22">
          <cell r="A22">
            <v>1190011500</v>
          </cell>
          <cell r="B22">
            <v>71661</v>
          </cell>
          <cell r="C22" t="str">
            <v>นายสายชล ใจหนัก</v>
          </cell>
        </row>
        <row r="23">
          <cell r="A23">
            <v>1190011501</v>
          </cell>
          <cell r="B23">
            <v>71637</v>
          </cell>
          <cell r="C23" t="str">
            <v>นายพณิชพงศ์ แจ้งธีรภูสิทธิ์</v>
          </cell>
        </row>
        <row r="24">
          <cell r="A24">
            <v>1190011502</v>
          </cell>
          <cell r="B24">
            <v>63684</v>
          </cell>
          <cell r="C24" t="str">
            <v>นายยุติพงศ์ อุยพานิชยนตร์</v>
          </cell>
        </row>
        <row r="25">
          <cell r="A25">
            <v>1190011503</v>
          </cell>
          <cell r="B25">
            <v>76881</v>
          </cell>
          <cell r="C25" t="str">
            <v>นายกิตติศักดิ์ ภาคีฉาย</v>
          </cell>
        </row>
        <row r="26">
          <cell r="A26">
            <v>1190011504</v>
          </cell>
          <cell r="B26">
            <v>76912</v>
          </cell>
          <cell r="C26" t="str">
            <v>นายกำพล กล้าหาญ</v>
          </cell>
        </row>
        <row r="27">
          <cell r="A27">
            <v>1190011505</v>
          </cell>
          <cell r="B27">
            <v>25474</v>
          </cell>
          <cell r="C27" t="str">
            <v>นายสมชาย รอบเหลี่ยม</v>
          </cell>
        </row>
        <row r="28">
          <cell r="A28">
            <v>1190011506</v>
          </cell>
          <cell r="B28">
            <v>62523</v>
          </cell>
          <cell r="C28" t="str">
            <v>นายรัฐพล ปันอ้าย</v>
          </cell>
        </row>
        <row r="29">
          <cell r="A29">
            <v>1190011508</v>
          </cell>
          <cell r="B29">
            <v>64672</v>
          </cell>
          <cell r="C29" t="str">
            <v>นายวิรัช สุขศรี</v>
          </cell>
        </row>
        <row r="30">
          <cell r="A30">
            <v>1190011509</v>
          </cell>
          <cell r="B30">
            <v>66438</v>
          </cell>
          <cell r="C30" t="str">
            <v>นายไกรศร รัตนภิญโญกุล</v>
          </cell>
        </row>
        <row r="31">
          <cell r="A31">
            <v>1190011700</v>
          </cell>
          <cell r="B31">
            <v>78029</v>
          </cell>
          <cell r="C31" t="str">
            <v>นายรณชัย ทรายหมอ</v>
          </cell>
        </row>
        <row r="32">
          <cell r="A32">
            <v>1190011701</v>
          </cell>
          <cell r="B32">
            <v>29698</v>
          </cell>
          <cell r="C32" t="str">
            <v>นายพูลทวี เกษรบัว</v>
          </cell>
        </row>
        <row r="33">
          <cell r="A33">
            <v>1190011703</v>
          </cell>
          <cell r="B33">
            <v>101887</v>
          </cell>
          <cell r="C33" t="str">
            <v>นายพุฒิพงษ์ อมตะพิงกุล</v>
          </cell>
        </row>
        <row r="34">
          <cell r="A34">
            <v>1190011704</v>
          </cell>
          <cell r="B34">
            <v>28650</v>
          </cell>
          <cell r="C34" t="str">
            <v>นายวีรศักดิ์ โคตรชมภู</v>
          </cell>
        </row>
        <row r="35">
          <cell r="A35">
            <v>1190011708</v>
          </cell>
          <cell r="B35">
            <v>77861</v>
          </cell>
          <cell r="C35" t="str">
            <v>นายสุพจน์ เทียนทอง</v>
          </cell>
        </row>
        <row r="36">
          <cell r="A36">
            <v>1190011709</v>
          </cell>
          <cell r="B36">
            <v>28634</v>
          </cell>
          <cell r="C36" t="str">
            <v>นายสุชาติ เปสูงเนิน</v>
          </cell>
        </row>
        <row r="37">
          <cell r="A37">
            <v>1190011710</v>
          </cell>
          <cell r="B37">
            <v>77609</v>
          </cell>
          <cell r="C37" t="str">
            <v>นายธีรภัทร์ หวะสุวรรณ</v>
          </cell>
        </row>
        <row r="38">
          <cell r="A38">
            <v>1190011711</v>
          </cell>
          <cell r="B38">
            <v>101231</v>
          </cell>
          <cell r="C38" t="str">
            <v>นายรัตนโชติ ปู่ทองจันทร์</v>
          </cell>
        </row>
        <row r="39">
          <cell r="A39">
            <v>1190011712</v>
          </cell>
          <cell r="B39">
            <v>78354</v>
          </cell>
          <cell r="C39" t="str">
            <v>นายภานุพงษ์ นภัสสกุล</v>
          </cell>
        </row>
        <row r="40">
          <cell r="A40">
            <v>1190011800</v>
          </cell>
          <cell r="B40">
            <v>71417</v>
          </cell>
          <cell r="C40" t="str">
            <v>นายมนต์ชัย เชาว์อยชัย</v>
          </cell>
        </row>
        <row r="41">
          <cell r="A41">
            <v>1190011801</v>
          </cell>
          <cell r="B41">
            <v>28236</v>
          </cell>
          <cell r="C41" t="str">
            <v>นายประวิทย์ ธารีบุญ</v>
          </cell>
        </row>
        <row r="42">
          <cell r="A42">
            <v>1190011803</v>
          </cell>
          <cell r="B42">
            <v>77285</v>
          </cell>
          <cell r="C42" t="str">
            <v>นายวีระพงษ์ ปัญญา</v>
          </cell>
        </row>
        <row r="43">
          <cell r="A43">
            <v>1190011805</v>
          </cell>
          <cell r="B43">
            <v>100836</v>
          </cell>
          <cell r="C43" t="str">
            <v>นายนบพล รุณเจริญ</v>
          </cell>
        </row>
        <row r="44">
          <cell r="A44">
            <v>1190011806</v>
          </cell>
          <cell r="B44">
            <v>76734</v>
          </cell>
          <cell r="C44" t="str">
            <v>นายณัฐวุฒิ พิทักษ์ปิยะวรรณ</v>
          </cell>
        </row>
        <row r="45">
          <cell r="A45">
            <v>1190011808</v>
          </cell>
          <cell r="B45">
            <v>101901</v>
          </cell>
          <cell r="C45" t="str">
            <v>นายพีรพล แท่นแก้ว</v>
          </cell>
        </row>
        <row r="46">
          <cell r="A46">
            <v>1190011809</v>
          </cell>
          <cell r="B46">
            <v>24321</v>
          </cell>
          <cell r="C46" t="str">
            <v>นายอภิสิทธิ์ เหลาเกลี้ยง</v>
          </cell>
        </row>
        <row r="47">
          <cell r="A47">
            <v>1190017000</v>
          </cell>
          <cell r="B47">
            <v>65408</v>
          </cell>
          <cell r="C47" t="str">
            <v>นายธนัทสรรค์ ชัยภัทร์วรนนท์</v>
          </cell>
        </row>
        <row r="48">
          <cell r="A48">
            <v>1190017001</v>
          </cell>
          <cell r="B48">
            <v>77683</v>
          </cell>
          <cell r="C48" t="str">
            <v>นายสุพัชธณคุณ ชลมงคล</v>
          </cell>
        </row>
        <row r="49">
          <cell r="A49">
            <v>1190017002</v>
          </cell>
          <cell r="B49">
            <v>76328</v>
          </cell>
          <cell r="C49" t="str">
            <v>นายสุวภู รัตนไพศาลเศรษฐ์</v>
          </cell>
        </row>
        <row r="50">
          <cell r="A50">
            <v>1190017003</v>
          </cell>
          <cell r="B50">
            <v>78401</v>
          </cell>
          <cell r="C50" t="str">
            <v>นายจักกริช ชุ่มบุญเรืองเดช</v>
          </cell>
        </row>
        <row r="51">
          <cell r="A51">
            <v>1190017005</v>
          </cell>
          <cell r="B51">
            <v>60262</v>
          </cell>
          <cell r="C51" t="str">
            <v>นายสุชาติ กฤษทิพย์</v>
          </cell>
        </row>
        <row r="52">
          <cell r="A52">
            <v>1190017006</v>
          </cell>
          <cell r="B52">
            <v>71768</v>
          </cell>
          <cell r="C52" t="str">
            <v>นายมนต์ตรี ชูรัตน์</v>
          </cell>
        </row>
        <row r="53">
          <cell r="A53">
            <v>1190017009</v>
          </cell>
          <cell r="B53">
            <v>65432</v>
          </cell>
          <cell r="C53" t="str">
            <v>นายปิโยรส แสงแจ่ม</v>
          </cell>
        </row>
        <row r="54">
          <cell r="A54">
            <v>1190017010</v>
          </cell>
          <cell r="B54">
            <v>77023</v>
          </cell>
          <cell r="C54" t="str">
            <v>นายดำรงค์ศักดิ์ คงยืน</v>
          </cell>
        </row>
        <row r="55">
          <cell r="A55">
            <v>1190017013</v>
          </cell>
          <cell r="B55">
            <v>76289</v>
          </cell>
          <cell r="C55" t="str">
            <v>นายเธียรกวิน ใจผ่อง</v>
          </cell>
        </row>
        <row r="56">
          <cell r="A56">
            <v>1190017014</v>
          </cell>
          <cell r="B56">
            <v>63668</v>
          </cell>
          <cell r="C56" t="str">
            <v>นายมานพ สุขเจริญ</v>
          </cell>
        </row>
        <row r="57">
          <cell r="A57" t="str">
            <v>1700-SFT-001</v>
          </cell>
          <cell r="B57" t="str">
            <v>0Temp2</v>
          </cell>
          <cell r="C57" t="str">
            <v>Temp2</v>
          </cell>
        </row>
        <row r="58">
          <cell r="A58">
            <v>1190021900</v>
          </cell>
          <cell r="B58">
            <v>24787</v>
          </cell>
          <cell r="C58" t="str">
            <v>นายสาธิต บุญสุริยกิจจา</v>
          </cell>
        </row>
        <row r="59">
          <cell r="A59">
            <v>1190021901</v>
          </cell>
          <cell r="B59">
            <v>76043</v>
          </cell>
          <cell r="C59" t="str">
            <v>นายธนรัตน์ บัวสอด</v>
          </cell>
        </row>
        <row r="60">
          <cell r="A60">
            <v>1190021902</v>
          </cell>
          <cell r="B60">
            <v>75835</v>
          </cell>
          <cell r="C60" t="str">
            <v>นายอนุวัฒน์ บุญจง</v>
          </cell>
        </row>
        <row r="61">
          <cell r="A61">
            <v>1190021904</v>
          </cell>
          <cell r="B61">
            <v>101877</v>
          </cell>
          <cell r="C61" t="str">
            <v>นายนันทวัฒน์ ชัยนา</v>
          </cell>
        </row>
        <row r="62">
          <cell r="A62">
            <v>1190021905</v>
          </cell>
          <cell r="B62">
            <v>101275</v>
          </cell>
          <cell r="C62" t="str">
            <v>นายดนุ เพ็งมาก</v>
          </cell>
        </row>
        <row r="63">
          <cell r="A63">
            <v>1190021906</v>
          </cell>
          <cell r="B63">
            <v>100173</v>
          </cell>
          <cell r="C63" t="str">
            <v>นายกิตติ สายเครือรินทร์</v>
          </cell>
        </row>
        <row r="64">
          <cell r="A64">
            <v>1190021907</v>
          </cell>
          <cell r="B64">
            <v>63927</v>
          </cell>
          <cell r="C64" t="str">
            <v>นายอนุรักษ์ บุญมา</v>
          </cell>
        </row>
        <row r="65">
          <cell r="A65">
            <v>1190021908</v>
          </cell>
          <cell r="B65">
            <v>100590</v>
          </cell>
          <cell r="C65" t="str">
            <v>นายจีระพันธ์ บุญศรี</v>
          </cell>
        </row>
        <row r="66">
          <cell r="A66">
            <v>1190021909</v>
          </cell>
          <cell r="B66">
            <v>100428</v>
          </cell>
          <cell r="C66" t="str">
            <v>นายจอมไตร กันทาหงษ์</v>
          </cell>
        </row>
        <row r="67">
          <cell r="A67">
            <v>1190021909</v>
          </cell>
          <cell r="B67" t="str">
            <v>0Temp2</v>
          </cell>
          <cell r="C67" t="str">
            <v>Temp2</v>
          </cell>
        </row>
        <row r="68">
          <cell r="A68">
            <v>1190021910</v>
          </cell>
          <cell r="B68">
            <v>101595</v>
          </cell>
          <cell r="C68" t="str">
            <v>นายณัฐพล คำนวน</v>
          </cell>
        </row>
        <row r="69">
          <cell r="A69">
            <v>1190021911</v>
          </cell>
          <cell r="B69">
            <v>100435</v>
          </cell>
          <cell r="C69" t="str">
            <v>นายนคเรศ จินะกัน</v>
          </cell>
        </row>
        <row r="70">
          <cell r="A70">
            <v>1190022000</v>
          </cell>
          <cell r="B70">
            <v>63731</v>
          </cell>
          <cell r="C70" t="str">
            <v>นายจีระศักดิ์ สนธิไทรงาม</v>
          </cell>
        </row>
        <row r="71">
          <cell r="A71">
            <v>1190022001</v>
          </cell>
          <cell r="B71">
            <v>100352</v>
          </cell>
          <cell r="C71" t="str">
            <v>นายชาตรี ขุนทอง</v>
          </cell>
        </row>
        <row r="72">
          <cell r="A72">
            <v>1190022002</v>
          </cell>
          <cell r="B72">
            <v>66307</v>
          </cell>
          <cell r="C72" t="str">
            <v>นายมงคล เสนาะสำเนียง</v>
          </cell>
        </row>
        <row r="73">
          <cell r="A73">
            <v>1190022003</v>
          </cell>
          <cell r="B73">
            <v>64371</v>
          </cell>
          <cell r="C73" t="str">
            <v>นายอุศเรนทร์ จิตมโนวรรณ</v>
          </cell>
        </row>
        <row r="74">
          <cell r="A74">
            <v>1190022005</v>
          </cell>
          <cell r="B74">
            <v>101556</v>
          </cell>
          <cell r="C74" t="str">
            <v>นายนำพล ใจบั้งเงิน</v>
          </cell>
        </row>
        <row r="75">
          <cell r="A75">
            <v>1190022006</v>
          </cell>
          <cell r="B75">
            <v>60898</v>
          </cell>
          <cell r="C75" t="str">
            <v>นายวิรุตธ์ จันทาพูน</v>
          </cell>
        </row>
        <row r="76">
          <cell r="A76">
            <v>1190022007</v>
          </cell>
          <cell r="B76">
            <v>76556</v>
          </cell>
          <cell r="C76" t="str">
            <v>นายอิศเรศ จิตมโนวรรณ</v>
          </cell>
        </row>
        <row r="77">
          <cell r="A77">
            <v>1190022008</v>
          </cell>
          <cell r="B77">
            <v>25555</v>
          </cell>
          <cell r="C77" t="str">
            <v>นายประยูร ยอดทองเลิศ</v>
          </cell>
        </row>
        <row r="78">
          <cell r="A78">
            <v>1190022100</v>
          </cell>
          <cell r="B78">
            <v>60759</v>
          </cell>
          <cell r="C78" t="str">
            <v>นายประการ กางกั้น</v>
          </cell>
        </row>
        <row r="79">
          <cell r="A79">
            <v>1190022101</v>
          </cell>
          <cell r="B79">
            <v>61276</v>
          </cell>
          <cell r="C79" t="str">
            <v>นายพงษ์ศักดิ์ เวียงนาค</v>
          </cell>
        </row>
        <row r="80">
          <cell r="A80">
            <v>1190022103</v>
          </cell>
          <cell r="B80">
            <v>64842</v>
          </cell>
          <cell r="C80" t="str">
            <v>นายศราวุธ ง้าวแหลม</v>
          </cell>
        </row>
        <row r="81">
          <cell r="A81">
            <v>1190022104</v>
          </cell>
          <cell r="B81">
            <v>27997</v>
          </cell>
          <cell r="C81" t="str">
            <v>นายสุริยนต์ เฟื่องมณี</v>
          </cell>
        </row>
        <row r="82">
          <cell r="A82">
            <v>1190022105</v>
          </cell>
          <cell r="B82">
            <v>71548</v>
          </cell>
          <cell r="C82" t="str">
            <v>นายสุฒิชัย อ่อนเป็ง</v>
          </cell>
        </row>
        <row r="83">
          <cell r="A83">
            <v>1190022106</v>
          </cell>
          <cell r="B83">
            <v>62840</v>
          </cell>
          <cell r="C83" t="str">
            <v>นายพงษ์ศิริ จินา</v>
          </cell>
        </row>
        <row r="84">
          <cell r="A84">
            <v>1190022108</v>
          </cell>
          <cell r="B84">
            <v>70851</v>
          </cell>
          <cell r="C84" t="str">
            <v>นายโชคชัย ปวงวัฒนา</v>
          </cell>
        </row>
        <row r="85">
          <cell r="A85">
            <v>1190022110</v>
          </cell>
          <cell r="B85">
            <v>100668</v>
          </cell>
          <cell r="C85" t="str">
            <v>นายอภิณัติ คงทน</v>
          </cell>
        </row>
        <row r="86">
          <cell r="A86">
            <v>1190022200</v>
          </cell>
          <cell r="B86">
            <v>60953</v>
          </cell>
          <cell r="C86" t="str">
            <v>นายวัลลภ หิมวันต์</v>
          </cell>
        </row>
        <row r="87">
          <cell r="A87">
            <v>1190022201</v>
          </cell>
          <cell r="B87">
            <v>61616</v>
          </cell>
          <cell r="C87" t="str">
            <v>นายฐิติพงศ์ ก๋าเมืองลือ</v>
          </cell>
        </row>
        <row r="88">
          <cell r="A88">
            <v>1190022202</v>
          </cell>
          <cell r="B88">
            <v>100478</v>
          </cell>
          <cell r="C88" t="str">
            <v>นายสาธร ลอวิภา</v>
          </cell>
        </row>
        <row r="89">
          <cell r="A89">
            <v>1190022203</v>
          </cell>
          <cell r="B89">
            <v>65610</v>
          </cell>
          <cell r="C89" t="str">
            <v>นายภูฤทธิ์ รูปงาม</v>
          </cell>
        </row>
        <row r="90">
          <cell r="A90">
            <v>1190022204</v>
          </cell>
          <cell r="B90">
            <v>65539</v>
          </cell>
          <cell r="C90" t="str">
            <v>นายธันยวิชญ์ สุเมธะ</v>
          </cell>
        </row>
        <row r="91">
          <cell r="A91">
            <v>1190022205</v>
          </cell>
          <cell r="B91">
            <v>71865</v>
          </cell>
          <cell r="C91" t="str">
            <v>นายชาญ เป็นมูล</v>
          </cell>
        </row>
        <row r="92">
          <cell r="A92">
            <v>1190022206</v>
          </cell>
          <cell r="B92">
            <v>75801</v>
          </cell>
          <cell r="C92" t="str">
            <v>นายฉัตรพงษ์ บุษบงค์</v>
          </cell>
        </row>
        <row r="93">
          <cell r="A93">
            <v>1190022207</v>
          </cell>
          <cell r="B93">
            <v>70542</v>
          </cell>
          <cell r="C93" t="str">
            <v>นายกรวิทย์ ตันหราพันธ์</v>
          </cell>
        </row>
        <row r="94">
          <cell r="A94">
            <v>1190022300</v>
          </cell>
          <cell r="B94">
            <v>75461</v>
          </cell>
          <cell r="C94" t="str">
            <v>นายยุทธนา พรหมทา</v>
          </cell>
        </row>
        <row r="95">
          <cell r="A95">
            <v>1190022301</v>
          </cell>
          <cell r="B95">
            <v>64151</v>
          </cell>
          <cell r="C95" t="str">
            <v>นายยุทธพร แผงไม้</v>
          </cell>
        </row>
        <row r="96">
          <cell r="A96">
            <v>1190022302</v>
          </cell>
          <cell r="B96">
            <v>65589</v>
          </cell>
          <cell r="C96" t="str">
            <v>นายไกรสร อิ่มเพ็ง</v>
          </cell>
        </row>
        <row r="97">
          <cell r="A97">
            <v>1190022303</v>
          </cell>
          <cell r="B97">
            <v>77332</v>
          </cell>
          <cell r="C97" t="str">
            <v>นายสมเจตน์ นกมั่น</v>
          </cell>
        </row>
        <row r="98">
          <cell r="A98">
            <v>1190022304</v>
          </cell>
          <cell r="B98">
            <v>100393</v>
          </cell>
          <cell r="C98" t="str">
            <v>นายพอเจตน์ เมืองแพน</v>
          </cell>
        </row>
        <row r="99">
          <cell r="A99">
            <v>1190022305</v>
          </cell>
          <cell r="B99">
            <v>101889</v>
          </cell>
          <cell r="C99" t="str">
            <v>นายนัฐวุฒิ วงษ์ตา</v>
          </cell>
        </row>
        <row r="100">
          <cell r="A100">
            <v>1190022306</v>
          </cell>
          <cell r="B100">
            <v>65856</v>
          </cell>
          <cell r="C100" t="str">
            <v>นายสุริยา งอกแสน</v>
          </cell>
        </row>
        <row r="101">
          <cell r="A101">
            <v>1190022307</v>
          </cell>
          <cell r="B101">
            <v>66658</v>
          </cell>
          <cell r="C101" t="str">
            <v>นายมานพ งามอักษร</v>
          </cell>
        </row>
        <row r="102">
          <cell r="A102">
            <v>1190022308</v>
          </cell>
          <cell r="B102">
            <v>75631</v>
          </cell>
          <cell r="C102" t="str">
            <v>นายดนุพงศ์ ทองสี</v>
          </cell>
        </row>
        <row r="103">
          <cell r="A103">
            <v>1190022309</v>
          </cell>
          <cell r="B103">
            <v>100401</v>
          </cell>
          <cell r="C103" t="str">
            <v>นายนเรศ สง่าชาติ</v>
          </cell>
        </row>
        <row r="104">
          <cell r="A104">
            <v>1190022310</v>
          </cell>
          <cell r="B104">
            <v>101435</v>
          </cell>
          <cell r="C104" t="str">
            <v>นายธนโชค ขำศรี</v>
          </cell>
        </row>
        <row r="105">
          <cell r="A105">
            <v>1190022311</v>
          </cell>
          <cell r="B105">
            <v>100402</v>
          </cell>
          <cell r="C105" t="str">
            <v>นายอาทิตย์ สมบัวคู</v>
          </cell>
        </row>
        <row r="106">
          <cell r="A106">
            <v>1190022311</v>
          </cell>
          <cell r="B106" t="str">
            <v>0Temp2</v>
          </cell>
          <cell r="C106" t="str">
            <v>Temp2</v>
          </cell>
        </row>
        <row r="107">
          <cell r="A107">
            <v>1190022400</v>
          </cell>
          <cell r="B107">
            <v>62549</v>
          </cell>
          <cell r="C107" t="str">
            <v>นายเจตจันทร์ พืชพันธุ์</v>
          </cell>
        </row>
        <row r="108">
          <cell r="A108">
            <v>1190022401</v>
          </cell>
          <cell r="B108">
            <v>75673</v>
          </cell>
          <cell r="C108" t="str">
            <v>นายพิเชษฐ เพชรสันทัด</v>
          </cell>
        </row>
        <row r="109">
          <cell r="A109">
            <v>1190022402</v>
          </cell>
          <cell r="B109">
            <v>63074</v>
          </cell>
          <cell r="C109" t="str">
            <v>นายวีรยุทธ ตันพงษ์</v>
          </cell>
        </row>
        <row r="110">
          <cell r="A110">
            <v>1190022403</v>
          </cell>
          <cell r="B110">
            <v>65903</v>
          </cell>
          <cell r="C110" t="str">
            <v>นายอาทร อนันทสุข</v>
          </cell>
        </row>
        <row r="111">
          <cell r="A111">
            <v>1190022404</v>
          </cell>
          <cell r="B111">
            <v>101659</v>
          </cell>
          <cell r="C111" t="str">
            <v>นายประดิษฐ์ นาคเอี่ยม</v>
          </cell>
        </row>
        <row r="112">
          <cell r="A112">
            <v>1190022405</v>
          </cell>
          <cell r="B112">
            <v>60220</v>
          </cell>
          <cell r="C112" t="str">
            <v>นายวชิระ ช่วงเจริญ</v>
          </cell>
        </row>
        <row r="113">
          <cell r="A113">
            <v>1190022406</v>
          </cell>
          <cell r="B113">
            <v>100705</v>
          </cell>
          <cell r="C113" t="str">
            <v>นายธนโชติ รักษ์สังข์ศิริคุป</v>
          </cell>
        </row>
        <row r="114">
          <cell r="A114">
            <v>1190022407</v>
          </cell>
          <cell r="B114">
            <v>61496</v>
          </cell>
          <cell r="C114" t="str">
            <v>นายสามารถ รงค์ทอง</v>
          </cell>
        </row>
        <row r="115">
          <cell r="A115">
            <v>1190022408</v>
          </cell>
          <cell r="B115">
            <v>75306</v>
          </cell>
          <cell r="C115" t="str">
            <v>นายอาทิตย์ จันทร์ศรี</v>
          </cell>
        </row>
        <row r="116">
          <cell r="A116">
            <v>1190022409</v>
          </cell>
          <cell r="B116">
            <v>101478</v>
          </cell>
          <cell r="C116" t="str">
            <v>นายปกรณ์วรรณ เอี่ยมวรรณ</v>
          </cell>
        </row>
        <row r="117">
          <cell r="A117">
            <v>1190022410</v>
          </cell>
          <cell r="B117">
            <v>100303</v>
          </cell>
          <cell r="C117" t="str">
            <v>นายอาทิตย์ ครองบุญ</v>
          </cell>
        </row>
        <row r="118">
          <cell r="A118">
            <v>1190022411</v>
          </cell>
          <cell r="B118">
            <v>100925</v>
          </cell>
          <cell r="C118" t="str">
            <v>นายพลวัต ชื่นอยู่</v>
          </cell>
        </row>
        <row r="119">
          <cell r="A119">
            <v>1190022500</v>
          </cell>
          <cell r="B119">
            <v>60848</v>
          </cell>
          <cell r="C119" t="str">
            <v>นายวรศักดิ์ อุดมวงษ์รัตน์</v>
          </cell>
        </row>
        <row r="120">
          <cell r="A120">
            <v>1190022501</v>
          </cell>
          <cell r="B120">
            <v>64460</v>
          </cell>
          <cell r="C120" t="str">
            <v>นายบัณฑิต เผือกคล้าย</v>
          </cell>
        </row>
        <row r="121">
          <cell r="A121">
            <v>1190022504</v>
          </cell>
          <cell r="B121">
            <v>64452</v>
          </cell>
          <cell r="C121" t="str">
            <v>นายสายัน บุตตวงค์</v>
          </cell>
        </row>
        <row r="122">
          <cell r="A122">
            <v>1190022505</v>
          </cell>
          <cell r="B122">
            <v>64088</v>
          </cell>
          <cell r="C122" t="str">
            <v>นายเดชวิทย์ บุญรักษ์</v>
          </cell>
        </row>
        <row r="123">
          <cell r="A123">
            <v>1190022510</v>
          </cell>
          <cell r="B123">
            <v>60961</v>
          </cell>
          <cell r="C123" t="str">
            <v>นายสิงหา แสนโดด</v>
          </cell>
        </row>
        <row r="124">
          <cell r="A124">
            <v>1190022511</v>
          </cell>
          <cell r="B124">
            <v>65018</v>
          </cell>
          <cell r="C124" t="str">
            <v>นายดำรงค์ คำทุม</v>
          </cell>
        </row>
        <row r="125">
          <cell r="A125">
            <v>1190027100</v>
          </cell>
          <cell r="B125">
            <v>25408</v>
          </cell>
          <cell r="C125" t="str">
            <v>นายชุมพร หาขาว</v>
          </cell>
        </row>
        <row r="126">
          <cell r="A126">
            <v>1190027101</v>
          </cell>
          <cell r="B126">
            <v>70526</v>
          </cell>
          <cell r="C126" t="str">
            <v>นายสมฤกษ นิลสนธิ์</v>
          </cell>
        </row>
        <row r="127">
          <cell r="A127">
            <v>1190027103</v>
          </cell>
          <cell r="B127">
            <v>101721</v>
          </cell>
          <cell r="C127" t="str">
            <v>นายธีรภัทร มณีทิพย์</v>
          </cell>
        </row>
        <row r="128">
          <cell r="A128">
            <v>1190027103</v>
          </cell>
          <cell r="B128" t="str">
            <v>Temp424</v>
          </cell>
          <cell r="C128" t="str">
            <v/>
          </cell>
        </row>
        <row r="129">
          <cell r="A129">
            <v>1190027104</v>
          </cell>
          <cell r="B129">
            <v>101773</v>
          </cell>
          <cell r="C129" t="str">
            <v>นายวัชพล มงคลสุข</v>
          </cell>
        </row>
        <row r="130">
          <cell r="A130">
            <v>1190027107</v>
          </cell>
          <cell r="B130">
            <v>60212</v>
          </cell>
          <cell r="C130" t="str">
            <v>นายสงกรานต์ ยมเกิด</v>
          </cell>
        </row>
        <row r="131">
          <cell r="A131">
            <v>1190027107</v>
          </cell>
          <cell r="B131" t="str">
            <v>0Temp3</v>
          </cell>
          <cell r="C131" t="str">
            <v>Temp3</v>
          </cell>
        </row>
        <row r="132">
          <cell r="A132">
            <v>1190027111</v>
          </cell>
          <cell r="B132">
            <v>101574</v>
          </cell>
          <cell r="C132" t="str">
            <v>นายวรพล เครือแดง</v>
          </cell>
        </row>
        <row r="133">
          <cell r="A133">
            <v>1190032600</v>
          </cell>
          <cell r="B133">
            <v>60490</v>
          </cell>
          <cell r="C133" t="str">
            <v>นายอาทิตย์ พัฒนดำเกิง</v>
          </cell>
        </row>
        <row r="134">
          <cell r="A134">
            <v>1190032602</v>
          </cell>
          <cell r="B134">
            <v>66632</v>
          </cell>
          <cell r="C134" t="str">
            <v>นายสิทธิชัย ใจเย็น</v>
          </cell>
        </row>
        <row r="135">
          <cell r="A135">
            <v>1190032603</v>
          </cell>
          <cell r="B135">
            <v>100449</v>
          </cell>
          <cell r="C135" t="str">
            <v>นายณัฐวิชญ์ วงศ์อยู่</v>
          </cell>
        </row>
        <row r="136">
          <cell r="A136">
            <v>1190032606</v>
          </cell>
          <cell r="B136">
            <v>63375</v>
          </cell>
          <cell r="C136" t="str">
            <v>นายพัฒนา ทองนัด</v>
          </cell>
        </row>
        <row r="137">
          <cell r="A137">
            <v>1190032607</v>
          </cell>
          <cell r="B137">
            <v>70356</v>
          </cell>
          <cell r="C137" t="str">
            <v>นายสุวัฒิ์ คงเมือง</v>
          </cell>
        </row>
        <row r="138">
          <cell r="A138">
            <v>1190032608</v>
          </cell>
          <cell r="B138">
            <v>66705</v>
          </cell>
          <cell r="C138" t="str">
            <v>นายสุรพงษ์ รักษากิจ</v>
          </cell>
        </row>
        <row r="139">
          <cell r="A139">
            <v>1190032611</v>
          </cell>
          <cell r="B139">
            <v>71069</v>
          </cell>
          <cell r="C139" t="str">
            <v>นายประเสริฐ ยามดี</v>
          </cell>
        </row>
        <row r="140">
          <cell r="A140">
            <v>1190032700</v>
          </cell>
          <cell r="B140">
            <v>63799</v>
          </cell>
          <cell r="C140" t="str">
            <v>นายปรีชา คำนวน</v>
          </cell>
        </row>
        <row r="141">
          <cell r="A141">
            <v>1190032701</v>
          </cell>
          <cell r="B141">
            <v>70330</v>
          </cell>
          <cell r="C141" t="str">
            <v>นายสุรวรรณ ทวีสิน</v>
          </cell>
        </row>
        <row r="142">
          <cell r="A142">
            <v>1190032702</v>
          </cell>
          <cell r="B142">
            <v>61226</v>
          </cell>
          <cell r="C142" t="str">
            <v>นายสนอง สมบูรณ์ยิ่ง</v>
          </cell>
        </row>
        <row r="143">
          <cell r="A143">
            <v>1190032703</v>
          </cell>
          <cell r="B143">
            <v>100506</v>
          </cell>
          <cell r="C143" t="str">
            <v>นายกิตติภรณ์ บางผึ้ง</v>
          </cell>
        </row>
        <row r="144">
          <cell r="A144">
            <v>1190032704</v>
          </cell>
          <cell r="B144">
            <v>75827</v>
          </cell>
          <cell r="C144" t="str">
            <v>นายทรงพล สุริยะมี</v>
          </cell>
        </row>
        <row r="145">
          <cell r="A145">
            <v>1190032705</v>
          </cell>
          <cell r="B145">
            <v>77617</v>
          </cell>
          <cell r="C145" t="str">
            <v>นายอภิภู ศรีโสภา</v>
          </cell>
        </row>
        <row r="146">
          <cell r="A146">
            <v>1190032706</v>
          </cell>
          <cell r="B146">
            <v>65644</v>
          </cell>
          <cell r="C146" t="str">
            <v>นายนพรัตน์ พุ่มพวง</v>
          </cell>
        </row>
        <row r="147">
          <cell r="A147">
            <v>1190032800</v>
          </cell>
          <cell r="B147">
            <v>23545</v>
          </cell>
          <cell r="C147" t="str">
            <v>นายศุภชัย นพรัตนวราภรณ์</v>
          </cell>
        </row>
        <row r="148">
          <cell r="A148">
            <v>1190032801</v>
          </cell>
          <cell r="B148">
            <v>71360</v>
          </cell>
          <cell r="C148" t="str">
            <v>นายทนงศักดิ์ เวชมณีศรี</v>
          </cell>
        </row>
        <row r="149">
          <cell r="A149">
            <v>1190032803</v>
          </cell>
          <cell r="B149">
            <v>101154</v>
          </cell>
          <cell r="C149" t="str">
            <v>นายทัพพสาร เวชสถล</v>
          </cell>
        </row>
        <row r="150">
          <cell r="A150">
            <v>1190032804</v>
          </cell>
          <cell r="B150">
            <v>100908</v>
          </cell>
          <cell r="C150" t="str">
            <v>นายทศพล ปุณโณฑก</v>
          </cell>
        </row>
        <row r="151">
          <cell r="A151">
            <v>1190032807</v>
          </cell>
          <cell r="B151">
            <v>66315</v>
          </cell>
          <cell r="C151" t="str">
            <v>นายพีรันธร อรัญญกานนท์</v>
          </cell>
        </row>
        <row r="152">
          <cell r="A152">
            <v>1190032809</v>
          </cell>
          <cell r="B152">
            <v>76386</v>
          </cell>
          <cell r="C152" t="str">
            <v>นายศราวุฒิ สมวงศ์</v>
          </cell>
        </row>
        <row r="153">
          <cell r="A153">
            <v>1190032810</v>
          </cell>
          <cell r="B153">
            <v>65084</v>
          </cell>
          <cell r="C153" t="str">
            <v>นายกฤษณ วานิชเจริญธรรม</v>
          </cell>
        </row>
        <row r="154">
          <cell r="A154">
            <v>1190037300</v>
          </cell>
          <cell r="B154">
            <v>61810</v>
          </cell>
          <cell r="C154" t="str">
            <v>นายพิเชษฐ์ ชูชื่น</v>
          </cell>
        </row>
        <row r="155">
          <cell r="A155">
            <v>1190037301</v>
          </cell>
          <cell r="B155">
            <v>100570</v>
          </cell>
          <cell r="C155" t="str">
            <v>นายอดิเรก ศรีนุกูล</v>
          </cell>
        </row>
        <row r="156">
          <cell r="A156">
            <v>1190037302</v>
          </cell>
          <cell r="B156">
            <v>100816</v>
          </cell>
          <cell r="C156" t="str">
            <v>นายธรรศ์ชล ขจรกลิ่น</v>
          </cell>
        </row>
        <row r="157">
          <cell r="A157">
            <v>1190037303</v>
          </cell>
          <cell r="B157">
            <v>101554</v>
          </cell>
          <cell r="C157" t="str">
            <v>นายธิวานนท์ เกณฑ์สระคู</v>
          </cell>
        </row>
        <row r="158">
          <cell r="A158">
            <v>1190037304</v>
          </cell>
          <cell r="B158">
            <v>66519</v>
          </cell>
          <cell r="C158" t="str">
            <v>นายสมทรง ลิ้มจ้อย</v>
          </cell>
        </row>
        <row r="159">
          <cell r="A159">
            <v>1190037307</v>
          </cell>
          <cell r="B159">
            <v>63422</v>
          </cell>
          <cell r="C159" t="str">
            <v>นายเอนก สินทรัพย์</v>
          </cell>
        </row>
        <row r="160">
          <cell r="A160">
            <v>1190037311</v>
          </cell>
          <cell r="B160">
            <v>100935</v>
          </cell>
          <cell r="C160" t="str">
            <v>นายกล้าณรงค์ กลิ่นหอม</v>
          </cell>
        </row>
        <row r="161">
          <cell r="A161">
            <v>1190037312</v>
          </cell>
          <cell r="B161">
            <v>101085</v>
          </cell>
          <cell r="C161" t="str">
            <v>นายตะวัน เรืองสมบัติ</v>
          </cell>
        </row>
        <row r="162">
          <cell r="A162" t="str">
            <v>1730-SFT-001</v>
          </cell>
          <cell r="B162" t="str">
            <v>0temp4</v>
          </cell>
          <cell r="C162" t="str">
            <v>Temp4</v>
          </cell>
        </row>
        <row r="163">
          <cell r="A163">
            <v>1190037400</v>
          </cell>
          <cell r="B163">
            <v>60822</v>
          </cell>
          <cell r="C163" t="str">
            <v>นายโอภาส ไพพัฒนกุล</v>
          </cell>
        </row>
        <row r="164">
          <cell r="A164">
            <v>1190037401</v>
          </cell>
          <cell r="B164">
            <v>28171</v>
          </cell>
          <cell r="C164" t="str">
            <v>นายไพฑูรย์ ไกรลาศ</v>
          </cell>
        </row>
        <row r="165">
          <cell r="A165">
            <v>1190037403</v>
          </cell>
          <cell r="B165">
            <v>101331</v>
          </cell>
          <cell r="C165" t="str">
            <v>นายวารุต เฉลิมลอย</v>
          </cell>
        </row>
        <row r="166">
          <cell r="A166">
            <v>1190037404</v>
          </cell>
          <cell r="B166">
            <v>28511</v>
          </cell>
          <cell r="C166" t="str">
            <v>นายสุริยะ เวทย์อุดม</v>
          </cell>
        </row>
        <row r="167">
          <cell r="A167">
            <v>1190037407</v>
          </cell>
          <cell r="B167">
            <v>101112</v>
          </cell>
          <cell r="C167" t="str">
            <v>นายพลวัต พานทอง</v>
          </cell>
        </row>
        <row r="168">
          <cell r="A168">
            <v>1190037411</v>
          </cell>
          <cell r="B168">
            <v>62531</v>
          </cell>
          <cell r="C168" t="str">
            <v>นายธีระ นพรัตนวราภรณ์</v>
          </cell>
        </row>
        <row r="169">
          <cell r="A169">
            <v>1190032900</v>
          </cell>
          <cell r="B169">
            <v>60856</v>
          </cell>
          <cell r="C169" t="str">
            <v>นายนพพร แสนสุวรรณ์</v>
          </cell>
        </row>
        <row r="170">
          <cell r="A170">
            <v>1190032901</v>
          </cell>
          <cell r="B170">
            <v>70259</v>
          </cell>
          <cell r="C170" t="str">
            <v>นายจิรศักดิ์ งามสม</v>
          </cell>
        </row>
        <row r="171">
          <cell r="A171">
            <v>1190032902</v>
          </cell>
          <cell r="B171">
            <v>71996</v>
          </cell>
          <cell r="C171" t="str">
            <v>นายสุนทร ม่วงกุน</v>
          </cell>
        </row>
        <row r="172">
          <cell r="A172">
            <v>1190032903</v>
          </cell>
          <cell r="B172">
            <v>28901</v>
          </cell>
          <cell r="C172" t="str">
            <v>นายอนุวัฒน์ แซ่ลิ้ม</v>
          </cell>
        </row>
        <row r="173">
          <cell r="A173">
            <v>1190032904</v>
          </cell>
          <cell r="B173">
            <v>62662</v>
          </cell>
          <cell r="C173" t="str">
            <v>นายสิทธิโชค รวมรีย์</v>
          </cell>
        </row>
        <row r="174">
          <cell r="A174">
            <v>1190032905</v>
          </cell>
          <cell r="B174">
            <v>101787</v>
          </cell>
          <cell r="C174" t="str">
            <v>นายภควัฒน์ โตเจริญ</v>
          </cell>
        </row>
        <row r="175">
          <cell r="A175">
            <v>1190032906</v>
          </cell>
          <cell r="B175">
            <v>77578</v>
          </cell>
          <cell r="C175" t="str">
            <v>นายวีระยุทธ อ่อนวงษ์</v>
          </cell>
        </row>
        <row r="176">
          <cell r="A176">
            <v>1190032906</v>
          </cell>
          <cell r="B176" t="str">
            <v>Temp104</v>
          </cell>
          <cell r="C176" t="str">
            <v/>
          </cell>
        </row>
        <row r="177">
          <cell r="A177">
            <v>1190032907</v>
          </cell>
          <cell r="B177">
            <v>100122</v>
          </cell>
          <cell r="C177" t="str">
            <v>นายมงคล สิงห์ดา</v>
          </cell>
        </row>
        <row r="178">
          <cell r="A178">
            <v>1190032908</v>
          </cell>
          <cell r="B178">
            <v>78184</v>
          </cell>
          <cell r="C178" t="str">
            <v>นายยุทธชัย อ่อนวงษ์</v>
          </cell>
        </row>
        <row r="179">
          <cell r="A179">
            <v>1190032910</v>
          </cell>
          <cell r="B179">
            <v>63838</v>
          </cell>
          <cell r="C179" t="str">
            <v>นายมนตรี เลี้ยงล้ำ</v>
          </cell>
        </row>
        <row r="180">
          <cell r="A180">
            <v>1190032911</v>
          </cell>
          <cell r="B180">
            <v>100172</v>
          </cell>
          <cell r="C180" t="str">
            <v>นายกิตติศักดิ์ ห้องดอกไม้</v>
          </cell>
        </row>
        <row r="181">
          <cell r="A181">
            <v>1190033000</v>
          </cell>
          <cell r="B181">
            <v>71726</v>
          </cell>
          <cell r="C181" t="str">
            <v>นายอำนาจ โสมิญะ</v>
          </cell>
        </row>
        <row r="182">
          <cell r="A182">
            <v>1190033001</v>
          </cell>
          <cell r="B182">
            <v>75518</v>
          </cell>
          <cell r="C182" t="str">
            <v>นายธนพันธ์ นิยมทัศน์</v>
          </cell>
        </row>
        <row r="183">
          <cell r="A183">
            <v>1190033002</v>
          </cell>
          <cell r="B183">
            <v>27905</v>
          </cell>
          <cell r="C183" t="str">
            <v>นายปัญญา ธนาโภคาสิน</v>
          </cell>
        </row>
        <row r="184">
          <cell r="A184">
            <v>1190033003</v>
          </cell>
          <cell r="B184">
            <v>64274</v>
          </cell>
          <cell r="C184" t="str">
            <v>นายรัตนสิน เคลือบอาบ</v>
          </cell>
        </row>
        <row r="185">
          <cell r="A185">
            <v>1190033004</v>
          </cell>
          <cell r="B185">
            <v>78192</v>
          </cell>
          <cell r="C185" t="str">
            <v>นายมนตรี หมอนทอง</v>
          </cell>
        </row>
        <row r="186">
          <cell r="A186">
            <v>1190033005</v>
          </cell>
          <cell r="B186">
            <v>78126</v>
          </cell>
          <cell r="C186" t="str">
            <v>นายธนพจน์ อรุณสวัสดิ์</v>
          </cell>
        </row>
        <row r="187">
          <cell r="A187">
            <v>1190033006</v>
          </cell>
          <cell r="B187">
            <v>27476</v>
          </cell>
          <cell r="C187" t="str">
            <v>นายสงกรานต์ ทองศิริ</v>
          </cell>
        </row>
        <row r="188">
          <cell r="A188">
            <v>1190033007</v>
          </cell>
          <cell r="B188">
            <v>75322</v>
          </cell>
          <cell r="C188" t="str">
            <v>นายวิรัตน์ ชมภูบาง</v>
          </cell>
        </row>
        <row r="189">
          <cell r="A189">
            <v>1190033008</v>
          </cell>
          <cell r="B189">
            <v>28854</v>
          </cell>
          <cell r="C189" t="str">
            <v>นายประดิษฐ์ บัวงาม</v>
          </cell>
        </row>
        <row r="190">
          <cell r="A190">
            <v>1190033009</v>
          </cell>
          <cell r="B190">
            <v>64266</v>
          </cell>
          <cell r="C190" t="str">
            <v>นายธนาเอก โพธิ์แก้ว</v>
          </cell>
        </row>
        <row r="191">
          <cell r="A191">
            <v>1190033011</v>
          </cell>
          <cell r="B191">
            <v>60424</v>
          </cell>
          <cell r="C191" t="str">
            <v>นายปรีชา หนูหา</v>
          </cell>
        </row>
        <row r="192">
          <cell r="A192">
            <v>1190033100</v>
          </cell>
          <cell r="B192">
            <v>29868</v>
          </cell>
          <cell r="C192" t="str">
            <v>นายไพโรจน์ มะแม้น</v>
          </cell>
        </row>
        <row r="193">
          <cell r="A193">
            <v>1190033101</v>
          </cell>
          <cell r="B193">
            <v>66381</v>
          </cell>
          <cell r="C193" t="str">
            <v>นายเอกศักดิ์ แซ่ลิ้ม</v>
          </cell>
        </row>
        <row r="194">
          <cell r="A194">
            <v>1190033102</v>
          </cell>
          <cell r="B194">
            <v>28090</v>
          </cell>
          <cell r="C194" t="str">
            <v>นายนิกร กิจเถกิง</v>
          </cell>
        </row>
        <row r="195">
          <cell r="A195">
            <v>1190033103</v>
          </cell>
          <cell r="B195">
            <v>64240</v>
          </cell>
          <cell r="C195" t="str">
            <v>นายสนิท ศรีพุ่ม</v>
          </cell>
        </row>
        <row r="196">
          <cell r="A196">
            <v>1190033104</v>
          </cell>
          <cell r="B196">
            <v>65107</v>
          </cell>
          <cell r="C196" t="str">
            <v>นายวรวุฒิ ปลีโรย</v>
          </cell>
        </row>
        <row r="197">
          <cell r="A197">
            <v>1190033105</v>
          </cell>
          <cell r="B197">
            <v>62298</v>
          </cell>
          <cell r="C197" t="str">
            <v>นายรุ่งศักดิ์ ศรีสุกัญญา</v>
          </cell>
        </row>
        <row r="198">
          <cell r="A198">
            <v>1190033106</v>
          </cell>
          <cell r="B198">
            <v>101182</v>
          </cell>
          <cell r="C198" t="str">
            <v>นายเศรษฐภัทร์ ซอเฮง</v>
          </cell>
        </row>
        <row r="199">
          <cell r="A199">
            <v>1190033107</v>
          </cell>
          <cell r="B199">
            <v>71409</v>
          </cell>
          <cell r="C199" t="str">
            <v>นายสุริยา ปรีเปรม</v>
          </cell>
        </row>
        <row r="200">
          <cell r="A200">
            <v>1190033109</v>
          </cell>
          <cell r="B200">
            <v>64232</v>
          </cell>
          <cell r="C200" t="str">
            <v>นายเขมชาติ ช้างงาม</v>
          </cell>
        </row>
        <row r="201">
          <cell r="A201">
            <v>1190033110</v>
          </cell>
          <cell r="B201">
            <v>63985</v>
          </cell>
          <cell r="C201" t="str">
            <v>นายสุริยา ถี่ถ้วน</v>
          </cell>
        </row>
        <row r="202">
          <cell r="A202">
            <v>1190033200</v>
          </cell>
          <cell r="B202">
            <v>71239</v>
          </cell>
          <cell r="C202" t="str">
            <v>นายอิทธิพล ภู่งาม</v>
          </cell>
        </row>
        <row r="203">
          <cell r="A203">
            <v>1190033201</v>
          </cell>
          <cell r="B203">
            <v>76475</v>
          </cell>
          <cell r="C203" t="str">
            <v>นายดานุกาญจน์ ตั้งพัฒนารุ่งเรือง</v>
          </cell>
        </row>
        <row r="204">
          <cell r="A204">
            <v>1190033202</v>
          </cell>
          <cell r="B204">
            <v>63537</v>
          </cell>
          <cell r="C204" t="str">
            <v>นายอำนาจ แตงสี</v>
          </cell>
        </row>
        <row r="205">
          <cell r="A205">
            <v>1190033203</v>
          </cell>
          <cell r="B205">
            <v>63993</v>
          </cell>
          <cell r="C205" t="str">
            <v>นายราเชน มณีอินทร์</v>
          </cell>
        </row>
        <row r="206">
          <cell r="A206">
            <v>1190033204</v>
          </cell>
          <cell r="B206">
            <v>77390</v>
          </cell>
          <cell r="C206" t="str">
            <v>นายสมเดช หัสสระครบุรี</v>
          </cell>
        </row>
        <row r="207">
          <cell r="A207">
            <v>1190033205</v>
          </cell>
          <cell r="B207">
            <v>78435</v>
          </cell>
          <cell r="C207" t="str">
            <v>นายศักดิ์สิทธิ์ พึ่งแดง</v>
          </cell>
        </row>
        <row r="208">
          <cell r="A208">
            <v>1190033206</v>
          </cell>
          <cell r="B208">
            <v>66064</v>
          </cell>
          <cell r="C208" t="str">
            <v>นายโกมล แก้วขาว</v>
          </cell>
        </row>
        <row r="209">
          <cell r="A209">
            <v>1190033207</v>
          </cell>
          <cell r="B209">
            <v>101034</v>
          </cell>
          <cell r="C209" t="str">
            <v>นายธงไชย สิงห์สุวรรณ</v>
          </cell>
        </row>
        <row r="210">
          <cell r="A210">
            <v>1190033208</v>
          </cell>
          <cell r="B210">
            <v>101153</v>
          </cell>
          <cell r="C210" t="str">
            <v>นายเอกพงศ์ อึ้งมณีภรณ์</v>
          </cell>
        </row>
        <row r="211">
          <cell r="A211">
            <v>1190033209</v>
          </cell>
          <cell r="B211">
            <v>61200</v>
          </cell>
          <cell r="C211" t="str">
            <v>นายกฤษณะ กลิ่นคำหอม</v>
          </cell>
        </row>
        <row r="212">
          <cell r="A212">
            <v>1190033210</v>
          </cell>
          <cell r="B212">
            <v>63121</v>
          </cell>
          <cell r="C212" t="str">
            <v>นายบุญรวม หมวดผา</v>
          </cell>
        </row>
        <row r="213">
          <cell r="A213">
            <v>1190033300</v>
          </cell>
          <cell r="B213">
            <v>76580</v>
          </cell>
          <cell r="C213" t="str">
            <v>นายวิษณุ ลุนบ้านผือ</v>
          </cell>
        </row>
        <row r="214">
          <cell r="A214">
            <v>1190033301</v>
          </cell>
          <cell r="B214">
            <v>63139</v>
          </cell>
          <cell r="C214" t="str">
            <v>นายเมธา กันทสัง</v>
          </cell>
        </row>
        <row r="215">
          <cell r="A215">
            <v>1190033302</v>
          </cell>
          <cell r="B215">
            <v>101039</v>
          </cell>
          <cell r="C215" t="str">
            <v>นายสุชล ลีลากิจทรัพย์</v>
          </cell>
        </row>
        <row r="216">
          <cell r="A216">
            <v>1190033303</v>
          </cell>
          <cell r="B216">
            <v>78540</v>
          </cell>
          <cell r="C216" t="str">
            <v>นายภาณุพงศ์ ตรีอินทอง</v>
          </cell>
        </row>
        <row r="217">
          <cell r="A217">
            <v>1190033304</v>
          </cell>
          <cell r="B217">
            <v>64282</v>
          </cell>
          <cell r="C217" t="str">
            <v>นายนริศ สงวนพันธุ์</v>
          </cell>
        </row>
        <row r="218">
          <cell r="A218">
            <v>1190033305</v>
          </cell>
          <cell r="B218">
            <v>100923</v>
          </cell>
          <cell r="C218" t="str">
            <v>นายนิติพล ตรีอินทอง</v>
          </cell>
        </row>
        <row r="219">
          <cell r="A219">
            <v>1190033306</v>
          </cell>
          <cell r="B219">
            <v>100395</v>
          </cell>
          <cell r="C219" t="str">
            <v>นายธรรมนูญ พัฒนกุลอนันต์</v>
          </cell>
        </row>
        <row r="220">
          <cell r="A220">
            <v>1190033307</v>
          </cell>
          <cell r="B220">
            <v>65597</v>
          </cell>
          <cell r="C220" t="str">
            <v>นายนธี ชุ่มบุญเรืองเดช</v>
          </cell>
        </row>
        <row r="221">
          <cell r="A221">
            <v>1190033308</v>
          </cell>
          <cell r="B221">
            <v>60929</v>
          </cell>
          <cell r="C221" t="str">
            <v>นายธนกร โพธิ์ดำรงชัย</v>
          </cell>
        </row>
        <row r="222">
          <cell r="A222">
            <v>1190033309</v>
          </cell>
          <cell r="B222">
            <v>60830</v>
          </cell>
          <cell r="C222" t="str">
            <v>นายปฤษฎี ศรีสรรพางค์</v>
          </cell>
        </row>
        <row r="223">
          <cell r="A223">
            <v>1190033310</v>
          </cell>
          <cell r="B223">
            <v>100424</v>
          </cell>
          <cell r="C223" t="str">
            <v>นายภานุมาส ลิมกุลาคมน์</v>
          </cell>
        </row>
        <row r="224">
          <cell r="A224">
            <v>1190033312</v>
          </cell>
          <cell r="B224">
            <v>76970</v>
          </cell>
          <cell r="C224" t="str">
            <v>นายปิยะพงศ์ ใหม่แย้ม</v>
          </cell>
        </row>
        <row r="225">
          <cell r="A225">
            <v>1190043400</v>
          </cell>
          <cell r="B225">
            <v>70623</v>
          </cell>
          <cell r="C225" t="str">
            <v>นายสมจิตร ประสาทเขตกรณ์</v>
          </cell>
        </row>
        <row r="226">
          <cell r="A226">
            <v>1190043401</v>
          </cell>
          <cell r="B226">
            <v>75885</v>
          </cell>
          <cell r="C226" t="str">
            <v>นายมารุต ปราสัย</v>
          </cell>
        </row>
        <row r="227">
          <cell r="A227">
            <v>1190043402</v>
          </cell>
          <cell r="B227">
            <v>63707</v>
          </cell>
          <cell r="C227" t="str">
            <v>นายเกิดศักดิ์ คำศรี</v>
          </cell>
        </row>
        <row r="228">
          <cell r="A228">
            <v>1190043403</v>
          </cell>
          <cell r="B228">
            <v>66462</v>
          </cell>
          <cell r="C228" t="str">
            <v>นายสุชิน เปสูงเนิน</v>
          </cell>
        </row>
        <row r="229">
          <cell r="A229">
            <v>1190043404</v>
          </cell>
          <cell r="B229">
            <v>100444</v>
          </cell>
          <cell r="C229" t="str">
            <v>นายกฤตยา มิ่งพฤกษ์</v>
          </cell>
        </row>
        <row r="230">
          <cell r="A230">
            <v>1190043405</v>
          </cell>
          <cell r="B230">
            <v>63765</v>
          </cell>
          <cell r="C230" t="str">
            <v>นายกระแสร์ พรมนอก</v>
          </cell>
        </row>
        <row r="231">
          <cell r="A231">
            <v>1190043406</v>
          </cell>
          <cell r="B231">
            <v>100226</v>
          </cell>
          <cell r="C231" t="str">
            <v>นายอนันตศักดิ์ นอบน้อม</v>
          </cell>
        </row>
        <row r="232">
          <cell r="A232">
            <v>1190043407</v>
          </cell>
          <cell r="B232">
            <v>101368</v>
          </cell>
          <cell r="C232" t="str">
            <v>นายสมบูรณ์ นนทสาร</v>
          </cell>
        </row>
        <row r="233">
          <cell r="A233">
            <v>1190043408</v>
          </cell>
          <cell r="B233">
            <v>101036</v>
          </cell>
          <cell r="C233" t="str">
            <v>นายเฉลิมพันธุ์ อโณทัยไพบูลย์</v>
          </cell>
        </row>
        <row r="234">
          <cell r="A234">
            <v>1190043409</v>
          </cell>
          <cell r="B234">
            <v>100495</v>
          </cell>
          <cell r="C234" t="str">
            <v>นายปรเมศวร์ คำศรี</v>
          </cell>
        </row>
        <row r="235">
          <cell r="A235">
            <v>1190043410</v>
          </cell>
          <cell r="B235">
            <v>63113</v>
          </cell>
          <cell r="C235" t="str">
            <v>นายยอดชาย สุวรรณสูงเนิน</v>
          </cell>
        </row>
        <row r="236">
          <cell r="A236">
            <v>1190043412</v>
          </cell>
          <cell r="B236">
            <v>100651</v>
          </cell>
          <cell r="C236" t="str">
            <v>นายธนกฤต นวนกระโทก</v>
          </cell>
        </row>
        <row r="237">
          <cell r="A237">
            <v>1190043500</v>
          </cell>
          <cell r="B237">
            <v>61975</v>
          </cell>
          <cell r="C237" t="str">
            <v>นายธีรวัฒน์ ชูเชิด</v>
          </cell>
        </row>
        <row r="238">
          <cell r="A238">
            <v>1190043501</v>
          </cell>
          <cell r="B238">
            <v>76645</v>
          </cell>
          <cell r="C238" t="str">
            <v>นายอัครวินท์ เปลื้องทุกข์</v>
          </cell>
        </row>
        <row r="239">
          <cell r="A239">
            <v>1190043502</v>
          </cell>
          <cell r="B239">
            <v>26006</v>
          </cell>
          <cell r="C239" t="str">
            <v>นายกสิณวัชรฒ์ วงศ์กุลโชติ</v>
          </cell>
        </row>
        <row r="240">
          <cell r="A240">
            <v>1190043503</v>
          </cell>
          <cell r="B240">
            <v>101250</v>
          </cell>
          <cell r="C240" t="str">
            <v>นายณัฐพล ตามสีวัน</v>
          </cell>
        </row>
        <row r="241">
          <cell r="A241">
            <v>1190043504</v>
          </cell>
          <cell r="B241">
            <v>100438</v>
          </cell>
          <cell r="C241" t="str">
            <v>นายพิสุทธิ์ ทรายขาว</v>
          </cell>
        </row>
        <row r="242">
          <cell r="A242">
            <v>1190043505</v>
          </cell>
          <cell r="B242">
            <v>101890</v>
          </cell>
          <cell r="C242" t="str">
            <v>นายฉัตรชัย พรหมทา</v>
          </cell>
        </row>
        <row r="243">
          <cell r="A243">
            <v>1190043506</v>
          </cell>
          <cell r="B243">
            <v>100379</v>
          </cell>
          <cell r="C243" t="str">
            <v>นายอนันตศักดิ์ ชนะพล</v>
          </cell>
        </row>
        <row r="244">
          <cell r="A244">
            <v>1190043507</v>
          </cell>
          <cell r="B244">
            <v>29957</v>
          </cell>
          <cell r="C244" t="str">
            <v>นายประสาร จรูญแสง</v>
          </cell>
        </row>
        <row r="245">
          <cell r="A245">
            <v>1190043508</v>
          </cell>
          <cell r="B245" t="str">
            <v>0Temp2</v>
          </cell>
          <cell r="C245" t="str">
            <v>Temp2</v>
          </cell>
        </row>
        <row r="246">
          <cell r="A246">
            <v>1190043509</v>
          </cell>
          <cell r="B246">
            <v>61690</v>
          </cell>
          <cell r="C246" t="str">
            <v>นายอำนาจ สอนตะคุ</v>
          </cell>
        </row>
        <row r="247">
          <cell r="A247">
            <v>1190043510</v>
          </cell>
          <cell r="B247">
            <v>61860</v>
          </cell>
          <cell r="C247" t="str">
            <v>นายวุฒิไกร ชุดใหม่</v>
          </cell>
        </row>
        <row r="248">
          <cell r="A248">
            <v>1190043511</v>
          </cell>
          <cell r="B248">
            <v>65220</v>
          </cell>
          <cell r="C248" t="str">
            <v>นายรวีวัชญ์ ยลพันธ์ภักค์</v>
          </cell>
        </row>
        <row r="249">
          <cell r="A249">
            <v>1190043512</v>
          </cell>
          <cell r="B249">
            <v>100700</v>
          </cell>
          <cell r="C249" t="str">
            <v>นายประวิทย์ ลือเดช</v>
          </cell>
        </row>
        <row r="250">
          <cell r="A250">
            <v>1190043600</v>
          </cell>
          <cell r="B250">
            <v>70568</v>
          </cell>
          <cell r="C250" t="str">
            <v>นายอดิศร สรศิลป์</v>
          </cell>
        </row>
        <row r="251">
          <cell r="A251">
            <v>1190043601</v>
          </cell>
          <cell r="B251">
            <v>77489</v>
          </cell>
          <cell r="C251" t="str">
            <v>นายสุริยันต์ จันทร์คำพา</v>
          </cell>
        </row>
        <row r="252">
          <cell r="A252">
            <v>1190043602</v>
          </cell>
          <cell r="B252">
            <v>70403</v>
          </cell>
          <cell r="C252" t="str">
            <v>นายเดชา ปะโพธิ์ชะกัง</v>
          </cell>
        </row>
        <row r="253">
          <cell r="A253">
            <v>1190043603</v>
          </cell>
          <cell r="B253">
            <v>100744</v>
          </cell>
          <cell r="C253" t="str">
            <v>นายจักรพงษ์ หนูเพชร</v>
          </cell>
        </row>
        <row r="254">
          <cell r="A254">
            <v>1190043604</v>
          </cell>
          <cell r="B254">
            <v>64680</v>
          </cell>
          <cell r="C254" t="str">
            <v>นายธงชัย ยศพล</v>
          </cell>
        </row>
        <row r="255">
          <cell r="A255">
            <v>1190043605</v>
          </cell>
          <cell r="B255">
            <v>76718</v>
          </cell>
          <cell r="C255" t="str">
            <v>นายจงกล นาพรัว</v>
          </cell>
        </row>
        <row r="256">
          <cell r="A256">
            <v>1190043606</v>
          </cell>
          <cell r="B256">
            <v>101018</v>
          </cell>
          <cell r="C256" t="str">
            <v>นายกฤตภัทร วงษ์อ่อน</v>
          </cell>
        </row>
        <row r="257">
          <cell r="A257">
            <v>1190043607</v>
          </cell>
          <cell r="B257">
            <v>61577</v>
          </cell>
          <cell r="C257" t="str">
            <v>นายสำเภา ศรีใส</v>
          </cell>
        </row>
        <row r="258">
          <cell r="A258">
            <v>1190043608</v>
          </cell>
          <cell r="B258">
            <v>63197</v>
          </cell>
          <cell r="C258" t="str">
            <v>นายครรชิต สุขสำราญ</v>
          </cell>
        </row>
        <row r="259">
          <cell r="A259">
            <v>1190043609</v>
          </cell>
          <cell r="B259">
            <v>65212</v>
          </cell>
          <cell r="C259" t="str">
            <v>นายจักรพงษ์ วรสิงห์</v>
          </cell>
        </row>
        <row r="260">
          <cell r="A260">
            <v>1190043610</v>
          </cell>
          <cell r="B260">
            <v>75233</v>
          </cell>
          <cell r="C260" t="str">
            <v>นายมนูญ สอนสุภาพ</v>
          </cell>
        </row>
        <row r="261">
          <cell r="A261">
            <v>1190043611</v>
          </cell>
          <cell r="B261">
            <v>100996</v>
          </cell>
          <cell r="C261" t="str">
            <v>นายคำพันธ์ กระลาม</v>
          </cell>
        </row>
        <row r="262">
          <cell r="A262">
            <v>1190043612</v>
          </cell>
          <cell r="B262">
            <v>100540</v>
          </cell>
          <cell r="C262" t="str">
            <v>นายทรงกรด เวียงสิมา</v>
          </cell>
        </row>
        <row r="263">
          <cell r="A263">
            <v>1190043700</v>
          </cell>
          <cell r="B263">
            <v>29876</v>
          </cell>
          <cell r="C263" t="str">
            <v>นายวิษณุ มโนเอื้อ</v>
          </cell>
        </row>
        <row r="264">
          <cell r="A264">
            <v>1190043701</v>
          </cell>
          <cell r="B264">
            <v>63286</v>
          </cell>
          <cell r="C264" t="str">
            <v>นายมานพ ประจวบสุข</v>
          </cell>
        </row>
        <row r="265">
          <cell r="A265">
            <v>1190043702</v>
          </cell>
          <cell r="B265">
            <v>70479</v>
          </cell>
          <cell r="C265" t="str">
            <v>นายภูริต มาตย์วิเศษ</v>
          </cell>
        </row>
        <row r="266">
          <cell r="A266">
            <v>1190043703</v>
          </cell>
          <cell r="B266">
            <v>61917</v>
          </cell>
          <cell r="C266" t="str">
            <v>นายปวิช หอมกลิ่นยา</v>
          </cell>
        </row>
        <row r="267">
          <cell r="A267">
            <v>1190043704</v>
          </cell>
          <cell r="B267">
            <v>100602</v>
          </cell>
          <cell r="C267" t="str">
            <v>นายสรพงษ์ กทิสาด</v>
          </cell>
        </row>
        <row r="268">
          <cell r="A268">
            <v>1190043705</v>
          </cell>
          <cell r="B268">
            <v>101139</v>
          </cell>
          <cell r="C268" t="str">
            <v>นายกิตติศักดิ์ ดาทอง</v>
          </cell>
        </row>
        <row r="269">
          <cell r="A269">
            <v>1190043706</v>
          </cell>
          <cell r="B269">
            <v>28668</v>
          </cell>
          <cell r="C269" t="str">
            <v>นายวิศักดิ์ ทวีดำรงพันธ์</v>
          </cell>
        </row>
        <row r="270">
          <cell r="A270">
            <v>1190043707</v>
          </cell>
          <cell r="B270">
            <v>100421</v>
          </cell>
          <cell r="C270" t="str">
            <v>นายสิทธิเดช ฉัตรทอง</v>
          </cell>
        </row>
        <row r="271">
          <cell r="A271">
            <v>1190043708</v>
          </cell>
          <cell r="B271">
            <v>100275</v>
          </cell>
          <cell r="C271" t="str">
            <v>นายมานะชัย สุขตาม</v>
          </cell>
        </row>
        <row r="272">
          <cell r="A272">
            <v>1190043709</v>
          </cell>
          <cell r="B272">
            <v>26056</v>
          </cell>
          <cell r="C272" t="str">
            <v>นายเดชา ชัยประเสริฐมิตร</v>
          </cell>
        </row>
        <row r="273">
          <cell r="A273">
            <v>1190043710</v>
          </cell>
          <cell r="B273">
            <v>101579</v>
          </cell>
          <cell r="C273" t="str">
            <v>นายสุทธิพงษ์ บุตรแสนสี</v>
          </cell>
        </row>
        <row r="274">
          <cell r="A274">
            <v>1190043712</v>
          </cell>
          <cell r="B274">
            <v>100584</v>
          </cell>
          <cell r="C274" t="str">
            <v>นายกิตติ หลักฐาน</v>
          </cell>
        </row>
        <row r="275">
          <cell r="A275">
            <v>1190043800</v>
          </cell>
          <cell r="B275">
            <v>28155</v>
          </cell>
          <cell r="C275" t="str">
            <v>นายสรรเพ็ชญ์ อินทร์นเรศ</v>
          </cell>
        </row>
        <row r="276">
          <cell r="A276">
            <v>1190043801</v>
          </cell>
          <cell r="B276">
            <v>75712</v>
          </cell>
          <cell r="C276" t="str">
            <v>นายวุฒิพงษ์ วงศ์วณิชชากร</v>
          </cell>
        </row>
        <row r="277">
          <cell r="A277">
            <v>1190043802</v>
          </cell>
          <cell r="B277">
            <v>62573</v>
          </cell>
          <cell r="C277" t="str">
            <v>นายวิฑูรย์ ระวันประโคน</v>
          </cell>
        </row>
        <row r="278">
          <cell r="A278">
            <v>1190043803</v>
          </cell>
          <cell r="B278">
            <v>100882</v>
          </cell>
          <cell r="C278" t="str">
            <v>นายเมธา กล้าขยัน</v>
          </cell>
        </row>
        <row r="279">
          <cell r="A279">
            <v>1190043804</v>
          </cell>
          <cell r="B279">
            <v>65204</v>
          </cell>
          <cell r="C279" t="str">
            <v>นายอาคม มีหาฤทธิ์</v>
          </cell>
        </row>
        <row r="280">
          <cell r="A280">
            <v>1190043805</v>
          </cell>
          <cell r="B280">
            <v>24818</v>
          </cell>
          <cell r="C280" t="str">
            <v>นายดัด ดวงใจ</v>
          </cell>
        </row>
        <row r="281">
          <cell r="A281">
            <v>1190043806</v>
          </cell>
          <cell r="B281">
            <v>101028</v>
          </cell>
          <cell r="C281" t="str">
            <v>นายนรากร คำมณีจันทร์</v>
          </cell>
        </row>
        <row r="282">
          <cell r="A282">
            <v>1190043807</v>
          </cell>
          <cell r="B282">
            <v>101524</v>
          </cell>
          <cell r="C282" t="str">
            <v>นายสินธนา ช่วยศรี</v>
          </cell>
        </row>
        <row r="283">
          <cell r="A283">
            <v>1190043808</v>
          </cell>
          <cell r="B283">
            <v>101315</v>
          </cell>
          <cell r="C283" t="str">
            <v>นายอรรถชัย พรหมแสง</v>
          </cell>
        </row>
        <row r="284">
          <cell r="A284">
            <v>1190043809</v>
          </cell>
          <cell r="B284">
            <v>100837</v>
          </cell>
          <cell r="C284" t="str">
            <v>นายจักรพันธุ์ พิมพ์ทอง</v>
          </cell>
        </row>
        <row r="285">
          <cell r="A285">
            <v>1190043810</v>
          </cell>
          <cell r="B285">
            <v>101224</v>
          </cell>
          <cell r="C285" t="str">
            <v>นายเฉลิมเกียรติ ศรีวิบูลย์</v>
          </cell>
        </row>
        <row r="286">
          <cell r="A286">
            <v>1190043811</v>
          </cell>
          <cell r="B286">
            <v>78338</v>
          </cell>
          <cell r="C286" t="str">
            <v>นายปิยะวัฒน์ หัตถปรานิตย์</v>
          </cell>
        </row>
        <row r="287">
          <cell r="A287">
            <v>1190043900</v>
          </cell>
          <cell r="B287">
            <v>62086</v>
          </cell>
          <cell r="C287" t="str">
            <v>นายตระกูล ฉายจันทร์</v>
          </cell>
        </row>
        <row r="288">
          <cell r="A288">
            <v>1190043901</v>
          </cell>
          <cell r="B288">
            <v>63244</v>
          </cell>
          <cell r="C288" t="str">
            <v>นายทรงเกียรติ กล้าหาญ</v>
          </cell>
        </row>
        <row r="289">
          <cell r="A289">
            <v>1190043902</v>
          </cell>
          <cell r="B289">
            <v>63553</v>
          </cell>
          <cell r="C289" t="str">
            <v>นายภัทรพล สงฆ์เจริญ</v>
          </cell>
        </row>
        <row r="290">
          <cell r="A290">
            <v>1190043903</v>
          </cell>
          <cell r="B290">
            <v>100926</v>
          </cell>
          <cell r="C290" t="str">
            <v>นายภูวนัย เชียงสาพันธ์</v>
          </cell>
        </row>
        <row r="291">
          <cell r="A291">
            <v>1190043904</v>
          </cell>
          <cell r="B291">
            <v>100712</v>
          </cell>
          <cell r="C291" t="str">
            <v>นายฐาปนพงษ์ เหมะธุลิน</v>
          </cell>
        </row>
        <row r="292">
          <cell r="A292">
            <v>1190043905</v>
          </cell>
          <cell r="B292">
            <v>100728</v>
          </cell>
          <cell r="C292" t="str">
            <v>นายวิสิทธิ์ ศรีพรงาม</v>
          </cell>
        </row>
        <row r="293">
          <cell r="A293">
            <v>1190043906</v>
          </cell>
          <cell r="B293">
            <v>64876</v>
          </cell>
          <cell r="C293" t="str">
            <v>นายอาณัติ ผการัตน์</v>
          </cell>
        </row>
        <row r="294">
          <cell r="A294">
            <v>1190043907</v>
          </cell>
          <cell r="B294">
            <v>75924</v>
          </cell>
          <cell r="C294" t="str">
            <v>นายชัยวัฒน์ สอนไชยา</v>
          </cell>
        </row>
        <row r="295">
          <cell r="A295">
            <v>1190043908</v>
          </cell>
          <cell r="B295">
            <v>63901</v>
          </cell>
          <cell r="C295" t="str">
            <v>นายชโยดม พลนิโคตร</v>
          </cell>
        </row>
        <row r="296">
          <cell r="A296">
            <v>1190043909</v>
          </cell>
          <cell r="B296">
            <v>101082</v>
          </cell>
          <cell r="C296" t="str">
            <v>นายประกาศิต จันทร์แดง</v>
          </cell>
        </row>
        <row r="297">
          <cell r="A297">
            <v>1190043910</v>
          </cell>
          <cell r="B297">
            <v>66690</v>
          </cell>
          <cell r="C297" t="str">
            <v>นายกรกฎ มุงคุณแสน</v>
          </cell>
        </row>
        <row r="298">
          <cell r="A298">
            <v>1190043911</v>
          </cell>
          <cell r="B298">
            <v>76865</v>
          </cell>
          <cell r="C298" t="str">
            <v>นายณัฐวุฒิ สุโพธิ์</v>
          </cell>
        </row>
        <row r="299">
          <cell r="A299">
            <v>1190043912</v>
          </cell>
          <cell r="B299">
            <v>28383</v>
          </cell>
          <cell r="C299" t="str">
            <v>นายสุทิน คำมูล</v>
          </cell>
        </row>
        <row r="300">
          <cell r="A300">
            <v>1190044000</v>
          </cell>
          <cell r="B300">
            <v>71564</v>
          </cell>
          <cell r="C300" t="str">
            <v>นายวุฒิพงษ์ ธรรมสรณ์</v>
          </cell>
        </row>
        <row r="301">
          <cell r="A301">
            <v>1190044001</v>
          </cell>
          <cell r="B301">
            <v>78443</v>
          </cell>
          <cell r="C301" t="str">
            <v>นายจิตติพงศ์ สุระสา</v>
          </cell>
        </row>
        <row r="302">
          <cell r="A302">
            <v>1190044002</v>
          </cell>
          <cell r="B302">
            <v>62434</v>
          </cell>
          <cell r="C302" t="str">
            <v>นายธนาวัฒน์ กงลีมา</v>
          </cell>
        </row>
        <row r="303">
          <cell r="A303">
            <v>1190044003</v>
          </cell>
          <cell r="B303">
            <v>101778</v>
          </cell>
          <cell r="C303" t="str">
            <v>นายจอมพจน์ ประสาทกมลชัย</v>
          </cell>
        </row>
        <row r="304">
          <cell r="A304">
            <v>1190044004</v>
          </cell>
          <cell r="B304">
            <v>61608</v>
          </cell>
          <cell r="C304" t="str">
            <v>นายจารุวัฒน์ พิณราช</v>
          </cell>
        </row>
        <row r="305">
          <cell r="A305">
            <v>1190044005</v>
          </cell>
          <cell r="B305">
            <v>101104</v>
          </cell>
          <cell r="C305" t="str">
            <v>นายจีรายุส แสงสารวัตร์</v>
          </cell>
        </row>
        <row r="306">
          <cell r="A306">
            <v>1190044006</v>
          </cell>
          <cell r="B306">
            <v>100932</v>
          </cell>
          <cell r="C306" t="str">
            <v>นายศรนรินทร์ วังชา</v>
          </cell>
        </row>
        <row r="307">
          <cell r="A307">
            <v>1190044007</v>
          </cell>
          <cell r="B307">
            <v>101163</v>
          </cell>
          <cell r="C307" t="str">
            <v>นายอดุลย์ เฉลิมปฏิพุทธ</v>
          </cell>
        </row>
        <row r="308">
          <cell r="A308">
            <v>1190044008</v>
          </cell>
          <cell r="B308">
            <v>101490</v>
          </cell>
          <cell r="C308" t="str">
            <v>นายธีรศักดิ์ ศอกกำปัง</v>
          </cell>
        </row>
        <row r="309">
          <cell r="A309">
            <v>1190044009</v>
          </cell>
          <cell r="B309">
            <v>64915</v>
          </cell>
          <cell r="C309" t="str">
            <v>นายชลชัย นิลสาขา</v>
          </cell>
        </row>
        <row r="310">
          <cell r="A310">
            <v>1190044010</v>
          </cell>
          <cell r="B310">
            <v>77170</v>
          </cell>
          <cell r="C310" t="str">
            <v>นายณัฐพล ศรีพรหม</v>
          </cell>
        </row>
        <row r="311">
          <cell r="A311">
            <v>1190044011</v>
          </cell>
          <cell r="B311">
            <v>26030</v>
          </cell>
          <cell r="C311" t="str">
            <v>นายพินิจ เพชรพรรณ</v>
          </cell>
        </row>
        <row r="312">
          <cell r="A312">
            <v>1190044012</v>
          </cell>
          <cell r="B312">
            <v>101138</v>
          </cell>
          <cell r="C312" t="str">
            <v>นายภาณุวิชญ์ แก้วสีขาว</v>
          </cell>
        </row>
        <row r="313">
          <cell r="A313">
            <v>1190044013</v>
          </cell>
          <cell r="B313">
            <v>29973</v>
          </cell>
          <cell r="C313" t="str">
            <v>นายศุภศักดิ์ ภูผิวผา</v>
          </cell>
        </row>
        <row r="314">
          <cell r="A314" t="str">
            <v>1400-SFT-001</v>
          </cell>
          <cell r="B314" t="str">
            <v>0Temp2</v>
          </cell>
          <cell r="C314" t="str">
            <v>Temp2</v>
          </cell>
        </row>
        <row r="315">
          <cell r="A315">
            <v>1190044100</v>
          </cell>
          <cell r="B315">
            <v>26836</v>
          </cell>
          <cell r="C315" t="str">
            <v>นายนรินทร์ เมืองใย</v>
          </cell>
        </row>
        <row r="316">
          <cell r="A316">
            <v>1190044101</v>
          </cell>
          <cell r="B316">
            <v>61187</v>
          </cell>
          <cell r="C316" t="str">
            <v>นายสามารถ กิจกรองกาญ</v>
          </cell>
        </row>
        <row r="317">
          <cell r="A317">
            <v>1190044102</v>
          </cell>
          <cell r="B317">
            <v>77439</v>
          </cell>
          <cell r="C317" t="str">
            <v>นายคมสัน ฝาชัยภูมิ</v>
          </cell>
        </row>
        <row r="318">
          <cell r="A318">
            <v>1190044103</v>
          </cell>
          <cell r="B318">
            <v>62670</v>
          </cell>
          <cell r="C318" t="str">
            <v>นายอิทธิพล สอนสุภาพ</v>
          </cell>
        </row>
        <row r="319">
          <cell r="A319">
            <v>1190044104</v>
          </cell>
          <cell r="B319">
            <v>101248</v>
          </cell>
          <cell r="C319" t="str">
            <v>นายธนากร พลมาตร์</v>
          </cell>
        </row>
        <row r="320">
          <cell r="A320">
            <v>1190044105</v>
          </cell>
          <cell r="B320">
            <v>100937</v>
          </cell>
          <cell r="C320" t="str">
            <v>นายอัครพล ตลับเพชร</v>
          </cell>
        </row>
        <row r="321">
          <cell r="A321">
            <v>1190044107</v>
          </cell>
          <cell r="B321">
            <v>100659</v>
          </cell>
          <cell r="C321" t="str">
            <v>นายสิทธิพงษ์ นนทจันทร์</v>
          </cell>
        </row>
        <row r="322">
          <cell r="A322">
            <v>1190044108</v>
          </cell>
          <cell r="B322">
            <v>101514</v>
          </cell>
          <cell r="C322" t="str">
            <v>นายวิชัย วิชัยวงษ์</v>
          </cell>
        </row>
        <row r="323">
          <cell r="A323">
            <v>1190054200</v>
          </cell>
          <cell r="B323">
            <v>64981</v>
          </cell>
          <cell r="C323" t="str">
            <v>นายธนัฐสันต์ ชูเชิด</v>
          </cell>
        </row>
        <row r="324">
          <cell r="A324">
            <v>1190054201</v>
          </cell>
          <cell r="B324">
            <v>75411</v>
          </cell>
          <cell r="C324" t="str">
            <v>นายจักรภัทร เซ่งสวัสดิ์</v>
          </cell>
        </row>
        <row r="325">
          <cell r="A325">
            <v>1190054202</v>
          </cell>
          <cell r="B325">
            <v>65181</v>
          </cell>
          <cell r="C325" t="str">
            <v>นายอวิรุทธ์ บัวหลวง</v>
          </cell>
        </row>
        <row r="326">
          <cell r="A326">
            <v>1190054203</v>
          </cell>
          <cell r="B326">
            <v>101252</v>
          </cell>
          <cell r="C326" t="str">
            <v>นายธีรพงษ์ ศาสตราบุตร</v>
          </cell>
        </row>
        <row r="327">
          <cell r="A327">
            <v>1190054204</v>
          </cell>
          <cell r="B327">
            <v>76603</v>
          </cell>
          <cell r="C327" t="str">
            <v>นายวัชรินทร์ เทพทวี</v>
          </cell>
        </row>
        <row r="328">
          <cell r="A328">
            <v>1190054205</v>
          </cell>
          <cell r="B328">
            <v>65563</v>
          </cell>
          <cell r="C328" t="str">
            <v>นายธวัชชัย เจ๊ะมิง</v>
          </cell>
        </row>
        <row r="329">
          <cell r="A329">
            <v>1190054206</v>
          </cell>
          <cell r="B329">
            <v>101440</v>
          </cell>
          <cell r="C329" t="str">
            <v>นายศุภโชค กิตติวิสุทธิ์</v>
          </cell>
        </row>
        <row r="330">
          <cell r="A330">
            <v>1190054207</v>
          </cell>
          <cell r="B330">
            <v>101491</v>
          </cell>
          <cell r="C330" t="str">
            <v>นายสุริโญ รัตนไพบูลย์</v>
          </cell>
        </row>
        <row r="331">
          <cell r="A331">
            <v>1190054208</v>
          </cell>
          <cell r="B331">
            <v>100663</v>
          </cell>
          <cell r="C331" t="str">
            <v>นายปฐมนิเวศณ์ ปลอดปล่อง</v>
          </cell>
        </row>
        <row r="332">
          <cell r="A332">
            <v>1190054209</v>
          </cell>
          <cell r="B332">
            <v>100431</v>
          </cell>
          <cell r="C332" t="str">
            <v>นายฮัมดี ยูโซะ</v>
          </cell>
        </row>
        <row r="333">
          <cell r="A333">
            <v>1190054210</v>
          </cell>
          <cell r="B333">
            <v>100713</v>
          </cell>
          <cell r="C333" t="str">
            <v>นายสิทธิชัย เกื้อคลัง</v>
          </cell>
        </row>
        <row r="334">
          <cell r="A334">
            <v>1190054211</v>
          </cell>
          <cell r="B334">
            <v>66713</v>
          </cell>
          <cell r="C334" t="str">
            <v>นายนิรุสดี ปอแซ</v>
          </cell>
        </row>
        <row r="335">
          <cell r="A335">
            <v>1190054300</v>
          </cell>
          <cell r="B335">
            <v>66098</v>
          </cell>
          <cell r="C335" t="str">
            <v>นายอังคาร ประทุมรัตน์</v>
          </cell>
        </row>
        <row r="336">
          <cell r="A336">
            <v>1190054301</v>
          </cell>
          <cell r="B336">
            <v>61802</v>
          </cell>
          <cell r="C336" t="str">
            <v>นายภาคภูมิ รักท้วม</v>
          </cell>
        </row>
        <row r="337">
          <cell r="A337">
            <v>1190054302</v>
          </cell>
          <cell r="B337">
            <v>100427</v>
          </cell>
          <cell r="C337" t="str">
            <v>นายวุฒิชัย ยังหัตถี</v>
          </cell>
        </row>
        <row r="338">
          <cell r="A338">
            <v>1190054303</v>
          </cell>
          <cell r="B338">
            <v>100422</v>
          </cell>
          <cell r="C338" t="str">
            <v>นายพลกฤษณ์ อังกุรานุสรณ์</v>
          </cell>
        </row>
        <row r="339">
          <cell r="A339">
            <v>1190054304</v>
          </cell>
          <cell r="B339">
            <v>101615</v>
          </cell>
          <cell r="C339" t="str">
            <v>นายภาสกร แก้วคง</v>
          </cell>
        </row>
        <row r="340">
          <cell r="A340">
            <v>1190054305</v>
          </cell>
          <cell r="B340">
            <v>100467</v>
          </cell>
          <cell r="C340" t="str">
            <v>นายกัมพล ใจจร</v>
          </cell>
        </row>
        <row r="341">
          <cell r="A341">
            <v>1190054306</v>
          </cell>
          <cell r="B341">
            <v>101091</v>
          </cell>
          <cell r="C341" t="str">
            <v>นายวัชรากร ยอดดนตรี</v>
          </cell>
        </row>
        <row r="342">
          <cell r="A342">
            <v>1190054306</v>
          </cell>
          <cell r="B342" t="str">
            <v/>
          </cell>
          <cell r="C342" t="str">
            <v/>
          </cell>
        </row>
        <row r="343">
          <cell r="A343">
            <v>1190054308</v>
          </cell>
          <cell r="B343">
            <v>101095</v>
          </cell>
          <cell r="C343" t="str">
            <v>นายเอกลักษณ์ เรืองศรี</v>
          </cell>
        </row>
        <row r="344">
          <cell r="A344">
            <v>1190054400</v>
          </cell>
          <cell r="B344">
            <v>75788</v>
          </cell>
          <cell r="C344" t="str">
            <v>นายวิศรุจน์ ดอกดวง</v>
          </cell>
        </row>
        <row r="345">
          <cell r="A345">
            <v>1190054401</v>
          </cell>
          <cell r="B345">
            <v>75194</v>
          </cell>
          <cell r="C345" t="str">
            <v>นายพรชัย แซ่อือ</v>
          </cell>
        </row>
        <row r="346">
          <cell r="A346">
            <v>1190054402</v>
          </cell>
          <cell r="B346">
            <v>77714</v>
          </cell>
          <cell r="C346" t="str">
            <v>นายพงค์ธร สุดช่วย</v>
          </cell>
        </row>
        <row r="347">
          <cell r="A347">
            <v>1190054403</v>
          </cell>
          <cell r="B347">
            <v>61412</v>
          </cell>
          <cell r="C347" t="str">
            <v>นายโอชา ชื่นชม</v>
          </cell>
        </row>
        <row r="348">
          <cell r="A348">
            <v>1190054404</v>
          </cell>
          <cell r="B348">
            <v>26315</v>
          </cell>
          <cell r="C348" t="str">
            <v>นายจิรายุ มังกรฤทธิ์</v>
          </cell>
        </row>
        <row r="349">
          <cell r="A349">
            <v>1190054405</v>
          </cell>
          <cell r="B349">
            <v>62468</v>
          </cell>
          <cell r="C349" t="str">
            <v>นายศราวุธ กิจวิจิตร</v>
          </cell>
        </row>
        <row r="350">
          <cell r="A350">
            <v>1190054406</v>
          </cell>
          <cell r="B350">
            <v>28472</v>
          </cell>
          <cell r="C350" t="str">
            <v>นายสมคิด อนุมัติ</v>
          </cell>
        </row>
        <row r="351">
          <cell r="A351">
            <v>1190054407</v>
          </cell>
          <cell r="B351">
            <v>63896</v>
          </cell>
          <cell r="C351" t="str">
            <v>นายจริง ศรีหรัญ</v>
          </cell>
        </row>
        <row r="352">
          <cell r="A352">
            <v>1190054500</v>
          </cell>
          <cell r="B352">
            <v>63545</v>
          </cell>
          <cell r="C352" t="str">
            <v>นายเมธา อินหว่าง</v>
          </cell>
        </row>
        <row r="353">
          <cell r="A353">
            <v>1190054501</v>
          </cell>
          <cell r="B353">
            <v>70437</v>
          </cell>
          <cell r="C353" t="str">
            <v>นายมนตรี วัชรมานะกุล</v>
          </cell>
        </row>
        <row r="354">
          <cell r="A354">
            <v>1190054502</v>
          </cell>
          <cell r="B354">
            <v>101081</v>
          </cell>
          <cell r="C354" t="str">
            <v>นายวรันธร ชูอ่อน</v>
          </cell>
        </row>
        <row r="355">
          <cell r="A355">
            <v>1190054503</v>
          </cell>
          <cell r="B355">
            <v>100116</v>
          </cell>
          <cell r="C355" t="str">
            <v>นายประยูร ไม่สุข</v>
          </cell>
        </row>
        <row r="356">
          <cell r="A356">
            <v>1190054504</v>
          </cell>
          <cell r="B356">
            <v>75241</v>
          </cell>
          <cell r="C356" t="str">
            <v>นายชวลิต สวัสดี</v>
          </cell>
        </row>
        <row r="357">
          <cell r="A357">
            <v>1190054506</v>
          </cell>
          <cell r="B357">
            <v>76629</v>
          </cell>
          <cell r="C357" t="str">
            <v>นายวรวุฒิ ศรีเรือง</v>
          </cell>
        </row>
        <row r="358">
          <cell r="A358">
            <v>1190054506</v>
          </cell>
          <cell r="B358" t="str">
            <v/>
          </cell>
          <cell r="C358" t="str">
            <v/>
          </cell>
        </row>
        <row r="359">
          <cell r="A359">
            <v>1190054507</v>
          </cell>
          <cell r="B359">
            <v>75225</v>
          </cell>
          <cell r="C359" t="str">
            <v>นายธีระยุทธิ์ จ่ายแจก</v>
          </cell>
        </row>
        <row r="360">
          <cell r="A360">
            <v>1190054508</v>
          </cell>
          <cell r="B360">
            <v>61454</v>
          </cell>
          <cell r="C360" t="str">
            <v>นายเอกพล มนต์พฤกษ์ชาติ</v>
          </cell>
        </row>
        <row r="361">
          <cell r="A361">
            <v>1190054600</v>
          </cell>
          <cell r="B361">
            <v>23812</v>
          </cell>
          <cell r="C361" t="str">
            <v>นายประชา พราววิเชียร</v>
          </cell>
        </row>
        <row r="362">
          <cell r="A362">
            <v>1190054601</v>
          </cell>
          <cell r="B362">
            <v>63804</v>
          </cell>
          <cell r="C362" t="str">
            <v>นายสมพงษ์ คงบุตร</v>
          </cell>
        </row>
        <row r="363">
          <cell r="A363">
            <v>1190054603</v>
          </cell>
          <cell r="B363">
            <v>100304</v>
          </cell>
          <cell r="C363" t="str">
            <v>นายสินชัย ส่งรุ่ง</v>
          </cell>
        </row>
        <row r="364">
          <cell r="A364">
            <v>1190054604</v>
          </cell>
          <cell r="B364">
            <v>66276</v>
          </cell>
          <cell r="C364" t="str">
            <v>นายวิเชียร ห้วยเล็ก</v>
          </cell>
        </row>
        <row r="365">
          <cell r="A365">
            <v>1190054605</v>
          </cell>
          <cell r="B365">
            <v>101455</v>
          </cell>
          <cell r="C365" t="str">
            <v>นายเมธานันท์ ใจเย็น</v>
          </cell>
        </row>
        <row r="366">
          <cell r="A366">
            <v>1190054607</v>
          </cell>
          <cell r="B366">
            <v>100997</v>
          </cell>
          <cell r="C366" t="str">
            <v>นายธวัชชัย เปลี่ยวสหัด</v>
          </cell>
        </row>
        <row r="367">
          <cell r="A367">
            <v>1190054610</v>
          </cell>
          <cell r="B367">
            <v>101031</v>
          </cell>
          <cell r="C367" t="str">
            <v>นายพิพัฒน์พงศ์ ใจวงค์เป็ง</v>
          </cell>
        </row>
        <row r="368">
          <cell r="A368">
            <v>1190064701</v>
          </cell>
          <cell r="B368">
            <v>101461</v>
          </cell>
          <cell r="C368" t="str">
            <v>น.ส.ภัทรภร เจริญพาโชค</v>
          </cell>
        </row>
        <row r="369">
          <cell r="A369">
            <v>1190064702</v>
          </cell>
          <cell r="B369">
            <v>101881</v>
          </cell>
          <cell r="C369" t="str">
            <v>นางสาวอภิศรา ศิลปราคม</v>
          </cell>
        </row>
        <row r="370">
          <cell r="A370">
            <v>1190064703</v>
          </cell>
          <cell r="B370">
            <v>101679</v>
          </cell>
          <cell r="C370" t="str">
            <v>นางสาวศุภวรรณ บุบผาสังข์</v>
          </cell>
        </row>
        <row r="371">
          <cell r="A371">
            <v>1190064704</v>
          </cell>
          <cell r="B371">
            <v>101321</v>
          </cell>
          <cell r="C371" t="str">
            <v>น.ส.ดาราภรณ์ หมื่นภักดี</v>
          </cell>
        </row>
        <row r="372">
          <cell r="A372">
            <v>1190064705</v>
          </cell>
          <cell r="B372">
            <v>101482</v>
          </cell>
          <cell r="C372" t="str">
            <v>น.ส.กาญจนาภรณ์ เจริญผล</v>
          </cell>
        </row>
        <row r="373">
          <cell r="A373">
            <v>1190064706</v>
          </cell>
          <cell r="B373">
            <v>101680</v>
          </cell>
          <cell r="C373" t="str">
            <v>น.ส. อรณัฎฐ์ วีระรัชชานนท์</v>
          </cell>
        </row>
        <row r="374">
          <cell r="A374">
            <v>1190064707</v>
          </cell>
          <cell r="B374">
            <v>102042</v>
          </cell>
          <cell r="C374" t="str">
            <v>นางสาว พัชราภรณ์ โสณะรส</v>
          </cell>
        </row>
        <row r="375">
          <cell r="A375">
            <v>1190064708</v>
          </cell>
          <cell r="B375">
            <v>101697</v>
          </cell>
          <cell r="C375" t="str">
            <v>น.ส.แทนฝัน อุตมะแสงจันทร์</v>
          </cell>
        </row>
        <row r="376">
          <cell r="A376">
            <v>1190064709</v>
          </cell>
          <cell r="B376">
            <v>101699</v>
          </cell>
          <cell r="C376" t="str">
            <v>น.ส.มัทนาวดี สังขพิไชย</v>
          </cell>
        </row>
        <row r="377">
          <cell r="A377">
            <v>1190064710</v>
          </cell>
          <cell r="B377">
            <v>77895</v>
          </cell>
          <cell r="C377" t="str">
            <v>นายภานพ โฆษิตธเนศ</v>
          </cell>
        </row>
        <row r="378">
          <cell r="A378">
            <v>1190064711</v>
          </cell>
          <cell r="B378">
            <v>78485</v>
          </cell>
          <cell r="C378" t="str">
            <v>น.ส.ศิราภา พิพิธพจนการณ์</v>
          </cell>
        </row>
        <row r="379">
          <cell r="A379">
            <v>1190064712</v>
          </cell>
          <cell r="B379">
            <v>65131</v>
          </cell>
          <cell r="C379" t="str">
            <v>น.ส.จีระพร จตุรพรชัย</v>
          </cell>
        </row>
        <row r="380">
          <cell r="A380">
            <v>1190064713</v>
          </cell>
          <cell r="B380">
            <v>102034</v>
          </cell>
          <cell r="C380" t="str">
            <v>นางชนุฎา  ทั่วประโคน</v>
          </cell>
        </row>
        <row r="381">
          <cell r="A381">
            <v>1190064714</v>
          </cell>
          <cell r="B381">
            <v>101930</v>
          </cell>
          <cell r="C381" t="str">
            <v>นายกัมพล ไตรพรวัฒนกุล</v>
          </cell>
        </row>
        <row r="382">
          <cell r="A382">
            <v>1190064715</v>
          </cell>
          <cell r="B382">
            <v>102041</v>
          </cell>
          <cell r="C382" t="str">
            <v>นางสาว ภัทลดา อัศววงศ์พรหม</v>
          </cell>
        </row>
        <row r="383">
          <cell r="A383">
            <v>1190064716</v>
          </cell>
          <cell r="B383">
            <v>27492</v>
          </cell>
          <cell r="C383" t="str">
            <v>นางเปรมยุดา สวัสดี</v>
          </cell>
        </row>
        <row r="384">
          <cell r="A384">
            <v>1190064717</v>
          </cell>
          <cell r="B384">
            <v>100488</v>
          </cell>
          <cell r="C384" t="str">
            <v>นายธนชาติ แดงสังวาลย์</v>
          </cell>
        </row>
        <row r="385">
          <cell r="A385">
            <v>1190064718</v>
          </cell>
          <cell r="B385">
            <v>101725</v>
          </cell>
          <cell r="C385" t="str">
            <v>น.ส.ธราภรณ์ ติณรัตน์</v>
          </cell>
        </row>
        <row r="386">
          <cell r="A386">
            <v>1190064719</v>
          </cell>
          <cell r="B386">
            <v>101564</v>
          </cell>
          <cell r="C386" t="str">
            <v>น.ส.ณัฎฐนันท์ อธิรัตน์ปัญญา</v>
          </cell>
        </row>
        <row r="387">
          <cell r="A387">
            <v>1190064720</v>
          </cell>
          <cell r="B387">
            <v>101762</v>
          </cell>
          <cell r="C387" t="str">
            <v>นางสาวศศิภรณ์ ทาวรรณ</v>
          </cell>
        </row>
        <row r="388">
          <cell r="A388">
            <v>1190064721</v>
          </cell>
          <cell r="B388">
            <v>78388</v>
          </cell>
          <cell r="C388" t="str">
            <v>นายอภิชาติ วรรณประเวท</v>
          </cell>
        </row>
        <row r="389">
          <cell r="A389">
            <v>1190064722</v>
          </cell>
          <cell r="B389">
            <v>78508</v>
          </cell>
          <cell r="C389" t="str">
            <v>น.ส.กฤติยา เเสงก่ำ</v>
          </cell>
        </row>
        <row r="390">
          <cell r="A390">
            <v>1190064725</v>
          </cell>
          <cell r="B390">
            <v>76441</v>
          </cell>
          <cell r="C390" t="str">
            <v>น.ส.ฐาปนี พัฒน์แก้ว</v>
          </cell>
        </row>
        <row r="391">
          <cell r="A391">
            <v>1130</v>
          </cell>
          <cell r="B391">
            <v>70445</v>
          </cell>
          <cell r="C391" t="str">
            <v>นายเอกชัย วงศ์อาษา</v>
          </cell>
        </row>
        <row r="392">
          <cell r="A392">
            <v>1200</v>
          </cell>
          <cell r="B392">
            <v>22109</v>
          </cell>
          <cell r="C392" t="str">
            <v>นายพรชัย นันทวงค์</v>
          </cell>
        </row>
        <row r="393">
          <cell r="A393">
            <v>1180</v>
          </cell>
          <cell r="B393">
            <v>71027</v>
          </cell>
          <cell r="C393" t="str">
            <v>นายกิตติ อ่ำมี</v>
          </cell>
        </row>
        <row r="394">
          <cell r="A394">
            <v>1150</v>
          </cell>
          <cell r="B394">
            <v>28804</v>
          </cell>
          <cell r="C394" t="str">
            <v>นายอนุวัฒน์ รัตนัง</v>
          </cell>
        </row>
        <row r="395">
          <cell r="A395">
            <v>1210</v>
          </cell>
          <cell r="B395">
            <v>63579</v>
          </cell>
          <cell r="C395" t="str">
            <v>นายศิริศักดิ์ อาจเจริญ</v>
          </cell>
        </row>
        <row r="396">
          <cell r="A396">
            <v>1190</v>
          </cell>
          <cell r="B396">
            <v>29842</v>
          </cell>
          <cell r="C396" t="str">
            <v>นายวราพร แซ่อ๋อง</v>
          </cell>
        </row>
        <row r="397">
          <cell r="A397">
            <v>1160</v>
          </cell>
          <cell r="B397">
            <v>29729</v>
          </cell>
          <cell r="C397" t="str">
            <v>นายชัยธัช ทองหุล</v>
          </cell>
        </row>
        <row r="398">
          <cell r="A398">
            <v>1220</v>
          </cell>
          <cell r="B398">
            <v>71221</v>
          </cell>
          <cell r="C398" t="str">
            <v>นายอนุชา ชุลีกราน</v>
          </cell>
        </row>
        <row r="399">
          <cell r="A399">
            <v>1231</v>
          </cell>
          <cell r="B399">
            <v>66446</v>
          </cell>
          <cell r="C399" t="str">
            <v>นายธีรภัทร์ สุวรรณเกตุ</v>
          </cell>
        </row>
        <row r="400">
          <cell r="A400">
            <v>1390</v>
          </cell>
          <cell r="B400">
            <v>26064</v>
          </cell>
          <cell r="C400" t="str">
            <v>นายธิติพงศ์ วิโรจน์สิน</v>
          </cell>
        </row>
        <row r="401">
          <cell r="A401">
            <v>1700</v>
          </cell>
          <cell r="B401">
            <v>64868</v>
          </cell>
          <cell r="C401" t="str">
            <v>นายประชาบาล ชื่นพิบูลย์</v>
          </cell>
        </row>
        <row r="402">
          <cell r="A402" t="str">
            <v>1702</v>
          </cell>
          <cell r="B402" t="str">
            <v>101274</v>
          </cell>
          <cell r="C402" t="str">
            <v>นายวรากร เอนกนันท์</v>
          </cell>
        </row>
        <row r="403">
          <cell r="A403" t="str">
            <v>1703</v>
          </cell>
          <cell r="B403" t="str">
            <v>065288</v>
          </cell>
          <cell r="C403" t="str">
            <v>นายบัญชา ลี้กิตติวัฒนกุล</v>
          </cell>
        </row>
        <row r="404">
          <cell r="A404" t="str">
            <v>1704</v>
          </cell>
          <cell r="B404" t="str">
            <v>060416</v>
          </cell>
          <cell r="C404" t="str">
            <v>นายยุคณ ขุนศรี</v>
          </cell>
        </row>
        <row r="405">
          <cell r="A405" t="str">
            <v>1705</v>
          </cell>
          <cell r="B405" t="str">
            <v>076611</v>
          </cell>
          <cell r="C405" t="str">
            <v>น.ส.พิสมัย มูลตรีโคตร์</v>
          </cell>
        </row>
        <row r="406">
          <cell r="A406" t="str">
            <v>1706</v>
          </cell>
          <cell r="B406" t="str">
            <v>061331</v>
          </cell>
          <cell r="C406" t="str">
            <v>นายชัชวาลย์ เพียรขุนทด</v>
          </cell>
        </row>
        <row r="407">
          <cell r="A407" t="str">
            <v>1707</v>
          </cell>
          <cell r="B407" t="str">
            <v>100194</v>
          </cell>
          <cell r="C407" t="str">
            <v>นายวิทยา ตินะลา</v>
          </cell>
        </row>
        <row r="408">
          <cell r="A408" t="str">
            <v xml:space="preserve">1170      </v>
          </cell>
          <cell r="B408" t="str">
            <v>070534</v>
          </cell>
          <cell r="C408" t="str">
            <v>นายพายุ พรรณสาร</v>
          </cell>
        </row>
        <row r="409">
          <cell r="A409" t="str">
            <v xml:space="preserve">1340      </v>
          </cell>
          <cell r="B409" t="str">
            <v>052007</v>
          </cell>
          <cell r="C409" t="str">
            <v>นายศราวุฒิ จรัสวุฒิยากร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7E6F-F429-4490-A254-59C42B901807}">
  <sheetPr>
    <tabColor rgb="FF7030A0"/>
  </sheetPr>
  <dimension ref="A1:D22"/>
  <sheetViews>
    <sheetView zoomScale="130" zoomScaleNormal="130" workbookViewId="0">
      <selection activeCell="B2" sqref="B2"/>
    </sheetView>
  </sheetViews>
  <sheetFormatPr defaultRowHeight="16.8" x14ac:dyDescent="0.4"/>
  <cols>
    <col min="1" max="1" width="17" style="219" bestFit="1" customWidth="1"/>
    <col min="2" max="2" width="22.3984375" style="219" bestFit="1" customWidth="1"/>
    <col min="3" max="3" width="20.3984375" style="219" bestFit="1" customWidth="1"/>
    <col min="4" max="4" width="11" style="193" bestFit="1" customWidth="1"/>
  </cols>
  <sheetData>
    <row r="1" spans="1:4" x14ac:dyDescent="0.4">
      <c r="A1" s="217" t="s">
        <v>188</v>
      </c>
      <c r="B1" s="217" t="s">
        <v>261</v>
      </c>
      <c r="C1" s="217" t="s">
        <v>262</v>
      </c>
      <c r="D1" s="174" t="s">
        <v>233</v>
      </c>
    </row>
    <row r="2" spans="1:4" x14ac:dyDescent="0.4">
      <c r="A2" s="234" t="s">
        <v>224</v>
      </c>
      <c r="B2" s="234" t="s">
        <v>279</v>
      </c>
      <c r="C2" s="234" t="s">
        <v>225</v>
      </c>
      <c r="D2" s="235">
        <v>1</v>
      </c>
    </row>
    <row r="3" spans="1:4" x14ac:dyDescent="0.4">
      <c r="A3" s="234" t="s">
        <v>225</v>
      </c>
      <c r="B3" s="234" t="s">
        <v>282</v>
      </c>
      <c r="C3" s="234" t="s">
        <v>279</v>
      </c>
      <c r="D3" s="235">
        <v>2</v>
      </c>
    </row>
    <row r="4" spans="1:4" x14ac:dyDescent="0.4">
      <c r="A4" s="234" t="s">
        <v>279</v>
      </c>
      <c r="B4" s="234" t="s">
        <v>283</v>
      </c>
      <c r="C4" s="234" t="s">
        <v>282</v>
      </c>
      <c r="D4" s="235">
        <v>3</v>
      </c>
    </row>
    <row r="5" spans="1:4" x14ac:dyDescent="0.4">
      <c r="A5" s="234" t="s">
        <v>282</v>
      </c>
      <c r="B5" s="234" t="s">
        <v>284</v>
      </c>
      <c r="C5" s="234" t="s">
        <v>283</v>
      </c>
      <c r="D5" s="235">
        <v>4</v>
      </c>
    </row>
    <row r="6" spans="1:4" x14ac:dyDescent="0.4">
      <c r="A6" s="234" t="s">
        <v>283</v>
      </c>
      <c r="B6" s="234" t="s">
        <v>285</v>
      </c>
      <c r="C6" s="234" t="s">
        <v>284</v>
      </c>
      <c r="D6" s="235">
        <v>5</v>
      </c>
    </row>
    <row r="7" spans="1:4" x14ac:dyDescent="0.4">
      <c r="A7" s="234" t="s">
        <v>284</v>
      </c>
      <c r="B7" s="234" t="s">
        <v>286</v>
      </c>
      <c r="C7" s="234" t="s">
        <v>285</v>
      </c>
      <c r="D7" s="235">
        <v>6</v>
      </c>
    </row>
    <row r="8" spans="1:4" x14ac:dyDescent="0.4">
      <c r="A8" s="234" t="s">
        <v>285</v>
      </c>
      <c r="B8" s="234" t="s">
        <v>287</v>
      </c>
      <c r="C8" s="234" t="s">
        <v>286</v>
      </c>
      <c r="D8" s="235">
        <v>7</v>
      </c>
    </row>
    <row r="9" spans="1:4" x14ac:dyDescent="0.4">
      <c r="A9" s="234" t="s">
        <v>286</v>
      </c>
      <c r="B9" s="234" t="s">
        <v>288</v>
      </c>
      <c r="C9" s="234" t="s">
        <v>287</v>
      </c>
      <c r="D9" s="235">
        <v>8</v>
      </c>
    </row>
    <row r="10" spans="1:4" x14ac:dyDescent="0.4">
      <c r="A10" s="234" t="s">
        <v>287</v>
      </c>
      <c r="B10" s="234" t="s">
        <v>289</v>
      </c>
      <c r="C10" s="234" t="s">
        <v>288</v>
      </c>
      <c r="D10" s="235">
        <v>9</v>
      </c>
    </row>
    <row r="11" spans="1:4" x14ac:dyDescent="0.4">
      <c r="A11" s="234" t="s">
        <v>288</v>
      </c>
      <c r="B11" s="234" t="s">
        <v>290</v>
      </c>
      <c r="C11" s="234" t="s">
        <v>289</v>
      </c>
      <c r="D11" s="235">
        <v>10</v>
      </c>
    </row>
    <row r="12" spans="1:4" x14ac:dyDescent="0.4">
      <c r="A12" s="234" t="s">
        <v>289</v>
      </c>
      <c r="B12" s="234" t="s">
        <v>280</v>
      </c>
      <c r="C12" s="234" t="s">
        <v>290</v>
      </c>
      <c r="D12" s="235">
        <v>11</v>
      </c>
    </row>
    <row r="13" spans="1:4" x14ac:dyDescent="0.4">
      <c r="A13" s="234" t="s">
        <v>290</v>
      </c>
      <c r="B13" s="234" t="s">
        <v>281</v>
      </c>
      <c r="C13" s="234" t="s">
        <v>280</v>
      </c>
      <c r="D13" s="235">
        <v>12</v>
      </c>
    </row>
    <row r="14" spans="1:4" x14ac:dyDescent="0.4">
      <c r="A14" s="218"/>
      <c r="B14" s="218"/>
      <c r="C14" s="218"/>
    </row>
    <row r="15" spans="1:4" x14ac:dyDescent="0.4">
      <c r="A15" s="218"/>
      <c r="B15" s="218"/>
      <c r="C15" s="218"/>
    </row>
    <row r="16" spans="1:4" x14ac:dyDescent="0.4">
      <c r="A16" s="175"/>
      <c r="B16" s="175"/>
      <c r="C16" s="175"/>
    </row>
    <row r="17" spans="1:3" x14ac:dyDescent="0.4">
      <c r="A17" s="175"/>
      <c r="B17" s="175"/>
      <c r="C17" s="175"/>
    </row>
    <row r="18" spans="1:3" x14ac:dyDescent="0.4">
      <c r="A18" s="175"/>
      <c r="B18" s="175"/>
      <c r="C18" s="175"/>
    </row>
    <row r="19" spans="1:3" x14ac:dyDescent="0.4">
      <c r="A19" s="175"/>
      <c r="B19" s="175"/>
      <c r="C19" s="175"/>
    </row>
    <row r="20" spans="1:3" x14ac:dyDescent="0.4">
      <c r="A20" s="175"/>
      <c r="B20" s="175"/>
      <c r="C20" s="175"/>
    </row>
    <row r="21" spans="1:3" x14ac:dyDescent="0.4">
      <c r="A21" s="175"/>
      <c r="B21" s="175"/>
      <c r="C21" s="175"/>
    </row>
    <row r="22" spans="1:3" x14ac:dyDescent="0.4">
      <c r="A22" s="175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F24F-CBA5-4988-B2ED-BB4E7D70DF9D}">
  <sheetPr>
    <tabColor rgb="FF0070C0"/>
  </sheetPr>
  <dimension ref="A1:B7"/>
  <sheetViews>
    <sheetView zoomScale="180" zoomScaleNormal="180" workbookViewId="0">
      <selection activeCell="B2" sqref="B2:B6"/>
    </sheetView>
  </sheetViews>
  <sheetFormatPr defaultColWidth="9.09765625" defaultRowHeight="11.4" x14ac:dyDescent="0.25"/>
  <cols>
    <col min="1" max="1" width="13.59765625" style="117" bestFit="1" customWidth="1"/>
    <col min="2" max="2" width="16.5" style="199" bestFit="1" customWidth="1"/>
    <col min="3" max="16384" width="9.09765625" style="117"/>
  </cols>
  <sheetData>
    <row r="1" spans="1:2" x14ac:dyDescent="0.25">
      <c r="A1" s="197" t="s">
        <v>201</v>
      </c>
      <c r="B1" s="198" t="s">
        <v>236</v>
      </c>
    </row>
    <row r="2" spans="1:2" x14ac:dyDescent="0.25">
      <c r="A2" s="117" t="s">
        <v>208</v>
      </c>
      <c r="B2" s="280">
        <v>5000</v>
      </c>
    </row>
    <row r="3" spans="1:2" x14ac:dyDescent="0.25">
      <c r="A3" s="117" t="s">
        <v>204</v>
      </c>
      <c r="B3" s="280">
        <v>5000</v>
      </c>
    </row>
    <row r="4" spans="1:2" x14ac:dyDescent="0.25">
      <c r="A4" s="117" t="s">
        <v>203</v>
      </c>
      <c r="B4" s="280">
        <v>4000</v>
      </c>
    </row>
    <row r="5" spans="1:2" x14ac:dyDescent="0.25">
      <c r="A5" s="117" t="s">
        <v>209</v>
      </c>
      <c r="B5" s="280">
        <v>6000</v>
      </c>
    </row>
    <row r="6" spans="1:2" x14ac:dyDescent="0.25">
      <c r="A6" s="378" t="s">
        <v>407</v>
      </c>
      <c r="B6" s="379">
        <v>7000</v>
      </c>
    </row>
    <row r="7" spans="1:2" x14ac:dyDescent="0.25">
      <c r="A7" s="378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3321-5ED2-4651-B718-EC853234C243}">
  <sheetPr>
    <tabColor rgb="FF7030A0"/>
  </sheetPr>
  <dimension ref="A1:D2"/>
  <sheetViews>
    <sheetView zoomScale="130" zoomScaleNormal="130" workbookViewId="0">
      <selection activeCell="C21" sqref="C21"/>
    </sheetView>
  </sheetViews>
  <sheetFormatPr defaultRowHeight="16.8" x14ac:dyDescent="0.4"/>
  <cols>
    <col min="1" max="1" width="17" bestFit="1" customWidth="1"/>
    <col min="2" max="2" width="21.5" bestFit="1" customWidth="1"/>
    <col min="3" max="3" width="19.3984375" bestFit="1" customWidth="1"/>
    <col min="4" max="4" width="12.09765625" bestFit="1" customWidth="1"/>
  </cols>
  <sheetData>
    <row r="1" spans="1:4" x14ac:dyDescent="0.4">
      <c r="A1" s="217" t="s">
        <v>188</v>
      </c>
      <c r="B1" s="217" t="s">
        <v>261</v>
      </c>
      <c r="C1" s="217" t="s">
        <v>262</v>
      </c>
      <c r="D1" s="174" t="s">
        <v>233</v>
      </c>
    </row>
    <row r="2" spans="1:4" x14ac:dyDescent="0.4">
      <c r="A2" s="234" t="s">
        <v>225</v>
      </c>
      <c r="B2" s="216" t="str">
        <f>VLOOKUP(A2,M_Month!A:B,2,FALSE)</f>
        <v>Jul-26</v>
      </c>
      <c r="C2" s="216" t="str">
        <f>VLOOKUP(A2,M_Month!A:D,3,FALSE)</f>
        <v>Jun-26</v>
      </c>
      <c r="D2" s="233">
        <f>VLOOKUP(A2,M_Month!A:E,4,FALSE)</f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35E334-93F4-4D90-8C80-DC916A693BD7}">
          <x14:formula1>
            <xm:f>M_Month!$A$2:$A$21</xm:f>
          </x14:formula1>
          <xm:sqref>A2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FA08-D66A-40FF-8E5C-7901B05D88E1}">
  <sheetPr>
    <tabColor rgb="FF0070C0"/>
  </sheetPr>
  <dimension ref="A1:S23"/>
  <sheetViews>
    <sheetView zoomScale="110" zoomScaleNormal="110" workbookViewId="0">
      <selection activeCell="U18" sqref="U18"/>
    </sheetView>
  </sheetViews>
  <sheetFormatPr defaultColWidth="11.59765625" defaultRowHeight="10.8" x14ac:dyDescent="0.25"/>
  <cols>
    <col min="1" max="1" width="5.3984375" style="139" bestFit="1" customWidth="1"/>
    <col min="2" max="2" width="6.09765625" style="139" bestFit="1" customWidth="1"/>
    <col min="3" max="3" width="18.5" style="139" bestFit="1" customWidth="1"/>
    <col min="4" max="4" width="24.59765625" style="139" bestFit="1" customWidth="1"/>
    <col min="5" max="5" width="16.5" style="139" bestFit="1" customWidth="1"/>
    <col min="6" max="6" width="18.09765625" style="139" bestFit="1" customWidth="1"/>
    <col min="7" max="7" width="34.3984375" style="139" hidden="1" customWidth="1"/>
    <col min="8" max="8" width="21.8984375" style="139" hidden="1" customWidth="1"/>
    <col min="9" max="9" width="33.3984375" style="139" hidden="1" customWidth="1"/>
    <col min="10" max="10" width="26.09765625" style="139" hidden="1" customWidth="1"/>
    <col min="11" max="11" width="25.8984375" style="139" hidden="1" customWidth="1"/>
    <col min="12" max="12" width="20.09765625" style="139" hidden="1" customWidth="1"/>
    <col min="13" max="13" width="12.09765625" style="139" hidden="1" customWidth="1"/>
    <col min="14" max="14" width="19.09765625" style="139" hidden="1" customWidth="1"/>
    <col min="15" max="15" width="14.59765625" style="139" hidden="1" customWidth="1"/>
    <col min="16" max="16" width="13.3984375" style="139" bestFit="1" customWidth="1"/>
    <col min="17" max="17" width="13" style="139" bestFit="1" customWidth="1"/>
    <col min="18" max="18" width="11.19921875" style="139" bestFit="1" customWidth="1"/>
    <col min="19" max="19" width="10" style="139" bestFit="1" customWidth="1"/>
    <col min="20" max="16384" width="11.59765625" style="139"/>
  </cols>
  <sheetData>
    <row r="1" spans="1:19" s="171" customFormat="1" ht="35.4" customHeight="1" thickBot="1" x14ac:dyDescent="0.45">
      <c r="A1" s="180" t="s">
        <v>210</v>
      </c>
      <c r="B1" s="180" t="s">
        <v>211</v>
      </c>
      <c r="C1" s="180" t="s">
        <v>212</v>
      </c>
      <c r="D1" s="180" t="s">
        <v>11</v>
      </c>
      <c r="E1" s="181" t="s">
        <v>123</v>
      </c>
      <c r="F1" s="182" t="s">
        <v>213</v>
      </c>
      <c r="G1" s="183" t="s">
        <v>214</v>
      </c>
      <c r="H1" s="182" t="s">
        <v>215</v>
      </c>
      <c r="I1" s="183" t="s">
        <v>216</v>
      </c>
      <c r="J1" s="183" t="s">
        <v>217</v>
      </c>
      <c r="K1" s="183" t="s">
        <v>218</v>
      </c>
      <c r="L1" s="183" t="s">
        <v>219</v>
      </c>
      <c r="M1" s="183" t="s">
        <v>220</v>
      </c>
      <c r="N1" s="220" t="s">
        <v>221</v>
      </c>
      <c r="O1" s="221" t="s">
        <v>222</v>
      </c>
      <c r="P1" s="222" t="s">
        <v>123</v>
      </c>
      <c r="Q1" s="223" t="s">
        <v>231</v>
      </c>
      <c r="R1" s="223" t="s">
        <v>400</v>
      </c>
      <c r="S1" s="224" t="s">
        <v>401</v>
      </c>
    </row>
    <row r="2" spans="1:19" s="171" customFormat="1" ht="20.399999999999999" customHeight="1" thickBot="1" x14ac:dyDescent="0.35">
      <c r="A2" s="341" t="s">
        <v>3</v>
      </c>
      <c r="B2" s="351">
        <v>2026</v>
      </c>
      <c r="C2" s="342"/>
      <c r="D2" s="342"/>
      <c r="E2" s="352"/>
      <c r="F2" s="343" t="s">
        <v>299</v>
      </c>
      <c r="G2" s="344"/>
      <c r="H2" s="343"/>
      <c r="I2" s="345"/>
      <c r="J2" s="346"/>
      <c r="K2" s="345"/>
      <c r="L2" s="346"/>
      <c r="M2" s="346"/>
      <c r="N2" s="347"/>
      <c r="O2" s="348"/>
      <c r="P2" s="225">
        <f>E2</f>
        <v>0</v>
      </c>
      <c r="Q2" s="226" t="str">
        <f>VLOOKUP(F2,'HR Rep'!A:AC,29,FALSE)</f>
        <v>000001</v>
      </c>
      <c r="R2" s="226">
        <f>VLOOKUP(F2,'HR Rep'!A:AC,23,FALSE)</f>
        <v>0</v>
      </c>
      <c r="S2" s="227">
        <f>VLOOKUP(F2,'HR Rep'!A:AC,24,FALSE)</f>
        <v>0</v>
      </c>
    </row>
    <row r="3" spans="1:19" s="171" customFormat="1" ht="20.399999999999999" customHeight="1" x14ac:dyDescent="0.3">
      <c r="A3" s="282" t="s">
        <v>3</v>
      </c>
      <c r="B3" s="283">
        <v>2026</v>
      </c>
      <c r="C3" s="284" t="s">
        <v>223</v>
      </c>
      <c r="D3" s="284"/>
      <c r="E3" s="285"/>
      <c r="F3" s="286" t="s">
        <v>300</v>
      </c>
      <c r="G3" s="287"/>
      <c r="H3" s="286"/>
      <c r="I3" s="288"/>
      <c r="J3" s="289"/>
      <c r="K3" s="288"/>
      <c r="L3" s="289"/>
      <c r="M3" s="289"/>
      <c r="N3" s="290"/>
      <c r="O3" s="291"/>
      <c r="P3" s="228">
        <f t="shared" ref="P3:P23" si="0">E3</f>
        <v>0</v>
      </c>
      <c r="Q3" s="229" t="str">
        <f>VLOOKUP(F3,'HR Rep'!A:AC,29,FALSE)</f>
        <v>000002</v>
      </c>
      <c r="R3" s="226" t="str">
        <f>VLOOKUP(F3,'HR Rep'!A:AC,23,FALSE)</f>
        <v>000003</v>
      </c>
      <c r="S3" s="230" t="str">
        <f>VLOOKUP(F3,'HR Rep'!A:AC,24,FALSE)</f>
        <v>000002</v>
      </c>
    </row>
    <row r="4" spans="1:19" s="171" customFormat="1" ht="20.399999999999999" customHeight="1" x14ac:dyDescent="0.3">
      <c r="A4" s="292" t="s">
        <v>3</v>
      </c>
      <c r="B4" s="293">
        <v>2026</v>
      </c>
      <c r="C4" s="294" t="s">
        <v>223</v>
      </c>
      <c r="D4" s="294" t="s">
        <v>82</v>
      </c>
      <c r="E4" s="295">
        <v>110000</v>
      </c>
      <c r="F4" s="296" t="s">
        <v>301</v>
      </c>
      <c r="G4" s="297"/>
      <c r="H4" s="296"/>
      <c r="I4" s="298"/>
      <c r="J4" s="299"/>
      <c r="K4" s="300"/>
      <c r="L4" s="301"/>
      <c r="M4" s="301"/>
      <c r="N4" s="302"/>
      <c r="O4" s="303"/>
      <c r="P4" s="228">
        <f t="shared" si="0"/>
        <v>110000</v>
      </c>
      <c r="Q4" s="229" t="str">
        <f>VLOOKUP(F4,'HR Rep'!A:AC,29,FALSE)</f>
        <v>000003</v>
      </c>
      <c r="R4" s="226" t="str">
        <f>VLOOKUP(F4,'HR Rep'!A:AC,23,FALSE)</f>
        <v>000003</v>
      </c>
      <c r="S4" s="230" t="str">
        <f>VLOOKUP(F4,'HR Rep'!A:AC,24,FALSE)</f>
        <v>000002</v>
      </c>
    </row>
    <row r="5" spans="1:19" s="171" customFormat="1" ht="20.399999999999999" customHeight="1" x14ac:dyDescent="0.3">
      <c r="A5" s="304" t="s">
        <v>3</v>
      </c>
      <c r="B5" s="305">
        <v>2026</v>
      </c>
      <c r="C5" s="331" t="s">
        <v>223</v>
      </c>
      <c r="D5" s="323" t="s">
        <v>82</v>
      </c>
      <c r="E5" s="331">
        <v>110001</v>
      </c>
      <c r="F5" s="310" t="s">
        <v>302</v>
      </c>
      <c r="G5" s="309"/>
      <c r="H5" s="310"/>
      <c r="I5" s="311"/>
      <c r="J5" s="306"/>
      <c r="K5" s="311"/>
      <c r="L5" s="306"/>
      <c r="M5" s="306"/>
      <c r="N5" s="307"/>
      <c r="O5" s="303"/>
      <c r="P5" s="228">
        <f t="shared" si="0"/>
        <v>110001</v>
      </c>
      <c r="Q5" s="229" t="str">
        <f>VLOOKUP(F5,'HR Rep'!A:AC,29,FALSE)</f>
        <v>000004</v>
      </c>
      <c r="R5" s="226" t="str">
        <f>VLOOKUP(F5,'HR Rep'!A:AC,23,FALSE)</f>
        <v>000003</v>
      </c>
      <c r="S5" s="230" t="str">
        <f>VLOOKUP(F5,'HR Rep'!A:AC,24,FALSE)</f>
        <v>000002</v>
      </c>
    </row>
    <row r="6" spans="1:19" s="171" customFormat="1" ht="20.399999999999999" customHeight="1" x14ac:dyDescent="0.3">
      <c r="A6" s="292" t="s">
        <v>3</v>
      </c>
      <c r="B6" s="293">
        <v>2026</v>
      </c>
      <c r="C6" s="294" t="s">
        <v>223</v>
      </c>
      <c r="D6" s="322" t="s">
        <v>82</v>
      </c>
      <c r="E6" s="305">
        <v>110002</v>
      </c>
      <c r="F6" s="310" t="s">
        <v>303</v>
      </c>
      <c r="G6" s="309"/>
      <c r="H6" s="310"/>
      <c r="I6" s="311"/>
      <c r="J6" s="335"/>
      <c r="K6" s="311"/>
      <c r="L6" s="310"/>
      <c r="M6" s="306"/>
      <c r="N6" s="302"/>
      <c r="O6" s="303"/>
      <c r="P6" s="228">
        <f t="shared" si="0"/>
        <v>110002</v>
      </c>
      <c r="Q6" s="229" t="str">
        <f>VLOOKUP(F6,'HR Rep'!A:AC,29,FALSE)</f>
        <v>000004</v>
      </c>
      <c r="R6" s="226" t="str">
        <f>VLOOKUP(F6,'HR Rep'!A:AC,23,FALSE)</f>
        <v>000003</v>
      </c>
      <c r="S6" s="230" t="str">
        <f>VLOOKUP(F6,'HR Rep'!A:AC,24,FALSE)</f>
        <v>000002</v>
      </c>
    </row>
    <row r="7" spans="1:19" s="171" customFormat="1" ht="20.399999999999999" customHeight="1" x14ac:dyDescent="0.3">
      <c r="A7" s="304" t="s">
        <v>3</v>
      </c>
      <c r="B7" s="305">
        <v>2026</v>
      </c>
      <c r="C7" s="331" t="s">
        <v>223</v>
      </c>
      <c r="D7" s="322" t="s">
        <v>82</v>
      </c>
      <c r="E7" s="334">
        <v>110003</v>
      </c>
      <c r="F7" s="310" t="s">
        <v>304</v>
      </c>
      <c r="G7" s="309"/>
      <c r="H7" s="310"/>
      <c r="I7" s="311"/>
      <c r="J7" s="310"/>
      <c r="K7" s="311"/>
      <c r="L7" s="310"/>
      <c r="M7" s="306"/>
      <c r="N7" s="307"/>
      <c r="O7" s="303"/>
      <c r="P7" s="228">
        <f t="shared" si="0"/>
        <v>110003</v>
      </c>
      <c r="Q7" s="229" t="str">
        <f>VLOOKUP(F7,'HR Rep'!A:AC,29,FALSE)</f>
        <v>000004</v>
      </c>
      <c r="R7" s="226" t="str">
        <f>VLOOKUP(F7,'HR Rep'!A:AC,23,FALSE)</f>
        <v>000003</v>
      </c>
      <c r="S7" s="230" t="str">
        <f>VLOOKUP(F7,'HR Rep'!A:AC,24,FALSE)</f>
        <v>000002</v>
      </c>
    </row>
    <row r="8" spans="1:19" s="171" customFormat="1" ht="20.399999999999999" customHeight="1" x14ac:dyDescent="0.3">
      <c r="A8" s="304" t="s">
        <v>3</v>
      </c>
      <c r="B8" s="317">
        <v>2026</v>
      </c>
      <c r="C8" s="312" t="s">
        <v>223</v>
      </c>
      <c r="D8" s="318" t="s">
        <v>80</v>
      </c>
      <c r="E8" s="319">
        <v>120000</v>
      </c>
      <c r="F8" s="310" t="s">
        <v>305</v>
      </c>
      <c r="G8" s="309"/>
      <c r="H8" s="310"/>
      <c r="I8" s="311"/>
      <c r="J8" s="306"/>
      <c r="K8" s="311"/>
      <c r="L8" s="306"/>
      <c r="M8" s="306"/>
      <c r="N8" s="307"/>
      <c r="O8" s="320"/>
      <c r="P8" s="228">
        <f t="shared" si="0"/>
        <v>120000</v>
      </c>
      <c r="Q8" s="229" t="str">
        <f>VLOOKUP(F8,'HR Rep'!A:AC,29,FALSE)</f>
        <v>000003</v>
      </c>
      <c r="R8" s="226" t="str">
        <f>VLOOKUP(F8,'HR Rep'!A:AC,23,FALSE)</f>
        <v>000003</v>
      </c>
      <c r="S8" s="230" t="str">
        <f>VLOOKUP(F8,'HR Rep'!A:AC,24,FALSE)</f>
        <v>000002</v>
      </c>
    </row>
    <row r="9" spans="1:19" s="171" customFormat="1" ht="20.399999999999999" customHeight="1" x14ac:dyDescent="0.3">
      <c r="A9" s="304" t="s">
        <v>3</v>
      </c>
      <c r="B9" s="317">
        <v>2026</v>
      </c>
      <c r="C9" s="313" t="s">
        <v>223</v>
      </c>
      <c r="D9" s="318" t="s">
        <v>80</v>
      </c>
      <c r="E9" s="319">
        <v>120001</v>
      </c>
      <c r="F9" s="310" t="s">
        <v>306</v>
      </c>
      <c r="G9" s="309"/>
      <c r="H9" s="310"/>
      <c r="I9" s="311"/>
      <c r="J9" s="306"/>
      <c r="K9" s="311"/>
      <c r="L9" s="306"/>
      <c r="M9" s="306"/>
      <c r="N9" s="307"/>
      <c r="O9" s="320"/>
      <c r="P9" s="228">
        <f t="shared" si="0"/>
        <v>120001</v>
      </c>
      <c r="Q9" s="229" t="str">
        <f>VLOOKUP(F9,'HR Rep'!A:AC,29,FALSE)</f>
        <v>000008</v>
      </c>
      <c r="R9" s="226" t="str">
        <f>VLOOKUP(F9,'HR Rep'!A:AC,23,FALSE)</f>
        <v>000003</v>
      </c>
      <c r="S9" s="230" t="str">
        <f>VLOOKUP(F9,'HR Rep'!A:AC,24,FALSE)</f>
        <v>000002</v>
      </c>
    </row>
    <row r="10" spans="1:19" s="171" customFormat="1" ht="20.399999999999999" customHeight="1" x14ac:dyDescent="0.3">
      <c r="A10" s="304" t="s">
        <v>3</v>
      </c>
      <c r="B10" s="317">
        <v>2026</v>
      </c>
      <c r="C10" s="313" t="s">
        <v>223</v>
      </c>
      <c r="D10" s="318" t="s">
        <v>80</v>
      </c>
      <c r="E10" s="319">
        <v>120002</v>
      </c>
      <c r="F10" s="310" t="s">
        <v>307</v>
      </c>
      <c r="G10" s="309"/>
      <c r="H10" s="310"/>
      <c r="I10" s="311"/>
      <c r="J10" s="306"/>
      <c r="K10" s="311"/>
      <c r="L10" s="306"/>
      <c r="M10" s="306"/>
      <c r="N10" s="350"/>
      <c r="O10" s="320"/>
      <c r="P10" s="228">
        <f t="shared" si="0"/>
        <v>120002</v>
      </c>
      <c r="Q10" s="229" t="str">
        <f>VLOOKUP(F10,'HR Rep'!A:AC,29,FALSE)</f>
        <v>000008</v>
      </c>
      <c r="R10" s="226" t="str">
        <f>VLOOKUP(F10,'HR Rep'!A:AC,23,FALSE)</f>
        <v>000003</v>
      </c>
      <c r="S10" s="230" t="str">
        <f>VLOOKUP(F10,'HR Rep'!A:AC,24,FALSE)</f>
        <v>000002</v>
      </c>
    </row>
    <row r="11" spans="1:19" s="171" customFormat="1" ht="20.399999999999999" customHeight="1" x14ac:dyDescent="0.3">
      <c r="A11" s="321" t="s">
        <v>3</v>
      </c>
      <c r="B11" s="308">
        <v>2026</v>
      </c>
      <c r="C11" s="312" t="s">
        <v>223</v>
      </c>
      <c r="D11" s="315" t="s">
        <v>184</v>
      </c>
      <c r="E11" s="312">
        <v>130000</v>
      </c>
      <c r="F11" s="324" t="s">
        <v>308</v>
      </c>
      <c r="G11" s="336"/>
      <c r="H11" s="326"/>
      <c r="I11" s="309"/>
      <c r="J11" s="325"/>
      <c r="K11" s="311"/>
      <c r="L11" s="325"/>
      <c r="M11" s="325"/>
      <c r="N11" s="307"/>
      <c r="O11" s="327"/>
      <c r="P11" s="228">
        <f t="shared" si="0"/>
        <v>130000</v>
      </c>
      <c r="Q11" s="229" t="str">
        <f>VLOOKUP(F11,'HR Rep'!A:AC,29,FALSE)</f>
        <v>000003</v>
      </c>
      <c r="R11" s="226" t="str">
        <f>VLOOKUP(F11,'HR Rep'!A:AC,23,FALSE)</f>
        <v>000003</v>
      </c>
      <c r="S11" s="230" t="str">
        <f>VLOOKUP(F11,'HR Rep'!A:AC,24,FALSE)</f>
        <v>000002</v>
      </c>
    </row>
    <row r="12" spans="1:19" s="171" customFormat="1" ht="20.399999999999999" customHeight="1" x14ac:dyDescent="0.3">
      <c r="A12" s="313" t="s">
        <v>3</v>
      </c>
      <c r="B12" s="328">
        <v>2026</v>
      </c>
      <c r="C12" s="330" t="s">
        <v>223</v>
      </c>
      <c r="D12" s="329" t="s">
        <v>184</v>
      </c>
      <c r="E12" s="330">
        <v>130001</v>
      </c>
      <c r="F12" s="310" t="s">
        <v>309</v>
      </c>
      <c r="G12" s="309"/>
      <c r="H12" s="310"/>
      <c r="I12" s="309"/>
      <c r="J12" s="325"/>
      <c r="K12" s="311"/>
      <c r="L12" s="325"/>
      <c r="M12" s="325"/>
      <c r="N12" s="307"/>
      <c r="O12" s="327"/>
      <c r="P12" s="228">
        <f t="shared" si="0"/>
        <v>130001</v>
      </c>
      <c r="Q12" s="229" t="str">
        <f>VLOOKUP(F12,'HR Rep'!A:AC,29,FALSE)</f>
        <v>000011</v>
      </c>
      <c r="R12" s="226" t="str">
        <f>VLOOKUP(F12,'HR Rep'!A:AC,23,FALSE)</f>
        <v>000003</v>
      </c>
      <c r="S12" s="230" t="str">
        <f>VLOOKUP(F12,'HR Rep'!A:AC,24,FALSE)</f>
        <v>000002</v>
      </c>
    </row>
    <row r="13" spans="1:19" s="171" customFormat="1" ht="20.399999999999999" customHeight="1" x14ac:dyDescent="0.3">
      <c r="A13" s="304" t="s">
        <v>3</v>
      </c>
      <c r="B13" s="305">
        <v>2026</v>
      </c>
      <c r="C13" s="331" t="s">
        <v>223</v>
      </c>
      <c r="D13" s="323" t="s">
        <v>184</v>
      </c>
      <c r="E13" s="331">
        <v>130002</v>
      </c>
      <c r="F13" s="310" t="s">
        <v>310</v>
      </c>
      <c r="G13" s="309"/>
      <c r="H13" s="310"/>
      <c r="I13" s="309"/>
      <c r="J13" s="325"/>
      <c r="K13" s="311"/>
      <c r="L13" s="325"/>
      <c r="M13" s="325"/>
      <c r="N13" s="307"/>
      <c r="O13" s="320"/>
      <c r="P13" s="228">
        <f t="shared" si="0"/>
        <v>130002</v>
      </c>
      <c r="Q13" s="229" t="str">
        <f>VLOOKUP(F13,'HR Rep'!A:AC,29,FALSE)</f>
        <v>000011</v>
      </c>
      <c r="R13" s="226" t="str">
        <f>VLOOKUP(F13,'HR Rep'!A:AC,23,FALSE)</f>
        <v>000003</v>
      </c>
      <c r="S13" s="230" t="str">
        <f>VLOOKUP(F13,'HR Rep'!A:AC,24,FALSE)</f>
        <v>000002</v>
      </c>
    </row>
    <row r="14" spans="1:19" s="171" customFormat="1" ht="20.399999999999999" customHeight="1" x14ac:dyDescent="0.3">
      <c r="A14" s="304" t="s">
        <v>3</v>
      </c>
      <c r="B14" s="305">
        <v>2026</v>
      </c>
      <c r="C14" s="331" t="s">
        <v>223</v>
      </c>
      <c r="D14" s="323" t="s">
        <v>184</v>
      </c>
      <c r="E14" s="331">
        <v>130003</v>
      </c>
      <c r="F14" s="310" t="s">
        <v>311</v>
      </c>
      <c r="G14" s="309"/>
      <c r="H14" s="332"/>
      <c r="I14" s="309"/>
      <c r="J14" s="325"/>
      <c r="K14" s="311"/>
      <c r="L14" s="325"/>
      <c r="M14" s="325"/>
      <c r="N14" s="307"/>
      <c r="O14" s="320"/>
      <c r="P14" s="228">
        <f t="shared" si="0"/>
        <v>130003</v>
      </c>
      <c r="Q14" s="229" t="str">
        <f>VLOOKUP(F14,'HR Rep'!A:AC,29,FALSE)</f>
        <v>000011</v>
      </c>
      <c r="R14" s="226" t="str">
        <f>VLOOKUP(F14,'HR Rep'!A:AC,23,FALSE)</f>
        <v>000003</v>
      </c>
      <c r="S14" s="230" t="str">
        <f>VLOOKUP(F14,'HR Rep'!A:AC,24,FALSE)</f>
        <v>000002</v>
      </c>
    </row>
    <row r="15" spans="1:19" s="171" customFormat="1" ht="20.399999999999999" customHeight="1" x14ac:dyDescent="0.3">
      <c r="A15" s="313" t="s">
        <v>3</v>
      </c>
      <c r="B15" s="314">
        <v>2026</v>
      </c>
      <c r="C15" s="312" t="s">
        <v>223</v>
      </c>
      <c r="D15" s="315" t="s">
        <v>207</v>
      </c>
      <c r="E15" s="316">
        <v>140000</v>
      </c>
      <c r="F15" s="310" t="s">
        <v>312</v>
      </c>
      <c r="G15" s="309"/>
      <c r="H15" s="310"/>
      <c r="I15" s="311"/>
      <c r="J15" s="306"/>
      <c r="K15" s="311"/>
      <c r="L15" s="306"/>
      <c r="M15" s="306"/>
      <c r="N15" s="307"/>
      <c r="O15" s="320"/>
      <c r="P15" s="228">
        <f t="shared" ref="P15" si="1">E15</f>
        <v>140000</v>
      </c>
      <c r="Q15" s="229" t="e">
        <f>VLOOKUP(TEXT(F15,"0"),'HR Rep'!A:AC,29,FALSE)</f>
        <v>#N/A</v>
      </c>
      <c r="R15" s="226" t="str">
        <f>VLOOKUP(F15,'HR Rep'!A:AC,23,FALSE)</f>
        <v>000003</v>
      </c>
      <c r="S15" s="230" t="e">
        <f>VLOOKUP(TEXT(F15,"0"),'HR Rep'!A:AC,24,FALSE)</f>
        <v>#N/A</v>
      </c>
    </row>
    <row r="16" spans="1:19" s="171" customFormat="1" ht="20.399999999999999" customHeight="1" x14ac:dyDescent="0.3">
      <c r="A16" s="304" t="s">
        <v>3</v>
      </c>
      <c r="B16" s="317">
        <v>2026</v>
      </c>
      <c r="C16" s="313" t="s">
        <v>223</v>
      </c>
      <c r="D16" s="318" t="s">
        <v>207</v>
      </c>
      <c r="E16" s="319">
        <v>140001</v>
      </c>
      <c r="F16" s="310" t="s">
        <v>313</v>
      </c>
      <c r="G16" s="309"/>
      <c r="H16" s="310"/>
      <c r="I16" s="311"/>
      <c r="J16" s="306"/>
      <c r="K16" s="311"/>
      <c r="L16" s="306"/>
      <c r="M16" s="306"/>
      <c r="N16" s="307"/>
      <c r="O16" s="320"/>
      <c r="P16" s="228">
        <f t="shared" si="0"/>
        <v>140001</v>
      </c>
      <c r="Q16" s="229" t="str">
        <f>VLOOKUP(F16,'HR Rep'!A:AC,29,FALSE)</f>
        <v>000015</v>
      </c>
      <c r="R16" s="226" t="str">
        <f>VLOOKUP(F16,'HR Rep'!A:AC,23,FALSE)</f>
        <v>000003</v>
      </c>
      <c r="S16" s="230" t="str">
        <f>VLOOKUP(F16,'HR Rep'!A:AC,24,FALSE)</f>
        <v>000002</v>
      </c>
    </row>
    <row r="17" spans="1:19" s="171" customFormat="1" ht="20.399999999999999" customHeight="1" x14ac:dyDescent="0.3">
      <c r="A17" s="304" t="s">
        <v>3</v>
      </c>
      <c r="B17" s="317">
        <v>2026</v>
      </c>
      <c r="C17" s="304" t="s">
        <v>223</v>
      </c>
      <c r="D17" s="322" t="s">
        <v>207</v>
      </c>
      <c r="E17" s="319">
        <v>140002</v>
      </c>
      <c r="F17" s="310" t="s">
        <v>314</v>
      </c>
      <c r="G17" s="309"/>
      <c r="H17" s="349"/>
      <c r="I17" s="309"/>
      <c r="J17" s="306"/>
      <c r="K17" s="311"/>
      <c r="L17" s="306"/>
      <c r="M17" s="306"/>
      <c r="N17" s="307"/>
      <c r="O17" s="320"/>
      <c r="P17" s="228">
        <f t="shared" si="0"/>
        <v>140002</v>
      </c>
      <c r="Q17" s="229" t="str">
        <f>VLOOKUP(F17,'HR Rep'!A:AC,29,FALSE)</f>
        <v>000015</v>
      </c>
      <c r="R17" s="226" t="str">
        <f>VLOOKUP(F17,'HR Rep'!A:AC,23,FALSE)</f>
        <v>000003</v>
      </c>
      <c r="S17" s="230" t="str">
        <f>VLOOKUP(F17,'HR Rep'!A:AC,24,FALSE)</f>
        <v>000002</v>
      </c>
    </row>
    <row r="18" spans="1:19" s="171" customFormat="1" ht="20.399999999999999" customHeight="1" x14ac:dyDescent="0.3">
      <c r="A18" s="304" t="s">
        <v>3</v>
      </c>
      <c r="B18" s="317">
        <v>2026</v>
      </c>
      <c r="C18" s="304" t="s">
        <v>223</v>
      </c>
      <c r="D18" s="315" t="s">
        <v>207</v>
      </c>
      <c r="E18" s="319">
        <v>140003</v>
      </c>
      <c r="F18" s="310" t="s">
        <v>315</v>
      </c>
      <c r="G18" s="309"/>
      <c r="H18" s="349"/>
      <c r="I18" s="309"/>
      <c r="J18" s="306"/>
      <c r="K18" s="311"/>
      <c r="L18" s="306"/>
      <c r="M18" s="306"/>
      <c r="N18" s="307"/>
      <c r="O18" s="320"/>
      <c r="P18" s="228">
        <f t="shared" si="0"/>
        <v>140003</v>
      </c>
      <c r="Q18" s="229" t="str">
        <f>VLOOKUP(F18,'HR Rep'!A:AC,29,FALSE)</f>
        <v>000015</v>
      </c>
      <c r="R18" s="226" t="str">
        <f>VLOOKUP(F18,'HR Rep'!A:AC,23,FALSE)</f>
        <v>000003</v>
      </c>
      <c r="S18" s="230" t="str">
        <f>VLOOKUP(F18,'HR Rep'!A:AC,24,FALSE)</f>
        <v>000002</v>
      </c>
    </row>
    <row r="19" spans="1:19" s="171" customFormat="1" ht="20.399999999999999" customHeight="1" x14ac:dyDescent="0.3">
      <c r="A19" s="304" t="s">
        <v>3</v>
      </c>
      <c r="B19" s="317">
        <v>2026</v>
      </c>
      <c r="C19" s="304" t="s">
        <v>223</v>
      </c>
      <c r="D19" s="322" t="s">
        <v>205</v>
      </c>
      <c r="E19" s="319">
        <v>150000</v>
      </c>
      <c r="F19" s="310" t="s">
        <v>316</v>
      </c>
      <c r="G19" s="309"/>
      <c r="H19" s="310"/>
      <c r="I19" s="309"/>
      <c r="J19" s="306"/>
      <c r="K19" s="311"/>
      <c r="L19" s="306"/>
      <c r="M19" s="306"/>
      <c r="N19" s="333"/>
      <c r="O19" s="320"/>
      <c r="P19" s="228">
        <f t="shared" si="0"/>
        <v>150000</v>
      </c>
      <c r="Q19" s="229" t="str">
        <f>VLOOKUP(F19,'HR Rep'!A:AC,29,FALSE)</f>
        <v>000003</v>
      </c>
      <c r="R19" s="226" t="str">
        <f>VLOOKUP(F19,'HR Rep'!A:AC,23,FALSE)</f>
        <v>000003</v>
      </c>
      <c r="S19" s="230" t="str">
        <f>VLOOKUP(F19,'HR Rep'!A:AC,24,FALSE)</f>
        <v>000002</v>
      </c>
    </row>
    <row r="20" spans="1:19" s="171" customFormat="1" ht="20.399999999999999" customHeight="1" x14ac:dyDescent="0.3">
      <c r="A20" s="304" t="s">
        <v>3</v>
      </c>
      <c r="B20" s="317">
        <v>2026</v>
      </c>
      <c r="C20" s="304" t="s">
        <v>223</v>
      </c>
      <c r="D20" s="315" t="s">
        <v>205</v>
      </c>
      <c r="E20" s="319">
        <v>150001</v>
      </c>
      <c r="F20" s="310" t="s">
        <v>317</v>
      </c>
      <c r="G20" s="309"/>
      <c r="H20" s="310"/>
      <c r="I20" s="311"/>
      <c r="J20" s="306"/>
      <c r="K20" s="311"/>
      <c r="L20" s="306"/>
      <c r="M20" s="306"/>
      <c r="N20" s="307"/>
      <c r="O20" s="320"/>
      <c r="P20" s="228">
        <f t="shared" si="0"/>
        <v>150001</v>
      </c>
      <c r="Q20" s="229" t="str">
        <f>VLOOKUP(F20,'HR Rep'!A:AC,29,FALSE)</f>
        <v>000019</v>
      </c>
      <c r="R20" s="226" t="str">
        <f>VLOOKUP(F20,'HR Rep'!A:AC,23,FALSE)</f>
        <v>000003</v>
      </c>
      <c r="S20" s="230" t="str">
        <f>VLOOKUP(F20,'HR Rep'!A:AC,24,FALSE)</f>
        <v>000002</v>
      </c>
    </row>
    <row r="21" spans="1:19" s="171" customFormat="1" ht="20.399999999999999" customHeight="1" x14ac:dyDescent="0.3">
      <c r="A21" s="304" t="s">
        <v>3</v>
      </c>
      <c r="B21" s="305">
        <v>2026</v>
      </c>
      <c r="C21" s="331" t="s">
        <v>223</v>
      </c>
      <c r="D21" s="323" t="s">
        <v>79</v>
      </c>
      <c r="E21" s="330">
        <v>160000</v>
      </c>
      <c r="F21" s="310" t="s">
        <v>318</v>
      </c>
      <c r="G21" s="309"/>
      <c r="H21" s="310"/>
      <c r="I21" s="309"/>
      <c r="J21" s="325"/>
      <c r="K21" s="311"/>
      <c r="L21" s="325"/>
      <c r="M21" s="325"/>
      <c r="N21" s="307"/>
      <c r="O21" s="327"/>
      <c r="P21" s="228">
        <f t="shared" si="0"/>
        <v>160000</v>
      </c>
      <c r="Q21" s="229" t="str">
        <f>VLOOKUP(F21,'HR Rep'!A:AC,29,FALSE)</f>
        <v>000003</v>
      </c>
      <c r="R21" s="226" t="str">
        <f>VLOOKUP(F21,'HR Rep'!A:AC,23,FALSE)</f>
        <v>000003</v>
      </c>
      <c r="S21" s="230" t="str">
        <f>VLOOKUP(F21,'HR Rep'!A:AC,24,FALSE)</f>
        <v>000002</v>
      </c>
    </row>
    <row r="22" spans="1:19" s="171" customFormat="1" ht="20.399999999999999" customHeight="1" x14ac:dyDescent="0.3">
      <c r="A22" s="304" t="s">
        <v>3</v>
      </c>
      <c r="B22" s="305">
        <v>2026</v>
      </c>
      <c r="C22" s="331" t="s">
        <v>223</v>
      </c>
      <c r="D22" s="323" t="s">
        <v>79</v>
      </c>
      <c r="E22" s="331">
        <v>160001</v>
      </c>
      <c r="F22" s="310" t="s">
        <v>319</v>
      </c>
      <c r="G22" s="309"/>
      <c r="H22" s="310"/>
      <c r="I22" s="309"/>
      <c r="J22" s="325"/>
      <c r="K22" s="311"/>
      <c r="L22" s="325"/>
      <c r="M22" s="325"/>
      <c r="N22" s="307"/>
      <c r="O22" s="327"/>
      <c r="P22" s="228">
        <f t="shared" si="0"/>
        <v>160001</v>
      </c>
      <c r="Q22" s="229" t="str">
        <f>VLOOKUP(F22,'HR Rep'!A:AC,29,FALSE)</f>
        <v>000021</v>
      </c>
      <c r="R22" s="226" t="str">
        <f>VLOOKUP(F22,'HR Rep'!A:AC,23,FALSE)</f>
        <v>000003</v>
      </c>
      <c r="S22" s="230" t="str">
        <f>VLOOKUP(F22,'HR Rep'!A:AC,24,FALSE)</f>
        <v>000002</v>
      </c>
    </row>
    <row r="23" spans="1:19" s="171" customFormat="1" ht="20.399999999999999" customHeight="1" x14ac:dyDescent="0.3">
      <c r="A23" s="304" t="s">
        <v>3</v>
      </c>
      <c r="B23" s="305">
        <v>2026</v>
      </c>
      <c r="C23" s="331" t="s">
        <v>223</v>
      </c>
      <c r="D23" s="323" t="s">
        <v>79</v>
      </c>
      <c r="E23" s="331">
        <v>160002</v>
      </c>
      <c r="F23" s="310" t="s">
        <v>320</v>
      </c>
      <c r="G23" s="309"/>
      <c r="H23" s="310"/>
      <c r="I23" s="309"/>
      <c r="J23" s="325"/>
      <c r="K23" s="311"/>
      <c r="L23" s="325"/>
      <c r="M23" s="325"/>
      <c r="N23" s="307"/>
      <c r="O23" s="327"/>
      <c r="P23" s="228">
        <f t="shared" si="0"/>
        <v>160002</v>
      </c>
      <c r="Q23" s="229" t="str">
        <f>VLOOKUP(F23,'HR Rep'!A:AC,29,FALSE)</f>
        <v>000021</v>
      </c>
      <c r="R23" s="226" t="str">
        <f>VLOOKUP(F23,'HR Rep'!A:AC,23,FALSE)</f>
        <v>000003</v>
      </c>
      <c r="S23" s="230" t="str">
        <f>VLOOKUP(F23,'HR Rep'!A:AC,24,FALSE)</f>
        <v>000002</v>
      </c>
    </row>
  </sheetData>
  <conditionalFormatting sqref="O2:O23">
    <cfRule type="containsText" dxfId="1" priority="1" operator="containsText" text="ยังไม่ตรวจสอบ">
      <formula>NOT(ISERROR(SEARCH("ยังไม่ตรวจสอบ",O2)))</formula>
    </cfRule>
    <cfRule type="containsText" dxfId="0" priority="2" operator="containsText" text="ตรวจสอบแล้ว">
      <formula>NOT(ISERROR(SEARCH("ตรวจสอบแล้ว",O2)))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ACE5-C265-4A5D-9FCD-6BF129B02B01}">
  <sheetPr>
    <tabColor rgb="FF0070C0"/>
  </sheetPr>
  <dimension ref="A1:AC91"/>
  <sheetViews>
    <sheetView topLeftCell="A13" zoomScale="130" zoomScaleNormal="130" workbookViewId="0">
      <selection activeCell="N8" sqref="N8"/>
    </sheetView>
  </sheetViews>
  <sheetFormatPr defaultRowHeight="16.8" x14ac:dyDescent="0.4"/>
  <cols>
    <col min="1" max="1" width="11.59765625" bestFit="1" customWidth="1"/>
    <col min="2" max="8" width="2" customWidth="1"/>
    <col min="9" max="9" width="19.8984375" bestFit="1" customWidth="1"/>
    <col min="10" max="10" width="13.3984375" customWidth="1"/>
    <col min="11" max="11" width="15" customWidth="1"/>
    <col min="12" max="12" width="1.3984375" customWidth="1"/>
    <col min="13" max="13" width="15.8984375" customWidth="1"/>
    <col min="14" max="14" width="15.5" bestFit="1" customWidth="1"/>
    <col min="15" max="15" width="1.3984375" customWidth="1"/>
    <col min="16" max="17" width="1.5" customWidth="1"/>
    <col min="18" max="19" width="1.59765625" customWidth="1"/>
    <col min="20" max="20" width="1.3984375" customWidth="1"/>
    <col min="21" max="21" width="2" customWidth="1"/>
    <col min="22" max="22" width="1.69921875" customWidth="1"/>
    <col min="23" max="23" width="24.09765625" bestFit="1" customWidth="1"/>
    <col min="24" max="24" width="14.59765625" bestFit="1" customWidth="1"/>
    <col min="25" max="25" width="2.19921875" customWidth="1"/>
    <col min="26" max="26" width="1.8984375" customWidth="1"/>
    <col min="27" max="27" width="25.3984375" style="189" bestFit="1" customWidth="1"/>
    <col min="28" max="28" width="8.5" style="189" bestFit="1" customWidth="1"/>
    <col min="29" max="29" width="9.3984375" style="189" bestFit="1" customWidth="1"/>
  </cols>
  <sheetData>
    <row r="1" spans="1:29" x14ac:dyDescent="0.4">
      <c r="A1" s="184" t="s">
        <v>191</v>
      </c>
      <c r="B1" s="184" t="s">
        <v>192</v>
      </c>
      <c r="C1" s="184" t="s">
        <v>193</v>
      </c>
      <c r="D1" s="184" t="s">
        <v>194</v>
      </c>
      <c r="E1" s="184" t="s">
        <v>195</v>
      </c>
      <c r="F1" s="184" t="s">
        <v>267</v>
      </c>
      <c r="G1" s="184" t="s">
        <v>268</v>
      </c>
      <c r="H1" s="184" t="s">
        <v>269</v>
      </c>
      <c r="I1" s="184" t="s">
        <v>196</v>
      </c>
      <c r="J1" s="184" t="s">
        <v>197</v>
      </c>
      <c r="K1" s="184" t="s">
        <v>198</v>
      </c>
      <c r="L1" s="184" t="s">
        <v>199</v>
      </c>
      <c r="M1" s="184" t="s">
        <v>200</v>
      </c>
      <c r="N1" s="184" t="s">
        <v>201</v>
      </c>
      <c r="O1" s="184" t="s">
        <v>403</v>
      </c>
      <c r="P1" s="184" t="s">
        <v>404</v>
      </c>
      <c r="Q1" s="184" t="s">
        <v>202</v>
      </c>
      <c r="R1" s="184" t="s">
        <v>270</v>
      </c>
      <c r="S1" s="184" t="s">
        <v>271</v>
      </c>
      <c r="T1" s="184" t="s">
        <v>272</v>
      </c>
      <c r="U1" s="184" t="s">
        <v>273</v>
      </c>
      <c r="V1" s="184" t="s">
        <v>274</v>
      </c>
      <c r="W1" s="184" t="s">
        <v>275</v>
      </c>
      <c r="X1" s="184" t="s">
        <v>276</v>
      </c>
      <c r="Y1" s="184" t="s">
        <v>277</v>
      </c>
      <c r="Z1" s="184" t="s">
        <v>278</v>
      </c>
      <c r="AA1" s="185" t="s">
        <v>228</v>
      </c>
      <c r="AB1" s="185" t="s">
        <v>229</v>
      </c>
      <c r="AC1" s="185" t="s">
        <v>230</v>
      </c>
    </row>
    <row r="2" spans="1:29" x14ac:dyDescent="0.4">
      <c r="A2" s="354" t="s">
        <v>298</v>
      </c>
      <c r="B2" s="186"/>
      <c r="C2" s="186"/>
      <c r="D2" s="187"/>
      <c r="E2" s="186"/>
      <c r="F2" s="187"/>
      <c r="G2" s="186"/>
      <c r="H2" s="186"/>
      <c r="I2" s="188"/>
      <c r="J2" s="188"/>
      <c r="K2" s="188"/>
      <c r="L2" s="186"/>
      <c r="M2" s="186"/>
      <c r="N2" s="186" t="s">
        <v>209</v>
      </c>
      <c r="O2" s="186"/>
      <c r="P2" s="188"/>
      <c r="Q2" s="186"/>
      <c r="R2" s="186"/>
      <c r="S2" s="186"/>
      <c r="T2" s="186"/>
      <c r="U2" s="187"/>
      <c r="V2" s="186"/>
      <c r="W2" s="188"/>
      <c r="X2" s="356" t="s">
        <v>299</v>
      </c>
      <c r="Y2" s="186"/>
      <c r="Z2" s="186"/>
      <c r="AB2" s="189" t="s">
        <v>298</v>
      </c>
      <c r="AC2" s="189" t="e">
        <v>#N/A</v>
      </c>
    </row>
    <row r="3" spans="1:29" x14ac:dyDescent="0.4">
      <c r="A3" s="355" t="s">
        <v>371</v>
      </c>
      <c r="B3" s="190"/>
      <c r="C3" s="190"/>
      <c r="D3" s="191"/>
      <c r="E3" s="190"/>
      <c r="F3" s="191"/>
      <c r="G3" s="190"/>
      <c r="H3" s="190"/>
      <c r="I3" s="190" t="s">
        <v>297</v>
      </c>
      <c r="J3" s="190" t="s">
        <v>183</v>
      </c>
      <c r="K3" s="190" t="s">
        <v>205</v>
      </c>
      <c r="L3" s="190"/>
      <c r="M3" s="190"/>
      <c r="N3" s="190" t="s">
        <v>206</v>
      </c>
      <c r="O3" s="190"/>
      <c r="P3" s="190"/>
      <c r="Q3" s="190"/>
      <c r="R3" s="190"/>
      <c r="S3" s="190"/>
      <c r="T3" s="190"/>
      <c r="U3" s="191"/>
      <c r="V3" s="190"/>
      <c r="W3" s="355" t="s">
        <v>300</v>
      </c>
      <c r="X3" s="357" t="s">
        <v>299</v>
      </c>
      <c r="Y3" s="190"/>
      <c r="Z3" s="190"/>
      <c r="AB3" s="377" t="s">
        <v>371</v>
      </c>
      <c r="AC3" s="377" t="s">
        <v>316</v>
      </c>
    </row>
    <row r="4" spans="1:29" x14ac:dyDescent="0.4">
      <c r="A4" s="354" t="s">
        <v>372</v>
      </c>
      <c r="B4" s="186"/>
      <c r="C4" s="186"/>
      <c r="D4" s="187"/>
      <c r="E4" s="186"/>
      <c r="F4" s="187"/>
      <c r="G4" s="186"/>
      <c r="H4" s="186"/>
      <c r="I4" s="186" t="s">
        <v>297</v>
      </c>
      <c r="J4" s="186" t="s">
        <v>183</v>
      </c>
      <c r="K4" s="186" t="s">
        <v>207</v>
      </c>
      <c r="L4" s="186"/>
      <c r="M4" s="186"/>
      <c r="N4" s="186" t="s">
        <v>206</v>
      </c>
      <c r="O4" s="186"/>
      <c r="P4" s="186"/>
      <c r="Q4" s="186"/>
      <c r="R4" s="186"/>
      <c r="S4" s="186"/>
      <c r="T4" s="186"/>
      <c r="U4" s="187"/>
      <c r="V4" s="186"/>
      <c r="W4" s="354" t="s">
        <v>300</v>
      </c>
      <c r="X4" s="356" t="s">
        <v>299</v>
      </c>
      <c r="Y4" s="186"/>
      <c r="Z4" s="186"/>
      <c r="AB4" s="189" t="s">
        <v>372</v>
      </c>
      <c r="AC4" s="189" t="s">
        <v>312</v>
      </c>
    </row>
    <row r="5" spans="1:29" x14ac:dyDescent="0.4">
      <c r="A5" s="354" t="s">
        <v>305</v>
      </c>
      <c r="B5" s="186"/>
      <c r="C5" s="186"/>
      <c r="D5" s="187"/>
      <c r="E5" s="186"/>
      <c r="F5" s="187"/>
      <c r="G5" s="186"/>
      <c r="H5" s="186"/>
      <c r="I5" s="186" t="s">
        <v>297</v>
      </c>
      <c r="J5" s="186" t="s">
        <v>183</v>
      </c>
      <c r="K5" s="186" t="s">
        <v>80</v>
      </c>
      <c r="L5" s="186"/>
      <c r="M5" s="186"/>
      <c r="N5" s="186" t="s">
        <v>203</v>
      </c>
      <c r="O5" s="186"/>
      <c r="P5" s="188"/>
      <c r="Q5" s="186"/>
      <c r="R5" s="186"/>
      <c r="S5" s="186"/>
      <c r="T5" s="186"/>
      <c r="U5" s="187"/>
      <c r="V5" s="186"/>
      <c r="W5" s="355" t="s">
        <v>300</v>
      </c>
      <c r="X5" s="357" t="s">
        <v>299</v>
      </c>
      <c r="Y5" s="186"/>
      <c r="Z5" s="186"/>
      <c r="AB5" s="189" t="s">
        <v>305</v>
      </c>
      <c r="AC5" s="189" t="s">
        <v>300</v>
      </c>
    </row>
    <row r="6" spans="1:29" x14ac:dyDescent="0.4">
      <c r="A6" s="354" t="s">
        <v>317</v>
      </c>
      <c r="B6" s="186"/>
      <c r="C6" s="186"/>
      <c r="D6" s="187"/>
      <c r="E6" s="186"/>
      <c r="F6" s="187"/>
      <c r="G6" s="186"/>
      <c r="H6" s="186"/>
      <c r="I6" s="186" t="s">
        <v>297</v>
      </c>
      <c r="J6" s="186" t="s">
        <v>183</v>
      </c>
      <c r="K6" s="186" t="s">
        <v>205</v>
      </c>
      <c r="L6" s="186"/>
      <c r="M6" s="186"/>
      <c r="N6" s="186" t="s">
        <v>185</v>
      </c>
      <c r="O6" s="186"/>
      <c r="P6" s="188"/>
      <c r="Q6" s="186"/>
      <c r="R6" s="186"/>
      <c r="S6" s="186"/>
      <c r="T6" s="186"/>
      <c r="U6" s="187"/>
      <c r="V6" s="186"/>
      <c r="W6" s="354" t="s">
        <v>300</v>
      </c>
      <c r="X6" s="356" t="s">
        <v>299</v>
      </c>
      <c r="Y6" s="186"/>
      <c r="Z6" s="186"/>
      <c r="AB6" s="189" t="s">
        <v>317</v>
      </c>
      <c r="AC6" s="189" t="s">
        <v>316</v>
      </c>
    </row>
    <row r="7" spans="1:29" x14ac:dyDescent="0.4">
      <c r="A7" s="355" t="s">
        <v>373</v>
      </c>
      <c r="B7" s="190"/>
      <c r="C7" s="190"/>
      <c r="D7" s="191"/>
      <c r="E7" s="190"/>
      <c r="F7" s="191"/>
      <c r="G7" s="190"/>
      <c r="H7" s="190"/>
      <c r="I7" s="190" t="s">
        <v>297</v>
      </c>
      <c r="J7" s="190" t="s">
        <v>183</v>
      </c>
      <c r="K7" s="190" t="s">
        <v>82</v>
      </c>
      <c r="L7" s="190"/>
      <c r="M7" s="190"/>
      <c r="N7" s="190" t="s">
        <v>206</v>
      </c>
      <c r="O7" s="190"/>
      <c r="P7" s="190"/>
      <c r="Q7" s="190"/>
      <c r="R7" s="190"/>
      <c r="S7" s="190"/>
      <c r="T7" s="190"/>
      <c r="U7" s="191"/>
      <c r="V7" s="190"/>
      <c r="W7" s="355" t="s">
        <v>300</v>
      </c>
      <c r="X7" s="357" t="s">
        <v>299</v>
      </c>
      <c r="Y7" s="190"/>
      <c r="Z7" s="190"/>
      <c r="AB7" s="189" t="s">
        <v>373</v>
      </c>
      <c r="AC7" s="189" t="s">
        <v>301</v>
      </c>
    </row>
    <row r="8" spans="1:29" x14ac:dyDescent="0.4">
      <c r="A8" s="354" t="s">
        <v>374</v>
      </c>
      <c r="B8" s="186"/>
      <c r="C8" s="186"/>
      <c r="D8" s="187"/>
      <c r="E8" s="186"/>
      <c r="F8" s="187"/>
      <c r="G8" s="186"/>
      <c r="H8" s="186"/>
      <c r="I8" s="186" t="s">
        <v>297</v>
      </c>
      <c r="J8" s="186" t="s">
        <v>183</v>
      </c>
      <c r="K8" s="186" t="s">
        <v>82</v>
      </c>
      <c r="L8" s="186"/>
      <c r="M8" s="186"/>
      <c r="N8" s="186" t="s">
        <v>206</v>
      </c>
      <c r="O8" s="186"/>
      <c r="P8" s="186"/>
      <c r="Q8" s="186"/>
      <c r="R8" s="186"/>
      <c r="S8" s="186"/>
      <c r="T8" s="186"/>
      <c r="U8" s="187"/>
      <c r="V8" s="186"/>
      <c r="W8" s="354" t="s">
        <v>300</v>
      </c>
      <c r="X8" s="356" t="s">
        <v>299</v>
      </c>
      <c r="Y8" s="186"/>
      <c r="Z8" s="186"/>
      <c r="AB8" s="189" t="s">
        <v>374</v>
      </c>
      <c r="AC8" s="189" t="s">
        <v>301</v>
      </c>
    </row>
    <row r="9" spans="1:29" x14ac:dyDescent="0.4">
      <c r="A9" s="354" t="s">
        <v>375</v>
      </c>
      <c r="B9" s="186"/>
      <c r="C9" s="186"/>
      <c r="D9" s="187"/>
      <c r="E9" s="186"/>
      <c r="F9" s="187"/>
      <c r="G9" s="186"/>
      <c r="H9" s="186"/>
      <c r="I9" s="186" t="s">
        <v>297</v>
      </c>
      <c r="J9" s="186" t="s">
        <v>183</v>
      </c>
      <c r="K9" s="186" t="s">
        <v>79</v>
      </c>
      <c r="L9" s="186"/>
      <c r="M9" s="186"/>
      <c r="N9" s="186" t="s">
        <v>206</v>
      </c>
      <c r="O9" s="186"/>
      <c r="P9" s="186"/>
      <c r="Q9" s="186"/>
      <c r="R9" s="186"/>
      <c r="S9" s="186"/>
      <c r="T9" s="186"/>
      <c r="U9" s="187"/>
      <c r="V9" s="186"/>
      <c r="W9" s="355" t="s">
        <v>300</v>
      </c>
      <c r="X9" s="357" t="s">
        <v>299</v>
      </c>
      <c r="Y9" s="186"/>
      <c r="Z9" s="186"/>
      <c r="AB9" s="189" t="s">
        <v>375</v>
      </c>
      <c r="AC9" s="189" t="s">
        <v>318</v>
      </c>
    </row>
    <row r="10" spans="1:29" x14ac:dyDescent="0.4">
      <c r="A10" s="354" t="s">
        <v>376</v>
      </c>
      <c r="B10" s="186"/>
      <c r="C10" s="186"/>
      <c r="D10" s="187"/>
      <c r="E10" s="186"/>
      <c r="F10" s="187"/>
      <c r="G10" s="186"/>
      <c r="H10" s="186"/>
      <c r="I10" s="186" t="s">
        <v>297</v>
      </c>
      <c r="J10" s="186" t="s">
        <v>183</v>
      </c>
      <c r="K10" s="186" t="s">
        <v>79</v>
      </c>
      <c r="L10" s="186"/>
      <c r="M10" s="186"/>
      <c r="N10" s="186" t="s">
        <v>206</v>
      </c>
      <c r="O10" s="186"/>
      <c r="P10" s="186"/>
      <c r="Q10" s="186"/>
      <c r="R10" s="186"/>
      <c r="S10" s="186"/>
      <c r="T10" s="186"/>
      <c r="U10" s="187"/>
      <c r="V10" s="186"/>
      <c r="W10" s="354" t="s">
        <v>300</v>
      </c>
      <c r="X10" s="356" t="s">
        <v>299</v>
      </c>
      <c r="Y10" s="186"/>
      <c r="Z10" s="186"/>
      <c r="AB10" s="189" t="s">
        <v>376</v>
      </c>
      <c r="AC10" s="189" t="s">
        <v>318</v>
      </c>
    </row>
    <row r="11" spans="1:29" x14ac:dyDescent="0.4">
      <c r="A11" s="355" t="s">
        <v>302</v>
      </c>
      <c r="B11" s="190"/>
      <c r="C11" s="190"/>
      <c r="D11" s="191"/>
      <c r="E11" s="190"/>
      <c r="F11" s="191"/>
      <c r="G11" s="190"/>
      <c r="H11" s="190"/>
      <c r="I11" s="190" t="s">
        <v>297</v>
      </c>
      <c r="J11" s="190" t="s">
        <v>183</v>
      </c>
      <c r="K11" s="190" t="s">
        <v>82</v>
      </c>
      <c r="L11" s="190"/>
      <c r="M11" s="190"/>
      <c r="N11" s="190" t="s">
        <v>185</v>
      </c>
      <c r="O11" s="190"/>
      <c r="P11" s="192"/>
      <c r="Q11" s="190"/>
      <c r="R11" s="190"/>
      <c r="S11" s="190"/>
      <c r="T11" s="190"/>
      <c r="U11" s="191"/>
      <c r="V11" s="190"/>
      <c r="W11" s="355" t="s">
        <v>300</v>
      </c>
      <c r="X11" s="357" t="s">
        <v>299</v>
      </c>
      <c r="Y11" s="190"/>
      <c r="Z11" s="190"/>
      <c r="AB11" s="189" t="s">
        <v>302</v>
      </c>
      <c r="AC11" s="189" t="s">
        <v>301</v>
      </c>
    </row>
    <row r="12" spans="1:29" x14ac:dyDescent="0.4">
      <c r="A12" s="354" t="s">
        <v>299</v>
      </c>
      <c r="B12" s="186"/>
      <c r="C12" s="186"/>
      <c r="D12" s="187"/>
      <c r="E12" s="186"/>
      <c r="F12" s="187"/>
      <c r="G12" s="186"/>
      <c r="H12" s="186"/>
      <c r="I12" s="186" t="s">
        <v>297</v>
      </c>
      <c r="J12" s="188"/>
      <c r="K12" s="188"/>
      <c r="L12" s="186"/>
      <c r="M12" s="186"/>
      <c r="N12" s="186" t="s">
        <v>208</v>
      </c>
      <c r="O12" s="186"/>
      <c r="P12" s="188"/>
      <c r="Q12" s="186"/>
      <c r="R12" s="186"/>
      <c r="S12" s="186"/>
      <c r="T12" s="186"/>
      <c r="U12" s="187"/>
      <c r="V12" s="186"/>
      <c r="W12" s="354"/>
      <c r="X12" s="356"/>
      <c r="Y12" s="186"/>
      <c r="Z12" s="186"/>
      <c r="AB12" s="189" t="s">
        <v>299</v>
      </c>
      <c r="AC12" s="189" t="s">
        <v>298</v>
      </c>
    </row>
    <row r="13" spans="1:29" x14ac:dyDescent="0.4">
      <c r="A13" s="354" t="s">
        <v>377</v>
      </c>
      <c r="B13" s="186"/>
      <c r="C13" s="186"/>
      <c r="D13" s="187"/>
      <c r="E13" s="186"/>
      <c r="F13" s="187"/>
      <c r="G13" s="186"/>
      <c r="H13" s="186"/>
      <c r="I13" s="186" t="s">
        <v>297</v>
      </c>
      <c r="J13" s="186" t="s">
        <v>183</v>
      </c>
      <c r="K13" s="186" t="s">
        <v>184</v>
      </c>
      <c r="L13" s="186"/>
      <c r="M13" s="186"/>
      <c r="N13" s="186" t="s">
        <v>206</v>
      </c>
      <c r="O13" s="186"/>
      <c r="P13" s="186"/>
      <c r="Q13" s="186"/>
      <c r="R13" s="186"/>
      <c r="S13" s="186"/>
      <c r="T13" s="186"/>
      <c r="U13" s="187"/>
      <c r="V13" s="186"/>
      <c r="W13" s="355" t="s">
        <v>300</v>
      </c>
      <c r="X13" s="357" t="s">
        <v>299</v>
      </c>
      <c r="Y13" s="186"/>
      <c r="Z13" s="186"/>
      <c r="AB13" s="189" t="s">
        <v>377</v>
      </c>
      <c r="AC13" s="189" t="s">
        <v>308</v>
      </c>
    </row>
    <row r="14" spans="1:29" x14ac:dyDescent="0.4">
      <c r="A14" s="355" t="s">
        <v>378</v>
      </c>
      <c r="B14" s="190"/>
      <c r="C14" s="190"/>
      <c r="D14" s="191"/>
      <c r="E14" s="190"/>
      <c r="F14" s="191"/>
      <c r="G14" s="190"/>
      <c r="H14" s="190"/>
      <c r="I14" s="190" t="s">
        <v>297</v>
      </c>
      <c r="J14" s="190" t="s">
        <v>183</v>
      </c>
      <c r="K14" s="190" t="s">
        <v>80</v>
      </c>
      <c r="L14" s="190"/>
      <c r="M14" s="190"/>
      <c r="N14" s="190" t="s">
        <v>206</v>
      </c>
      <c r="O14" s="190"/>
      <c r="P14" s="190"/>
      <c r="Q14" s="190"/>
      <c r="R14" s="190"/>
      <c r="S14" s="190"/>
      <c r="T14" s="190"/>
      <c r="U14" s="191"/>
      <c r="V14" s="190"/>
      <c r="W14" s="354" t="s">
        <v>300</v>
      </c>
      <c r="X14" s="356" t="s">
        <v>299</v>
      </c>
      <c r="Y14" s="190"/>
      <c r="Z14" s="190"/>
      <c r="AB14" s="189" t="s">
        <v>378</v>
      </c>
      <c r="AC14" s="189" t="s">
        <v>305</v>
      </c>
    </row>
    <row r="15" spans="1:29" x14ac:dyDescent="0.4">
      <c r="A15" s="354" t="s">
        <v>318</v>
      </c>
      <c r="B15" s="186"/>
      <c r="C15" s="186"/>
      <c r="D15" s="187"/>
      <c r="E15" s="186"/>
      <c r="F15" s="187"/>
      <c r="G15" s="186"/>
      <c r="H15" s="186"/>
      <c r="I15" s="186" t="s">
        <v>297</v>
      </c>
      <c r="J15" s="186" t="s">
        <v>183</v>
      </c>
      <c r="K15" s="186" t="s">
        <v>79</v>
      </c>
      <c r="L15" s="186"/>
      <c r="M15" s="186"/>
      <c r="N15" s="186" t="s">
        <v>203</v>
      </c>
      <c r="O15" s="186"/>
      <c r="P15" s="188"/>
      <c r="Q15" s="186"/>
      <c r="R15" s="186"/>
      <c r="S15" s="186"/>
      <c r="T15" s="186"/>
      <c r="U15" s="187"/>
      <c r="V15" s="186"/>
      <c r="W15" s="355" t="s">
        <v>300</v>
      </c>
      <c r="X15" s="357" t="s">
        <v>299</v>
      </c>
      <c r="Y15" s="186"/>
      <c r="Z15" s="186"/>
      <c r="AB15" s="189" t="s">
        <v>318</v>
      </c>
      <c r="AC15" s="189" t="s">
        <v>300</v>
      </c>
    </row>
    <row r="16" spans="1:29" x14ac:dyDescent="0.4">
      <c r="A16" s="355" t="s">
        <v>379</v>
      </c>
      <c r="B16" s="190"/>
      <c r="C16" s="190"/>
      <c r="D16" s="191"/>
      <c r="E16" s="190"/>
      <c r="F16" s="191"/>
      <c r="G16" s="190"/>
      <c r="H16" s="190"/>
      <c r="I16" s="190" t="s">
        <v>297</v>
      </c>
      <c r="J16" s="190" t="s">
        <v>183</v>
      </c>
      <c r="K16" s="190" t="s">
        <v>79</v>
      </c>
      <c r="L16" s="190"/>
      <c r="M16" s="190"/>
      <c r="N16" s="190" t="s">
        <v>206</v>
      </c>
      <c r="O16" s="190"/>
      <c r="P16" s="190"/>
      <c r="Q16" s="190"/>
      <c r="R16" s="190"/>
      <c r="S16" s="190"/>
      <c r="T16" s="190"/>
      <c r="U16" s="191"/>
      <c r="V16" s="190"/>
      <c r="W16" s="354" t="s">
        <v>300</v>
      </c>
      <c r="X16" s="356" t="s">
        <v>299</v>
      </c>
      <c r="Y16" s="190"/>
      <c r="Z16" s="190"/>
      <c r="AB16" s="189" t="s">
        <v>379</v>
      </c>
      <c r="AC16" s="189" t="s">
        <v>318</v>
      </c>
    </row>
    <row r="17" spans="1:29" x14ac:dyDescent="0.4">
      <c r="A17" s="354" t="s">
        <v>380</v>
      </c>
      <c r="B17" s="186"/>
      <c r="C17" s="186"/>
      <c r="D17" s="187"/>
      <c r="E17" s="186"/>
      <c r="F17" s="187"/>
      <c r="G17" s="186"/>
      <c r="H17" s="186"/>
      <c r="I17" s="186" t="s">
        <v>297</v>
      </c>
      <c r="J17" s="186" t="s">
        <v>183</v>
      </c>
      <c r="K17" s="186" t="s">
        <v>184</v>
      </c>
      <c r="L17" s="186"/>
      <c r="M17" s="186"/>
      <c r="N17" s="186" t="s">
        <v>206</v>
      </c>
      <c r="O17" s="186"/>
      <c r="P17" s="186"/>
      <c r="Q17" s="186"/>
      <c r="R17" s="186"/>
      <c r="S17" s="186"/>
      <c r="T17" s="186"/>
      <c r="U17" s="187"/>
      <c r="V17" s="186"/>
      <c r="W17" s="355" t="s">
        <v>300</v>
      </c>
      <c r="X17" s="357" t="s">
        <v>299</v>
      </c>
      <c r="Y17" s="186"/>
      <c r="Z17" s="186"/>
      <c r="AB17" s="189" t="s">
        <v>380</v>
      </c>
      <c r="AC17" s="189" t="s">
        <v>308</v>
      </c>
    </row>
    <row r="18" spans="1:29" x14ac:dyDescent="0.4">
      <c r="A18" s="354" t="s">
        <v>308</v>
      </c>
      <c r="B18" s="186"/>
      <c r="C18" s="186"/>
      <c r="D18" s="187"/>
      <c r="E18" s="186"/>
      <c r="F18" s="187"/>
      <c r="G18" s="186"/>
      <c r="H18" s="186"/>
      <c r="I18" s="186" t="s">
        <v>297</v>
      </c>
      <c r="J18" s="186" t="s">
        <v>183</v>
      </c>
      <c r="K18" s="186" t="s">
        <v>184</v>
      </c>
      <c r="L18" s="186"/>
      <c r="M18" s="186"/>
      <c r="N18" s="186" t="s">
        <v>203</v>
      </c>
      <c r="O18" s="186"/>
      <c r="P18" s="188"/>
      <c r="Q18" s="186"/>
      <c r="R18" s="186"/>
      <c r="S18" s="186"/>
      <c r="T18" s="186"/>
      <c r="U18" s="187"/>
      <c r="V18" s="186"/>
      <c r="W18" s="354" t="s">
        <v>300</v>
      </c>
      <c r="X18" s="356" t="s">
        <v>299</v>
      </c>
      <c r="Y18" s="186"/>
      <c r="Z18" s="186"/>
      <c r="AB18" s="189" t="s">
        <v>308</v>
      </c>
      <c r="AC18" s="189" t="s">
        <v>300</v>
      </c>
    </row>
    <row r="19" spans="1:29" x14ac:dyDescent="0.4">
      <c r="A19" s="354" t="s">
        <v>310</v>
      </c>
      <c r="B19" s="186"/>
      <c r="C19" s="186"/>
      <c r="D19" s="187"/>
      <c r="E19" s="186"/>
      <c r="F19" s="187"/>
      <c r="G19" s="186"/>
      <c r="H19" s="186"/>
      <c r="I19" s="186" t="s">
        <v>297</v>
      </c>
      <c r="J19" s="186" t="s">
        <v>183</v>
      </c>
      <c r="K19" s="186" t="s">
        <v>184</v>
      </c>
      <c r="L19" s="186"/>
      <c r="M19" s="186"/>
      <c r="N19" s="186" t="s">
        <v>206</v>
      </c>
      <c r="O19" s="186"/>
      <c r="P19" s="186"/>
      <c r="Q19" s="186"/>
      <c r="R19" s="186"/>
      <c r="S19" s="186"/>
      <c r="T19" s="186"/>
      <c r="U19" s="187"/>
      <c r="V19" s="186"/>
      <c r="W19" s="355" t="s">
        <v>300</v>
      </c>
      <c r="X19" s="357" t="s">
        <v>299</v>
      </c>
      <c r="Y19" s="186"/>
      <c r="Z19" s="186"/>
      <c r="AB19" s="189" t="s">
        <v>310</v>
      </c>
      <c r="AC19" s="189" t="s">
        <v>308</v>
      </c>
    </row>
    <row r="20" spans="1:29" x14ac:dyDescent="0.4">
      <c r="A20" s="355" t="s">
        <v>381</v>
      </c>
      <c r="B20" s="190"/>
      <c r="C20" s="190"/>
      <c r="D20" s="191"/>
      <c r="E20" s="190"/>
      <c r="F20" s="191"/>
      <c r="G20" s="190"/>
      <c r="H20" s="190"/>
      <c r="I20" s="190" t="s">
        <v>297</v>
      </c>
      <c r="J20" s="190" t="s">
        <v>183</v>
      </c>
      <c r="K20" s="190" t="s">
        <v>79</v>
      </c>
      <c r="L20" s="190"/>
      <c r="M20" s="190"/>
      <c r="N20" s="190" t="s">
        <v>206</v>
      </c>
      <c r="O20" s="190"/>
      <c r="P20" s="190"/>
      <c r="Q20" s="190"/>
      <c r="R20" s="190"/>
      <c r="S20" s="190"/>
      <c r="T20" s="190"/>
      <c r="U20" s="191"/>
      <c r="V20" s="190"/>
      <c r="W20" s="354" t="s">
        <v>300</v>
      </c>
      <c r="X20" s="356" t="s">
        <v>299</v>
      </c>
      <c r="Y20" s="190"/>
      <c r="Z20" s="190"/>
      <c r="AB20" s="189" t="s">
        <v>381</v>
      </c>
      <c r="AC20" s="189" t="s">
        <v>318</v>
      </c>
    </row>
    <row r="21" spans="1:29" x14ac:dyDescent="0.4">
      <c r="A21" s="355" t="s">
        <v>311</v>
      </c>
      <c r="B21" s="190"/>
      <c r="C21" s="190"/>
      <c r="D21" s="191"/>
      <c r="E21" s="190"/>
      <c r="F21" s="191"/>
      <c r="G21" s="190"/>
      <c r="H21" s="190"/>
      <c r="I21" s="190" t="s">
        <v>297</v>
      </c>
      <c r="J21" s="190" t="s">
        <v>183</v>
      </c>
      <c r="K21" s="190" t="s">
        <v>184</v>
      </c>
      <c r="L21" s="190"/>
      <c r="M21" s="190"/>
      <c r="N21" s="190" t="s">
        <v>206</v>
      </c>
      <c r="O21" s="190"/>
      <c r="P21" s="190"/>
      <c r="Q21" s="190"/>
      <c r="R21" s="190"/>
      <c r="S21" s="190"/>
      <c r="T21" s="190"/>
      <c r="U21" s="191"/>
      <c r="V21" s="190"/>
      <c r="W21" s="355" t="s">
        <v>300</v>
      </c>
      <c r="X21" s="357" t="s">
        <v>299</v>
      </c>
      <c r="Y21" s="190"/>
      <c r="Z21" s="190"/>
      <c r="AB21" s="189" t="s">
        <v>311</v>
      </c>
      <c r="AC21" s="189" t="s">
        <v>308</v>
      </c>
    </row>
    <row r="22" spans="1:29" x14ac:dyDescent="0.4">
      <c r="A22" s="354" t="s">
        <v>314</v>
      </c>
      <c r="B22" s="186"/>
      <c r="C22" s="186"/>
      <c r="D22" s="187"/>
      <c r="E22" s="186"/>
      <c r="F22" s="187"/>
      <c r="G22" s="186"/>
      <c r="H22" s="186"/>
      <c r="I22" s="186" t="s">
        <v>297</v>
      </c>
      <c r="J22" s="186" t="s">
        <v>183</v>
      </c>
      <c r="K22" s="186" t="s">
        <v>207</v>
      </c>
      <c r="L22" s="186"/>
      <c r="M22" s="186"/>
      <c r="N22" s="186" t="s">
        <v>206</v>
      </c>
      <c r="O22" s="186"/>
      <c r="P22" s="186"/>
      <c r="Q22" s="186"/>
      <c r="R22" s="186"/>
      <c r="S22" s="186"/>
      <c r="T22" s="186"/>
      <c r="U22" s="187"/>
      <c r="V22" s="186"/>
      <c r="W22" s="354" t="s">
        <v>300</v>
      </c>
      <c r="X22" s="356" t="s">
        <v>299</v>
      </c>
      <c r="Y22" s="186"/>
      <c r="Z22" s="186"/>
      <c r="AB22" s="189" t="s">
        <v>314</v>
      </c>
      <c r="AC22" s="189" t="s">
        <v>312</v>
      </c>
    </row>
    <row r="23" spans="1:29" x14ac:dyDescent="0.4">
      <c r="A23" s="354" t="s">
        <v>306</v>
      </c>
      <c r="B23" s="186"/>
      <c r="C23" s="186"/>
      <c r="D23" s="187"/>
      <c r="E23" s="186"/>
      <c r="F23" s="187"/>
      <c r="G23" s="186"/>
      <c r="H23" s="186"/>
      <c r="I23" s="186" t="s">
        <v>297</v>
      </c>
      <c r="J23" s="186" t="s">
        <v>183</v>
      </c>
      <c r="K23" s="186" t="s">
        <v>80</v>
      </c>
      <c r="L23" s="186"/>
      <c r="M23" s="186"/>
      <c r="N23" s="186" t="s">
        <v>185</v>
      </c>
      <c r="O23" s="186"/>
      <c r="P23" s="188"/>
      <c r="Q23" s="186"/>
      <c r="R23" s="186"/>
      <c r="S23" s="186"/>
      <c r="T23" s="186"/>
      <c r="U23" s="187"/>
      <c r="V23" s="186"/>
      <c r="W23" s="355" t="s">
        <v>300</v>
      </c>
      <c r="X23" s="357" t="s">
        <v>299</v>
      </c>
      <c r="Y23" s="186"/>
      <c r="Z23" s="186"/>
      <c r="AB23" s="189" t="s">
        <v>306</v>
      </c>
      <c r="AC23" s="189" t="s">
        <v>305</v>
      </c>
    </row>
    <row r="24" spans="1:29" x14ac:dyDescent="0.4">
      <c r="A24" s="354" t="s">
        <v>382</v>
      </c>
      <c r="B24" s="186"/>
      <c r="C24" s="186"/>
      <c r="D24" s="187"/>
      <c r="E24" s="186"/>
      <c r="F24" s="187"/>
      <c r="G24" s="186"/>
      <c r="H24" s="186"/>
      <c r="I24" s="186" t="s">
        <v>297</v>
      </c>
      <c r="J24" s="186" t="s">
        <v>183</v>
      </c>
      <c r="K24" s="186" t="s">
        <v>79</v>
      </c>
      <c r="L24" s="186"/>
      <c r="M24" s="186"/>
      <c r="N24" s="186" t="s">
        <v>206</v>
      </c>
      <c r="O24" s="186"/>
      <c r="P24" s="186"/>
      <c r="Q24" s="186"/>
      <c r="R24" s="186"/>
      <c r="S24" s="186"/>
      <c r="T24" s="186"/>
      <c r="U24" s="187"/>
      <c r="V24" s="186"/>
      <c r="W24" s="354" t="s">
        <v>300</v>
      </c>
      <c r="X24" s="356" t="s">
        <v>299</v>
      </c>
      <c r="Y24" s="186"/>
      <c r="Z24" s="186"/>
      <c r="AB24" s="189" t="s">
        <v>382</v>
      </c>
      <c r="AC24" s="189" t="s">
        <v>318</v>
      </c>
    </row>
    <row r="25" spans="1:29" x14ac:dyDescent="0.4">
      <c r="A25" s="354" t="s">
        <v>383</v>
      </c>
      <c r="B25" s="186"/>
      <c r="C25" s="186"/>
      <c r="D25" s="187"/>
      <c r="E25" s="186"/>
      <c r="F25" s="187"/>
      <c r="G25" s="186"/>
      <c r="H25" s="186"/>
      <c r="I25" s="186" t="s">
        <v>297</v>
      </c>
      <c r="J25" s="186" t="s">
        <v>183</v>
      </c>
      <c r="K25" s="186" t="s">
        <v>82</v>
      </c>
      <c r="L25" s="186"/>
      <c r="M25" s="186"/>
      <c r="N25" s="186" t="s">
        <v>206</v>
      </c>
      <c r="O25" s="186"/>
      <c r="P25" s="186"/>
      <c r="Q25" s="186"/>
      <c r="R25" s="186"/>
      <c r="S25" s="186"/>
      <c r="T25" s="186"/>
      <c r="U25" s="187"/>
      <c r="V25" s="186"/>
      <c r="W25" s="355" t="s">
        <v>300</v>
      </c>
      <c r="X25" s="357" t="s">
        <v>299</v>
      </c>
      <c r="Y25" s="186"/>
      <c r="Z25" s="186"/>
      <c r="AB25" s="189" t="s">
        <v>383</v>
      </c>
      <c r="AC25" s="189" t="s">
        <v>301</v>
      </c>
    </row>
    <row r="26" spans="1:29" x14ac:dyDescent="0.4">
      <c r="A26" s="355" t="s">
        <v>384</v>
      </c>
      <c r="B26" s="190"/>
      <c r="C26" s="190"/>
      <c r="D26" s="191"/>
      <c r="E26" s="190"/>
      <c r="F26" s="191"/>
      <c r="G26" s="190"/>
      <c r="H26" s="190"/>
      <c r="I26" s="190" t="s">
        <v>297</v>
      </c>
      <c r="J26" s="190" t="s">
        <v>183</v>
      </c>
      <c r="K26" s="190" t="s">
        <v>79</v>
      </c>
      <c r="L26" s="190"/>
      <c r="M26" s="190"/>
      <c r="N26" s="190" t="s">
        <v>206</v>
      </c>
      <c r="O26" s="190"/>
      <c r="P26" s="190"/>
      <c r="Q26" s="190"/>
      <c r="R26" s="190"/>
      <c r="S26" s="190"/>
      <c r="T26" s="190"/>
      <c r="U26" s="191"/>
      <c r="V26" s="190"/>
      <c r="W26" s="354" t="s">
        <v>300</v>
      </c>
      <c r="X26" s="356" t="s">
        <v>299</v>
      </c>
      <c r="Y26" s="190"/>
      <c r="Z26" s="190"/>
      <c r="AB26" s="189" t="s">
        <v>384</v>
      </c>
      <c r="AC26" s="189" t="s">
        <v>318</v>
      </c>
    </row>
    <row r="27" spans="1:29" x14ac:dyDescent="0.4">
      <c r="A27" s="355" t="s">
        <v>312</v>
      </c>
      <c r="B27" s="190"/>
      <c r="C27" s="190"/>
      <c r="D27" s="191"/>
      <c r="E27" s="190"/>
      <c r="F27" s="191"/>
      <c r="G27" s="190"/>
      <c r="H27" s="190"/>
      <c r="I27" s="190" t="s">
        <v>297</v>
      </c>
      <c r="J27" s="190" t="s">
        <v>183</v>
      </c>
      <c r="K27" s="190" t="s">
        <v>207</v>
      </c>
      <c r="L27" s="190"/>
      <c r="M27" s="190"/>
      <c r="N27" s="190" t="s">
        <v>203</v>
      </c>
      <c r="O27" s="190"/>
      <c r="P27" s="192"/>
      <c r="Q27" s="190"/>
      <c r="R27" s="190"/>
      <c r="S27" s="190"/>
      <c r="T27" s="190"/>
      <c r="U27" s="191"/>
      <c r="V27" s="190"/>
      <c r="W27" s="355" t="s">
        <v>300</v>
      </c>
      <c r="X27" s="357" t="s">
        <v>299</v>
      </c>
      <c r="Y27" s="190"/>
      <c r="Z27" s="190"/>
      <c r="AB27" s="189" t="s">
        <v>312</v>
      </c>
      <c r="AC27" s="189" t="s">
        <v>300</v>
      </c>
    </row>
    <row r="28" spans="1:29" x14ac:dyDescent="0.4">
      <c r="A28" s="354" t="s">
        <v>385</v>
      </c>
      <c r="B28" s="186"/>
      <c r="C28" s="186"/>
      <c r="D28" s="187"/>
      <c r="E28" s="186"/>
      <c r="F28" s="187"/>
      <c r="G28" s="186"/>
      <c r="H28" s="186"/>
      <c r="I28" s="186" t="s">
        <v>297</v>
      </c>
      <c r="J28" s="186" t="s">
        <v>183</v>
      </c>
      <c r="K28" s="186" t="s">
        <v>184</v>
      </c>
      <c r="L28" s="186"/>
      <c r="M28" s="186"/>
      <c r="N28" s="186" t="s">
        <v>206</v>
      </c>
      <c r="O28" s="186"/>
      <c r="P28" s="186"/>
      <c r="Q28" s="186"/>
      <c r="R28" s="186"/>
      <c r="S28" s="186"/>
      <c r="T28" s="186"/>
      <c r="U28" s="187"/>
      <c r="V28" s="186"/>
      <c r="W28" s="354" t="s">
        <v>300</v>
      </c>
      <c r="X28" s="356" t="s">
        <v>299</v>
      </c>
      <c r="Y28" s="186"/>
      <c r="Z28" s="186"/>
      <c r="AB28" s="189" t="s">
        <v>385</v>
      </c>
      <c r="AC28" s="189" t="s">
        <v>308</v>
      </c>
    </row>
    <row r="29" spans="1:29" x14ac:dyDescent="0.4">
      <c r="A29" s="354" t="s">
        <v>386</v>
      </c>
      <c r="B29" s="186"/>
      <c r="C29" s="186"/>
      <c r="D29" s="187"/>
      <c r="E29" s="186"/>
      <c r="F29" s="187"/>
      <c r="G29" s="186"/>
      <c r="H29" s="186"/>
      <c r="I29" s="186" t="s">
        <v>297</v>
      </c>
      <c r="J29" s="186" t="s">
        <v>183</v>
      </c>
      <c r="K29" s="186" t="s">
        <v>207</v>
      </c>
      <c r="L29" s="186"/>
      <c r="M29" s="186"/>
      <c r="N29" s="186" t="s">
        <v>206</v>
      </c>
      <c r="O29" s="186"/>
      <c r="P29" s="186"/>
      <c r="Q29" s="186"/>
      <c r="R29" s="186"/>
      <c r="S29" s="186"/>
      <c r="T29" s="186"/>
      <c r="U29" s="187"/>
      <c r="V29" s="186"/>
      <c r="W29" s="355" t="s">
        <v>300</v>
      </c>
      <c r="X29" s="357" t="s">
        <v>299</v>
      </c>
      <c r="Y29" s="186"/>
      <c r="Z29" s="186"/>
      <c r="AB29" s="189" t="s">
        <v>386</v>
      </c>
      <c r="AC29" s="189" t="s">
        <v>312</v>
      </c>
    </row>
    <row r="30" spans="1:29" x14ac:dyDescent="0.4">
      <c r="A30" s="354" t="s">
        <v>300</v>
      </c>
      <c r="B30" s="186"/>
      <c r="C30" s="186"/>
      <c r="D30" s="187"/>
      <c r="E30" s="186"/>
      <c r="F30" s="187"/>
      <c r="G30" s="186"/>
      <c r="H30" s="186"/>
      <c r="I30" s="186" t="s">
        <v>297</v>
      </c>
      <c r="J30" s="186" t="s">
        <v>183</v>
      </c>
      <c r="K30" s="188"/>
      <c r="L30" s="186"/>
      <c r="M30" s="186"/>
      <c r="N30" s="186" t="s">
        <v>204</v>
      </c>
      <c r="O30" s="186"/>
      <c r="P30" s="188"/>
      <c r="Q30" s="186"/>
      <c r="R30" s="186"/>
      <c r="S30" s="186"/>
      <c r="T30" s="186"/>
      <c r="U30" s="187"/>
      <c r="V30" s="186"/>
      <c r="W30" s="354" t="s">
        <v>300</v>
      </c>
      <c r="X30" s="356" t="s">
        <v>299</v>
      </c>
      <c r="Y30" s="186"/>
      <c r="Z30" s="186"/>
      <c r="AB30" s="189" t="s">
        <v>300</v>
      </c>
      <c r="AC30" s="189" t="s">
        <v>299</v>
      </c>
    </row>
    <row r="31" spans="1:29" x14ac:dyDescent="0.4">
      <c r="A31" s="354" t="s">
        <v>315</v>
      </c>
      <c r="B31" s="186"/>
      <c r="C31" s="186"/>
      <c r="D31" s="187"/>
      <c r="E31" s="186"/>
      <c r="F31" s="187"/>
      <c r="G31" s="186"/>
      <c r="H31" s="186"/>
      <c r="I31" s="186" t="s">
        <v>297</v>
      </c>
      <c r="J31" s="186" t="s">
        <v>183</v>
      </c>
      <c r="K31" s="186" t="s">
        <v>207</v>
      </c>
      <c r="L31" s="186"/>
      <c r="M31" s="186"/>
      <c r="N31" s="186" t="s">
        <v>185</v>
      </c>
      <c r="O31" s="186"/>
      <c r="P31" s="188"/>
      <c r="Q31" s="186"/>
      <c r="R31" s="186"/>
      <c r="S31" s="186"/>
      <c r="T31" s="186"/>
      <c r="U31" s="187"/>
      <c r="V31" s="186"/>
      <c r="W31" s="355" t="s">
        <v>300</v>
      </c>
      <c r="X31" s="357" t="s">
        <v>299</v>
      </c>
      <c r="Y31" s="186"/>
      <c r="Z31" s="186"/>
      <c r="AB31" s="189" t="s">
        <v>315</v>
      </c>
      <c r="AC31" s="189" t="s">
        <v>312</v>
      </c>
    </row>
    <row r="32" spans="1:29" x14ac:dyDescent="0.4">
      <c r="A32" s="355" t="s">
        <v>320</v>
      </c>
      <c r="B32" s="190"/>
      <c r="C32" s="190"/>
      <c r="D32" s="191"/>
      <c r="E32" s="190"/>
      <c r="F32" s="191"/>
      <c r="G32" s="190"/>
      <c r="H32" s="190"/>
      <c r="I32" s="190" t="s">
        <v>297</v>
      </c>
      <c r="J32" s="190" t="s">
        <v>183</v>
      </c>
      <c r="K32" s="190" t="s">
        <v>79</v>
      </c>
      <c r="L32" s="190"/>
      <c r="M32" s="190"/>
      <c r="N32" s="190" t="s">
        <v>185</v>
      </c>
      <c r="O32" s="190"/>
      <c r="P32" s="192"/>
      <c r="Q32" s="190"/>
      <c r="R32" s="190"/>
      <c r="S32" s="190"/>
      <c r="T32" s="190"/>
      <c r="U32" s="191"/>
      <c r="V32" s="190"/>
      <c r="W32" s="354" t="s">
        <v>300</v>
      </c>
      <c r="X32" s="356" t="s">
        <v>299</v>
      </c>
      <c r="Y32" s="190"/>
      <c r="Z32" s="190"/>
      <c r="AB32" s="189" t="s">
        <v>320</v>
      </c>
      <c r="AC32" s="189" t="s">
        <v>318</v>
      </c>
    </row>
    <row r="33" spans="1:29" x14ac:dyDescent="0.4">
      <c r="A33" s="354" t="s">
        <v>316</v>
      </c>
      <c r="B33" s="186"/>
      <c r="C33" s="186"/>
      <c r="D33" s="187"/>
      <c r="E33" s="186"/>
      <c r="F33" s="187"/>
      <c r="G33" s="186"/>
      <c r="H33" s="186"/>
      <c r="I33" s="186" t="s">
        <v>297</v>
      </c>
      <c r="J33" s="186" t="s">
        <v>183</v>
      </c>
      <c r="K33" s="186" t="s">
        <v>205</v>
      </c>
      <c r="L33" s="186"/>
      <c r="M33" s="186"/>
      <c r="N33" s="186" t="s">
        <v>203</v>
      </c>
      <c r="O33" s="186"/>
      <c r="P33" s="188"/>
      <c r="Q33" s="186"/>
      <c r="R33" s="186"/>
      <c r="S33" s="186"/>
      <c r="T33" s="186"/>
      <c r="U33" s="187"/>
      <c r="V33" s="186"/>
      <c r="W33" s="355" t="s">
        <v>300</v>
      </c>
      <c r="X33" s="357" t="s">
        <v>299</v>
      </c>
      <c r="Y33" s="186"/>
      <c r="Z33" s="186"/>
      <c r="AB33" s="189" t="s">
        <v>316</v>
      </c>
      <c r="AC33" s="189" t="s">
        <v>300</v>
      </c>
    </row>
    <row r="34" spans="1:29" x14ac:dyDescent="0.4">
      <c r="A34" s="355" t="s">
        <v>387</v>
      </c>
      <c r="B34" s="190"/>
      <c r="C34" s="190"/>
      <c r="D34" s="191"/>
      <c r="E34" s="190"/>
      <c r="F34" s="191"/>
      <c r="G34" s="190"/>
      <c r="H34" s="190"/>
      <c r="I34" s="190" t="s">
        <v>297</v>
      </c>
      <c r="J34" s="190" t="s">
        <v>183</v>
      </c>
      <c r="K34" s="190" t="s">
        <v>184</v>
      </c>
      <c r="L34" s="190"/>
      <c r="M34" s="190"/>
      <c r="N34" s="190" t="s">
        <v>206</v>
      </c>
      <c r="O34" s="190"/>
      <c r="P34" s="190"/>
      <c r="Q34" s="190"/>
      <c r="R34" s="190"/>
      <c r="S34" s="190"/>
      <c r="T34" s="190"/>
      <c r="U34" s="191"/>
      <c r="V34" s="190"/>
      <c r="W34" s="354" t="s">
        <v>300</v>
      </c>
      <c r="X34" s="356" t="s">
        <v>299</v>
      </c>
      <c r="Y34" s="190"/>
      <c r="Z34" s="190"/>
      <c r="AB34" s="189" t="s">
        <v>387</v>
      </c>
      <c r="AC34" s="189" t="s">
        <v>308</v>
      </c>
    </row>
    <row r="35" spans="1:29" x14ac:dyDescent="0.4">
      <c r="A35" s="354" t="s">
        <v>321</v>
      </c>
      <c r="B35" s="186"/>
      <c r="C35" s="186"/>
      <c r="D35" s="187"/>
      <c r="E35" s="186"/>
      <c r="F35" s="187"/>
      <c r="G35" s="186"/>
      <c r="H35" s="186"/>
      <c r="I35" s="186" t="s">
        <v>297</v>
      </c>
      <c r="J35" s="186" t="s">
        <v>183</v>
      </c>
      <c r="K35" s="186" t="s">
        <v>184</v>
      </c>
      <c r="L35" s="186"/>
      <c r="M35" s="186"/>
      <c r="N35" s="186" t="s">
        <v>206</v>
      </c>
      <c r="O35" s="186"/>
      <c r="P35" s="186"/>
      <c r="Q35" s="186"/>
      <c r="R35" s="186"/>
      <c r="S35" s="186"/>
      <c r="T35" s="186"/>
      <c r="U35" s="187"/>
      <c r="V35" s="186"/>
      <c r="W35" s="355" t="s">
        <v>300</v>
      </c>
      <c r="X35" s="357" t="s">
        <v>299</v>
      </c>
      <c r="Y35" s="186"/>
      <c r="Z35" s="186"/>
      <c r="AB35" s="189" t="s">
        <v>321</v>
      </c>
      <c r="AC35" s="189" t="s">
        <v>308</v>
      </c>
    </row>
    <row r="36" spans="1:29" x14ac:dyDescent="0.4">
      <c r="A36" s="355" t="s">
        <v>322</v>
      </c>
      <c r="B36" s="190"/>
      <c r="C36" s="190"/>
      <c r="D36" s="191"/>
      <c r="E36" s="190"/>
      <c r="F36" s="191"/>
      <c r="G36" s="190"/>
      <c r="H36" s="190"/>
      <c r="I36" s="190" t="s">
        <v>297</v>
      </c>
      <c r="J36" s="190" t="s">
        <v>183</v>
      </c>
      <c r="K36" s="190" t="s">
        <v>205</v>
      </c>
      <c r="L36" s="190"/>
      <c r="M36" s="190"/>
      <c r="N36" s="190" t="s">
        <v>206</v>
      </c>
      <c r="O36" s="190"/>
      <c r="P36" s="190"/>
      <c r="Q36" s="190"/>
      <c r="R36" s="190"/>
      <c r="S36" s="190"/>
      <c r="T36" s="190"/>
      <c r="U36" s="191"/>
      <c r="V36" s="190"/>
      <c r="W36" s="354" t="s">
        <v>300</v>
      </c>
      <c r="X36" s="356" t="s">
        <v>299</v>
      </c>
      <c r="Y36" s="190"/>
      <c r="Z36" s="190"/>
      <c r="AB36" s="189" t="s">
        <v>322</v>
      </c>
      <c r="AC36" s="189" t="s">
        <v>316</v>
      </c>
    </row>
    <row r="37" spans="1:29" x14ac:dyDescent="0.4">
      <c r="A37" s="355" t="s">
        <v>319</v>
      </c>
      <c r="B37" s="190"/>
      <c r="C37" s="190"/>
      <c r="D37" s="191"/>
      <c r="E37" s="190"/>
      <c r="F37" s="191"/>
      <c r="G37" s="190"/>
      <c r="H37" s="190"/>
      <c r="I37" s="190" t="s">
        <v>297</v>
      </c>
      <c r="J37" s="190" t="s">
        <v>183</v>
      </c>
      <c r="K37" s="190" t="s">
        <v>79</v>
      </c>
      <c r="L37" s="190"/>
      <c r="M37" s="190"/>
      <c r="N37" s="190" t="s">
        <v>185</v>
      </c>
      <c r="O37" s="190"/>
      <c r="P37" s="192"/>
      <c r="Q37" s="190"/>
      <c r="R37" s="190"/>
      <c r="S37" s="190"/>
      <c r="T37" s="190"/>
      <c r="U37" s="191"/>
      <c r="V37" s="190"/>
      <c r="W37" s="355" t="s">
        <v>300</v>
      </c>
      <c r="X37" s="357" t="s">
        <v>299</v>
      </c>
      <c r="Y37" s="190"/>
      <c r="Z37" s="190"/>
      <c r="AB37" s="189" t="s">
        <v>319</v>
      </c>
      <c r="AC37" s="189" t="s">
        <v>318</v>
      </c>
    </row>
    <row r="38" spans="1:29" x14ac:dyDescent="0.4">
      <c r="A38" s="355" t="s">
        <v>313</v>
      </c>
      <c r="B38" s="190"/>
      <c r="C38" s="190"/>
      <c r="D38" s="191"/>
      <c r="E38" s="190"/>
      <c r="F38" s="191"/>
      <c r="G38" s="190"/>
      <c r="H38" s="190"/>
      <c r="I38" s="190" t="s">
        <v>297</v>
      </c>
      <c r="J38" s="190" t="s">
        <v>183</v>
      </c>
      <c r="K38" s="190" t="s">
        <v>207</v>
      </c>
      <c r="L38" s="190"/>
      <c r="M38" s="190"/>
      <c r="N38" s="190" t="s">
        <v>185</v>
      </c>
      <c r="O38" s="190"/>
      <c r="P38" s="192"/>
      <c r="Q38" s="190"/>
      <c r="R38" s="190"/>
      <c r="S38" s="190"/>
      <c r="T38" s="190"/>
      <c r="U38" s="191"/>
      <c r="V38" s="190"/>
      <c r="W38" s="354" t="s">
        <v>300</v>
      </c>
      <c r="X38" s="356" t="s">
        <v>299</v>
      </c>
      <c r="Y38" s="190"/>
      <c r="Z38" s="190"/>
      <c r="AB38" s="189" t="s">
        <v>313</v>
      </c>
      <c r="AC38" s="189" t="s">
        <v>312</v>
      </c>
    </row>
    <row r="39" spans="1:29" x14ac:dyDescent="0.4">
      <c r="A39" s="354" t="s">
        <v>323</v>
      </c>
      <c r="B39" s="186"/>
      <c r="C39" s="186"/>
      <c r="D39" s="187"/>
      <c r="E39" s="186"/>
      <c r="F39" s="187"/>
      <c r="G39" s="186"/>
      <c r="H39" s="186"/>
      <c r="I39" s="186" t="s">
        <v>297</v>
      </c>
      <c r="J39" s="186" t="s">
        <v>183</v>
      </c>
      <c r="K39" s="186" t="s">
        <v>184</v>
      </c>
      <c r="L39" s="186"/>
      <c r="M39" s="186"/>
      <c r="N39" s="186" t="s">
        <v>206</v>
      </c>
      <c r="O39" s="186"/>
      <c r="P39" s="188"/>
      <c r="Q39" s="186"/>
      <c r="R39" s="186"/>
      <c r="S39" s="186"/>
      <c r="T39" s="186"/>
      <c r="U39" s="187"/>
      <c r="V39" s="186"/>
      <c r="W39" s="355" t="s">
        <v>300</v>
      </c>
      <c r="X39" s="357" t="s">
        <v>299</v>
      </c>
      <c r="Y39" s="186"/>
      <c r="Z39" s="186"/>
      <c r="AB39" s="189" t="s">
        <v>323</v>
      </c>
      <c r="AC39" s="189" t="s">
        <v>308</v>
      </c>
    </row>
    <row r="40" spans="1:29" x14ac:dyDescent="0.4">
      <c r="A40" s="355" t="s">
        <v>324</v>
      </c>
      <c r="B40" s="190"/>
      <c r="C40" s="190"/>
      <c r="D40" s="191"/>
      <c r="E40" s="190"/>
      <c r="F40" s="191"/>
      <c r="G40" s="190"/>
      <c r="H40" s="190"/>
      <c r="I40" s="190" t="s">
        <v>297</v>
      </c>
      <c r="J40" s="190" t="s">
        <v>183</v>
      </c>
      <c r="K40" s="190" t="s">
        <v>80</v>
      </c>
      <c r="L40" s="190"/>
      <c r="M40" s="190"/>
      <c r="N40" s="190" t="s">
        <v>206</v>
      </c>
      <c r="O40" s="190"/>
      <c r="P40" s="190"/>
      <c r="Q40" s="190"/>
      <c r="R40" s="190"/>
      <c r="S40" s="190"/>
      <c r="T40" s="190"/>
      <c r="U40" s="191"/>
      <c r="V40" s="190"/>
      <c r="W40" s="354" t="s">
        <v>300</v>
      </c>
      <c r="X40" s="356" t="s">
        <v>299</v>
      </c>
      <c r="Y40" s="190"/>
      <c r="Z40" s="190"/>
      <c r="AB40" s="189" t="s">
        <v>324</v>
      </c>
      <c r="AC40" s="189" t="s">
        <v>305</v>
      </c>
    </row>
    <row r="41" spans="1:29" x14ac:dyDescent="0.4">
      <c r="A41" s="355" t="s">
        <v>325</v>
      </c>
      <c r="B41" s="190"/>
      <c r="C41" s="190"/>
      <c r="D41" s="191"/>
      <c r="E41" s="190"/>
      <c r="F41" s="191"/>
      <c r="G41" s="190"/>
      <c r="H41" s="190"/>
      <c r="I41" s="190" t="s">
        <v>297</v>
      </c>
      <c r="J41" s="190" t="s">
        <v>183</v>
      </c>
      <c r="K41" s="190" t="s">
        <v>207</v>
      </c>
      <c r="L41" s="190"/>
      <c r="M41" s="190"/>
      <c r="N41" s="190" t="s">
        <v>206</v>
      </c>
      <c r="O41" s="190"/>
      <c r="P41" s="190"/>
      <c r="Q41" s="190"/>
      <c r="R41" s="190"/>
      <c r="S41" s="190"/>
      <c r="T41" s="190"/>
      <c r="U41" s="191"/>
      <c r="V41" s="190"/>
      <c r="W41" s="355" t="s">
        <v>300</v>
      </c>
      <c r="X41" s="357" t="s">
        <v>299</v>
      </c>
      <c r="Y41" s="190"/>
      <c r="Z41" s="190"/>
      <c r="AB41" s="189" t="s">
        <v>325</v>
      </c>
      <c r="AC41" s="189" t="s">
        <v>312</v>
      </c>
    </row>
    <row r="42" spans="1:29" x14ac:dyDescent="0.4">
      <c r="A42" s="354" t="s">
        <v>326</v>
      </c>
      <c r="B42" s="186"/>
      <c r="C42" s="186"/>
      <c r="D42" s="187"/>
      <c r="E42" s="186"/>
      <c r="F42" s="187"/>
      <c r="G42" s="186"/>
      <c r="H42" s="186"/>
      <c r="I42" s="186" t="s">
        <v>297</v>
      </c>
      <c r="J42" s="186" t="s">
        <v>183</v>
      </c>
      <c r="K42" s="186" t="s">
        <v>207</v>
      </c>
      <c r="L42" s="186"/>
      <c r="M42" s="186"/>
      <c r="N42" s="186" t="s">
        <v>206</v>
      </c>
      <c r="O42" s="186"/>
      <c r="P42" s="186"/>
      <c r="Q42" s="186"/>
      <c r="R42" s="186"/>
      <c r="S42" s="186"/>
      <c r="T42" s="186"/>
      <c r="U42" s="187"/>
      <c r="V42" s="186"/>
      <c r="W42" s="354" t="s">
        <v>300</v>
      </c>
      <c r="X42" s="356" t="s">
        <v>299</v>
      </c>
      <c r="Y42" s="186"/>
      <c r="Z42" s="186"/>
      <c r="AB42" s="189" t="s">
        <v>326</v>
      </c>
      <c r="AC42" s="189" t="s">
        <v>312</v>
      </c>
    </row>
    <row r="43" spans="1:29" x14ac:dyDescent="0.4">
      <c r="A43" s="355" t="s">
        <v>327</v>
      </c>
      <c r="B43" s="190"/>
      <c r="C43" s="190"/>
      <c r="D43" s="191"/>
      <c r="E43" s="190"/>
      <c r="F43" s="191"/>
      <c r="G43" s="190"/>
      <c r="H43" s="190"/>
      <c r="I43" s="190" t="s">
        <v>297</v>
      </c>
      <c r="J43" s="190" t="s">
        <v>183</v>
      </c>
      <c r="K43" s="190" t="s">
        <v>82</v>
      </c>
      <c r="L43" s="190"/>
      <c r="M43" s="190"/>
      <c r="N43" s="190" t="s">
        <v>206</v>
      </c>
      <c r="O43" s="190"/>
      <c r="P43" s="190"/>
      <c r="Q43" s="190"/>
      <c r="R43" s="190"/>
      <c r="S43" s="190"/>
      <c r="T43" s="190"/>
      <c r="U43" s="191"/>
      <c r="V43" s="190"/>
      <c r="W43" s="355" t="s">
        <v>300</v>
      </c>
      <c r="X43" s="357" t="s">
        <v>299</v>
      </c>
      <c r="Y43" s="190"/>
      <c r="Z43" s="190"/>
      <c r="AB43" s="189" t="s">
        <v>327</v>
      </c>
      <c r="AC43" s="189" t="s">
        <v>301</v>
      </c>
    </row>
    <row r="44" spans="1:29" x14ac:dyDescent="0.4">
      <c r="A44" s="354" t="s">
        <v>328</v>
      </c>
      <c r="B44" s="186"/>
      <c r="C44" s="186"/>
      <c r="D44" s="187"/>
      <c r="E44" s="186"/>
      <c r="F44" s="187"/>
      <c r="G44" s="186"/>
      <c r="H44" s="186"/>
      <c r="I44" s="186" t="s">
        <v>297</v>
      </c>
      <c r="J44" s="186" t="s">
        <v>183</v>
      </c>
      <c r="K44" s="186" t="s">
        <v>207</v>
      </c>
      <c r="L44" s="186"/>
      <c r="M44" s="186"/>
      <c r="N44" s="186" t="s">
        <v>206</v>
      </c>
      <c r="O44" s="186"/>
      <c r="P44" s="186"/>
      <c r="Q44" s="186"/>
      <c r="R44" s="186"/>
      <c r="S44" s="186"/>
      <c r="T44" s="186"/>
      <c r="U44" s="187"/>
      <c r="V44" s="186"/>
      <c r="W44" s="354" t="s">
        <v>300</v>
      </c>
      <c r="X44" s="356" t="s">
        <v>299</v>
      </c>
      <c r="Y44" s="186"/>
      <c r="Z44" s="186"/>
      <c r="AB44" s="189" t="s">
        <v>328</v>
      </c>
      <c r="AC44" s="189" t="s">
        <v>312</v>
      </c>
    </row>
    <row r="45" spans="1:29" x14ac:dyDescent="0.4">
      <c r="A45" s="355" t="s">
        <v>329</v>
      </c>
      <c r="B45" s="190"/>
      <c r="C45" s="190"/>
      <c r="D45" s="191"/>
      <c r="E45" s="190"/>
      <c r="F45" s="191"/>
      <c r="G45" s="190"/>
      <c r="H45" s="190"/>
      <c r="I45" s="190" t="s">
        <v>297</v>
      </c>
      <c r="J45" s="190" t="s">
        <v>183</v>
      </c>
      <c r="K45" s="190" t="s">
        <v>184</v>
      </c>
      <c r="L45" s="190"/>
      <c r="M45" s="190"/>
      <c r="N45" s="190" t="s">
        <v>206</v>
      </c>
      <c r="O45" s="190"/>
      <c r="P45" s="190"/>
      <c r="Q45" s="190"/>
      <c r="R45" s="190"/>
      <c r="S45" s="190"/>
      <c r="T45" s="190"/>
      <c r="U45" s="191"/>
      <c r="V45" s="190"/>
      <c r="W45" s="355" t="s">
        <v>300</v>
      </c>
      <c r="X45" s="357" t="s">
        <v>299</v>
      </c>
      <c r="Y45" s="190"/>
      <c r="Z45" s="190"/>
      <c r="AB45" s="189" t="s">
        <v>329</v>
      </c>
      <c r="AC45" s="189" t="s">
        <v>308</v>
      </c>
    </row>
    <row r="46" spans="1:29" x14ac:dyDescent="0.4">
      <c r="A46" s="354" t="s">
        <v>307</v>
      </c>
      <c r="B46" s="186"/>
      <c r="C46" s="186"/>
      <c r="D46" s="187"/>
      <c r="E46" s="186"/>
      <c r="F46" s="187"/>
      <c r="G46" s="186"/>
      <c r="H46" s="186"/>
      <c r="I46" s="186" t="s">
        <v>297</v>
      </c>
      <c r="J46" s="186" t="s">
        <v>183</v>
      </c>
      <c r="K46" s="186" t="s">
        <v>80</v>
      </c>
      <c r="L46" s="186"/>
      <c r="M46" s="186"/>
      <c r="N46" s="186" t="s">
        <v>206</v>
      </c>
      <c r="O46" s="186"/>
      <c r="P46" s="186"/>
      <c r="Q46" s="186"/>
      <c r="R46" s="186"/>
      <c r="S46" s="186"/>
      <c r="T46" s="186"/>
      <c r="U46" s="187"/>
      <c r="V46" s="186"/>
      <c r="W46" s="354" t="s">
        <v>300</v>
      </c>
      <c r="X46" s="356" t="s">
        <v>299</v>
      </c>
      <c r="Y46" s="186"/>
      <c r="Z46" s="186"/>
      <c r="AB46" s="189" t="s">
        <v>307</v>
      </c>
      <c r="AC46" s="189" t="s">
        <v>305</v>
      </c>
    </row>
    <row r="47" spans="1:29" x14ac:dyDescent="0.4">
      <c r="A47" s="355" t="s">
        <v>330</v>
      </c>
      <c r="B47" s="190"/>
      <c r="C47" s="190"/>
      <c r="D47" s="191"/>
      <c r="E47" s="190"/>
      <c r="F47" s="191"/>
      <c r="G47" s="190"/>
      <c r="H47" s="190"/>
      <c r="I47" s="190" t="s">
        <v>297</v>
      </c>
      <c r="J47" s="190" t="s">
        <v>183</v>
      </c>
      <c r="K47" s="190" t="s">
        <v>207</v>
      </c>
      <c r="L47" s="190"/>
      <c r="M47" s="190"/>
      <c r="N47" s="190" t="s">
        <v>206</v>
      </c>
      <c r="O47" s="190"/>
      <c r="P47" s="190"/>
      <c r="Q47" s="190"/>
      <c r="R47" s="190"/>
      <c r="S47" s="190"/>
      <c r="T47" s="190"/>
      <c r="U47" s="191"/>
      <c r="V47" s="190"/>
      <c r="W47" s="355" t="s">
        <v>300</v>
      </c>
      <c r="X47" s="357" t="s">
        <v>299</v>
      </c>
      <c r="Y47" s="190"/>
      <c r="Z47" s="190"/>
      <c r="AB47" s="189" t="s">
        <v>330</v>
      </c>
      <c r="AC47" s="189" t="s">
        <v>312</v>
      </c>
    </row>
    <row r="48" spans="1:29" x14ac:dyDescent="0.4">
      <c r="A48" s="354" t="s">
        <v>331</v>
      </c>
      <c r="B48" s="186"/>
      <c r="C48" s="186"/>
      <c r="D48" s="187"/>
      <c r="E48" s="186"/>
      <c r="F48" s="187"/>
      <c r="G48" s="186"/>
      <c r="H48" s="186"/>
      <c r="I48" s="186" t="s">
        <v>297</v>
      </c>
      <c r="J48" s="186" t="s">
        <v>183</v>
      </c>
      <c r="K48" s="186" t="s">
        <v>205</v>
      </c>
      <c r="L48" s="186"/>
      <c r="M48" s="186"/>
      <c r="N48" s="186" t="s">
        <v>206</v>
      </c>
      <c r="O48" s="186"/>
      <c r="P48" s="186"/>
      <c r="Q48" s="186"/>
      <c r="R48" s="186"/>
      <c r="S48" s="186"/>
      <c r="T48" s="186"/>
      <c r="U48" s="187"/>
      <c r="V48" s="186"/>
      <c r="W48" s="354" t="s">
        <v>300</v>
      </c>
      <c r="X48" s="356" t="s">
        <v>299</v>
      </c>
      <c r="Y48" s="186"/>
      <c r="Z48" s="186"/>
      <c r="AB48" s="189" t="s">
        <v>331</v>
      </c>
      <c r="AC48" s="189" t="s">
        <v>316</v>
      </c>
    </row>
    <row r="49" spans="1:29" x14ac:dyDescent="0.4">
      <c r="A49" s="354" t="s">
        <v>332</v>
      </c>
      <c r="B49" s="186"/>
      <c r="C49" s="186"/>
      <c r="D49" s="187"/>
      <c r="E49" s="186"/>
      <c r="F49" s="187"/>
      <c r="G49" s="186"/>
      <c r="H49" s="186"/>
      <c r="I49" s="186" t="s">
        <v>297</v>
      </c>
      <c r="J49" s="186" t="s">
        <v>183</v>
      </c>
      <c r="K49" s="186" t="s">
        <v>82</v>
      </c>
      <c r="L49" s="186"/>
      <c r="M49" s="186"/>
      <c r="N49" s="186" t="s">
        <v>206</v>
      </c>
      <c r="O49" s="186"/>
      <c r="P49" s="186"/>
      <c r="Q49" s="186"/>
      <c r="R49" s="186"/>
      <c r="S49" s="186"/>
      <c r="T49" s="186"/>
      <c r="U49" s="187"/>
      <c r="V49" s="186"/>
      <c r="W49" s="355" t="s">
        <v>300</v>
      </c>
      <c r="X49" s="357" t="s">
        <v>299</v>
      </c>
      <c r="Y49" s="186"/>
      <c r="Z49" s="186"/>
      <c r="AB49" s="189" t="s">
        <v>332</v>
      </c>
      <c r="AC49" s="189" t="s">
        <v>301</v>
      </c>
    </row>
    <row r="50" spans="1:29" x14ac:dyDescent="0.4">
      <c r="A50" s="355" t="s">
        <v>333</v>
      </c>
      <c r="B50" s="190"/>
      <c r="C50" s="190"/>
      <c r="D50" s="191"/>
      <c r="E50" s="190"/>
      <c r="F50" s="191"/>
      <c r="G50" s="190"/>
      <c r="H50" s="190"/>
      <c r="I50" s="190" t="s">
        <v>297</v>
      </c>
      <c r="J50" s="190" t="s">
        <v>183</v>
      </c>
      <c r="K50" s="190" t="s">
        <v>205</v>
      </c>
      <c r="L50" s="190"/>
      <c r="M50" s="190"/>
      <c r="N50" s="190" t="s">
        <v>206</v>
      </c>
      <c r="O50" s="190"/>
      <c r="P50" s="190"/>
      <c r="Q50" s="190"/>
      <c r="R50" s="190"/>
      <c r="S50" s="190"/>
      <c r="T50" s="190"/>
      <c r="U50" s="191"/>
      <c r="V50" s="190"/>
      <c r="W50" s="354" t="s">
        <v>300</v>
      </c>
      <c r="X50" s="356" t="s">
        <v>299</v>
      </c>
      <c r="Y50" s="190"/>
      <c r="Z50" s="190"/>
      <c r="AB50" s="189" t="s">
        <v>333</v>
      </c>
      <c r="AC50" s="189" t="s">
        <v>316</v>
      </c>
    </row>
    <row r="51" spans="1:29" x14ac:dyDescent="0.4">
      <c r="A51" s="354" t="s">
        <v>334</v>
      </c>
      <c r="B51" s="186"/>
      <c r="C51" s="186"/>
      <c r="D51" s="187"/>
      <c r="E51" s="186"/>
      <c r="F51" s="187"/>
      <c r="G51" s="186"/>
      <c r="H51" s="186"/>
      <c r="I51" s="186" t="s">
        <v>297</v>
      </c>
      <c r="J51" s="186" t="s">
        <v>183</v>
      </c>
      <c r="K51" s="186" t="s">
        <v>82</v>
      </c>
      <c r="L51" s="186"/>
      <c r="M51" s="186"/>
      <c r="N51" s="186" t="s">
        <v>206</v>
      </c>
      <c r="O51" s="186"/>
      <c r="P51" s="186"/>
      <c r="Q51" s="186"/>
      <c r="R51" s="186"/>
      <c r="S51" s="186"/>
      <c r="T51" s="186"/>
      <c r="U51" s="187"/>
      <c r="V51" s="186"/>
      <c r="W51" s="355" t="s">
        <v>300</v>
      </c>
      <c r="X51" s="357" t="s">
        <v>299</v>
      </c>
      <c r="Y51" s="186"/>
      <c r="Z51" s="186"/>
      <c r="AB51" s="189" t="s">
        <v>334</v>
      </c>
      <c r="AC51" s="189" t="s">
        <v>301</v>
      </c>
    </row>
    <row r="52" spans="1:29" x14ac:dyDescent="0.4">
      <c r="A52" s="354" t="s">
        <v>335</v>
      </c>
      <c r="B52" s="186"/>
      <c r="C52" s="186"/>
      <c r="D52" s="187"/>
      <c r="E52" s="186"/>
      <c r="F52" s="187"/>
      <c r="G52" s="186"/>
      <c r="H52" s="186"/>
      <c r="I52" s="186" t="s">
        <v>297</v>
      </c>
      <c r="J52" s="186" t="s">
        <v>183</v>
      </c>
      <c r="K52" s="186" t="s">
        <v>79</v>
      </c>
      <c r="L52" s="186"/>
      <c r="M52" s="186"/>
      <c r="N52" s="186" t="s">
        <v>206</v>
      </c>
      <c r="O52" s="186"/>
      <c r="P52" s="188"/>
      <c r="Q52" s="186"/>
      <c r="R52" s="186"/>
      <c r="S52" s="186"/>
      <c r="T52" s="186"/>
      <c r="U52" s="187"/>
      <c r="V52" s="186"/>
      <c r="W52" s="354" t="s">
        <v>300</v>
      </c>
      <c r="X52" s="356" t="s">
        <v>299</v>
      </c>
      <c r="Y52" s="186"/>
      <c r="Z52" s="186"/>
      <c r="AB52" s="189" t="s">
        <v>335</v>
      </c>
      <c r="AC52" s="189" t="s">
        <v>318</v>
      </c>
    </row>
    <row r="53" spans="1:29" x14ac:dyDescent="0.4">
      <c r="A53" s="354" t="s">
        <v>336</v>
      </c>
      <c r="B53" s="186"/>
      <c r="C53" s="186"/>
      <c r="D53" s="187"/>
      <c r="E53" s="186"/>
      <c r="F53" s="187"/>
      <c r="G53" s="186"/>
      <c r="H53" s="186"/>
      <c r="I53" s="186" t="s">
        <v>297</v>
      </c>
      <c r="J53" s="186" t="s">
        <v>183</v>
      </c>
      <c r="K53" s="186" t="s">
        <v>207</v>
      </c>
      <c r="L53" s="186"/>
      <c r="M53" s="186"/>
      <c r="N53" s="186" t="s">
        <v>206</v>
      </c>
      <c r="O53" s="186"/>
      <c r="P53" s="186"/>
      <c r="Q53" s="186"/>
      <c r="R53" s="186"/>
      <c r="S53" s="186"/>
      <c r="T53" s="186"/>
      <c r="U53" s="187"/>
      <c r="V53" s="186"/>
      <c r="W53" s="355" t="s">
        <v>300</v>
      </c>
      <c r="X53" s="357" t="s">
        <v>299</v>
      </c>
      <c r="Y53" s="186"/>
      <c r="Z53" s="186"/>
      <c r="AB53" s="189" t="s">
        <v>336</v>
      </c>
      <c r="AC53" s="189" t="s">
        <v>312</v>
      </c>
    </row>
    <row r="54" spans="1:29" x14ac:dyDescent="0.4">
      <c r="A54" s="355" t="s">
        <v>337</v>
      </c>
      <c r="B54" s="190"/>
      <c r="C54" s="190"/>
      <c r="D54" s="191"/>
      <c r="E54" s="190"/>
      <c r="F54" s="191"/>
      <c r="G54" s="190"/>
      <c r="H54" s="190"/>
      <c r="I54" s="190" t="s">
        <v>297</v>
      </c>
      <c r="J54" s="190" t="s">
        <v>183</v>
      </c>
      <c r="K54" s="190" t="s">
        <v>82</v>
      </c>
      <c r="L54" s="190"/>
      <c r="M54" s="190"/>
      <c r="N54" s="190" t="s">
        <v>206</v>
      </c>
      <c r="O54" s="190"/>
      <c r="P54" s="190"/>
      <c r="Q54" s="190"/>
      <c r="R54" s="190"/>
      <c r="S54" s="190"/>
      <c r="T54" s="190"/>
      <c r="U54" s="191"/>
      <c r="V54" s="190"/>
      <c r="W54" s="354" t="s">
        <v>300</v>
      </c>
      <c r="X54" s="356" t="s">
        <v>299</v>
      </c>
      <c r="Y54" s="190"/>
      <c r="Z54" s="190"/>
      <c r="AB54" s="189" t="s">
        <v>337</v>
      </c>
      <c r="AC54" s="189" t="s">
        <v>301</v>
      </c>
    </row>
    <row r="55" spans="1:29" x14ac:dyDescent="0.4">
      <c r="A55" s="355" t="s">
        <v>338</v>
      </c>
      <c r="B55" s="190"/>
      <c r="C55" s="190"/>
      <c r="D55" s="191"/>
      <c r="E55" s="190"/>
      <c r="F55" s="191"/>
      <c r="G55" s="190"/>
      <c r="H55" s="190"/>
      <c r="I55" s="190" t="s">
        <v>297</v>
      </c>
      <c r="J55" s="190" t="s">
        <v>183</v>
      </c>
      <c r="K55" s="190" t="s">
        <v>184</v>
      </c>
      <c r="L55" s="190"/>
      <c r="M55" s="190"/>
      <c r="N55" s="190" t="s">
        <v>206</v>
      </c>
      <c r="O55" s="190"/>
      <c r="P55" s="190"/>
      <c r="Q55" s="190"/>
      <c r="R55" s="190"/>
      <c r="S55" s="190"/>
      <c r="T55" s="190"/>
      <c r="U55" s="191"/>
      <c r="V55" s="190"/>
      <c r="W55" s="355" t="s">
        <v>300</v>
      </c>
      <c r="X55" s="357" t="s">
        <v>299</v>
      </c>
      <c r="Y55" s="190"/>
      <c r="Z55" s="190"/>
      <c r="AB55" s="189" t="s">
        <v>338</v>
      </c>
      <c r="AC55" s="189" t="s">
        <v>308</v>
      </c>
    </row>
    <row r="56" spans="1:29" x14ac:dyDescent="0.4">
      <c r="A56" s="354" t="s">
        <v>309</v>
      </c>
      <c r="B56" s="186"/>
      <c r="C56" s="186"/>
      <c r="D56" s="187"/>
      <c r="E56" s="186"/>
      <c r="F56" s="187"/>
      <c r="G56" s="186"/>
      <c r="H56" s="186"/>
      <c r="I56" s="186" t="s">
        <v>297</v>
      </c>
      <c r="J56" s="186" t="s">
        <v>183</v>
      </c>
      <c r="K56" s="186" t="s">
        <v>184</v>
      </c>
      <c r="L56" s="186"/>
      <c r="M56" s="186"/>
      <c r="N56" s="186" t="s">
        <v>185</v>
      </c>
      <c r="O56" s="186"/>
      <c r="P56" s="186"/>
      <c r="Q56" s="186"/>
      <c r="R56" s="186"/>
      <c r="S56" s="186"/>
      <c r="T56" s="186"/>
      <c r="U56" s="187"/>
      <c r="V56" s="186"/>
      <c r="W56" s="354" t="s">
        <v>300</v>
      </c>
      <c r="X56" s="356" t="s">
        <v>299</v>
      </c>
      <c r="Y56" s="186"/>
      <c r="Z56" s="186"/>
      <c r="AB56" s="189" t="s">
        <v>309</v>
      </c>
      <c r="AC56" s="189" t="s">
        <v>308</v>
      </c>
    </row>
    <row r="57" spans="1:29" x14ac:dyDescent="0.4">
      <c r="A57" s="355" t="s">
        <v>339</v>
      </c>
      <c r="B57" s="190"/>
      <c r="C57" s="190"/>
      <c r="D57" s="191"/>
      <c r="E57" s="190"/>
      <c r="F57" s="191"/>
      <c r="G57" s="190"/>
      <c r="H57" s="190"/>
      <c r="I57" s="190" t="s">
        <v>297</v>
      </c>
      <c r="J57" s="190" t="s">
        <v>183</v>
      </c>
      <c r="K57" s="190" t="s">
        <v>80</v>
      </c>
      <c r="L57" s="190"/>
      <c r="M57" s="190"/>
      <c r="N57" s="190" t="s">
        <v>206</v>
      </c>
      <c r="O57" s="190"/>
      <c r="P57" s="190"/>
      <c r="Q57" s="190"/>
      <c r="R57" s="190"/>
      <c r="S57" s="190"/>
      <c r="T57" s="190"/>
      <c r="U57" s="191"/>
      <c r="V57" s="190"/>
      <c r="W57" s="355" t="s">
        <v>300</v>
      </c>
      <c r="X57" s="357" t="s">
        <v>299</v>
      </c>
      <c r="Y57" s="190"/>
      <c r="Z57" s="190"/>
      <c r="AB57" s="189" t="s">
        <v>339</v>
      </c>
      <c r="AC57" s="189" t="s">
        <v>305</v>
      </c>
    </row>
    <row r="58" spans="1:29" x14ac:dyDescent="0.4">
      <c r="A58" s="355" t="s">
        <v>304</v>
      </c>
      <c r="B58" s="190"/>
      <c r="C58" s="190"/>
      <c r="D58" s="191"/>
      <c r="E58" s="190"/>
      <c r="F58" s="191"/>
      <c r="G58" s="190"/>
      <c r="H58" s="190"/>
      <c r="I58" s="190" t="s">
        <v>297</v>
      </c>
      <c r="J58" s="190" t="s">
        <v>183</v>
      </c>
      <c r="K58" s="190" t="s">
        <v>82</v>
      </c>
      <c r="L58" s="190"/>
      <c r="M58" s="190"/>
      <c r="N58" s="190" t="s">
        <v>206</v>
      </c>
      <c r="O58" s="190"/>
      <c r="P58" s="190"/>
      <c r="Q58" s="190"/>
      <c r="R58" s="190"/>
      <c r="S58" s="190"/>
      <c r="T58" s="190"/>
      <c r="U58" s="191"/>
      <c r="V58" s="190"/>
      <c r="W58" s="354" t="s">
        <v>300</v>
      </c>
      <c r="X58" s="356" t="s">
        <v>299</v>
      </c>
      <c r="Y58" s="190"/>
      <c r="Z58" s="190"/>
      <c r="AB58" s="189" t="s">
        <v>304</v>
      </c>
      <c r="AC58" s="189" t="s">
        <v>301</v>
      </c>
    </row>
    <row r="59" spans="1:29" x14ac:dyDescent="0.4">
      <c r="A59" s="354" t="s">
        <v>301</v>
      </c>
      <c r="B59" s="186"/>
      <c r="C59" s="186"/>
      <c r="D59" s="187"/>
      <c r="E59" s="186"/>
      <c r="F59" s="187"/>
      <c r="G59" s="186"/>
      <c r="H59" s="186"/>
      <c r="I59" s="186" t="s">
        <v>297</v>
      </c>
      <c r="J59" s="186" t="s">
        <v>183</v>
      </c>
      <c r="K59" s="186" t="s">
        <v>82</v>
      </c>
      <c r="L59" s="186"/>
      <c r="M59" s="186"/>
      <c r="N59" s="186" t="s">
        <v>203</v>
      </c>
      <c r="O59" s="186"/>
      <c r="P59" s="188"/>
      <c r="Q59" s="186"/>
      <c r="R59" s="186"/>
      <c r="S59" s="186"/>
      <c r="T59" s="186"/>
      <c r="U59" s="187"/>
      <c r="V59" s="186"/>
      <c r="W59" s="355" t="s">
        <v>300</v>
      </c>
      <c r="X59" s="357" t="s">
        <v>299</v>
      </c>
      <c r="Y59" s="186"/>
      <c r="Z59" s="186"/>
      <c r="AB59" s="189" t="s">
        <v>301</v>
      </c>
      <c r="AC59" s="189" t="s">
        <v>300</v>
      </c>
    </row>
    <row r="60" spans="1:29" x14ac:dyDescent="0.4">
      <c r="A60" s="354" t="s">
        <v>303</v>
      </c>
      <c r="B60" s="186"/>
      <c r="C60" s="186"/>
      <c r="D60" s="187"/>
      <c r="E60" s="186"/>
      <c r="F60" s="187"/>
      <c r="G60" s="186"/>
      <c r="H60" s="186"/>
      <c r="I60" s="186" t="s">
        <v>297</v>
      </c>
      <c r="J60" s="186" t="s">
        <v>183</v>
      </c>
      <c r="K60" s="186" t="s">
        <v>82</v>
      </c>
      <c r="L60" s="186"/>
      <c r="M60" s="186"/>
      <c r="N60" s="186" t="s">
        <v>206</v>
      </c>
      <c r="O60" s="186"/>
      <c r="P60" s="186"/>
      <c r="Q60" s="186"/>
      <c r="R60" s="186"/>
      <c r="S60" s="186"/>
      <c r="T60" s="186"/>
      <c r="U60" s="187"/>
      <c r="V60" s="186"/>
      <c r="W60" s="354" t="s">
        <v>300</v>
      </c>
      <c r="X60" s="356" t="s">
        <v>299</v>
      </c>
      <c r="Y60" s="186"/>
      <c r="Z60" s="186"/>
      <c r="AB60" s="189" t="s">
        <v>303</v>
      </c>
      <c r="AC60" s="189" t="s">
        <v>301</v>
      </c>
    </row>
    <row r="61" spans="1:29" x14ac:dyDescent="0.4">
      <c r="A61" s="354" t="s">
        <v>340</v>
      </c>
      <c r="B61" s="186"/>
      <c r="C61" s="186"/>
      <c r="D61" s="187"/>
      <c r="E61" s="186"/>
      <c r="F61" s="187"/>
      <c r="G61" s="186"/>
      <c r="H61" s="186"/>
      <c r="I61" s="186" t="s">
        <v>297</v>
      </c>
      <c r="J61" s="186" t="s">
        <v>183</v>
      </c>
      <c r="K61" s="186" t="s">
        <v>184</v>
      </c>
      <c r="L61" s="186"/>
      <c r="M61" s="186"/>
      <c r="N61" s="186" t="s">
        <v>206</v>
      </c>
      <c r="O61" s="186"/>
      <c r="P61" s="186"/>
      <c r="Q61" s="186"/>
      <c r="R61" s="186"/>
      <c r="S61" s="186"/>
      <c r="T61" s="186"/>
      <c r="U61" s="187"/>
      <c r="V61" s="186"/>
      <c r="W61" s="355" t="s">
        <v>300</v>
      </c>
      <c r="X61" s="357" t="s">
        <v>299</v>
      </c>
      <c r="Y61" s="186"/>
      <c r="Z61" s="186"/>
      <c r="AB61" s="189" t="s">
        <v>340</v>
      </c>
      <c r="AC61" s="189" t="s">
        <v>308</v>
      </c>
    </row>
    <row r="62" spans="1:29" x14ac:dyDescent="0.4">
      <c r="A62" s="354" t="s">
        <v>341</v>
      </c>
      <c r="B62" s="186"/>
      <c r="C62" s="186"/>
      <c r="D62" s="187"/>
      <c r="E62" s="186"/>
      <c r="F62" s="187"/>
      <c r="G62" s="186"/>
      <c r="H62" s="186"/>
      <c r="I62" s="186" t="s">
        <v>297</v>
      </c>
      <c r="J62" s="186" t="s">
        <v>183</v>
      </c>
      <c r="K62" s="186" t="s">
        <v>207</v>
      </c>
      <c r="L62" s="186"/>
      <c r="M62" s="186"/>
      <c r="N62" s="186" t="s">
        <v>206</v>
      </c>
      <c r="O62" s="186"/>
      <c r="P62" s="186"/>
      <c r="Q62" s="186"/>
      <c r="R62" s="186"/>
      <c r="S62" s="186"/>
      <c r="T62" s="186"/>
      <c r="U62" s="187"/>
      <c r="V62" s="186"/>
      <c r="W62" s="354" t="s">
        <v>300</v>
      </c>
      <c r="X62" s="356" t="s">
        <v>299</v>
      </c>
      <c r="Y62" s="186"/>
      <c r="Z62" s="186"/>
      <c r="AB62" s="189" t="s">
        <v>341</v>
      </c>
      <c r="AC62" s="189" t="s">
        <v>312</v>
      </c>
    </row>
    <row r="63" spans="1:29" x14ac:dyDescent="0.4">
      <c r="A63" s="355" t="s">
        <v>342</v>
      </c>
      <c r="B63" s="190"/>
      <c r="C63" s="190"/>
      <c r="D63" s="191"/>
      <c r="E63" s="190"/>
      <c r="F63" s="191"/>
      <c r="G63" s="190"/>
      <c r="H63" s="190"/>
      <c r="I63" s="190" t="s">
        <v>297</v>
      </c>
      <c r="J63" s="190" t="s">
        <v>183</v>
      </c>
      <c r="K63" s="190" t="s">
        <v>82</v>
      </c>
      <c r="L63" s="190"/>
      <c r="M63" s="190"/>
      <c r="N63" s="190" t="s">
        <v>206</v>
      </c>
      <c r="O63" s="190"/>
      <c r="P63" s="190"/>
      <c r="Q63" s="190"/>
      <c r="R63" s="190"/>
      <c r="S63" s="190"/>
      <c r="T63" s="190"/>
      <c r="U63" s="191"/>
      <c r="V63" s="190"/>
      <c r="W63" s="355" t="s">
        <v>300</v>
      </c>
      <c r="X63" s="357" t="s">
        <v>299</v>
      </c>
      <c r="Y63" s="190"/>
      <c r="Z63" s="190"/>
      <c r="AB63" s="189" t="s">
        <v>342</v>
      </c>
      <c r="AC63" s="189" t="s">
        <v>301</v>
      </c>
    </row>
    <row r="64" spans="1:29" x14ac:dyDescent="0.4">
      <c r="A64" s="354" t="s">
        <v>343</v>
      </c>
      <c r="B64" s="186"/>
      <c r="C64" s="186"/>
      <c r="D64" s="187"/>
      <c r="E64" s="186"/>
      <c r="F64" s="187"/>
      <c r="G64" s="186"/>
      <c r="H64" s="186"/>
      <c r="I64" s="186" t="s">
        <v>297</v>
      </c>
      <c r="J64" s="186" t="s">
        <v>183</v>
      </c>
      <c r="K64" s="186" t="s">
        <v>80</v>
      </c>
      <c r="L64" s="186"/>
      <c r="M64" s="186"/>
      <c r="N64" s="186" t="s">
        <v>206</v>
      </c>
      <c r="O64" s="186"/>
      <c r="P64" s="186"/>
      <c r="Q64" s="186"/>
      <c r="R64" s="186"/>
      <c r="S64" s="186"/>
      <c r="T64" s="186"/>
      <c r="U64" s="187"/>
      <c r="V64" s="186"/>
      <c r="W64" s="354" t="s">
        <v>300</v>
      </c>
      <c r="X64" s="356" t="s">
        <v>299</v>
      </c>
      <c r="Y64" s="186"/>
      <c r="Z64" s="186"/>
      <c r="AB64" s="189" t="s">
        <v>343</v>
      </c>
      <c r="AC64" s="189" t="s">
        <v>305</v>
      </c>
    </row>
    <row r="65" spans="1:29" x14ac:dyDescent="0.4">
      <c r="A65" s="355" t="s">
        <v>344</v>
      </c>
      <c r="B65" s="190"/>
      <c r="C65" s="190"/>
      <c r="D65" s="191"/>
      <c r="E65" s="190"/>
      <c r="F65" s="191"/>
      <c r="G65" s="190"/>
      <c r="H65" s="190"/>
      <c r="I65" s="190" t="s">
        <v>297</v>
      </c>
      <c r="J65" s="190" t="s">
        <v>183</v>
      </c>
      <c r="K65" s="190" t="s">
        <v>184</v>
      </c>
      <c r="L65" s="190"/>
      <c r="M65" s="190"/>
      <c r="N65" s="190" t="s">
        <v>206</v>
      </c>
      <c r="O65" s="190"/>
      <c r="P65" s="190"/>
      <c r="Q65" s="190"/>
      <c r="R65" s="190"/>
      <c r="S65" s="190"/>
      <c r="T65" s="190"/>
      <c r="U65" s="191"/>
      <c r="V65" s="190"/>
      <c r="W65" s="355" t="s">
        <v>300</v>
      </c>
      <c r="X65" s="357" t="s">
        <v>299</v>
      </c>
      <c r="Y65" s="190"/>
      <c r="Z65" s="190"/>
      <c r="AB65" s="189" t="s">
        <v>344</v>
      </c>
      <c r="AC65" s="189" t="s">
        <v>308</v>
      </c>
    </row>
    <row r="66" spans="1:29" x14ac:dyDescent="0.4">
      <c r="A66" s="354" t="s">
        <v>345</v>
      </c>
      <c r="B66" s="186"/>
      <c r="C66" s="186"/>
      <c r="D66" s="187"/>
      <c r="E66" s="186"/>
      <c r="F66" s="187"/>
      <c r="G66" s="186"/>
      <c r="H66" s="186"/>
      <c r="I66" s="186" t="s">
        <v>297</v>
      </c>
      <c r="J66" s="186" t="s">
        <v>183</v>
      </c>
      <c r="K66" s="186" t="s">
        <v>79</v>
      </c>
      <c r="L66" s="186"/>
      <c r="M66" s="186"/>
      <c r="N66" s="186" t="s">
        <v>206</v>
      </c>
      <c r="O66" s="186"/>
      <c r="P66" s="186"/>
      <c r="Q66" s="186"/>
      <c r="R66" s="186"/>
      <c r="S66" s="186"/>
      <c r="T66" s="186"/>
      <c r="U66" s="187"/>
      <c r="V66" s="186"/>
      <c r="W66" s="354" t="s">
        <v>300</v>
      </c>
      <c r="X66" s="356" t="s">
        <v>299</v>
      </c>
      <c r="Y66" s="186"/>
      <c r="Z66" s="186"/>
      <c r="AB66" s="189" t="s">
        <v>345</v>
      </c>
      <c r="AC66" s="189" t="s">
        <v>318</v>
      </c>
    </row>
    <row r="67" spans="1:29" x14ac:dyDescent="0.4">
      <c r="A67" s="354" t="s">
        <v>346</v>
      </c>
      <c r="B67" s="186"/>
      <c r="C67" s="186"/>
      <c r="D67" s="187"/>
      <c r="E67" s="186"/>
      <c r="F67" s="187"/>
      <c r="G67" s="186"/>
      <c r="H67" s="186"/>
      <c r="I67" s="186" t="s">
        <v>297</v>
      </c>
      <c r="J67" s="186" t="s">
        <v>183</v>
      </c>
      <c r="K67" s="186" t="s">
        <v>80</v>
      </c>
      <c r="L67" s="186"/>
      <c r="M67" s="186"/>
      <c r="N67" s="186" t="s">
        <v>206</v>
      </c>
      <c r="O67" s="186"/>
      <c r="P67" s="186"/>
      <c r="Q67" s="186"/>
      <c r="R67" s="186"/>
      <c r="S67" s="186"/>
      <c r="T67" s="186"/>
      <c r="U67" s="187"/>
      <c r="V67" s="186"/>
      <c r="W67" s="355" t="s">
        <v>300</v>
      </c>
      <c r="X67" s="357" t="s">
        <v>299</v>
      </c>
      <c r="Y67" s="186"/>
      <c r="Z67" s="186"/>
      <c r="AB67" s="189" t="s">
        <v>346</v>
      </c>
      <c r="AC67" s="189" t="s">
        <v>305</v>
      </c>
    </row>
    <row r="68" spans="1:29" x14ac:dyDescent="0.4">
      <c r="A68" s="354" t="s">
        <v>347</v>
      </c>
      <c r="B68" s="186"/>
      <c r="C68" s="186"/>
      <c r="D68" s="187"/>
      <c r="E68" s="186"/>
      <c r="F68" s="187"/>
      <c r="G68" s="186"/>
      <c r="H68" s="186"/>
      <c r="I68" s="186" t="s">
        <v>297</v>
      </c>
      <c r="J68" s="186" t="s">
        <v>183</v>
      </c>
      <c r="K68" s="186" t="s">
        <v>79</v>
      </c>
      <c r="L68" s="186"/>
      <c r="M68" s="186"/>
      <c r="N68" s="186" t="s">
        <v>206</v>
      </c>
      <c r="O68" s="186"/>
      <c r="P68" s="186"/>
      <c r="Q68" s="186"/>
      <c r="R68" s="186"/>
      <c r="S68" s="186"/>
      <c r="T68" s="186"/>
      <c r="U68" s="187"/>
      <c r="V68" s="186"/>
      <c r="W68" s="354" t="s">
        <v>300</v>
      </c>
      <c r="X68" s="356" t="s">
        <v>299</v>
      </c>
      <c r="Y68" s="186"/>
      <c r="Z68" s="186"/>
      <c r="AB68" s="189" t="s">
        <v>347</v>
      </c>
      <c r="AC68" s="189" t="s">
        <v>318</v>
      </c>
    </row>
    <row r="69" spans="1:29" x14ac:dyDescent="0.4">
      <c r="A69" s="354" t="s">
        <v>348</v>
      </c>
      <c r="B69" s="186"/>
      <c r="C69" s="186"/>
      <c r="D69" s="187"/>
      <c r="E69" s="186"/>
      <c r="F69" s="187"/>
      <c r="G69" s="186"/>
      <c r="H69" s="186"/>
      <c r="I69" s="186" t="s">
        <v>297</v>
      </c>
      <c r="J69" s="186" t="s">
        <v>183</v>
      </c>
      <c r="K69" s="186" t="s">
        <v>79</v>
      </c>
      <c r="L69" s="186"/>
      <c r="M69" s="186"/>
      <c r="N69" s="186" t="s">
        <v>206</v>
      </c>
      <c r="O69" s="186"/>
      <c r="P69" s="186"/>
      <c r="Q69" s="186"/>
      <c r="R69" s="186"/>
      <c r="S69" s="186"/>
      <c r="T69" s="186"/>
      <c r="U69" s="187"/>
      <c r="V69" s="186"/>
      <c r="W69" s="355" t="s">
        <v>300</v>
      </c>
      <c r="X69" s="357" t="s">
        <v>299</v>
      </c>
      <c r="Y69" s="186"/>
      <c r="Z69" s="186"/>
      <c r="AB69" s="189" t="s">
        <v>348</v>
      </c>
      <c r="AC69" s="189" t="s">
        <v>318</v>
      </c>
    </row>
    <row r="70" spans="1:29" x14ac:dyDescent="0.4">
      <c r="A70" s="354" t="s">
        <v>349</v>
      </c>
      <c r="B70" s="186"/>
      <c r="C70" s="186"/>
      <c r="D70" s="187"/>
      <c r="E70" s="186"/>
      <c r="F70" s="187"/>
      <c r="G70" s="186"/>
      <c r="H70" s="186"/>
      <c r="I70" s="186" t="s">
        <v>297</v>
      </c>
      <c r="J70" s="186" t="s">
        <v>183</v>
      </c>
      <c r="K70" s="186" t="s">
        <v>205</v>
      </c>
      <c r="L70" s="186"/>
      <c r="M70" s="186"/>
      <c r="N70" s="186" t="s">
        <v>206</v>
      </c>
      <c r="O70" s="186"/>
      <c r="P70" s="186"/>
      <c r="Q70" s="186"/>
      <c r="R70" s="186"/>
      <c r="S70" s="186"/>
      <c r="T70" s="186"/>
      <c r="U70" s="187"/>
      <c r="V70" s="186"/>
      <c r="W70" s="354" t="s">
        <v>300</v>
      </c>
      <c r="X70" s="356" t="s">
        <v>299</v>
      </c>
      <c r="Y70" s="186"/>
      <c r="Z70" s="186"/>
      <c r="AB70" s="189" t="s">
        <v>349</v>
      </c>
      <c r="AC70" s="189" t="s">
        <v>316</v>
      </c>
    </row>
    <row r="71" spans="1:29" x14ac:dyDescent="0.4">
      <c r="A71" s="354" t="s">
        <v>350</v>
      </c>
      <c r="B71" s="186"/>
      <c r="C71" s="186"/>
      <c r="D71" s="187"/>
      <c r="E71" s="186"/>
      <c r="F71" s="187"/>
      <c r="G71" s="186"/>
      <c r="H71" s="186"/>
      <c r="I71" s="186" t="s">
        <v>297</v>
      </c>
      <c r="J71" s="186" t="s">
        <v>183</v>
      </c>
      <c r="K71" s="186" t="s">
        <v>207</v>
      </c>
      <c r="L71" s="186"/>
      <c r="M71" s="186"/>
      <c r="N71" s="186" t="s">
        <v>206</v>
      </c>
      <c r="O71" s="186"/>
      <c r="P71" s="186"/>
      <c r="Q71" s="186"/>
      <c r="R71" s="186"/>
      <c r="S71" s="186"/>
      <c r="T71" s="186"/>
      <c r="U71" s="187"/>
      <c r="V71" s="186"/>
      <c r="W71" s="355" t="s">
        <v>300</v>
      </c>
      <c r="X71" s="357" t="s">
        <v>299</v>
      </c>
      <c r="Y71" s="186"/>
      <c r="Z71" s="186"/>
      <c r="AB71" s="189" t="s">
        <v>350</v>
      </c>
      <c r="AC71" s="189" t="s">
        <v>312</v>
      </c>
    </row>
    <row r="72" spans="1:29" x14ac:dyDescent="0.4">
      <c r="A72" s="354" t="s">
        <v>351</v>
      </c>
      <c r="B72" s="186"/>
      <c r="C72" s="186"/>
      <c r="D72" s="187"/>
      <c r="E72" s="186"/>
      <c r="F72" s="187"/>
      <c r="G72" s="186"/>
      <c r="H72" s="186"/>
      <c r="I72" s="186" t="s">
        <v>297</v>
      </c>
      <c r="J72" s="186" t="s">
        <v>183</v>
      </c>
      <c r="K72" s="186" t="s">
        <v>207</v>
      </c>
      <c r="L72" s="186"/>
      <c r="M72" s="186"/>
      <c r="N72" s="186" t="s">
        <v>206</v>
      </c>
      <c r="O72" s="186"/>
      <c r="P72" s="186"/>
      <c r="Q72" s="186"/>
      <c r="R72" s="186"/>
      <c r="S72" s="186"/>
      <c r="T72" s="186"/>
      <c r="U72" s="187"/>
      <c r="V72" s="186"/>
      <c r="W72" s="354" t="s">
        <v>300</v>
      </c>
      <c r="X72" s="356" t="s">
        <v>299</v>
      </c>
      <c r="Y72" s="186"/>
      <c r="Z72" s="186"/>
      <c r="AB72" s="189" t="s">
        <v>351</v>
      </c>
      <c r="AC72" s="189" t="s">
        <v>312</v>
      </c>
    </row>
    <row r="73" spans="1:29" x14ac:dyDescent="0.4">
      <c r="A73" s="355" t="s">
        <v>352</v>
      </c>
      <c r="B73" s="190"/>
      <c r="C73" s="190"/>
      <c r="D73" s="191"/>
      <c r="E73" s="190"/>
      <c r="F73" s="191"/>
      <c r="G73" s="190"/>
      <c r="H73" s="190"/>
      <c r="I73" s="190" t="s">
        <v>297</v>
      </c>
      <c r="J73" s="190" t="s">
        <v>183</v>
      </c>
      <c r="K73" s="190" t="s">
        <v>80</v>
      </c>
      <c r="L73" s="190"/>
      <c r="M73" s="190"/>
      <c r="N73" s="190" t="s">
        <v>206</v>
      </c>
      <c r="O73" s="190"/>
      <c r="P73" s="190"/>
      <c r="Q73" s="190"/>
      <c r="R73" s="190"/>
      <c r="S73" s="190"/>
      <c r="T73" s="190"/>
      <c r="U73" s="191"/>
      <c r="V73" s="190"/>
      <c r="W73" s="355" t="s">
        <v>300</v>
      </c>
      <c r="X73" s="357" t="s">
        <v>299</v>
      </c>
      <c r="Y73" s="190"/>
      <c r="Z73" s="190"/>
      <c r="AB73" s="189" t="s">
        <v>352</v>
      </c>
      <c r="AC73" s="189" t="s">
        <v>305</v>
      </c>
    </row>
    <row r="74" spans="1:29" x14ac:dyDescent="0.4">
      <c r="A74" s="354" t="s">
        <v>353</v>
      </c>
      <c r="B74" s="186"/>
      <c r="C74" s="186"/>
      <c r="D74" s="187"/>
      <c r="E74" s="186"/>
      <c r="F74" s="187"/>
      <c r="G74" s="186"/>
      <c r="H74" s="186"/>
      <c r="I74" s="186" t="s">
        <v>297</v>
      </c>
      <c r="J74" s="186" t="s">
        <v>183</v>
      </c>
      <c r="K74" s="186" t="s">
        <v>80</v>
      </c>
      <c r="L74" s="186"/>
      <c r="M74" s="186"/>
      <c r="N74" s="186" t="s">
        <v>206</v>
      </c>
      <c r="O74" s="186"/>
      <c r="P74" s="186"/>
      <c r="Q74" s="186"/>
      <c r="R74" s="186"/>
      <c r="S74" s="186"/>
      <c r="T74" s="186"/>
      <c r="U74" s="187"/>
      <c r="V74" s="186"/>
      <c r="W74" s="354" t="s">
        <v>300</v>
      </c>
      <c r="X74" s="356" t="s">
        <v>299</v>
      </c>
      <c r="Y74" s="186"/>
      <c r="Z74" s="186"/>
      <c r="AB74" s="189" t="s">
        <v>353</v>
      </c>
      <c r="AC74" s="189" t="s">
        <v>305</v>
      </c>
    </row>
    <row r="75" spans="1:29" x14ac:dyDescent="0.4">
      <c r="A75" s="355" t="s">
        <v>354</v>
      </c>
      <c r="B75" s="190"/>
      <c r="C75" s="190"/>
      <c r="D75" s="191"/>
      <c r="E75" s="190"/>
      <c r="F75" s="191"/>
      <c r="G75" s="190"/>
      <c r="H75" s="190"/>
      <c r="I75" s="190" t="s">
        <v>297</v>
      </c>
      <c r="J75" s="190" t="s">
        <v>183</v>
      </c>
      <c r="K75" s="190" t="s">
        <v>80</v>
      </c>
      <c r="L75" s="190"/>
      <c r="M75" s="190"/>
      <c r="N75" s="190" t="s">
        <v>206</v>
      </c>
      <c r="O75" s="190"/>
      <c r="P75" s="190"/>
      <c r="Q75" s="190"/>
      <c r="R75" s="190"/>
      <c r="S75" s="190"/>
      <c r="T75" s="190"/>
      <c r="U75" s="191"/>
      <c r="V75" s="190"/>
      <c r="W75" s="355" t="s">
        <v>300</v>
      </c>
      <c r="X75" s="357" t="s">
        <v>299</v>
      </c>
      <c r="Y75" s="190"/>
      <c r="Z75" s="190"/>
      <c r="AB75" s="189" t="s">
        <v>354</v>
      </c>
      <c r="AC75" s="189" t="s">
        <v>305</v>
      </c>
    </row>
    <row r="76" spans="1:29" x14ac:dyDescent="0.4">
      <c r="A76" s="354" t="s">
        <v>355</v>
      </c>
      <c r="B76" s="186"/>
      <c r="C76" s="186"/>
      <c r="D76" s="187"/>
      <c r="E76" s="186"/>
      <c r="F76" s="187"/>
      <c r="G76" s="186"/>
      <c r="H76" s="186"/>
      <c r="I76" s="186" t="s">
        <v>297</v>
      </c>
      <c r="J76" s="186" t="s">
        <v>183</v>
      </c>
      <c r="K76" s="186" t="s">
        <v>82</v>
      </c>
      <c r="L76" s="186"/>
      <c r="M76" s="186"/>
      <c r="N76" s="186" t="s">
        <v>206</v>
      </c>
      <c r="O76" s="186"/>
      <c r="P76" s="186"/>
      <c r="Q76" s="186"/>
      <c r="R76" s="186"/>
      <c r="S76" s="186"/>
      <c r="T76" s="186"/>
      <c r="U76" s="187"/>
      <c r="V76" s="186"/>
      <c r="W76" s="354" t="s">
        <v>300</v>
      </c>
      <c r="X76" s="356" t="s">
        <v>299</v>
      </c>
      <c r="Y76" s="186"/>
      <c r="Z76" s="186"/>
      <c r="AB76" s="189" t="s">
        <v>355</v>
      </c>
      <c r="AC76" s="189" t="s">
        <v>301</v>
      </c>
    </row>
    <row r="77" spans="1:29" x14ac:dyDescent="0.4">
      <c r="A77" s="355" t="s">
        <v>356</v>
      </c>
      <c r="B77" s="190"/>
      <c r="C77" s="190"/>
      <c r="D77" s="191"/>
      <c r="E77" s="190"/>
      <c r="F77" s="191"/>
      <c r="G77" s="190"/>
      <c r="H77" s="190"/>
      <c r="I77" s="190" t="s">
        <v>297</v>
      </c>
      <c r="J77" s="190" t="s">
        <v>183</v>
      </c>
      <c r="K77" s="190" t="s">
        <v>80</v>
      </c>
      <c r="L77" s="190"/>
      <c r="M77" s="190"/>
      <c r="N77" s="190" t="s">
        <v>206</v>
      </c>
      <c r="O77" s="190"/>
      <c r="P77" s="190"/>
      <c r="Q77" s="190"/>
      <c r="R77" s="190"/>
      <c r="S77" s="190"/>
      <c r="T77" s="190"/>
      <c r="U77" s="191"/>
      <c r="V77" s="190"/>
      <c r="W77" s="355" t="s">
        <v>300</v>
      </c>
      <c r="X77" s="357" t="s">
        <v>299</v>
      </c>
      <c r="Y77" s="190"/>
      <c r="Z77" s="190"/>
      <c r="AB77" s="189" t="s">
        <v>356</v>
      </c>
      <c r="AC77" s="189" t="s">
        <v>305</v>
      </c>
    </row>
    <row r="78" spans="1:29" x14ac:dyDescent="0.4">
      <c r="A78" s="355" t="s">
        <v>357</v>
      </c>
      <c r="B78" s="190"/>
      <c r="C78" s="190"/>
      <c r="D78" s="191"/>
      <c r="E78" s="190"/>
      <c r="F78" s="191"/>
      <c r="G78" s="190"/>
      <c r="H78" s="190"/>
      <c r="I78" s="190" t="s">
        <v>297</v>
      </c>
      <c r="J78" s="190" t="s">
        <v>183</v>
      </c>
      <c r="K78" s="190" t="s">
        <v>79</v>
      </c>
      <c r="L78" s="190"/>
      <c r="M78" s="190"/>
      <c r="N78" s="190" t="s">
        <v>206</v>
      </c>
      <c r="O78" s="190"/>
      <c r="P78" s="190"/>
      <c r="Q78" s="190"/>
      <c r="R78" s="190"/>
      <c r="S78" s="190"/>
      <c r="T78" s="190"/>
      <c r="U78" s="191"/>
      <c r="V78" s="190"/>
      <c r="W78" s="354" t="s">
        <v>300</v>
      </c>
      <c r="X78" s="356" t="s">
        <v>299</v>
      </c>
      <c r="Y78" s="190"/>
      <c r="Z78" s="190"/>
      <c r="AB78" s="189" t="s">
        <v>357</v>
      </c>
      <c r="AC78" s="189" t="s">
        <v>318</v>
      </c>
    </row>
    <row r="79" spans="1:29" x14ac:dyDescent="0.4">
      <c r="A79" s="355" t="s">
        <v>358</v>
      </c>
      <c r="B79" s="190"/>
      <c r="C79" s="190"/>
      <c r="D79" s="191"/>
      <c r="E79" s="190"/>
      <c r="F79" s="191"/>
      <c r="G79" s="190"/>
      <c r="H79" s="190"/>
      <c r="I79" s="190" t="s">
        <v>297</v>
      </c>
      <c r="J79" s="190" t="s">
        <v>183</v>
      </c>
      <c r="K79" s="190" t="s">
        <v>205</v>
      </c>
      <c r="L79" s="190"/>
      <c r="M79" s="190"/>
      <c r="N79" s="190" t="s">
        <v>206</v>
      </c>
      <c r="O79" s="190"/>
      <c r="P79" s="190"/>
      <c r="Q79" s="190"/>
      <c r="R79" s="190"/>
      <c r="S79" s="190"/>
      <c r="T79" s="190"/>
      <c r="U79" s="191"/>
      <c r="V79" s="190"/>
      <c r="W79" s="355" t="s">
        <v>300</v>
      </c>
      <c r="X79" s="357" t="s">
        <v>299</v>
      </c>
      <c r="Y79" s="190"/>
      <c r="Z79" s="190"/>
      <c r="AB79" s="189" t="s">
        <v>358</v>
      </c>
      <c r="AC79" s="189" t="s">
        <v>316</v>
      </c>
    </row>
    <row r="80" spans="1:29" x14ac:dyDescent="0.4">
      <c r="A80" s="355" t="s">
        <v>359</v>
      </c>
      <c r="B80" s="190"/>
      <c r="C80" s="190"/>
      <c r="D80" s="191"/>
      <c r="E80" s="190"/>
      <c r="F80" s="191"/>
      <c r="G80" s="190"/>
      <c r="H80" s="190"/>
      <c r="I80" s="190" t="s">
        <v>297</v>
      </c>
      <c r="J80" s="190" t="s">
        <v>183</v>
      </c>
      <c r="K80" s="190" t="s">
        <v>79</v>
      </c>
      <c r="L80" s="190"/>
      <c r="M80" s="190"/>
      <c r="N80" s="190" t="s">
        <v>206</v>
      </c>
      <c r="O80" s="190"/>
      <c r="P80" s="190"/>
      <c r="Q80" s="190"/>
      <c r="R80" s="190"/>
      <c r="S80" s="190"/>
      <c r="T80" s="190"/>
      <c r="U80" s="191"/>
      <c r="V80" s="190"/>
      <c r="W80" s="354" t="s">
        <v>300</v>
      </c>
      <c r="X80" s="356" t="s">
        <v>299</v>
      </c>
      <c r="Y80" s="190"/>
      <c r="Z80" s="190"/>
      <c r="AB80" s="189" t="s">
        <v>359</v>
      </c>
      <c r="AC80" s="189" t="s">
        <v>318</v>
      </c>
    </row>
    <row r="81" spans="1:29" x14ac:dyDescent="0.4">
      <c r="A81" s="354" t="s">
        <v>360</v>
      </c>
      <c r="B81" s="186"/>
      <c r="C81" s="186"/>
      <c r="D81" s="187"/>
      <c r="E81" s="186"/>
      <c r="F81" s="187"/>
      <c r="G81" s="186"/>
      <c r="H81" s="186"/>
      <c r="I81" s="186" t="s">
        <v>297</v>
      </c>
      <c r="J81" s="186" t="s">
        <v>183</v>
      </c>
      <c r="K81" s="186" t="s">
        <v>80</v>
      </c>
      <c r="L81" s="186"/>
      <c r="M81" s="186"/>
      <c r="N81" s="186" t="s">
        <v>206</v>
      </c>
      <c r="O81" s="186"/>
      <c r="P81" s="186"/>
      <c r="Q81" s="186"/>
      <c r="R81" s="186"/>
      <c r="S81" s="186"/>
      <c r="T81" s="186"/>
      <c r="U81" s="187"/>
      <c r="V81" s="186"/>
      <c r="W81" s="355" t="s">
        <v>300</v>
      </c>
      <c r="X81" s="357" t="s">
        <v>299</v>
      </c>
      <c r="Y81" s="186"/>
      <c r="Z81" s="186"/>
      <c r="AB81" s="189" t="s">
        <v>360</v>
      </c>
      <c r="AC81" s="189" t="s">
        <v>305</v>
      </c>
    </row>
    <row r="82" spans="1:29" x14ac:dyDescent="0.4">
      <c r="A82" s="355" t="s">
        <v>361</v>
      </c>
      <c r="B82" s="190"/>
      <c r="C82" s="190"/>
      <c r="D82" s="191"/>
      <c r="E82" s="190"/>
      <c r="F82" s="191"/>
      <c r="G82" s="190"/>
      <c r="H82" s="190"/>
      <c r="I82" s="190" t="s">
        <v>297</v>
      </c>
      <c r="J82" s="190" t="s">
        <v>183</v>
      </c>
      <c r="K82" s="190" t="s">
        <v>205</v>
      </c>
      <c r="L82" s="190"/>
      <c r="M82" s="190"/>
      <c r="N82" s="190" t="s">
        <v>206</v>
      </c>
      <c r="O82" s="190"/>
      <c r="P82" s="190"/>
      <c r="Q82" s="190"/>
      <c r="R82" s="190"/>
      <c r="S82" s="190"/>
      <c r="T82" s="190"/>
      <c r="U82" s="191"/>
      <c r="V82" s="190"/>
      <c r="W82" s="354" t="s">
        <v>300</v>
      </c>
      <c r="X82" s="356" t="s">
        <v>299</v>
      </c>
      <c r="Y82" s="190"/>
      <c r="Z82" s="190"/>
      <c r="AB82" s="189" t="s">
        <v>361</v>
      </c>
      <c r="AC82" s="189" t="s">
        <v>316</v>
      </c>
    </row>
    <row r="83" spans="1:29" x14ac:dyDescent="0.4">
      <c r="A83" s="355" t="s">
        <v>362</v>
      </c>
      <c r="B83" s="190"/>
      <c r="C83" s="190"/>
      <c r="D83" s="191"/>
      <c r="E83" s="190"/>
      <c r="F83" s="191"/>
      <c r="G83" s="190"/>
      <c r="H83" s="190"/>
      <c r="I83" s="190" t="s">
        <v>297</v>
      </c>
      <c r="J83" s="190" t="s">
        <v>183</v>
      </c>
      <c r="K83" s="190" t="s">
        <v>79</v>
      </c>
      <c r="L83" s="190"/>
      <c r="M83" s="190"/>
      <c r="N83" s="190" t="s">
        <v>206</v>
      </c>
      <c r="O83" s="190"/>
      <c r="P83" s="190"/>
      <c r="Q83" s="190"/>
      <c r="R83" s="190"/>
      <c r="S83" s="190"/>
      <c r="T83" s="190"/>
      <c r="U83" s="191"/>
      <c r="V83" s="190"/>
      <c r="W83" s="355" t="s">
        <v>300</v>
      </c>
      <c r="X83" s="357" t="s">
        <v>299</v>
      </c>
      <c r="Y83" s="190"/>
      <c r="Z83" s="190"/>
      <c r="AB83" s="189" t="s">
        <v>362</v>
      </c>
      <c r="AC83" s="189" t="s">
        <v>318</v>
      </c>
    </row>
    <row r="84" spans="1:29" x14ac:dyDescent="0.4">
      <c r="A84" s="355" t="s">
        <v>363</v>
      </c>
      <c r="B84" s="190"/>
      <c r="C84" s="190"/>
      <c r="D84" s="191"/>
      <c r="E84" s="190"/>
      <c r="F84" s="191"/>
      <c r="G84" s="190"/>
      <c r="H84" s="190"/>
      <c r="I84" s="190" t="s">
        <v>297</v>
      </c>
      <c r="J84" s="190" t="s">
        <v>183</v>
      </c>
      <c r="K84" s="190" t="s">
        <v>82</v>
      </c>
      <c r="L84" s="190"/>
      <c r="M84" s="190"/>
      <c r="N84" s="190" t="s">
        <v>206</v>
      </c>
      <c r="O84" s="190"/>
      <c r="P84" s="190"/>
      <c r="Q84" s="190"/>
      <c r="R84" s="190"/>
      <c r="S84" s="190"/>
      <c r="T84" s="190"/>
      <c r="U84" s="191"/>
      <c r="V84" s="190"/>
      <c r="W84" s="354" t="s">
        <v>300</v>
      </c>
      <c r="X84" s="356" t="s">
        <v>299</v>
      </c>
      <c r="Y84" s="190"/>
      <c r="Z84" s="190"/>
      <c r="AB84" s="189" t="s">
        <v>363</v>
      </c>
      <c r="AC84" s="189" t="s">
        <v>301</v>
      </c>
    </row>
    <row r="85" spans="1:29" x14ac:dyDescent="0.4">
      <c r="A85" s="355" t="s">
        <v>364</v>
      </c>
      <c r="B85" s="190"/>
      <c r="C85" s="190"/>
      <c r="D85" s="191"/>
      <c r="E85" s="190"/>
      <c r="F85" s="191"/>
      <c r="G85" s="190"/>
      <c r="H85" s="190"/>
      <c r="I85" s="190" t="s">
        <v>297</v>
      </c>
      <c r="J85" s="190" t="s">
        <v>183</v>
      </c>
      <c r="K85" s="190" t="s">
        <v>205</v>
      </c>
      <c r="L85" s="190"/>
      <c r="M85" s="190"/>
      <c r="N85" s="190" t="s">
        <v>206</v>
      </c>
      <c r="O85" s="190"/>
      <c r="P85" s="190"/>
      <c r="Q85" s="190"/>
      <c r="R85" s="190"/>
      <c r="S85" s="190"/>
      <c r="T85" s="190"/>
      <c r="U85" s="191"/>
      <c r="V85" s="190"/>
      <c r="W85" s="355" t="s">
        <v>300</v>
      </c>
      <c r="X85" s="357" t="s">
        <v>299</v>
      </c>
      <c r="Y85" s="190"/>
      <c r="Z85" s="190"/>
      <c r="AB85" s="189" t="s">
        <v>364</v>
      </c>
      <c r="AC85" s="189" t="s">
        <v>316</v>
      </c>
    </row>
    <row r="86" spans="1:29" x14ac:dyDescent="0.4">
      <c r="A86" s="354" t="s">
        <v>365</v>
      </c>
      <c r="B86" s="186"/>
      <c r="C86" s="186"/>
      <c r="D86" s="187"/>
      <c r="E86" s="186"/>
      <c r="F86" s="187"/>
      <c r="G86" s="186"/>
      <c r="H86" s="186"/>
      <c r="I86" s="186" t="s">
        <v>297</v>
      </c>
      <c r="J86" s="186" t="s">
        <v>183</v>
      </c>
      <c r="K86" s="186" t="s">
        <v>205</v>
      </c>
      <c r="L86" s="186"/>
      <c r="M86" s="186"/>
      <c r="N86" s="186" t="s">
        <v>206</v>
      </c>
      <c r="O86" s="186"/>
      <c r="P86" s="186"/>
      <c r="Q86" s="186"/>
      <c r="R86" s="186"/>
      <c r="S86" s="186"/>
      <c r="T86" s="186"/>
      <c r="U86" s="187"/>
      <c r="V86" s="186"/>
      <c r="W86" s="354" t="s">
        <v>300</v>
      </c>
      <c r="X86" s="356" t="s">
        <v>299</v>
      </c>
      <c r="Y86" s="186"/>
      <c r="Z86" s="186"/>
      <c r="AB86" s="189" t="s">
        <v>365</v>
      </c>
      <c r="AC86" s="189" t="s">
        <v>316</v>
      </c>
    </row>
    <row r="87" spans="1:29" x14ac:dyDescent="0.4">
      <c r="A87" s="355" t="s">
        <v>366</v>
      </c>
      <c r="B87" s="190"/>
      <c r="C87" s="190"/>
      <c r="D87" s="191"/>
      <c r="E87" s="190"/>
      <c r="F87" s="191"/>
      <c r="G87" s="190"/>
      <c r="H87" s="190"/>
      <c r="I87" s="190" t="s">
        <v>297</v>
      </c>
      <c r="J87" s="190" t="s">
        <v>183</v>
      </c>
      <c r="K87" s="190" t="s">
        <v>82</v>
      </c>
      <c r="L87" s="190"/>
      <c r="M87" s="190"/>
      <c r="N87" s="190" t="s">
        <v>206</v>
      </c>
      <c r="O87" s="190"/>
      <c r="P87" s="190"/>
      <c r="Q87" s="190"/>
      <c r="R87" s="190"/>
      <c r="S87" s="190"/>
      <c r="T87" s="190"/>
      <c r="U87" s="191"/>
      <c r="V87" s="190"/>
      <c r="W87" s="355" t="s">
        <v>300</v>
      </c>
      <c r="X87" s="357" t="s">
        <v>299</v>
      </c>
      <c r="Y87" s="190"/>
      <c r="Z87" s="190"/>
      <c r="AB87" s="189" t="s">
        <v>366</v>
      </c>
      <c r="AC87" s="189" t="s">
        <v>301</v>
      </c>
    </row>
    <row r="88" spans="1:29" x14ac:dyDescent="0.4">
      <c r="A88" s="355" t="s">
        <v>367</v>
      </c>
      <c r="B88" s="190"/>
      <c r="C88" s="190"/>
      <c r="D88" s="191"/>
      <c r="E88" s="190"/>
      <c r="F88" s="191"/>
      <c r="G88" s="190"/>
      <c r="H88" s="190"/>
      <c r="I88" s="190" t="s">
        <v>297</v>
      </c>
      <c r="J88" s="190" t="s">
        <v>183</v>
      </c>
      <c r="K88" s="190" t="s">
        <v>207</v>
      </c>
      <c r="L88" s="190"/>
      <c r="M88" s="190"/>
      <c r="N88" s="190" t="s">
        <v>206</v>
      </c>
      <c r="O88" s="190"/>
      <c r="P88" s="190"/>
      <c r="Q88" s="190"/>
      <c r="R88" s="190"/>
      <c r="S88" s="190"/>
      <c r="T88" s="190"/>
      <c r="U88" s="191"/>
      <c r="V88" s="190"/>
      <c r="W88" s="354" t="s">
        <v>300</v>
      </c>
      <c r="X88" s="356" t="s">
        <v>299</v>
      </c>
      <c r="Y88" s="190"/>
      <c r="Z88" s="190"/>
      <c r="AB88" s="189" t="s">
        <v>367</v>
      </c>
      <c r="AC88" s="189" t="s">
        <v>312</v>
      </c>
    </row>
    <row r="89" spans="1:29" x14ac:dyDescent="0.4">
      <c r="A89" s="355" t="s">
        <v>368</v>
      </c>
      <c r="B89" s="190"/>
      <c r="C89" s="190"/>
      <c r="D89" s="191"/>
      <c r="E89" s="190"/>
      <c r="F89" s="191"/>
      <c r="G89" s="190"/>
      <c r="H89" s="190"/>
      <c r="I89" s="190" t="s">
        <v>297</v>
      </c>
      <c r="J89" s="190" t="s">
        <v>183</v>
      </c>
      <c r="K89" s="190" t="s">
        <v>184</v>
      </c>
      <c r="L89" s="190"/>
      <c r="M89" s="190"/>
      <c r="N89" s="190" t="s">
        <v>206</v>
      </c>
      <c r="O89" s="192"/>
      <c r="P89" s="190"/>
      <c r="Q89" s="190"/>
      <c r="R89" s="190"/>
      <c r="S89" s="190"/>
      <c r="T89" s="190"/>
      <c r="U89" s="191"/>
      <c r="V89" s="190"/>
      <c r="W89" s="355" t="s">
        <v>300</v>
      </c>
      <c r="X89" s="357" t="s">
        <v>299</v>
      </c>
      <c r="Y89" s="190"/>
      <c r="Z89" s="190"/>
      <c r="AB89" s="189" t="s">
        <v>368</v>
      </c>
      <c r="AC89" s="189" t="s">
        <v>308</v>
      </c>
    </row>
    <row r="90" spans="1:29" x14ac:dyDescent="0.4">
      <c r="A90" s="354" t="s">
        <v>369</v>
      </c>
      <c r="B90" s="186"/>
      <c r="C90" s="186"/>
      <c r="D90" s="187"/>
      <c r="E90" s="186"/>
      <c r="F90" s="187"/>
      <c r="G90" s="186"/>
      <c r="H90" s="186"/>
      <c r="I90" s="186" t="s">
        <v>297</v>
      </c>
      <c r="J90" s="186" t="s">
        <v>183</v>
      </c>
      <c r="K90" s="186" t="s">
        <v>207</v>
      </c>
      <c r="L90" s="186"/>
      <c r="M90" s="186"/>
      <c r="N90" s="186" t="s">
        <v>206</v>
      </c>
      <c r="O90" s="188"/>
      <c r="P90" s="186"/>
      <c r="Q90" s="186"/>
      <c r="R90" s="186"/>
      <c r="S90" s="186"/>
      <c r="T90" s="186"/>
      <c r="U90" s="187"/>
      <c r="V90" s="186"/>
      <c r="W90" s="354" t="s">
        <v>300</v>
      </c>
      <c r="X90" s="356" t="s">
        <v>299</v>
      </c>
      <c r="Y90" s="186"/>
      <c r="Z90" s="186"/>
      <c r="AB90" s="189" t="s">
        <v>369</v>
      </c>
      <c r="AC90" s="189" t="s">
        <v>312</v>
      </c>
    </row>
    <row r="91" spans="1:29" s="252" customFormat="1" x14ac:dyDescent="0.4">
      <c r="A91" s="355" t="s">
        <v>370</v>
      </c>
      <c r="B91" s="190"/>
      <c r="C91" s="190"/>
      <c r="D91" s="191"/>
      <c r="E91" s="190"/>
      <c r="F91" s="191"/>
      <c r="G91" s="190"/>
      <c r="H91" s="190"/>
      <c r="I91" s="190" t="s">
        <v>297</v>
      </c>
      <c r="J91" s="190" t="s">
        <v>183</v>
      </c>
      <c r="K91" s="190" t="s">
        <v>184</v>
      </c>
      <c r="L91" s="190"/>
      <c r="M91" s="190"/>
      <c r="N91" s="190" t="s">
        <v>206</v>
      </c>
      <c r="O91" s="192"/>
      <c r="P91" s="190"/>
      <c r="Q91" s="190"/>
      <c r="R91" s="190"/>
      <c r="S91" s="190"/>
      <c r="T91" s="190"/>
      <c r="U91" s="191"/>
      <c r="V91" s="190"/>
      <c r="W91" s="355" t="s">
        <v>300</v>
      </c>
      <c r="X91" s="357" t="s">
        <v>299</v>
      </c>
      <c r="Y91" s="190"/>
      <c r="Z91" s="190"/>
      <c r="AA91" s="189"/>
      <c r="AB91" s="338" t="s">
        <v>370</v>
      </c>
      <c r="AC91" s="338" t="s">
        <v>308</v>
      </c>
    </row>
  </sheetData>
  <autoFilter ref="A1:AC1" xr:uid="{29E0ACE5-C265-4A5D-9FCD-6BF129B02B01}"/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93C8-8631-4154-BDA0-B7253E55B980}">
  <sheetPr>
    <tabColor rgb="FFFF0000"/>
  </sheetPr>
  <dimension ref="A1:N146"/>
  <sheetViews>
    <sheetView zoomScale="120" zoomScaleNormal="120" workbookViewId="0">
      <pane ySplit="1" topLeftCell="A32" activePane="bottomLeft" state="frozen"/>
      <selection pane="bottomLeft" activeCell="B13" sqref="B13"/>
    </sheetView>
  </sheetViews>
  <sheetFormatPr defaultColWidth="9.09765625" defaultRowHeight="11.4" x14ac:dyDescent="0.25"/>
  <cols>
    <col min="1" max="1" width="13.5" style="119" bestFit="1" customWidth="1"/>
    <col min="2" max="2" width="18.09765625" style="117" customWidth="1"/>
    <col min="3" max="10" width="9.8984375" style="117" bestFit="1" customWidth="1"/>
    <col min="11" max="16384" width="9.09765625" style="117"/>
  </cols>
  <sheetData>
    <row r="1" spans="1:14" x14ac:dyDescent="0.25">
      <c r="A1" s="236" t="s">
        <v>123</v>
      </c>
      <c r="B1" s="236" t="s">
        <v>127</v>
      </c>
      <c r="C1" s="339" t="s">
        <v>2</v>
      </c>
      <c r="D1" s="339" t="s">
        <v>3</v>
      </c>
      <c r="E1" s="339" t="s">
        <v>4</v>
      </c>
      <c r="F1" s="339" t="s">
        <v>5</v>
      </c>
      <c r="G1" s="339" t="s">
        <v>6</v>
      </c>
      <c r="H1" s="339" t="s">
        <v>7</v>
      </c>
      <c r="I1" s="339" t="s">
        <v>116</v>
      </c>
      <c r="J1" s="339" t="s">
        <v>117</v>
      </c>
      <c r="K1" s="339" t="s">
        <v>118</v>
      </c>
      <c r="L1" s="339" t="s">
        <v>119</v>
      </c>
      <c r="M1" s="339" t="s">
        <v>120</v>
      </c>
      <c r="N1" s="339" t="s">
        <v>399</v>
      </c>
    </row>
    <row r="2" spans="1:14" x14ac:dyDescent="0.25">
      <c r="A2" s="340">
        <v>130003</v>
      </c>
      <c r="B2" s="117" t="s">
        <v>388</v>
      </c>
      <c r="C2" s="117">
        <v>12086.3</v>
      </c>
      <c r="D2" s="117">
        <v>11470.2</v>
      </c>
    </row>
    <row r="3" spans="1:14" x14ac:dyDescent="0.25">
      <c r="A3" s="340">
        <v>130003</v>
      </c>
      <c r="B3" s="117" t="s">
        <v>389</v>
      </c>
      <c r="C3" s="117">
        <v>11168.600000000002</v>
      </c>
      <c r="D3" s="117">
        <v>11939.8</v>
      </c>
    </row>
    <row r="4" spans="1:14" x14ac:dyDescent="0.25">
      <c r="A4" s="340">
        <v>130003</v>
      </c>
      <c r="B4" s="117" t="s">
        <v>391</v>
      </c>
      <c r="C4" s="117">
        <v>1597.9999999461115</v>
      </c>
      <c r="D4" s="117">
        <v>3997.9999999012271</v>
      </c>
    </row>
    <row r="5" spans="1:14" x14ac:dyDescent="0.25">
      <c r="A5" s="340">
        <v>130003</v>
      </c>
      <c r="B5" s="117" t="s">
        <v>402</v>
      </c>
      <c r="C5" s="117">
        <v>2063.5</v>
      </c>
      <c r="D5" s="117">
        <v>1328.5</v>
      </c>
    </row>
    <row r="6" spans="1:14" x14ac:dyDescent="0.25">
      <c r="A6" s="340">
        <v>130003</v>
      </c>
      <c r="B6" s="117" t="s">
        <v>390</v>
      </c>
      <c r="C6" s="117">
        <v>119.99999999879999</v>
      </c>
      <c r="D6" s="117">
        <v>1799.999999982</v>
      </c>
    </row>
    <row r="7" spans="1:14" x14ac:dyDescent="0.25">
      <c r="A7" s="340">
        <v>130003</v>
      </c>
      <c r="B7" s="117" t="s">
        <v>395</v>
      </c>
      <c r="C7" s="117">
        <v>1209.5999999999999</v>
      </c>
      <c r="D7" s="117">
        <v>504</v>
      </c>
    </row>
    <row r="8" spans="1:14" x14ac:dyDescent="0.25">
      <c r="A8" s="340">
        <v>130003</v>
      </c>
      <c r="B8" s="117" t="s">
        <v>392</v>
      </c>
      <c r="C8" s="117">
        <v>794.78459999999995</v>
      </c>
    </row>
    <row r="9" spans="1:14" x14ac:dyDescent="0.25">
      <c r="A9" s="340">
        <v>130003</v>
      </c>
      <c r="B9" s="117" t="s">
        <v>405</v>
      </c>
      <c r="C9" s="117">
        <v>118.80000000000001</v>
      </c>
      <c r="D9" s="117">
        <v>118.80000000000001</v>
      </c>
    </row>
    <row r="10" spans="1:14" x14ac:dyDescent="0.25">
      <c r="A10" s="340">
        <v>130003</v>
      </c>
      <c r="B10" s="117" t="s">
        <v>394</v>
      </c>
      <c r="C10" s="117">
        <v>135</v>
      </c>
      <c r="D10" s="117">
        <v>27</v>
      </c>
    </row>
    <row r="11" spans="1:14" x14ac:dyDescent="0.25">
      <c r="A11" s="340">
        <v>130002</v>
      </c>
      <c r="B11" s="117" t="s">
        <v>388</v>
      </c>
      <c r="C11" s="117">
        <v>25314.9</v>
      </c>
      <c r="D11" s="117">
        <v>25517.4</v>
      </c>
    </row>
    <row r="12" spans="1:14" x14ac:dyDescent="0.25">
      <c r="A12" s="340">
        <v>130002</v>
      </c>
      <c r="B12" s="117" t="s">
        <v>389</v>
      </c>
      <c r="C12" s="117">
        <v>7318.8</v>
      </c>
      <c r="D12" s="117">
        <v>11646.199999999999</v>
      </c>
    </row>
    <row r="13" spans="1:14" x14ac:dyDescent="0.25">
      <c r="A13" s="340">
        <v>130002</v>
      </c>
      <c r="B13" s="117" t="s">
        <v>395</v>
      </c>
      <c r="C13" s="117">
        <v>4071.84</v>
      </c>
      <c r="D13" s="117">
        <v>5022.18</v>
      </c>
    </row>
    <row r="14" spans="1:14" x14ac:dyDescent="0.25">
      <c r="A14" s="340">
        <v>130002</v>
      </c>
      <c r="B14" s="117" t="s">
        <v>390</v>
      </c>
      <c r="C14" s="117">
        <v>429.99999999569997</v>
      </c>
      <c r="D14" s="117">
        <v>2245.9999999775396</v>
      </c>
    </row>
    <row r="15" spans="1:14" x14ac:dyDescent="0.25">
      <c r="A15" s="340">
        <v>130002</v>
      </c>
      <c r="B15" s="117" t="s">
        <v>391</v>
      </c>
      <c r="C15" s="117">
        <v>575.99999998429189</v>
      </c>
      <c r="D15" s="117">
        <v>1453.9999999564664</v>
      </c>
    </row>
    <row r="16" spans="1:14" x14ac:dyDescent="0.25">
      <c r="A16" s="340">
        <v>130002</v>
      </c>
      <c r="B16" s="117" t="s">
        <v>392</v>
      </c>
      <c r="C16" s="117">
        <v>804.83939999999996</v>
      </c>
      <c r="D16" s="117">
        <v>702.67619999999999</v>
      </c>
    </row>
    <row r="17" spans="1:4" x14ac:dyDescent="0.25">
      <c r="A17" s="340">
        <v>130002</v>
      </c>
      <c r="B17" s="117" t="s">
        <v>394</v>
      </c>
      <c r="C17" s="117">
        <v>162</v>
      </c>
      <c r="D17" s="117">
        <v>639</v>
      </c>
    </row>
    <row r="18" spans="1:4" x14ac:dyDescent="0.25">
      <c r="A18" s="340">
        <v>130002</v>
      </c>
      <c r="B18" s="117" t="s">
        <v>402</v>
      </c>
      <c r="C18" s="117">
        <v>158.60000000000002</v>
      </c>
      <c r="D18" s="117">
        <v>417.3</v>
      </c>
    </row>
    <row r="19" spans="1:4" x14ac:dyDescent="0.25">
      <c r="A19" s="340">
        <v>130002</v>
      </c>
      <c r="B19" s="117" t="s">
        <v>405</v>
      </c>
      <c r="C19" s="117">
        <v>246.76</v>
      </c>
      <c r="D19" s="117">
        <v>60.739999999999995</v>
      </c>
    </row>
    <row r="20" spans="1:4" x14ac:dyDescent="0.25">
      <c r="A20" s="340">
        <v>130002</v>
      </c>
      <c r="B20" s="117" t="s">
        <v>393</v>
      </c>
      <c r="C20" s="117">
        <v>200.4</v>
      </c>
      <c r="D20" s="117">
        <v>4.8000000000000007</v>
      </c>
    </row>
    <row r="21" spans="1:4" x14ac:dyDescent="0.25">
      <c r="A21" s="340">
        <v>130002</v>
      </c>
      <c r="B21" s="117" t="s">
        <v>396</v>
      </c>
      <c r="C21" s="117">
        <v>67.391999999999996</v>
      </c>
      <c r="D21" s="117">
        <v>34.56</v>
      </c>
    </row>
    <row r="22" spans="1:4" x14ac:dyDescent="0.25">
      <c r="A22" s="340">
        <v>130001</v>
      </c>
      <c r="B22" s="117" t="s">
        <v>388</v>
      </c>
      <c r="C22" s="117">
        <v>236700.4</v>
      </c>
      <c r="D22" s="117">
        <v>226483.9</v>
      </c>
    </row>
    <row r="23" spans="1:4" x14ac:dyDescent="0.25">
      <c r="A23" s="340">
        <v>130001</v>
      </c>
      <c r="B23" s="117" t="s">
        <v>389</v>
      </c>
      <c r="C23" s="117">
        <v>52658</v>
      </c>
      <c r="D23" s="117">
        <v>55385.1</v>
      </c>
    </row>
    <row r="24" spans="1:4" x14ac:dyDescent="0.25">
      <c r="A24" s="340">
        <v>130001</v>
      </c>
      <c r="B24" s="117" t="s">
        <v>395</v>
      </c>
      <c r="C24" s="117">
        <v>24595.200000000001</v>
      </c>
      <c r="D24" s="117">
        <v>26230.499999999996</v>
      </c>
    </row>
    <row r="25" spans="1:4" x14ac:dyDescent="0.25">
      <c r="A25" s="340">
        <v>130001</v>
      </c>
      <c r="B25" s="117" t="s">
        <v>391</v>
      </c>
      <c r="C25" s="117">
        <v>5519.9999998596186</v>
      </c>
      <c r="D25" s="117">
        <v>2024.9999999689201</v>
      </c>
    </row>
    <row r="26" spans="1:4" x14ac:dyDescent="0.25">
      <c r="A26" s="340">
        <v>130001</v>
      </c>
      <c r="B26" s="117" t="s">
        <v>390</v>
      </c>
      <c r="C26" s="117">
        <v>2799.9999999720003</v>
      </c>
      <c r="D26" s="117">
        <v>4299.999999957</v>
      </c>
    </row>
    <row r="27" spans="1:4" x14ac:dyDescent="0.25">
      <c r="A27" s="340">
        <v>130001</v>
      </c>
      <c r="B27" s="117" t="s">
        <v>392</v>
      </c>
      <c r="C27" s="117">
        <v>4299.1289999999999</v>
      </c>
    </row>
    <row r="28" spans="1:4" x14ac:dyDescent="0.25">
      <c r="A28" s="340">
        <v>130001</v>
      </c>
      <c r="B28" s="117" t="s">
        <v>402</v>
      </c>
      <c r="C28" s="117">
        <v>1990.0000000000002</v>
      </c>
      <c r="D28" s="117">
        <v>1436.0000000000002</v>
      </c>
    </row>
    <row r="29" spans="1:4" x14ac:dyDescent="0.25">
      <c r="A29" s="340">
        <v>130001</v>
      </c>
      <c r="B29" s="117" t="s">
        <v>394</v>
      </c>
      <c r="C29" s="117">
        <v>1794</v>
      </c>
      <c r="D29" s="117">
        <v>1080</v>
      </c>
    </row>
    <row r="30" spans="1:4" x14ac:dyDescent="0.25">
      <c r="A30" s="340">
        <v>130001</v>
      </c>
      <c r="B30" s="117" t="s">
        <v>393</v>
      </c>
      <c r="C30" s="117">
        <v>1395.6000000000004</v>
      </c>
      <c r="D30" s="117">
        <v>1291.2</v>
      </c>
    </row>
    <row r="31" spans="1:4" x14ac:dyDescent="0.25">
      <c r="A31" s="340">
        <v>130001</v>
      </c>
      <c r="B31" s="117" t="s">
        <v>405</v>
      </c>
      <c r="C31" s="117">
        <v>502.40000000000003</v>
      </c>
      <c r="D31" s="117">
        <v>747.19999999999993</v>
      </c>
    </row>
    <row r="32" spans="1:4" x14ac:dyDescent="0.25">
      <c r="A32" s="340">
        <v>130001</v>
      </c>
      <c r="B32" s="117" t="s">
        <v>396</v>
      </c>
      <c r="C32" s="117">
        <v>160.99199999999999</v>
      </c>
      <c r="D32" s="117">
        <v>156.672</v>
      </c>
    </row>
    <row r="33" spans="1:4" x14ac:dyDescent="0.25">
      <c r="A33" s="340">
        <v>150001</v>
      </c>
      <c r="B33" s="117" t="s">
        <v>388</v>
      </c>
      <c r="C33" s="117">
        <v>41110.1</v>
      </c>
      <c r="D33" s="117">
        <v>52562.6</v>
      </c>
    </row>
    <row r="34" spans="1:4" x14ac:dyDescent="0.25">
      <c r="A34" s="340">
        <v>150001</v>
      </c>
      <c r="B34" s="117" t="s">
        <v>389</v>
      </c>
      <c r="C34" s="117">
        <v>20897.399999999998</v>
      </c>
      <c r="D34" s="117">
        <v>22960.800000000003</v>
      </c>
    </row>
    <row r="35" spans="1:4" x14ac:dyDescent="0.25">
      <c r="A35" s="340">
        <v>150001</v>
      </c>
      <c r="B35" s="117" t="s">
        <v>390</v>
      </c>
      <c r="C35" s="117">
        <v>18063.999999819363</v>
      </c>
      <c r="D35" s="117">
        <v>16269.999999837302</v>
      </c>
    </row>
    <row r="36" spans="1:4" x14ac:dyDescent="0.25">
      <c r="A36" s="340">
        <v>150001</v>
      </c>
      <c r="B36" s="117" t="s">
        <v>395</v>
      </c>
      <c r="C36" s="117">
        <v>3928.6200000000003</v>
      </c>
      <c r="D36" s="117">
        <v>5880.84</v>
      </c>
    </row>
    <row r="37" spans="1:4" x14ac:dyDescent="0.25">
      <c r="A37" s="340">
        <v>150001</v>
      </c>
      <c r="B37" s="117" t="s">
        <v>391</v>
      </c>
      <c r="C37" s="117">
        <v>1728.9999999691674</v>
      </c>
      <c r="D37" s="117">
        <v>4609.9999999335105</v>
      </c>
    </row>
    <row r="38" spans="1:4" x14ac:dyDescent="0.25">
      <c r="A38" s="340">
        <v>150001</v>
      </c>
      <c r="B38" s="117" t="s">
        <v>402</v>
      </c>
      <c r="C38" s="117">
        <v>818.19999999999993</v>
      </c>
      <c r="D38" s="117">
        <v>335.7</v>
      </c>
    </row>
    <row r="39" spans="1:4" x14ac:dyDescent="0.25">
      <c r="A39" s="340">
        <v>150001</v>
      </c>
      <c r="B39" s="117" t="s">
        <v>393</v>
      </c>
      <c r="C39" s="117">
        <v>265.20000000000005</v>
      </c>
      <c r="D39" s="117">
        <v>261.60000000000002</v>
      </c>
    </row>
    <row r="40" spans="1:4" x14ac:dyDescent="0.25">
      <c r="A40" s="340">
        <v>150001</v>
      </c>
      <c r="B40" s="117" t="s">
        <v>392</v>
      </c>
      <c r="C40" s="117">
        <v>102.303</v>
      </c>
      <c r="D40" s="117">
        <v>321.57899999999995</v>
      </c>
    </row>
    <row r="41" spans="1:4" x14ac:dyDescent="0.25">
      <c r="A41" s="340">
        <v>150001</v>
      </c>
      <c r="B41" s="117" t="s">
        <v>394</v>
      </c>
      <c r="C41" s="117">
        <v>248.40000000000003</v>
      </c>
      <c r="D41" s="117">
        <v>88.2</v>
      </c>
    </row>
    <row r="42" spans="1:4" x14ac:dyDescent="0.25">
      <c r="A42" s="340">
        <v>150001</v>
      </c>
      <c r="B42" s="117" t="s">
        <v>405</v>
      </c>
      <c r="D42" s="117">
        <v>66.06</v>
      </c>
    </row>
    <row r="43" spans="1:4" x14ac:dyDescent="0.25">
      <c r="A43" s="340">
        <v>150001</v>
      </c>
      <c r="B43" s="117" t="s">
        <v>396</v>
      </c>
      <c r="C43" s="117">
        <v>5.76</v>
      </c>
      <c r="D43" s="117">
        <v>28.224</v>
      </c>
    </row>
    <row r="44" spans="1:4" x14ac:dyDescent="0.25">
      <c r="A44" s="340">
        <v>110003</v>
      </c>
      <c r="B44" s="117" t="s">
        <v>388</v>
      </c>
      <c r="C44" s="117">
        <v>8033.6</v>
      </c>
      <c r="D44" s="117">
        <v>17348.8</v>
      </c>
    </row>
    <row r="45" spans="1:4" x14ac:dyDescent="0.25">
      <c r="A45" s="340">
        <v>110003</v>
      </c>
      <c r="B45" s="117" t="s">
        <v>389</v>
      </c>
      <c r="C45" s="117">
        <v>8907.0999999999985</v>
      </c>
      <c r="D45" s="117">
        <v>11648.399999999998</v>
      </c>
    </row>
    <row r="46" spans="1:4" x14ac:dyDescent="0.25">
      <c r="A46" s="340">
        <v>110003</v>
      </c>
      <c r="B46" s="117" t="s">
        <v>395</v>
      </c>
      <c r="C46" s="117">
        <v>3326.4</v>
      </c>
      <c r="D46" s="117">
        <v>2016</v>
      </c>
    </row>
    <row r="47" spans="1:4" x14ac:dyDescent="0.25">
      <c r="A47" s="340">
        <v>110003</v>
      </c>
      <c r="B47" s="117" t="s">
        <v>392</v>
      </c>
      <c r="C47" s="117">
        <v>739.01160000000004</v>
      </c>
      <c r="D47" s="117">
        <v>4091.6123999999995</v>
      </c>
    </row>
    <row r="48" spans="1:4" x14ac:dyDescent="0.25">
      <c r="A48" s="340">
        <v>110003</v>
      </c>
      <c r="B48" s="117" t="s">
        <v>402</v>
      </c>
      <c r="C48" s="117">
        <v>443</v>
      </c>
      <c r="D48" s="117">
        <v>1450.2</v>
      </c>
    </row>
    <row r="49" spans="1:4" x14ac:dyDescent="0.25">
      <c r="A49" s="340">
        <v>110003</v>
      </c>
      <c r="B49" s="117" t="s">
        <v>391</v>
      </c>
      <c r="C49" s="117">
        <v>35.999999999639996</v>
      </c>
      <c r="D49" s="117">
        <v>1055.9999999883601</v>
      </c>
    </row>
    <row r="50" spans="1:4" x14ac:dyDescent="0.25">
      <c r="A50" s="340">
        <v>110003</v>
      </c>
      <c r="B50" s="117" t="s">
        <v>393</v>
      </c>
      <c r="C50" s="117">
        <v>102</v>
      </c>
      <c r="D50" s="117">
        <v>24</v>
      </c>
    </row>
    <row r="51" spans="1:4" x14ac:dyDescent="0.25">
      <c r="A51" s="340">
        <v>110003</v>
      </c>
      <c r="B51" s="117" t="s">
        <v>405</v>
      </c>
      <c r="D51" s="117">
        <v>62.999999999999993</v>
      </c>
    </row>
    <row r="52" spans="1:4" x14ac:dyDescent="0.25">
      <c r="A52" s="340">
        <v>110003</v>
      </c>
      <c r="B52" s="117" t="s">
        <v>394</v>
      </c>
      <c r="C52" s="117">
        <v>10.799999999999999</v>
      </c>
    </row>
    <row r="53" spans="1:4" x14ac:dyDescent="0.25">
      <c r="A53" s="340">
        <v>110002</v>
      </c>
      <c r="B53" s="117" t="s">
        <v>388</v>
      </c>
      <c r="C53" s="117">
        <v>9550.2000000000007</v>
      </c>
      <c r="D53" s="117">
        <v>9775.6</v>
      </c>
    </row>
    <row r="54" spans="1:4" x14ac:dyDescent="0.25">
      <c r="A54" s="340">
        <v>110002</v>
      </c>
      <c r="B54" s="117" t="s">
        <v>389</v>
      </c>
      <c r="C54" s="117">
        <v>4758.0999999999985</v>
      </c>
      <c r="D54" s="117">
        <v>5558.5999999999995</v>
      </c>
    </row>
    <row r="55" spans="1:4" x14ac:dyDescent="0.25">
      <c r="A55" s="340">
        <v>110002</v>
      </c>
      <c r="B55" s="117" t="s">
        <v>395</v>
      </c>
      <c r="C55" s="117">
        <v>1285.0800000000004</v>
      </c>
      <c r="D55" s="117">
        <v>1242.1799999999998</v>
      </c>
    </row>
    <row r="56" spans="1:4" x14ac:dyDescent="0.25">
      <c r="A56" s="340">
        <v>110002</v>
      </c>
      <c r="B56" s="117" t="s">
        <v>392</v>
      </c>
      <c r="C56" s="117">
        <v>708.01019999999994</v>
      </c>
      <c r="D56" s="117">
        <v>630.53999999999985</v>
      </c>
    </row>
    <row r="57" spans="1:4" x14ac:dyDescent="0.25">
      <c r="A57" s="340">
        <v>110002</v>
      </c>
      <c r="B57" s="117" t="s">
        <v>391</v>
      </c>
      <c r="C57" s="117">
        <v>409.99999999199986</v>
      </c>
      <c r="D57" s="117">
        <v>897.99999998267947</v>
      </c>
    </row>
    <row r="58" spans="1:4" x14ac:dyDescent="0.25">
      <c r="A58" s="340">
        <v>110002</v>
      </c>
      <c r="B58" s="117" t="s">
        <v>393</v>
      </c>
      <c r="C58" s="117">
        <v>272.40000000000009</v>
      </c>
      <c r="D58" s="117">
        <v>231.6</v>
      </c>
    </row>
    <row r="59" spans="1:4" x14ac:dyDescent="0.25">
      <c r="A59" s="340">
        <v>110002</v>
      </c>
      <c r="B59" s="117" t="s">
        <v>390</v>
      </c>
      <c r="C59" s="117">
        <v>111.99999999888</v>
      </c>
      <c r="D59" s="117">
        <v>157.99999999842004</v>
      </c>
    </row>
    <row r="60" spans="1:4" x14ac:dyDescent="0.25">
      <c r="A60" s="340">
        <v>110002</v>
      </c>
      <c r="B60" s="117" t="s">
        <v>402</v>
      </c>
      <c r="C60" s="117">
        <v>83</v>
      </c>
      <c r="D60" s="117">
        <v>67.400000000000006</v>
      </c>
    </row>
    <row r="61" spans="1:4" x14ac:dyDescent="0.25">
      <c r="A61" s="340">
        <v>110002</v>
      </c>
      <c r="B61" s="117" t="s">
        <v>394</v>
      </c>
      <c r="C61" s="117">
        <v>32.4</v>
      </c>
      <c r="D61" s="117">
        <v>97.2</v>
      </c>
    </row>
    <row r="62" spans="1:4" x14ac:dyDescent="0.25">
      <c r="A62" s="340">
        <v>110002</v>
      </c>
      <c r="B62" s="117" t="s">
        <v>405</v>
      </c>
      <c r="C62" s="117">
        <v>50.4</v>
      </c>
      <c r="D62" s="117">
        <v>24.48</v>
      </c>
    </row>
    <row r="63" spans="1:4" x14ac:dyDescent="0.25">
      <c r="A63" s="340">
        <v>110002</v>
      </c>
      <c r="B63" s="117" t="s">
        <v>396</v>
      </c>
      <c r="C63" s="117">
        <v>70.271999999999991</v>
      </c>
    </row>
    <row r="64" spans="1:4" x14ac:dyDescent="0.25">
      <c r="A64" s="358">
        <v>110001</v>
      </c>
      <c r="B64" s="359" t="s">
        <v>388</v>
      </c>
      <c r="C64" s="359">
        <v>97380.6</v>
      </c>
      <c r="D64" s="359">
        <v>105917.6</v>
      </c>
    </row>
    <row r="65" spans="1:4" x14ac:dyDescent="0.25">
      <c r="A65" s="358">
        <v>110001</v>
      </c>
      <c r="B65" s="359" t="s">
        <v>389</v>
      </c>
      <c r="C65" s="359">
        <v>32733.5</v>
      </c>
      <c r="D65" s="359">
        <v>34763</v>
      </c>
    </row>
    <row r="66" spans="1:4" x14ac:dyDescent="0.25">
      <c r="A66" s="358">
        <v>110001</v>
      </c>
      <c r="B66" s="359" t="s">
        <v>395</v>
      </c>
      <c r="C66" s="359">
        <v>11614.499999999996</v>
      </c>
      <c r="D66" s="359">
        <v>16333.8</v>
      </c>
    </row>
    <row r="67" spans="1:4" x14ac:dyDescent="0.25">
      <c r="A67" s="358">
        <v>110001</v>
      </c>
      <c r="B67" s="359" t="s">
        <v>391</v>
      </c>
      <c r="C67" s="359">
        <v>1199.9999999879999</v>
      </c>
      <c r="D67" s="359">
        <v>49.9999999992</v>
      </c>
    </row>
    <row r="68" spans="1:4" x14ac:dyDescent="0.25">
      <c r="A68" s="358">
        <v>110001</v>
      </c>
      <c r="B68" s="359" t="s">
        <v>402</v>
      </c>
      <c r="C68" s="359">
        <v>421.4</v>
      </c>
      <c r="D68" s="359">
        <v>652.79999999999995</v>
      </c>
    </row>
    <row r="69" spans="1:4" x14ac:dyDescent="0.25">
      <c r="A69" s="358">
        <v>110001</v>
      </c>
      <c r="B69" s="359" t="s">
        <v>390</v>
      </c>
      <c r="C69" s="359">
        <v>49.999999999500005</v>
      </c>
      <c r="D69" s="359">
        <v>1009.9999999899001</v>
      </c>
    </row>
    <row r="70" spans="1:4" x14ac:dyDescent="0.25">
      <c r="A70" s="358">
        <v>110001</v>
      </c>
      <c r="B70" s="359" t="s">
        <v>394</v>
      </c>
      <c r="C70" s="359">
        <v>324</v>
      </c>
      <c r="D70" s="359">
        <v>216</v>
      </c>
    </row>
    <row r="71" spans="1:4" x14ac:dyDescent="0.25">
      <c r="A71" s="358">
        <v>110001</v>
      </c>
      <c r="B71" s="359" t="s">
        <v>405</v>
      </c>
      <c r="C71" s="359">
        <v>29.700000000000003</v>
      </c>
      <c r="D71" s="359">
        <v>292.99999999999994</v>
      </c>
    </row>
    <row r="72" spans="1:4" x14ac:dyDescent="0.25">
      <c r="A72" s="358">
        <v>110001</v>
      </c>
      <c r="B72" s="359" t="s">
        <v>393</v>
      </c>
      <c r="C72" s="359">
        <v>6</v>
      </c>
      <c r="D72" s="359">
        <v>102</v>
      </c>
    </row>
    <row r="73" spans="1:4" x14ac:dyDescent="0.25">
      <c r="A73" s="358">
        <v>110001</v>
      </c>
      <c r="B73" s="359" t="s">
        <v>396</v>
      </c>
      <c r="C73" s="359"/>
      <c r="D73" s="359">
        <v>23.04</v>
      </c>
    </row>
    <row r="74" spans="1:4" x14ac:dyDescent="0.25">
      <c r="A74" s="340">
        <v>140003</v>
      </c>
      <c r="B74" s="117" t="s">
        <v>388</v>
      </c>
      <c r="C74" s="117">
        <v>6303</v>
      </c>
      <c r="D74" s="117">
        <v>11480.7</v>
      </c>
    </row>
    <row r="75" spans="1:4" x14ac:dyDescent="0.25">
      <c r="A75" s="340">
        <v>140003</v>
      </c>
      <c r="B75" s="117" t="s">
        <v>389</v>
      </c>
      <c r="C75" s="117">
        <v>6660.5</v>
      </c>
      <c r="D75" s="117">
        <v>10883</v>
      </c>
    </row>
    <row r="76" spans="1:4" x14ac:dyDescent="0.25">
      <c r="A76" s="340">
        <v>140003</v>
      </c>
      <c r="B76" s="117" t="s">
        <v>391</v>
      </c>
      <c r="C76" s="117">
        <v>3347.9999999549991</v>
      </c>
      <c r="D76" s="117">
        <v>4487.9999999497213</v>
      </c>
    </row>
    <row r="77" spans="1:4" x14ac:dyDescent="0.25">
      <c r="A77" s="340">
        <v>140003</v>
      </c>
      <c r="B77" s="117" t="s">
        <v>402</v>
      </c>
      <c r="C77" s="117">
        <v>850</v>
      </c>
      <c r="D77" s="117">
        <v>1089</v>
      </c>
    </row>
    <row r="78" spans="1:4" x14ac:dyDescent="0.25">
      <c r="A78" s="340">
        <v>140003</v>
      </c>
      <c r="B78" s="117" t="s">
        <v>392</v>
      </c>
      <c r="C78" s="117">
        <v>1067.742</v>
      </c>
    </row>
    <row r="79" spans="1:4" x14ac:dyDescent="0.25">
      <c r="A79" s="340">
        <v>140003</v>
      </c>
      <c r="B79" s="117" t="s">
        <v>390</v>
      </c>
      <c r="D79" s="117">
        <v>399.99999999600004</v>
      </c>
    </row>
    <row r="80" spans="1:4" x14ac:dyDescent="0.25">
      <c r="A80" s="340">
        <v>140003</v>
      </c>
      <c r="B80" s="117" t="s">
        <v>394</v>
      </c>
      <c r="D80" s="117">
        <v>216</v>
      </c>
    </row>
    <row r="81" spans="1:4" x14ac:dyDescent="0.25">
      <c r="A81" s="340">
        <v>140003</v>
      </c>
      <c r="B81" s="117" t="s">
        <v>395</v>
      </c>
      <c r="D81" s="117">
        <v>151.19999999999999</v>
      </c>
    </row>
    <row r="82" spans="1:4" x14ac:dyDescent="0.25">
      <c r="A82" s="340">
        <v>140003</v>
      </c>
      <c r="B82" s="117" t="s">
        <v>393</v>
      </c>
      <c r="C82" s="117">
        <v>120</v>
      </c>
    </row>
    <row r="83" spans="1:4" x14ac:dyDescent="0.25">
      <c r="A83" s="340">
        <v>140002</v>
      </c>
      <c r="B83" s="117" t="s">
        <v>388</v>
      </c>
      <c r="C83" s="117">
        <v>15074.4</v>
      </c>
      <c r="D83" s="117">
        <v>12196.8</v>
      </c>
    </row>
    <row r="84" spans="1:4" x14ac:dyDescent="0.25">
      <c r="A84" s="340">
        <v>140002</v>
      </c>
      <c r="B84" s="117" t="s">
        <v>389</v>
      </c>
      <c r="C84" s="117">
        <v>5302.0999999999995</v>
      </c>
      <c r="D84" s="117">
        <v>3901.7999999999997</v>
      </c>
    </row>
    <row r="85" spans="1:4" x14ac:dyDescent="0.25">
      <c r="A85" s="340">
        <v>140002</v>
      </c>
      <c r="B85" s="117" t="s">
        <v>395</v>
      </c>
      <c r="C85" s="117">
        <v>2268</v>
      </c>
      <c r="D85" s="117">
        <v>1411.1999999999998</v>
      </c>
    </row>
    <row r="86" spans="1:4" x14ac:dyDescent="0.25">
      <c r="A86" s="340">
        <v>140002</v>
      </c>
      <c r="B86" s="117" t="s">
        <v>391</v>
      </c>
      <c r="C86" s="117">
        <v>571.99999999212002</v>
      </c>
      <c r="D86" s="117">
        <v>799.99999999092017</v>
      </c>
    </row>
    <row r="87" spans="1:4" x14ac:dyDescent="0.25">
      <c r="A87" s="340">
        <v>140002</v>
      </c>
      <c r="B87" s="117" t="s">
        <v>393</v>
      </c>
      <c r="C87" s="117">
        <v>282</v>
      </c>
      <c r="D87" s="117">
        <v>300</v>
      </c>
    </row>
    <row r="88" spans="1:4" x14ac:dyDescent="0.25">
      <c r="A88" s="340">
        <v>140002</v>
      </c>
      <c r="B88" s="117" t="s">
        <v>394</v>
      </c>
      <c r="C88" s="117">
        <v>81</v>
      </c>
      <c r="D88" s="117">
        <v>248.40000000000003</v>
      </c>
    </row>
    <row r="89" spans="1:4" x14ac:dyDescent="0.25">
      <c r="A89" s="340">
        <v>140002</v>
      </c>
      <c r="B89" s="117" t="s">
        <v>402</v>
      </c>
      <c r="C89" s="117">
        <v>164.4</v>
      </c>
      <c r="D89" s="117">
        <v>126.6</v>
      </c>
    </row>
    <row r="90" spans="1:4" x14ac:dyDescent="0.25">
      <c r="A90" s="340">
        <v>140002</v>
      </c>
      <c r="B90" s="117" t="s">
        <v>405</v>
      </c>
      <c r="C90" s="117">
        <v>229.4</v>
      </c>
    </row>
    <row r="91" spans="1:4" x14ac:dyDescent="0.25">
      <c r="A91" s="340">
        <v>140002</v>
      </c>
      <c r="B91" s="117" t="s">
        <v>390</v>
      </c>
      <c r="C91" s="117">
        <v>92.999999999069999</v>
      </c>
      <c r="D91" s="117">
        <v>84.999999999150006</v>
      </c>
    </row>
    <row r="92" spans="1:4" x14ac:dyDescent="0.25">
      <c r="A92" s="340">
        <v>140002</v>
      </c>
      <c r="B92" s="117" t="s">
        <v>396</v>
      </c>
      <c r="C92" s="117">
        <v>46.08</v>
      </c>
      <c r="D92" s="117">
        <v>57.6</v>
      </c>
    </row>
    <row r="93" spans="1:4" x14ac:dyDescent="0.25">
      <c r="A93" s="340">
        <v>140002</v>
      </c>
      <c r="B93" s="117" t="s">
        <v>392</v>
      </c>
      <c r="C93" s="117">
        <v>10.799999999999999</v>
      </c>
      <c r="D93" s="117">
        <v>13.1706</v>
      </c>
    </row>
    <row r="94" spans="1:4" x14ac:dyDescent="0.25">
      <c r="A94" s="340">
        <v>140001</v>
      </c>
      <c r="B94" s="117" t="s">
        <v>388</v>
      </c>
      <c r="C94" s="117">
        <v>173949.4</v>
      </c>
      <c r="D94" s="117">
        <v>177552.9</v>
      </c>
    </row>
    <row r="95" spans="1:4" x14ac:dyDescent="0.25">
      <c r="A95" s="340">
        <v>140001</v>
      </c>
      <c r="B95" s="117" t="s">
        <v>389</v>
      </c>
      <c r="C95" s="117">
        <v>78289</v>
      </c>
      <c r="D95" s="117">
        <v>73276.3</v>
      </c>
    </row>
    <row r="96" spans="1:4" x14ac:dyDescent="0.25">
      <c r="A96" s="340">
        <v>140001</v>
      </c>
      <c r="B96" s="117" t="s">
        <v>395</v>
      </c>
      <c r="C96" s="117">
        <v>25401.599999999995</v>
      </c>
      <c r="D96" s="117">
        <v>30375.479999999996</v>
      </c>
    </row>
    <row r="97" spans="1:4" x14ac:dyDescent="0.25">
      <c r="A97" s="340">
        <v>140001</v>
      </c>
      <c r="B97" s="117" t="s">
        <v>390</v>
      </c>
      <c r="C97" s="117">
        <v>9249.9999999075008</v>
      </c>
      <c r="D97" s="117">
        <v>12599.999999873999</v>
      </c>
    </row>
    <row r="98" spans="1:4" x14ac:dyDescent="0.25">
      <c r="A98" s="340">
        <v>140001</v>
      </c>
      <c r="B98" s="117" t="s">
        <v>391</v>
      </c>
      <c r="C98" s="117">
        <v>3719.9999999358001</v>
      </c>
      <c r="D98" s="117">
        <v>5569.9999998803978</v>
      </c>
    </row>
    <row r="99" spans="1:4" x14ac:dyDescent="0.25">
      <c r="A99" s="340">
        <v>140001</v>
      </c>
      <c r="B99" s="117" t="s">
        <v>402</v>
      </c>
      <c r="C99" s="117">
        <v>3371</v>
      </c>
      <c r="D99" s="117">
        <v>129</v>
      </c>
    </row>
    <row r="100" spans="1:4" x14ac:dyDescent="0.25">
      <c r="A100" s="340">
        <v>140001</v>
      </c>
      <c r="B100" s="117" t="s">
        <v>393</v>
      </c>
      <c r="C100" s="117">
        <v>120</v>
      </c>
      <c r="D100" s="117">
        <v>120</v>
      </c>
    </row>
    <row r="101" spans="1:4" x14ac:dyDescent="0.25">
      <c r="A101" s="340">
        <v>140001</v>
      </c>
      <c r="B101" s="117" t="s">
        <v>394</v>
      </c>
      <c r="C101" s="117">
        <v>108</v>
      </c>
      <c r="D101" s="117">
        <v>86.399999999999991</v>
      </c>
    </row>
    <row r="102" spans="1:4" x14ac:dyDescent="0.25">
      <c r="A102" s="340">
        <v>140001</v>
      </c>
      <c r="B102" s="117" t="s">
        <v>392</v>
      </c>
      <c r="C102" s="117">
        <v>110.0646</v>
      </c>
      <c r="D102" s="117">
        <v>30.385799999999996</v>
      </c>
    </row>
    <row r="103" spans="1:4" x14ac:dyDescent="0.25">
      <c r="A103" s="340">
        <v>140001</v>
      </c>
      <c r="B103" s="117" t="s">
        <v>405</v>
      </c>
      <c r="C103" s="117">
        <v>43.019999999999996</v>
      </c>
      <c r="D103" s="117">
        <v>37.799999999999997</v>
      </c>
    </row>
    <row r="104" spans="1:4" x14ac:dyDescent="0.25">
      <c r="A104" s="340">
        <v>120002</v>
      </c>
      <c r="B104" s="117" t="s">
        <v>388</v>
      </c>
      <c r="C104" s="117">
        <v>40322</v>
      </c>
      <c r="D104" s="117">
        <v>53459.6</v>
      </c>
    </row>
    <row r="105" spans="1:4" x14ac:dyDescent="0.25">
      <c r="A105" s="340">
        <v>120002</v>
      </c>
      <c r="B105" s="117" t="s">
        <v>389</v>
      </c>
      <c r="C105" s="117">
        <v>16459.5</v>
      </c>
      <c r="D105" s="117">
        <v>27532.300000000014</v>
      </c>
    </row>
    <row r="106" spans="1:4" x14ac:dyDescent="0.25">
      <c r="A106" s="340">
        <v>120002</v>
      </c>
      <c r="B106" s="117" t="s">
        <v>395</v>
      </c>
      <c r="C106" s="117">
        <v>8467.2000000000007</v>
      </c>
      <c r="D106" s="117">
        <v>8124.4799999999987</v>
      </c>
    </row>
    <row r="107" spans="1:4" x14ac:dyDescent="0.25">
      <c r="A107" s="340">
        <v>120002</v>
      </c>
      <c r="B107" s="117" t="s">
        <v>391</v>
      </c>
      <c r="C107" s="117">
        <v>579.99999998963983</v>
      </c>
      <c r="D107" s="117">
        <v>1641.9999999647994</v>
      </c>
    </row>
    <row r="108" spans="1:4" x14ac:dyDescent="0.25">
      <c r="A108" s="340">
        <v>120002</v>
      </c>
      <c r="B108" s="117" t="s">
        <v>390</v>
      </c>
      <c r="C108" s="117">
        <v>743.99999999256011</v>
      </c>
      <c r="D108" s="117">
        <v>690.99999999308989</v>
      </c>
    </row>
    <row r="109" spans="1:4" x14ac:dyDescent="0.25">
      <c r="A109" s="340">
        <v>120002</v>
      </c>
      <c r="B109" s="117" t="s">
        <v>393</v>
      </c>
      <c r="C109" s="117">
        <v>699.59999999999957</v>
      </c>
      <c r="D109" s="117">
        <v>490.8</v>
      </c>
    </row>
    <row r="110" spans="1:4" x14ac:dyDescent="0.25">
      <c r="A110" s="340">
        <v>120002</v>
      </c>
      <c r="B110" s="117" t="s">
        <v>402</v>
      </c>
      <c r="C110" s="117">
        <v>392.20000000000005</v>
      </c>
      <c r="D110" s="117">
        <v>562.79999999999995</v>
      </c>
    </row>
    <row r="111" spans="1:4" x14ac:dyDescent="0.25">
      <c r="A111" s="340">
        <v>120002</v>
      </c>
      <c r="B111" s="117" t="s">
        <v>392</v>
      </c>
      <c r="C111" s="117">
        <v>276.30540000000002</v>
      </c>
      <c r="D111" s="117">
        <v>359.21699999999998</v>
      </c>
    </row>
    <row r="112" spans="1:4" x14ac:dyDescent="0.25">
      <c r="A112" s="340">
        <v>120002</v>
      </c>
      <c r="B112" s="117" t="s">
        <v>394</v>
      </c>
      <c r="C112" s="117">
        <v>140.4</v>
      </c>
      <c r="D112" s="117">
        <v>286.20000000000005</v>
      </c>
    </row>
    <row r="113" spans="1:4" x14ac:dyDescent="0.25">
      <c r="A113" s="340">
        <v>120002</v>
      </c>
      <c r="B113" s="117" t="s">
        <v>405</v>
      </c>
      <c r="C113" s="117">
        <v>149.42000000000002</v>
      </c>
      <c r="D113" s="117">
        <v>246.4</v>
      </c>
    </row>
    <row r="114" spans="1:4" x14ac:dyDescent="0.25">
      <c r="A114" s="340">
        <v>120002</v>
      </c>
      <c r="B114" s="117" t="s">
        <v>396</v>
      </c>
      <c r="C114" s="117">
        <v>11.52</v>
      </c>
      <c r="D114" s="117">
        <v>11.52</v>
      </c>
    </row>
    <row r="115" spans="1:4" x14ac:dyDescent="0.25">
      <c r="A115" s="340">
        <v>120001</v>
      </c>
      <c r="B115" s="117" t="s">
        <v>388</v>
      </c>
      <c r="C115" s="117">
        <v>55762.3</v>
      </c>
      <c r="D115" s="117">
        <v>73122.2</v>
      </c>
    </row>
    <row r="116" spans="1:4" x14ac:dyDescent="0.25">
      <c r="A116" s="340">
        <v>120001</v>
      </c>
      <c r="B116" s="117" t="s">
        <v>389</v>
      </c>
      <c r="C116" s="117">
        <v>30180.600000000002</v>
      </c>
      <c r="D116" s="117">
        <v>31637.300000000003</v>
      </c>
    </row>
    <row r="117" spans="1:4" x14ac:dyDescent="0.25">
      <c r="A117" s="340">
        <v>120001</v>
      </c>
      <c r="B117" s="117" t="s">
        <v>395</v>
      </c>
      <c r="C117" s="117">
        <v>7963.2</v>
      </c>
      <c r="D117" s="117">
        <v>7816.4399999999978</v>
      </c>
    </row>
    <row r="118" spans="1:4" x14ac:dyDescent="0.25">
      <c r="A118" s="340">
        <v>120001</v>
      </c>
      <c r="B118" s="117" t="s">
        <v>391</v>
      </c>
      <c r="C118" s="117">
        <v>562.9999999796878</v>
      </c>
      <c r="D118" s="117">
        <v>1799.9999999665192</v>
      </c>
    </row>
    <row r="119" spans="1:4" x14ac:dyDescent="0.25">
      <c r="A119" s="340">
        <v>120001</v>
      </c>
      <c r="B119" s="117" t="s">
        <v>392</v>
      </c>
      <c r="C119" s="117">
        <v>310.62419999999997</v>
      </c>
      <c r="D119" s="117">
        <v>1488.6593999999998</v>
      </c>
    </row>
    <row r="120" spans="1:4" x14ac:dyDescent="0.25">
      <c r="A120" s="340">
        <v>120001</v>
      </c>
      <c r="B120" s="117" t="s">
        <v>393</v>
      </c>
      <c r="C120" s="117">
        <v>1045.2</v>
      </c>
      <c r="D120" s="117">
        <v>742.79999999999973</v>
      </c>
    </row>
    <row r="121" spans="1:4" x14ac:dyDescent="0.25">
      <c r="A121" s="340">
        <v>120001</v>
      </c>
      <c r="B121" s="117" t="s">
        <v>394</v>
      </c>
      <c r="C121" s="117">
        <v>405</v>
      </c>
      <c r="D121" s="117">
        <v>675</v>
      </c>
    </row>
    <row r="122" spans="1:4" x14ac:dyDescent="0.25">
      <c r="A122" s="340">
        <v>120001</v>
      </c>
      <c r="B122" s="117" t="s">
        <v>390</v>
      </c>
      <c r="C122" s="117">
        <v>555.99999999444003</v>
      </c>
      <c r="D122" s="117">
        <v>251.99999999748002</v>
      </c>
    </row>
    <row r="123" spans="1:4" x14ac:dyDescent="0.25">
      <c r="A123" s="340">
        <v>120001</v>
      </c>
      <c r="B123" s="117" t="s">
        <v>402</v>
      </c>
      <c r="C123" s="117">
        <v>58</v>
      </c>
      <c r="D123" s="117">
        <v>645.79999999999995</v>
      </c>
    </row>
    <row r="124" spans="1:4" x14ac:dyDescent="0.25">
      <c r="A124" s="340">
        <v>120001</v>
      </c>
      <c r="B124" s="117" t="s">
        <v>396</v>
      </c>
      <c r="C124" s="117">
        <v>11.52</v>
      </c>
      <c r="D124" s="117">
        <v>84.096000000000004</v>
      </c>
    </row>
    <row r="125" spans="1:4" x14ac:dyDescent="0.25">
      <c r="A125" s="340">
        <v>120001</v>
      </c>
      <c r="B125" s="117" t="s">
        <v>405</v>
      </c>
      <c r="C125" s="117">
        <v>53.46</v>
      </c>
      <c r="D125" s="117">
        <v>11.88</v>
      </c>
    </row>
    <row r="126" spans="1:4" x14ac:dyDescent="0.25">
      <c r="A126" s="340">
        <v>160002</v>
      </c>
      <c r="B126" s="117" t="s">
        <v>388</v>
      </c>
      <c r="C126" s="117">
        <v>63851.1</v>
      </c>
      <c r="D126" s="117">
        <v>94766.1</v>
      </c>
    </row>
    <row r="127" spans="1:4" x14ac:dyDescent="0.25">
      <c r="A127" s="340">
        <v>160002</v>
      </c>
      <c r="B127" s="117" t="s">
        <v>389</v>
      </c>
      <c r="C127" s="117">
        <v>25446</v>
      </c>
      <c r="D127" s="117">
        <v>24171.200000000001</v>
      </c>
    </row>
    <row r="128" spans="1:4" x14ac:dyDescent="0.25">
      <c r="A128" s="340">
        <v>160002</v>
      </c>
      <c r="B128" s="117" t="s">
        <v>395</v>
      </c>
      <c r="C128" s="117">
        <v>5323.1399999999994</v>
      </c>
      <c r="D128" s="117">
        <v>6705.0599999999977</v>
      </c>
    </row>
    <row r="129" spans="1:4" x14ac:dyDescent="0.25">
      <c r="A129" s="340">
        <v>160002</v>
      </c>
      <c r="B129" s="117" t="s">
        <v>390</v>
      </c>
      <c r="C129" s="117">
        <v>5416.9999999458287</v>
      </c>
      <c r="D129" s="117">
        <v>5088.9999999491101</v>
      </c>
    </row>
    <row r="130" spans="1:4" x14ac:dyDescent="0.25">
      <c r="A130" s="119">
        <v>160002</v>
      </c>
      <c r="B130" s="117" t="s">
        <v>391</v>
      </c>
      <c r="C130" s="117">
        <v>2195.9999999513993</v>
      </c>
      <c r="D130" s="117">
        <v>2387.9999999572201</v>
      </c>
    </row>
    <row r="131" spans="1:4" x14ac:dyDescent="0.25">
      <c r="A131" s="119">
        <v>160002</v>
      </c>
      <c r="B131" s="117" t="s">
        <v>392</v>
      </c>
      <c r="C131" s="117">
        <v>2110.8510000000001</v>
      </c>
      <c r="D131" s="117">
        <v>737.74799999999993</v>
      </c>
    </row>
    <row r="132" spans="1:4" x14ac:dyDescent="0.25">
      <c r="A132" s="119">
        <v>160002</v>
      </c>
      <c r="B132" s="117" t="s">
        <v>402</v>
      </c>
      <c r="C132" s="117">
        <v>355.1</v>
      </c>
      <c r="D132" s="117">
        <v>366.9</v>
      </c>
    </row>
    <row r="133" spans="1:4" x14ac:dyDescent="0.25">
      <c r="A133" s="119">
        <v>160002</v>
      </c>
      <c r="B133" s="117" t="s">
        <v>394</v>
      </c>
      <c r="C133" s="117">
        <v>540</v>
      </c>
      <c r="D133" s="117">
        <v>108</v>
      </c>
    </row>
    <row r="134" spans="1:4" x14ac:dyDescent="0.25">
      <c r="A134" s="119">
        <v>160002</v>
      </c>
      <c r="B134" s="117" t="s">
        <v>396</v>
      </c>
      <c r="C134" s="117">
        <v>201.60000000000002</v>
      </c>
      <c r="D134" s="117">
        <v>67.968000000000004</v>
      </c>
    </row>
    <row r="135" spans="1:4" x14ac:dyDescent="0.25">
      <c r="A135" s="119">
        <v>160002</v>
      </c>
      <c r="B135" s="117" t="s">
        <v>393</v>
      </c>
      <c r="C135" s="117">
        <v>122.39999999999999</v>
      </c>
      <c r="D135" s="117">
        <v>92.399999999999991</v>
      </c>
    </row>
    <row r="136" spans="1:4" x14ac:dyDescent="0.25">
      <c r="A136" s="119">
        <v>160001</v>
      </c>
      <c r="B136" s="117" t="s">
        <v>388</v>
      </c>
      <c r="C136" s="117">
        <v>104164.1</v>
      </c>
      <c r="D136" s="117">
        <v>87693.1</v>
      </c>
    </row>
    <row r="137" spans="1:4" x14ac:dyDescent="0.25">
      <c r="A137" s="119">
        <v>160001</v>
      </c>
      <c r="B137" s="117" t="s">
        <v>389</v>
      </c>
      <c r="C137" s="117">
        <v>56606.600000000006</v>
      </c>
      <c r="D137" s="117">
        <v>39516.500000000007</v>
      </c>
    </row>
    <row r="138" spans="1:4" x14ac:dyDescent="0.25">
      <c r="A138" s="119">
        <v>160001</v>
      </c>
      <c r="B138" s="117" t="s">
        <v>395</v>
      </c>
      <c r="C138" s="117">
        <v>11538.059999999996</v>
      </c>
      <c r="D138" s="117">
        <v>9514.9599999999973</v>
      </c>
    </row>
    <row r="139" spans="1:4" x14ac:dyDescent="0.25">
      <c r="A139" s="119">
        <v>160001</v>
      </c>
      <c r="B139" s="117" t="s">
        <v>391</v>
      </c>
      <c r="C139" s="117">
        <v>5189.9999998428639</v>
      </c>
      <c r="D139" s="117">
        <v>4877.9999998599824</v>
      </c>
    </row>
    <row r="140" spans="1:4" x14ac:dyDescent="0.25">
      <c r="A140" s="119">
        <v>160001</v>
      </c>
      <c r="B140" s="117" t="s">
        <v>390</v>
      </c>
      <c r="C140" s="117">
        <v>465.99999999534009</v>
      </c>
      <c r="D140" s="117">
        <v>3007.9999999699203</v>
      </c>
    </row>
    <row r="141" spans="1:4" x14ac:dyDescent="0.25">
      <c r="A141" s="119">
        <v>160001</v>
      </c>
      <c r="B141" s="117" t="s">
        <v>402</v>
      </c>
      <c r="C141" s="117">
        <v>1224</v>
      </c>
      <c r="D141" s="117">
        <v>834.5</v>
      </c>
    </row>
    <row r="142" spans="1:4" x14ac:dyDescent="0.25">
      <c r="A142" s="119">
        <v>160001</v>
      </c>
      <c r="B142" s="117" t="s">
        <v>393</v>
      </c>
      <c r="C142" s="117">
        <v>492</v>
      </c>
      <c r="D142" s="117">
        <v>542.40000000000009</v>
      </c>
    </row>
    <row r="143" spans="1:4" x14ac:dyDescent="0.25">
      <c r="A143" s="119">
        <v>160001</v>
      </c>
      <c r="B143" s="117" t="s">
        <v>392</v>
      </c>
      <c r="C143" s="117">
        <v>973.36079999999993</v>
      </c>
      <c r="D143" s="117">
        <v>136.65959999999998</v>
      </c>
    </row>
    <row r="144" spans="1:4" x14ac:dyDescent="0.25">
      <c r="A144" s="119">
        <v>160001</v>
      </c>
      <c r="B144" s="117" t="s">
        <v>394</v>
      </c>
      <c r="C144" s="117">
        <v>600</v>
      </c>
      <c r="D144" s="117">
        <v>113.4</v>
      </c>
    </row>
    <row r="145" spans="1:4" x14ac:dyDescent="0.25">
      <c r="A145" s="119">
        <v>160001</v>
      </c>
      <c r="B145" s="117" t="s">
        <v>396</v>
      </c>
      <c r="C145" s="117">
        <v>83.52</v>
      </c>
      <c r="D145" s="117">
        <v>47.231999999999992</v>
      </c>
    </row>
    <row r="146" spans="1:4" x14ac:dyDescent="0.25">
      <c r="A146" s="119">
        <v>160001</v>
      </c>
      <c r="B146" s="117" t="s">
        <v>405</v>
      </c>
      <c r="C146" s="117">
        <v>29.700000000000003</v>
      </c>
      <c r="D146" s="117">
        <v>98.639999999999986</v>
      </c>
    </row>
  </sheetData>
  <autoFilter ref="A1:N146" xr:uid="{D85A93C8-8631-4154-BDA0-B7253E55B98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DEA0-F838-44DD-AC94-35C51BE42DB9}">
  <sheetPr>
    <tabColor rgb="FFF7C5F1"/>
  </sheetPr>
  <dimension ref="A1:AA48"/>
  <sheetViews>
    <sheetView showGridLines="0" zoomScale="90" zoomScaleNormal="90" zoomScaleSheetLayoutView="100" workbookViewId="0">
      <selection activeCell="E4" sqref="E4:E12"/>
    </sheetView>
  </sheetViews>
  <sheetFormatPr defaultColWidth="8.59765625" defaultRowHeight="14.4" x14ac:dyDescent="0.3"/>
  <cols>
    <col min="1" max="1" width="13" style="2" customWidth="1"/>
    <col min="2" max="2" width="11.3984375" style="2" customWidth="1"/>
    <col min="3" max="3" width="11.69921875" style="2" customWidth="1"/>
    <col min="4" max="4" width="9.59765625" style="2" bestFit="1" customWidth="1"/>
    <col min="5" max="5" width="10.8984375" style="2" bestFit="1" customWidth="1"/>
    <col min="6" max="6" width="4.3984375" style="2" customWidth="1"/>
    <col min="7" max="7" width="9.3984375" style="2" bestFit="1" customWidth="1"/>
    <col min="8" max="8" width="9.59765625" style="2" bestFit="1" customWidth="1"/>
    <col min="9" max="9" width="18.59765625" style="2" customWidth="1"/>
    <col min="10" max="10" width="12.09765625" style="2" customWidth="1"/>
    <col min="11" max="12" width="11.59765625" style="2" customWidth="1"/>
    <col min="13" max="13" width="12" style="2" customWidth="1"/>
    <col min="14" max="14" width="12.8984375" style="2" customWidth="1"/>
    <col min="15" max="15" width="15.09765625" style="2" customWidth="1"/>
    <col min="16" max="16" width="14.5" style="2" customWidth="1"/>
    <col min="17" max="17" width="13" style="2" customWidth="1"/>
    <col min="18" max="18" width="15.09765625" style="2" customWidth="1"/>
    <col min="19" max="20" width="8.59765625" style="2"/>
    <col min="21" max="21" width="15.8984375" style="2" bestFit="1" customWidth="1"/>
    <col min="22" max="22" width="12.09765625" style="2" bestFit="1" customWidth="1"/>
    <col min="23" max="24" width="9.59765625" style="2" bestFit="1" customWidth="1"/>
    <col min="25" max="26" width="10.5" style="2" bestFit="1" customWidth="1"/>
    <col min="27" max="16384" width="8.59765625" style="2"/>
  </cols>
  <sheetData>
    <row r="1" spans="3:27" ht="15" thickBot="1" x14ac:dyDescent="0.35">
      <c r="G1" s="3"/>
      <c r="H1" s="4"/>
      <c r="I1" s="4"/>
      <c r="J1" s="251">
        <f>$H$4+($H$4*J3)</f>
        <v>3600</v>
      </c>
      <c r="K1" s="251">
        <f>$H$4+($H$4*K3)</f>
        <v>3800</v>
      </c>
      <c r="L1" s="4"/>
      <c r="M1" s="4"/>
      <c r="N1" s="4"/>
      <c r="O1" s="4"/>
      <c r="P1" s="4"/>
      <c r="Q1" s="4"/>
      <c r="R1" s="4"/>
      <c r="S1" s="5"/>
    </row>
    <row r="2" spans="3:27" ht="15" thickBot="1" x14ac:dyDescent="0.35">
      <c r="G2" s="6"/>
      <c r="I2" s="7"/>
      <c r="J2" s="259">
        <f>$H$4+($H$4*J3)</f>
        <v>3600</v>
      </c>
      <c r="K2" s="259">
        <f>$H$4+($H$4*K3)</f>
        <v>3800</v>
      </c>
      <c r="L2" s="8">
        <f t="shared" ref="L2:Q2" si="0">$H$4+($H$4*L3)</f>
        <v>4000</v>
      </c>
      <c r="M2" s="8">
        <f t="shared" si="0"/>
        <v>4120</v>
      </c>
      <c r="N2" s="8">
        <f t="shared" si="0"/>
        <v>4320</v>
      </c>
      <c r="O2" s="8">
        <f t="shared" si="0"/>
        <v>4400</v>
      </c>
      <c r="P2" s="8">
        <f t="shared" si="0"/>
        <v>4600</v>
      </c>
      <c r="Q2" s="8">
        <f t="shared" si="0"/>
        <v>4800</v>
      </c>
      <c r="R2" s="9">
        <f>$H$4+($H$4*R3)</f>
        <v>5200</v>
      </c>
      <c r="S2" s="10"/>
    </row>
    <row r="3" spans="3:27" ht="15" thickBot="1" x14ac:dyDescent="0.35">
      <c r="C3" s="371" t="s">
        <v>190</v>
      </c>
      <c r="D3" s="11" t="s">
        <v>8</v>
      </c>
      <c r="E3" s="12"/>
      <c r="G3" s="13"/>
      <c r="H3" s="14"/>
      <c r="I3" s="15" t="s">
        <v>9</v>
      </c>
      <c r="J3" s="87">
        <v>-0.1</v>
      </c>
      <c r="K3" s="87">
        <v>-0.05</v>
      </c>
      <c r="L3" s="87">
        <v>0</v>
      </c>
      <c r="M3" s="115">
        <v>0.03</v>
      </c>
      <c r="N3" s="115">
        <v>0.08</v>
      </c>
      <c r="O3" s="87">
        <v>0.1</v>
      </c>
      <c r="P3" s="16">
        <v>0.15</v>
      </c>
      <c r="Q3" s="16">
        <v>0.2</v>
      </c>
      <c r="R3" s="17">
        <v>0.3</v>
      </c>
      <c r="S3" s="10"/>
      <c r="U3" s="18" t="s">
        <v>10</v>
      </c>
      <c r="V3" s="19"/>
      <c r="W3" s="19"/>
      <c r="X3" s="19"/>
      <c r="Y3" s="19"/>
      <c r="Z3" s="19"/>
      <c r="AA3" s="20"/>
    </row>
    <row r="4" spans="3:27" ht="15" thickBot="1" x14ac:dyDescent="0.35">
      <c r="C4" s="387" t="s">
        <v>11</v>
      </c>
      <c r="D4" s="4" t="s">
        <v>296</v>
      </c>
      <c r="E4" s="385" t="s">
        <v>13</v>
      </c>
      <c r="G4" s="21" t="s">
        <v>14</v>
      </c>
      <c r="H4" s="22">
        <v>4000</v>
      </c>
      <c r="I4" s="23" t="s">
        <v>15</v>
      </c>
      <c r="J4" s="24">
        <v>0.9</v>
      </c>
      <c r="K4" s="24">
        <v>0.95</v>
      </c>
      <c r="L4" s="24">
        <v>1</v>
      </c>
      <c r="M4" s="24">
        <v>1.03</v>
      </c>
      <c r="N4" s="24">
        <v>1.06</v>
      </c>
      <c r="O4" s="24">
        <v>1.1000000000000001</v>
      </c>
      <c r="P4" s="24">
        <v>1.1499999999999999</v>
      </c>
      <c r="Q4" s="24">
        <v>1.2</v>
      </c>
      <c r="R4" s="25">
        <v>1.3</v>
      </c>
      <c r="S4" s="10"/>
      <c r="U4" s="26"/>
      <c r="V4" s="27"/>
      <c r="W4" s="28">
        <v>45566</v>
      </c>
      <c r="X4" s="28">
        <v>45597</v>
      </c>
      <c r="Y4" s="28">
        <v>45627</v>
      </c>
      <c r="Z4" s="27" t="s">
        <v>16</v>
      </c>
      <c r="AA4" s="29"/>
    </row>
    <row r="5" spans="3:27" ht="15" thickBot="1" x14ac:dyDescent="0.35">
      <c r="C5" s="387" t="s">
        <v>17</v>
      </c>
      <c r="D5" s="382">
        <v>5000</v>
      </c>
      <c r="E5" s="386">
        <v>5000</v>
      </c>
      <c r="F5" s="30"/>
      <c r="G5" s="6"/>
      <c r="M5" s="86"/>
      <c r="S5" s="10"/>
      <c r="U5" s="26" t="s">
        <v>18</v>
      </c>
      <c r="V5" s="27" t="s">
        <v>19</v>
      </c>
      <c r="W5" s="31">
        <v>5000</v>
      </c>
      <c r="X5" s="31">
        <v>5000</v>
      </c>
      <c r="Y5" s="31">
        <v>5000</v>
      </c>
      <c r="Z5" s="31">
        <f>SUM(W5:Y5)</f>
        <v>15000</v>
      </c>
      <c r="AA5" s="29"/>
    </row>
    <row r="6" spans="3:27" x14ac:dyDescent="0.3">
      <c r="C6" s="387" t="s">
        <v>20</v>
      </c>
      <c r="D6" s="383">
        <v>4000</v>
      </c>
      <c r="E6" s="386">
        <v>4000</v>
      </c>
      <c r="F6" s="30"/>
      <c r="G6" s="6" t="s">
        <v>76</v>
      </c>
      <c r="H6" s="76">
        <v>0.05</v>
      </c>
      <c r="I6" s="71" t="s">
        <v>388</v>
      </c>
      <c r="J6" s="72">
        <f>H6*$J$2</f>
        <v>180</v>
      </c>
      <c r="K6" s="72">
        <f>H6*$K$2</f>
        <v>190</v>
      </c>
      <c r="L6" s="260">
        <f>H6*$L$2</f>
        <v>200</v>
      </c>
      <c r="M6" s="262">
        <f>H6*$M$2</f>
        <v>206</v>
      </c>
      <c r="N6" s="263">
        <f>H6*$N$2</f>
        <v>216</v>
      </c>
      <c r="O6" s="263">
        <f>H6*$O$2</f>
        <v>220</v>
      </c>
      <c r="P6" s="263">
        <f>H6*$P$2</f>
        <v>230</v>
      </c>
      <c r="Q6" s="263">
        <f>H6*$Q$2</f>
        <v>240</v>
      </c>
      <c r="R6" s="263">
        <f>H6*$R$2</f>
        <v>260</v>
      </c>
      <c r="S6" s="10"/>
      <c r="U6" s="26"/>
      <c r="V6" s="27"/>
      <c r="W6" s="31"/>
      <c r="X6" s="31"/>
      <c r="Y6" s="31"/>
      <c r="Z6" s="31"/>
      <c r="AA6" s="29"/>
    </row>
    <row r="7" spans="3:27" x14ac:dyDescent="0.3">
      <c r="C7" s="387" t="s">
        <v>21</v>
      </c>
      <c r="D7" s="383">
        <v>4000</v>
      </c>
      <c r="E7" s="386">
        <v>4000</v>
      </c>
      <c r="F7" s="30"/>
      <c r="G7" s="6"/>
      <c r="H7" s="77">
        <v>0.1</v>
      </c>
      <c r="I7" s="73" t="s">
        <v>389</v>
      </c>
      <c r="J7" s="74">
        <f t="shared" ref="J7:J20" si="1">H7*$J$2</f>
        <v>360</v>
      </c>
      <c r="K7" s="74">
        <f t="shared" ref="K7:K20" si="2">H7*$K$2</f>
        <v>380</v>
      </c>
      <c r="L7" s="261">
        <f t="shared" ref="L7:L20" si="3">H7*$L$2</f>
        <v>400</v>
      </c>
      <c r="M7" s="264">
        <f t="shared" ref="M7:M20" si="4">H7*$M$2</f>
        <v>412</v>
      </c>
      <c r="N7" s="75">
        <f t="shared" ref="N7:N20" si="5">H7*$N$2</f>
        <v>432</v>
      </c>
      <c r="O7" s="75">
        <f t="shared" ref="O7:O20" si="6">H7*$O$2</f>
        <v>440</v>
      </c>
      <c r="P7" s="75">
        <f t="shared" ref="P7:P20" si="7">H7*$P$2</f>
        <v>460</v>
      </c>
      <c r="Q7" s="75">
        <f t="shared" ref="Q7:Q20" si="8">H7*$Q$2</f>
        <v>480</v>
      </c>
      <c r="R7" s="75">
        <f t="shared" ref="R7:R20" si="9">H7*$R$2</f>
        <v>520</v>
      </c>
      <c r="S7" s="10"/>
      <c r="U7" s="26" t="s">
        <v>23</v>
      </c>
      <c r="V7" s="27" t="s">
        <v>24</v>
      </c>
      <c r="W7" s="31">
        <v>6000</v>
      </c>
      <c r="X7" s="31">
        <v>5000</v>
      </c>
      <c r="Y7" s="31">
        <v>4500</v>
      </c>
      <c r="Z7" s="31">
        <f>SUM(W7:Y7)</f>
        <v>15500</v>
      </c>
      <c r="AA7" s="29"/>
    </row>
    <row r="8" spans="3:27" ht="15" thickBot="1" x14ac:dyDescent="0.35">
      <c r="C8" s="387" t="s">
        <v>25</v>
      </c>
      <c r="D8" s="383">
        <v>2500</v>
      </c>
      <c r="E8" s="386">
        <v>2500</v>
      </c>
      <c r="F8" s="30"/>
      <c r="G8" s="6"/>
      <c r="H8" s="78">
        <v>0.2</v>
      </c>
      <c r="I8" s="73" t="s">
        <v>390</v>
      </c>
      <c r="J8" s="74">
        <f t="shared" si="1"/>
        <v>720</v>
      </c>
      <c r="K8" s="74">
        <f t="shared" si="2"/>
        <v>760</v>
      </c>
      <c r="L8" s="261">
        <f t="shared" si="3"/>
        <v>800</v>
      </c>
      <c r="M8" s="264">
        <f t="shared" si="4"/>
        <v>824</v>
      </c>
      <c r="N8" s="75">
        <f t="shared" si="5"/>
        <v>864</v>
      </c>
      <c r="O8" s="75">
        <f t="shared" si="6"/>
        <v>880</v>
      </c>
      <c r="P8" s="75">
        <f t="shared" si="7"/>
        <v>920</v>
      </c>
      <c r="Q8" s="75">
        <f t="shared" si="8"/>
        <v>960</v>
      </c>
      <c r="R8" s="75">
        <f t="shared" si="9"/>
        <v>1040</v>
      </c>
      <c r="S8" s="10"/>
      <c r="U8" s="26"/>
      <c r="V8" s="27" t="s">
        <v>26</v>
      </c>
      <c r="W8" s="31">
        <f>I39</f>
        <v>1224</v>
      </c>
      <c r="X8" s="31">
        <v>5200</v>
      </c>
      <c r="Y8" s="31">
        <v>5000</v>
      </c>
      <c r="Z8" s="34">
        <f>SUM(W8:Y8)</f>
        <v>11424</v>
      </c>
      <c r="AA8" s="29"/>
    </row>
    <row r="9" spans="3:27" ht="15" thickBot="1" x14ac:dyDescent="0.35">
      <c r="C9" s="387" t="s">
        <v>27</v>
      </c>
      <c r="D9" s="383">
        <v>1200</v>
      </c>
      <c r="E9" s="386">
        <v>1200</v>
      </c>
      <c r="F9" s="30"/>
      <c r="G9" s="6"/>
      <c r="J9" s="75"/>
      <c r="K9" s="75"/>
      <c r="L9" s="261"/>
      <c r="M9" s="264"/>
      <c r="N9" s="75"/>
      <c r="O9" s="75"/>
      <c r="P9" s="75"/>
      <c r="Q9" s="75"/>
      <c r="R9" s="75"/>
      <c r="S9" s="10"/>
      <c r="U9" s="26"/>
      <c r="V9" s="34" t="s">
        <v>28</v>
      </c>
      <c r="W9" s="31">
        <v>5000</v>
      </c>
      <c r="X9" s="31">
        <v>4900</v>
      </c>
      <c r="Y9" s="31">
        <v>6500</v>
      </c>
      <c r="Z9" s="34">
        <f t="shared" ref="Z9:Z10" si="10">SUM(W9:Y9)</f>
        <v>16400</v>
      </c>
      <c r="AA9" s="29">
        <f>Z9/Z5</f>
        <v>1.0933333333333333</v>
      </c>
    </row>
    <row r="10" spans="3:27" x14ac:dyDescent="0.3">
      <c r="C10" s="387" t="s">
        <v>29</v>
      </c>
      <c r="D10" s="384"/>
      <c r="E10" s="386">
        <v>2500</v>
      </c>
      <c r="F10" s="30"/>
      <c r="G10" s="6" t="s">
        <v>77</v>
      </c>
      <c r="H10" s="80">
        <v>0.05</v>
      </c>
      <c r="I10" s="71" t="s">
        <v>395</v>
      </c>
      <c r="J10" s="74">
        <f>H10*$J$2</f>
        <v>180</v>
      </c>
      <c r="K10" s="74">
        <f t="shared" si="2"/>
        <v>190</v>
      </c>
      <c r="L10" s="261">
        <f t="shared" si="3"/>
        <v>200</v>
      </c>
      <c r="M10" s="264">
        <f t="shared" si="4"/>
        <v>206</v>
      </c>
      <c r="N10" s="75">
        <f t="shared" si="5"/>
        <v>216</v>
      </c>
      <c r="O10" s="75">
        <f t="shared" si="6"/>
        <v>220</v>
      </c>
      <c r="P10" s="75">
        <f t="shared" si="7"/>
        <v>230</v>
      </c>
      <c r="Q10" s="75">
        <f t="shared" si="8"/>
        <v>240</v>
      </c>
      <c r="R10" s="75">
        <f t="shared" si="9"/>
        <v>260</v>
      </c>
      <c r="S10" s="10"/>
      <c r="U10" s="26"/>
      <c r="V10" s="27" t="s">
        <v>31</v>
      </c>
      <c r="W10" s="31">
        <v>4800</v>
      </c>
      <c r="X10" s="31">
        <v>4000</v>
      </c>
      <c r="Y10" s="31">
        <v>5000</v>
      </c>
      <c r="Z10" s="34">
        <f t="shared" si="10"/>
        <v>13800</v>
      </c>
      <c r="AA10" s="29"/>
    </row>
    <row r="11" spans="3:27" ht="15" thickBot="1" x14ac:dyDescent="0.35">
      <c r="C11" s="387" t="s">
        <v>32</v>
      </c>
      <c r="D11" s="384"/>
      <c r="E11" s="386">
        <v>3500</v>
      </c>
      <c r="F11" s="36"/>
      <c r="G11" s="6"/>
      <c r="H11" s="81">
        <v>0.1</v>
      </c>
      <c r="I11" s="73" t="s">
        <v>396</v>
      </c>
      <c r="J11" s="74">
        <f t="shared" si="1"/>
        <v>360</v>
      </c>
      <c r="K11" s="74">
        <f t="shared" si="2"/>
        <v>380</v>
      </c>
      <c r="L11" s="261">
        <f t="shared" si="3"/>
        <v>400</v>
      </c>
      <c r="M11" s="264">
        <f t="shared" si="4"/>
        <v>412</v>
      </c>
      <c r="N11" s="75">
        <f t="shared" si="5"/>
        <v>432</v>
      </c>
      <c r="O11" s="75">
        <f t="shared" si="6"/>
        <v>440</v>
      </c>
      <c r="P11" s="75">
        <f t="shared" si="7"/>
        <v>460</v>
      </c>
      <c r="Q11" s="75">
        <f t="shared" si="8"/>
        <v>480</v>
      </c>
      <c r="R11" s="75">
        <f t="shared" si="9"/>
        <v>520</v>
      </c>
      <c r="S11" s="10"/>
      <c r="U11" s="37"/>
      <c r="V11" s="38"/>
      <c r="W11" s="38"/>
      <c r="X11" s="38"/>
      <c r="Y11" s="38" t="s">
        <v>34</v>
      </c>
      <c r="Z11" s="39">
        <f>MEDIAN(Z7:Z10)</f>
        <v>14650</v>
      </c>
      <c r="AA11" s="40">
        <f>Z11/Z5-1</f>
        <v>-2.3333333333333317E-2</v>
      </c>
    </row>
    <row r="12" spans="3:27" x14ac:dyDescent="0.3">
      <c r="C12" s="387" t="s">
        <v>35</v>
      </c>
      <c r="D12" s="384"/>
      <c r="E12" s="386">
        <v>3500</v>
      </c>
      <c r="F12" s="36"/>
      <c r="G12" s="6"/>
      <c r="H12" s="81">
        <v>0.05</v>
      </c>
      <c r="I12" s="73" t="s">
        <v>402</v>
      </c>
      <c r="J12" s="74">
        <f t="shared" si="1"/>
        <v>180</v>
      </c>
      <c r="K12" s="74">
        <f t="shared" si="2"/>
        <v>190</v>
      </c>
      <c r="L12" s="261">
        <f t="shared" si="3"/>
        <v>200</v>
      </c>
      <c r="M12" s="264">
        <f t="shared" si="4"/>
        <v>206</v>
      </c>
      <c r="N12" s="75">
        <f t="shared" si="5"/>
        <v>216</v>
      </c>
      <c r="O12" s="75">
        <f t="shared" si="6"/>
        <v>220</v>
      </c>
      <c r="P12" s="75">
        <f t="shared" si="7"/>
        <v>230</v>
      </c>
      <c r="Q12" s="75">
        <f t="shared" si="8"/>
        <v>240</v>
      </c>
      <c r="R12" s="75">
        <f t="shared" si="9"/>
        <v>260</v>
      </c>
      <c r="S12" s="10"/>
    </row>
    <row r="13" spans="3:27" x14ac:dyDescent="0.3">
      <c r="G13" s="6"/>
      <c r="H13" s="81">
        <v>0.1</v>
      </c>
      <c r="I13" s="73" t="s">
        <v>405</v>
      </c>
      <c r="J13" s="74">
        <f t="shared" si="1"/>
        <v>360</v>
      </c>
      <c r="K13" s="74">
        <f t="shared" si="2"/>
        <v>380</v>
      </c>
      <c r="L13" s="261">
        <f t="shared" si="3"/>
        <v>400</v>
      </c>
      <c r="M13" s="264">
        <f t="shared" si="4"/>
        <v>412</v>
      </c>
      <c r="N13" s="75">
        <f t="shared" si="5"/>
        <v>432</v>
      </c>
      <c r="O13" s="75">
        <f t="shared" si="6"/>
        <v>440</v>
      </c>
      <c r="P13" s="75">
        <f t="shared" si="7"/>
        <v>460</v>
      </c>
      <c r="Q13" s="75">
        <f t="shared" si="8"/>
        <v>480</v>
      </c>
      <c r="R13" s="75">
        <f t="shared" si="9"/>
        <v>520</v>
      </c>
      <c r="S13" s="10"/>
    </row>
    <row r="14" spans="3:27" ht="15" thickBot="1" x14ac:dyDescent="0.35">
      <c r="G14" s="6"/>
      <c r="H14" s="79"/>
      <c r="I14" s="83"/>
      <c r="J14" s="74">
        <f t="shared" si="1"/>
        <v>0</v>
      </c>
      <c r="K14" s="74">
        <f t="shared" si="2"/>
        <v>0</v>
      </c>
      <c r="L14" s="261">
        <f t="shared" si="3"/>
        <v>0</v>
      </c>
      <c r="M14" s="264">
        <f t="shared" si="4"/>
        <v>0</v>
      </c>
      <c r="N14" s="75">
        <f t="shared" si="5"/>
        <v>0</v>
      </c>
      <c r="O14" s="75">
        <f t="shared" si="6"/>
        <v>0</v>
      </c>
      <c r="P14" s="75">
        <f t="shared" si="7"/>
        <v>0</v>
      </c>
      <c r="Q14" s="75">
        <f t="shared" si="8"/>
        <v>0</v>
      </c>
      <c r="R14" s="75">
        <f t="shared" si="9"/>
        <v>0</v>
      </c>
      <c r="S14" s="10"/>
    </row>
    <row r="15" spans="3:27" ht="15" thickBot="1" x14ac:dyDescent="0.35">
      <c r="C15" s="35"/>
      <c r="D15" s="35"/>
      <c r="G15" s="6"/>
      <c r="J15" s="75"/>
      <c r="K15" s="75"/>
      <c r="L15" s="261"/>
      <c r="M15" s="264"/>
      <c r="N15" s="75"/>
      <c r="O15" s="75"/>
      <c r="P15" s="75"/>
      <c r="Q15" s="75"/>
      <c r="R15" s="75"/>
      <c r="S15" s="10"/>
    </row>
    <row r="16" spans="3:27" x14ac:dyDescent="0.3">
      <c r="G16" s="6" t="s">
        <v>78</v>
      </c>
      <c r="H16" s="80">
        <v>0.15</v>
      </c>
      <c r="I16" s="71" t="s">
        <v>391</v>
      </c>
      <c r="J16" s="74">
        <f t="shared" si="1"/>
        <v>540</v>
      </c>
      <c r="K16" s="74">
        <f t="shared" si="2"/>
        <v>570</v>
      </c>
      <c r="L16" s="261">
        <f t="shared" si="3"/>
        <v>600</v>
      </c>
      <c r="M16" s="264">
        <f t="shared" si="4"/>
        <v>618</v>
      </c>
      <c r="N16" s="75">
        <f t="shared" si="5"/>
        <v>648</v>
      </c>
      <c r="O16" s="75">
        <f t="shared" si="6"/>
        <v>660</v>
      </c>
      <c r="P16" s="75">
        <f t="shared" si="7"/>
        <v>690</v>
      </c>
      <c r="Q16" s="75">
        <f t="shared" si="8"/>
        <v>720</v>
      </c>
      <c r="R16" s="75">
        <f t="shared" si="9"/>
        <v>780</v>
      </c>
      <c r="S16" s="10"/>
      <c r="U16" s="2" t="s">
        <v>40</v>
      </c>
    </row>
    <row r="17" spans="1:23" ht="15" thickBot="1" x14ac:dyDescent="0.35">
      <c r="G17" s="6"/>
      <c r="H17" s="82">
        <v>0.1</v>
      </c>
      <c r="I17" s="83" t="s">
        <v>392</v>
      </c>
      <c r="J17" s="74">
        <f t="shared" si="1"/>
        <v>360</v>
      </c>
      <c r="K17" s="74">
        <f t="shared" si="2"/>
        <v>380</v>
      </c>
      <c r="L17" s="261">
        <f t="shared" si="3"/>
        <v>400</v>
      </c>
      <c r="M17" s="264">
        <f t="shared" si="4"/>
        <v>412</v>
      </c>
      <c r="N17" s="75">
        <f t="shared" si="5"/>
        <v>432</v>
      </c>
      <c r="O17" s="75">
        <f t="shared" si="6"/>
        <v>440</v>
      </c>
      <c r="P17" s="75">
        <f t="shared" si="7"/>
        <v>460</v>
      </c>
      <c r="Q17" s="75">
        <f t="shared" si="8"/>
        <v>480</v>
      </c>
      <c r="R17" s="75">
        <f t="shared" si="9"/>
        <v>520</v>
      </c>
      <c r="S17" s="10"/>
    </row>
    <row r="18" spans="1:23" ht="15" thickBot="1" x14ac:dyDescent="0.35">
      <c r="B18" s="41"/>
      <c r="C18" s="41"/>
      <c r="D18" s="41"/>
      <c r="E18" s="41"/>
      <c r="F18" s="41"/>
      <c r="G18" s="6"/>
      <c r="J18" s="75"/>
      <c r="K18" s="75"/>
      <c r="L18" s="261"/>
      <c r="M18" s="264"/>
      <c r="N18" s="75"/>
      <c r="O18" s="75"/>
      <c r="P18" s="75"/>
      <c r="Q18" s="75"/>
      <c r="R18" s="75"/>
      <c r="S18" s="10"/>
      <c r="U18" s="2" t="s">
        <v>41</v>
      </c>
      <c r="V18" s="2" t="s">
        <v>42</v>
      </c>
    </row>
    <row r="19" spans="1:23" x14ac:dyDescent="0.3">
      <c r="B19" s="91" t="s">
        <v>388</v>
      </c>
      <c r="C19" s="101" t="s">
        <v>389</v>
      </c>
      <c r="D19" s="91" t="s">
        <v>390</v>
      </c>
      <c r="E19" s="91" t="s">
        <v>395</v>
      </c>
      <c r="F19" s="46"/>
      <c r="G19" s="6" t="s">
        <v>47</v>
      </c>
      <c r="H19" s="80">
        <v>0.05</v>
      </c>
      <c r="I19" s="71" t="s">
        <v>393</v>
      </c>
      <c r="J19" s="74">
        <f t="shared" si="1"/>
        <v>180</v>
      </c>
      <c r="K19" s="74">
        <f t="shared" si="2"/>
        <v>190</v>
      </c>
      <c r="L19" s="261">
        <f t="shared" si="3"/>
        <v>200</v>
      </c>
      <c r="M19" s="264">
        <f t="shared" si="4"/>
        <v>206</v>
      </c>
      <c r="N19" s="75">
        <f t="shared" si="5"/>
        <v>216</v>
      </c>
      <c r="O19" s="75">
        <f t="shared" si="6"/>
        <v>220</v>
      </c>
      <c r="P19" s="75">
        <f t="shared" si="7"/>
        <v>230</v>
      </c>
      <c r="Q19" s="75">
        <f t="shared" si="8"/>
        <v>240</v>
      </c>
      <c r="R19" s="75">
        <f t="shared" si="9"/>
        <v>260</v>
      </c>
      <c r="S19" s="10"/>
    </row>
    <row r="20" spans="1:23" x14ac:dyDescent="0.3">
      <c r="A20" s="94">
        <v>0</v>
      </c>
      <c r="B20" s="92">
        <f>J6</f>
        <v>180</v>
      </c>
      <c r="C20" s="92">
        <f>J7</f>
        <v>360</v>
      </c>
      <c r="D20" s="92">
        <f>J8</f>
        <v>720</v>
      </c>
      <c r="E20" s="92">
        <f>J10</f>
        <v>180</v>
      </c>
      <c r="F20" s="46"/>
      <c r="G20" s="6"/>
      <c r="H20" s="81">
        <v>0.05</v>
      </c>
      <c r="I20" s="73" t="s">
        <v>394</v>
      </c>
      <c r="J20" s="74">
        <f t="shared" si="1"/>
        <v>180</v>
      </c>
      <c r="K20" s="74">
        <f t="shared" si="2"/>
        <v>190</v>
      </c>
      <c r="L20" s="261">
        <f t="shared" si="3"/>
        <v>200</v>
      </c>
      <c r="M20" s="264">
        <f t="shared" si="4"/>
        <v>206</v>
      </c>
      <c r="N20" s="75">
        <f t="shared" si="5"/>
        <v>216</v>
      </c>
      <c r="O20" s="75">
        <f t="shared" si="6"/>
        <v>220</v>
      </c>
      <c r="P20" s="75">
        <f t="shared" si="7"/>
        <v>230</v>
      </c>
      <c r="Q20" s="75">
        <f t="shared" si="8"/>
        <v>240</v>
      </c>
      <c r="R20" s="75">
        <f t="shared" si="9"/>
        <v>260</v>
      </c>
      <c r="S20" s="10"/>
      <c r="U20" s="2" t="s">
        <v>48</v>
      </c>
      <c r="V20" s="2" t="s">
        <v>20</v>
      </c>
      <c r="W20" s="2" t="s">
        <v>49</v>
      </c>
    </row>
    <row r="21" spans="1:23" x14ac:dyDescent="0.3">
      <c r="A21" s="94">
        <v>0.90000999999999998</v>
      </c>
      <c r="B21" s="92">
        <f>K6</f>
        <v>190</v>
      </c>
      <c r="C21" s="92">
        <f>K7</f>
        <v>380</v>
      </c>
      <c r="D21" s="92">
        <f>K8</f>
        <v>760</v>
      </c>
      <c r="E21" s="92">
        <f>K10</f>
        <v>190</v>
      </c>
      <c r="F21" s="46"/>
      <c r="G21" s="6"/>
      <c r="H21" s="6"/>
      <c r="I21" s="73"/>
      <c r="J21" s="265"/>
      <c r="K21" s="265"/>
      <c r="L21" s="84"/>
      <c r="M21" s="265"/>
      <c r="N21" s="265"/>
      <c r="O21" s="265"/>
      <c r="P21" s="265"/>
      <c r="Q21" s="265"/>
      <c r="R21" s="265"/>
      <c r="S21" s="10"/>
    </row>
    <row r="22" spans="1:23" x14ac:dyDescent="0.3">
      <c r="A22" s="94">
        <v>0.95001000000000002</v>
      </c>
      <c r="B22" s="92">
        <f>L6</f>
        <v>200</v>
      </c>
      <c r="C22" s="92">
        <f>L7</f>
        <v>400</v>
      </c>
      <c r="D22" s="92">
        <f>L8</f>
        <v>800</v>
      </c>
      <c r="E22" s="92">
        <f>L10</f>
        <v>200</v>
      </c>
      <c r="G22" s="6"/>
      <c r="H22" s="6"/>
      <c r="I22" s="73"/>
      <c r="J22" s="265"/>
      <c r="K22" s="265"/>
      <c r="L22" s="84"/>
      <c r="M22" s="265"/>
      <c r="N22" s="265"/>
      <c r="O22" s="265"/>
      <c r="P22" s="265"/>
      <c r="Q22" s="265"/>
      <c r="R22" s="265"/>
      <c r="S22" s="10"/>
      <c r="U22" s="2" t="s">
        <v>50</v>
      </c>
      <c r="V22" s="2" t="s">
        <v>51</v>
      </c>
      <c r="W22" s="2" t="s">
        <v>42</v>
      </c>
    </row>
    <row r="23" spans="1:23" x14ac:dyDescent="0.3">
      <c r="A23" s="94">
        <v>1.0000100000000001</v>
      </c>
      <c r="B23" s="92">
        <f>M6</f>
        <v>206</v>
      </c>
      <c r="C23" s="92">
        <f>M7</f>
        <v>412</v>
      </c>
      <c r="D23" s="92">
        <f>M8</f>
        <v>824</v>
      </c>
      <c r="E23" s="92">
        <f>M10</f>
        <v>206</v>
      </c>
      <c r="G23" s="6"/>
      <c r="H23" s="6"/>
      <c r="I23" s="73"/>
      <c r="J23" s="265"/>
      <c r="K23" s="265"/>
      <c r="L23" s="84"/>
      <c r="M23" s="265"/>
      <c r="N23" s="265"/>
      <c r="O23" s="265"/>
      <c r="P23" s="265"/>
      <c r="Q23" s="265"/>
      <c r="R23" s="265"/>
      <c r="S23" s="10"/>
    </row>
    <row r="24" spans="1:23" x14ac:dyDescent="0.3">
      <c r="A24" s="94">
        <v>1.0300100000000001</v>
      </c>
      <c r="B24" s="93">
        <f>N6</f>
        <v>216</v>
      </c>
      <c r="C24" s="93">
        <f>N7</f>
        <v>432</v>
      </c>
      <c r="D24" s="93">
        <f>N8</f>
        <v>864</v>
      </c>
      <c r="E24" s="93">
        <f>N10</f>
        <v>216</v>
      </c>
      <c r="G24" s="6"/>
      <c r="H24" s="6"/>
      <c r="I24" s="73"/>
      <c r="J24" s="265"/>
      <c r="K24" s="265"/>
      <c r="L24" s="84"/>
      <c r="M24" s="265"/>
      <c r="N24" s="265"/>
      <c r="O24" s="265"/>
      <c r="P24" s="265"/>
      <c r="Q24" s="265"/>
      <c r="R24" s="265"/>
      <c r="S24" s="10"/>
      <c r="U24" s="2" t="s">
        <v>52</v>
      </c>
      <c r="V24" s="2" t="s">
        <v>53</v>
      </c>
      <c r="W24" s="2" t="s">
        <v>54</v>
      </c>
    </row>
    <row r="25" spans="1:23" x14ac:dyDescent="0.3">
      <c r="A25" s="94">
        <f>106.001%</f>
        <v>1.0600100000000001</v>
      </c>
      <c r="B25" s="92">
        <f>O6</f>
        <v>220</v>
      </c>
      <c r="C25" s="92">
        <f>O7</f>
        <v>440</v>
      </c>
      <c r="D25" s="92">
        <f>O8</f>
        <v>880</v>
      </c>
      <c r="E25" s="92">
        <f>O10</f>
        <v>220</v>
      </c>
      <c r="F25" s="46"/>
      <c r="G25" s="6"/>
      <c r="H25" s="6"/>
      <c r="I25" s="73"/>
      <c r="J25" s="265"/>
      <c r="K25" s="265"/>
      <c r="L25" s="84"/>
      <c r="M25" s="265"/>
      <c r="N25" s="265"/>
      <c r="O25" s="265"/>
      <c r="P25" s="265"/>
      <c r="Q25" s="265"/>
      <c r="R25" s="265"/>
      <c r="S25" s="10"/>
    </row>
    <row r="26" spans="1:23" x14ac:dyDescent="0.3">
      <c r="A26" s="94">
        <f>110.001%</f>
        <v>1.1000100000000002</v>
      </c>
      <c r="B26" s="92">
        <f>P6</f>
        <v>230</v>
      </c>
      <c r="C26" s="92">
        <f>P7</f>
        <v>460</v>
      </c>
      <c r="D26" s="92">
        <f>P8</f>
        <v>920</v>
      </c>
      <c r="E26" s="92">
        <f>P10</f>
        <v>230</v>
      </c>
      <c r="F26" s="46"/>
      <c r="G26" s="6"/>
      <c r="H26" s="6"/>
      <c r="I26" s="73"/>
      <c r="J26" s="265"/>
      <c r="K26" s="265"/>
      <c r="L26" s="84"/>
      <c r="M26" s="265"/>
      <c r="N26" s="265"/>
      <c r="O26" s="265"/>
      <c r="P26" s="265"/>
      <c r="Q26" s="265"/>
      <c r="R26" s="265"/>
      <c r="S26" s="10"/>
    </row>
    <row r="27" spans="1:23" x14ac:dyDescent="0.3">
      <c r="A27" s="94">
        <f>115.001%</f>
        <v>1.15001</v>
      </c>
      <c r="B27" s="92">
        <f>Q6</f>
        <v>240</v>
      </c>
      <c r="C27" s="92">
        <f>Q7</f>
        <v>480</v>
      </c>
      <c r="D27" s="92">
        <f>Q8</f>
        <v>960</v>
      </c>
      <c r="E27" s="92">
        <f>Q10</f>
        <v>240</v>
      </c>
      <c r="F27" s="46"/>
      <c r="G27" s="6"/>
      <c r="H27" s="6"/>
      <c r="I27" s="73"/>
      <c r="J27" s="265"/>
      <c r="K27" s="265"/>
      <c r="L27" s="84"/>
      <c r="M27" s="265"/>
      <c r="N27" s="265"/>
      <c r="O27" s="265"/>
      <c r="P27" s="265"/>
      <c r="Q27" s="265"/>
      <c r="R27" s="265"/>
      <c r="S27" s="10"/>
    </row>
    <row r="28" spans="1:23" x14ac:dyDescent="0.3">
      <c r="A28" s="94">
        <f>120.001%</f>
        <v>1.20001</v>
      </c>
      <c r="B28" s="92">
        <f>R6</f>
        <v>260</v>
      </c>
      <c r="C28" s="92">
        <f>R7</f>
        <v>520</v>
      </c>
      <c r="D28" s="92">
        <f>R8</f>
        <v>1040</v>
      </c>
      <c r="E28" s="92">
        <f>R10</f>
        <v>260</v>
      </c>
      <c r="G28" s="6"/>
      <c r="H28" s="6"/>
      <c r="I28" s="73"/>
      <c r="J28" s="265"/>
      <c r="K28" s="265"/>
      <c r="L28" s="84"/>
      <c r="M28" s="265"/>
      <c r="N28" s="265"/>
      <c r="O28" s="265"/>
      <c r="P28" s="265"/>
      <c r="Q28" s="265"/>
      <c r="R28" s="265"/>
      <c r="S28" s="10"/>
    </row>
    <row r="29" spans="1:23" ht="15" thickBot="1" x14ac:dyDescent="0.35">
      <c r="G29" s="6"/>
      <c r="H29" s="33"/>
      <c r="I29" s="83"/>
      <c r="J29" s="266"/>
      <c r="K29" s="266"/>
      <c r="L29" s="85"/>
      <c r="M29" s="266"/>
      <c r="N29" s="266"/>
      <c r="O29" s="266"/>
      <c r="P29" s="266"/>
      <c r="Q29" s="266"/>
      <c r="R29" s="266"/>
      <c r="S29" s="10"/>
    </row>
    <row r="30" spans="1:23" x14ac:dyDescent="0.3">
      <c r="A30" s="43"/>
      <c r="B30" s="44"/>
      <c r="C30" s="44"/>
      <c r="D30" s="44"/>
      <c r="E30" s="44"/>
      <c r="G30" s="6"/>
      <c r="H30" s="45">
        <f>SUM(H6:H29)</f>
        <v>1</v>
      </c>
      <c r="S30" s="10"/>
    </row>
    <row r="31" spans="1:23" ht="15" thickBot="1" x14ac:dyDescent="0.35">
      <c r="B31" s="46"/>
      <c r="C31" s="46"/>
      <c r="D31" s="46"/>
      <c r="E31" s="46"/>
      <c r="F31" s="46"/>
      <c r="G31" s="33"/>
      <c r="H31" s="47"/>
      <c r="I31" s="47" t="s">
        <v>55</v>
      </c>
      <c r="J31" s="48">
        <f t="shared" ref="J31:R31" si="11">SUM(J6:J29)</f>
        <v>3600</v>
      </c>
      <c r="K31" s="48">
        <f t="shared" si="11"/>
        <v>3800</v>
      </c>
      <c r="L31" s="48">
        <f t="shared" si="11"/>
        <v>4000</v>
      </c>
      <c r="M31" s="48">
        <f t="shared" si="11"/>
        <v>4120</v>
      </c>
      <c r="N31" s="48">
        <f t="shared" si="11"/>
        <v>4320</v>
      </c>
      <c r="O31" s="48">
        <f t="shared" si="11"/>
        <v>4400</v>
      </c>
      <c r="P31" s="48">
        <f t="shared" si="11"/>
        <v>4600</v>
      </c>
      <c r="Q31" s="48">
        <f t="shared" si="11"/>
        <v>4800</v>
      </c>
      <c r="R31" s="48">
        <f t="shared" si="11"/>
        <v>5200</v>
      </c>
      <c r="S31" s="49"/>
    </row>
    <row r="32" spans="1:23" ht="15" thickBot="1" x14ac:dyDescent="0.35">
      <c r="B32" s="46"/>
      <c r="C32" s="46"/>
      <c r="D32" s="46"/>
      <c r="E32" s="46"/>
      <c r="F32" s="46"/>
    </row>
    <row r="33" spans="2:23" ht="15" thickBot="1" x14ac:dyDescent="0.35">
      <c r="B33" s="46"/>
      <c r="C33" s="46"/>
      <c r="D33" s="46"/>
      <c r="E33" s="46"/>
      <c r="F33" s="46"/>
      <c r="G33" s="50" t="s">
        <v>56</v>
      </c>
      <c r="H33" s="51" t="s">
        <v>57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2"/>
    </row>
    <row r="34" spans="2:23" x14ac:dyDescent="0.3">
      <c r="B34" s="46"/>
      <c r="C34" s="46"/>
      <c r="D34" s="46"/>
      <c r="E34" s="46"/>
      <c r="F34" s="46"/>
    </row>
    <row r="35" spans="2:23" x14ac:dyDescent="0.3">
      <c r="H35" s="53" t="s">
        <v>43</v>
      </c>
      <c r="I35" s="53"/>
      <c r="J35" s="54"/>
      <c r="K35" s="53"/>
      <c r="L35" s="53"/>
      <c r="M35" s="53"/>
      <c r="N35" s="53"/>
      <c r="O35" s="54">
        <f>O6</f>
        <v>220</v>
      </c>
      <c r="P35" s="53"/>
      <c r="Q35" s="53"/>
      <c r="R35" s="53"/>
      <c r="S35" s="53"/>
    </row>
    <row r="36" spans="2:23" x14ac:dyDescent="0.3">
      <c r="H36" s="53" t="s">
        <v>44</v>
      </c>
      <c r="I36" s="53"/>
      <c r="J36" s="54">
        <f>J10</f>
        <v>180</v>
      </c>
      <c r="K36" s="53"/>
      <c r="L36" s="53"/>
      <c r="M36" s="53"/>
      <c r="N36" s="53"/>
      <c r="O36" s="53"/>
      <c r="P36" s="53"/>
      <c r="Q36" s="53"/>
      <c r="R36" s="53"/>
      <c r="S36" s="53"/>
      <c r="W36" s="53"/>
    </row>
    <row r="37" spans="2:23" x14ac:dyDescent="0.3">
      <c r="H37" s="53" t="s">
        <v>45</v>
      </c>
      <c r="I37" s="53"/>
      <c r="J37" s="53"/>
      <c r="K37" s="53"/>
      <c r="L37" s="53"/>
      <c r="M37" s="54">
        <f>M16</f>
        <v>618</v>
      </c>
      <c r="N37" s="53"/>
      <c r="O37" s="53"/>
      <c r="P37" s="53"/>
      <c r="Q37" s="53"/>
      <c r="R37" s="53"/>
      <c r="S37" s="53"/>
    </row>
    <row r="38" spans="2:23" ht="15" thickBot="1" x14ac:dyDescent="0.35">
      <c r="H38" s="55" t="s">
        <v>58</v>
      </c>
      <c r="I38" s="55"/>
      <c r="J38" s="53"/>
      <c r="K38" s="53"/>
      <c r="L38" s="53"/>
      <c r="M38" s="54">
        <f>M19</f>
        <v>206</v>
      </c>
      <c r="N38" s="53"/>
      <c r="O38" s="53"/>
      <c r="P38" s="53"/>
      <c r="Q38" s="53"/>
      <c r="R38" s="53"/>
      <c r="S38" s="53"/>
    </row>
    <row r="39" spans="2:23" ht="15" thickBot="1" x14ac:dyDescent="0.35">
      <c r="H39" s="56" t="s">
        <v>55</v>
      </c>
      <c r="I39" s="57">
        <f>SUM(I35:R38)</f>
        <v>1224</v>
      </c>
    </row>
    <row r="41" spans="2:23" ht="23.25" hidden="1" customHeight="1" x14ac:dyDescent="0.3">
      <c r="H41" s="2" t="s">
        <v>59</v>
      </c>
      <c r="I41" s="42" t="s">
        <v>60</v>
      </c>
      <c r="J41" s="58" t="s">
        <v>61</v>
      </c>
      <c r="K41" s="58" t="s">
        <v>62</v>
      </c>
      <c r="L41" s="58" t="s">
        <v>63</v>
      </c>
      <c r="M41" s="58" t="s">
        <v>64</v>
      </c>
      <c r="N41" s="58" t="s">
        <v>65</v>
      </c>
      <c r="O41" s="58" t="s">
        <v>66</v>
      </c>
      <c r="P41" s="58" t="s">
        <v>67</v>
      </c>
      <c r="Q41" s="58" t="s">
        <v>68</v>
      </c>
      <c r="R41" s="58" t="s">
        <v>69</v>
      </c>
    </row>
    <row r="42" spans="2:23" ht="21.6" hidden="1" customHeight="1" x14ac:dyDescent="0.3">
      <c r="I42" s="42">
        <v>0</v>
      </c>
      <c r="J42" s="59">
        <v>1200</v>
      </c>
      <c r="K42" s="59">
        <v>1350</v>
      </c>
      <c r="L42" s="59">
        <f>1425</f>
        <v>1425</v>
      </c>
      <c r="M42" s="59">
        <v>1500</v>
      </c>
      <c r="N42" s="59">
        <v>1575</v>
      </c>
      <c r="O42" s="59">
        <v>1725</v>
      </c>
      <c r="P42" s="59">
        <v>1875</v>
      </c>
      <c r="Q42" s="59">
        <v>1950</v>
      </c>
      <c r="R42" s="59">
        <v>2100</v>
      </c>
      <c r="S42" s="46"/>
    </row>
    <row r="43" spans="2:23" ht="18.149999999999999" customHeight="1" x14ac:dyDescent="0.3">
      <c r="H43" s="2" t="s">
        <v>9</v>
      </c>
      <c r="J43" s="60">
        <v>-0.2</v>
      </c>
      <c r="K43" s="45">
        <v>-0.1</v>
      </c>
      <c r="L43" s="45">
        <v>-0.05</v>
      </c>
      <c r="M43" s="61"/>
      <c r="N43" s="45">
        <v>0.05</v>
      </c>
      <c r="O43" s="45">
        <v>0.15</v>
      </c>
      <c r="P43" s="62">
        <v>0.25</v>
      </c>
      <c r="Q43" s="62">
        <v>0.3</v>
      </c>
      <c r="R43" s="63">
        <v>0.4</v>
      </c>
    </row>
    <row r="44" spans="2:23" ht="15.6" x14ac:dyDescent="0.3">
      <c r="H44" s="2" t="s">
        <v>70</v>
      </c>
      <c r="I44" s="64" t="s">
        <v>60</v>
      </c>
      <c r="J44" s="65" t="s">
        <v>61</v>
      </c>
      <c r="K44" s="58" t="s">
        <v>62</v>
      </c>
      <c r="L44" s="58" t="s">
        <v>63</v>
      </c>
      <c r="M44" s="66">
        <v>1</v>
      </c>
      <c r="N44" s="58" t="s">
        <v>71</v>
      </c>
      <c r="O44" s="58" t="s">
        <v>72</v>
      </c>
      <c r="P44" s="58" t="s">
        <v>73</v>
      </c>
      <c r="Q44" s="58" t="s">
        <v>74</v>
      </c>
      <c r="R44" s="65" t="s">
        <v>75</v>
      </c>
      <c r="S44" s="67"/>
    </row>
    <row r="45" spans="2:23" ht="15.6" x14ac:dyDescent="0.3">
      <c r="H45" s="2" t="s">
        <v>43</v>
      </c>
      <c r="I45" s="68">
        <f>J6</f>
        <v>180</v>
      </c>
      <c r="J45" s="68">
        <f t="shared" ref="J45:R45" si="12">J6</f>
        <v>180</v>
      </c>
      <c r="K45" s="59">
        <f>K6</f>
        <v>190</v>
      </c>
      <c r="L45" s="59">
        <f t="shared" si="12"/>
        <v>200</v>
      </c>
      <c r="M45" s="69">
        <f>M6</f>
        <v>206</v>
      </c>
      <c r="N45" s="59">
        <f t="shared" si="12"/>
        <v>216</v>
      </c>
      <c r="O45" s="59">
        <f t="shared" si="12"/>
        <v>220</v>
      </c>
      <c r="P45" s="59">
        <f t="shared" si="12"/>
        <v>230</v>
      </c>
      <c r="Q45" s="59">
        <f t="shared" si="12"/>
        <v>240</v>
      </c>
      <c r="R45" s="68">
        <f t="shared" si="12"/>
        <v>260</v>
      </c>
      <c r="S45" s="70"/>
    </row>
    <row r="46" spans="2:23" ht="15.6" x14ac:dyDescent="0.3">
      <c r="H46" s="2" t="s">
        <v>44</v>
      </c>
      <c r="I46" s="68">
        <f>J10</f>
        <v>180</v>
      </c>
      <c r="J46" s="68">
        <f t="shared" ref="J46:R46" si="13">J10</f>
        <v>180</v>
      </c>
      <c r="K46" s="59">
        <f t="shared" si="13"/>
        <v>190</v>
      </c>
      <c r="L46" s="59">
        <f t="shared" si="13"/>
        <v>200</v>
      </c>
      <c r="M46" s="69">
        <f t="shared" si="13"/>
        <v>206</v>
      </c>
      <c r="N46" s="59">
        <f t="shared" si="13"/>
        <v>216</v>
      </c>
      <c r="O46" s="59">
        <f t="shared" si="13"/>
        <v>220</v>
      </c>
      <c r="P46" s="59">
        <f t="shared" si="13"/>
        <v>230</v>
      </c>
      <c r="Q46" s="59">
        <f t="shared" si="13"/>
        <v>240</v>
      </c>
      <c r="R46" s="68">
        <f t="shared" si="13"/>
        <v>260</v>
      </c>
    </row>
    <row r="47" spans="2:23" ht="15.6" x14ac:dyDescent="0.3">
      <c r="H47" s="2" t="s">
        <v>45</v>
      </c>
      <c r="I47" s="68">
        <f>J16</f>
        <v>540</v>
      </c>
      <c r="J47" s="68">
        <f>J16</f>
        <v>540</v>
      </c>
      <c r="K47" s="59">
        <f>K16</f>
        <v>570</v>
      </c>
      <c r="L47" s="59">
        <f t="shared" ref="L47:Q47" si="14">L16</f>
        <v>600</v>
      </c>
      <c r="M47" s="69">
        <f t="shared" si="14"/>
        <v>618</v>
      </c>
      <c r="N47" s="59">
        <f t="shared" si="14"/>
        <v>648</v>
      </c>
      <c r="O47" s="59">
        <f t="shared" si="14"/>
        <v>660</v>
      </c>
      <c r="P47" s="59">
        <f t="shared" si="14"/>
        <v>690</v>
      </c>
      <c r="Q47" s="59">
        <f t="shared" si="14"/>
        <v>720</v>
      </c>
      <c r="R47" s="68">
        <f>R16</f>
        <v>780</v>
      </c>
    </row>
    <row r="48" spans="2:23" ht="15.6" x14ac:dyDescent="0.3">
      <c r="H48" s="2" t="s">
        <v>46</v>
      </c>
      <c r="I48" s="68">
        <f>J19</f>
        <v>180</v>
      </c>
      <c r="J48" s="68">
        <f>J19</f>
        <v>180</v>
      </c>
      <c r="K48" s="59">
        <f>K19</f>
        <v>190</v>
      </c>
      <c r="L48" s="59">
        <f t="shared" ref="L48:R48" si="15">L19</f>
        <v>200</v>
      </c>
      <c r="M48" s="69">
        <f t="shared" si="15"/>
        <v>206</v>
      </c>
      <c r="N48" s="59">
        <f t="shared" si="15"/>
        <v>216</v>
      </c>
      <c r="O48" s="59">
        <f t="shared" si="15"/>
        <v>220</v>
      </c>
      <c r="P48" s="59">
        <f t="shared" si="15"/>
        <v>230</v>
      </c>
      <c r="Q48" s="59">
        <f t="shared" si="15"/>
        <v>240</v>
      </c>
      <c r="R48" s="68">
        <f t="shared" si="15"/>
        <v>260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289A-F64F-4B30-8285-2626A90E3B4C}">
  <sheetPr>
    <tabColor rgb="FFF7C5F1"/>
  </sheetPr>
  <dimension ref="A1:AA48"/>
  <sheetViews>
    <sheetView showGridLines="0" zoomScaleNormal="100" workbookViewId="0">
      <selection activeCell="C19" sqref="C19"/>
    </sheetView>
  </sheetViews>
  <sheetFormatPr defaultColWidth="8.59765625" defaultRowHeight="14.4" x14ac:dyDescent="0.3"/>
  <cols>
    <col min="1" max="1" width="13" style="2" customWidth="1"/>
    <col min="2" max="2" width="11.3984375" style="2" customWidth="1"/>
    <col min="3" max="3" width="9.8984375" style="2" customWidth="1"/>
    <col min="4" max="4" width="9.59765625" style="2" bestFit="1" customWidth="1"/>
    <col min="5" max="5" width="10.8984375" style="2" bestFit="1" customWidth="1"/>
    <col min="6" max="6" width="3.59765625" style="2" customWidth="1"/>
    <col min="7" max="7" width="9.3984375" style="2" bestFit="1" customWidth="1"/>
    <col min="8" max="8" width="10.09765625" style="2" bestFit="1" customWidth="1"/>
    <col min="9" max="9" width="18.59765625" style="2" customWidth="1"/>
    <col min="10" max="10" width="12.09765625" style="2" customWidth="1"/>
    <col min="11" max="12" width="11.59765625" style="2" customWidth="1"/>
    <col min="13" max="13" width="12" style="2" customWidth="1"/>
    <col min="14" max="14" width="12.8984375" style="2" customWidth="1"/>
    <col min="15" max="15" width="15.09765625" style="2" customWidth="1"/>
    <col min="16" max="16" width="14.5" style="2" customWidth="1"/>
    <col min="17" max="17" width="13" style="2" customWidth="1"/>
    <col min="18" max="18" width="15.09765625" style="2" customWidth="1"/>
    <col min="19" max="20" width="8.59765625" style="2"/>
    <col min="21" max="21" width="15.8984375" style="2" bestFit="1" customWidth="1"/>
    <col min="22" max="22" width="12.09765625" style="2" bestFit="1" customWidth="1"/>
    <col min="23" max="24" width="9.59765625" style="2" bestFit="1" customWidth="1"/>
    <col min="25" max="26" width="10.5" style="2" bestFit="1" customWidth="1"/>
    <col min="27" max="16384" width="8.59765625" style="2"/>
  </cols>
  <sheetData>
    <row r="1" spans="3:27" ht="15" thickBot="1" x14ac:dyDescent="0.35">
      <c r="G1" s="3"/>
      <c r="H1" s="4"/>
      <c r="I1" s="4"/>
      <c r="J1" s="251">
        <f>$H$4+($H$4*J3)</f>
        <v>3150</v>
      </c>
      <c r="K1" s="251">
        <f>$H$4+($H$4*K3)</f>
        <v>3325</v>
      </c>
      <c r="L1" s="4"/>
      <c r="M1" s="4"/>
      <c r="N1" s="4"/>
      <c r="O1" s="4"/>
      <c r="P1" s="4"/>
      <c r="Q1" s="4"/>
      <c r="R1" s="4"/>
      <c r="S1" s="5"/>
    </row>
    <row r="2" spans="3:27" ht="15" thickBot="1" x14ac:dyDescent="0.35">
      <c r="G2" s="6"/>
      <c r="I2" s="7"/>
      <c r="J2" s="259">
        <f>$H$4+($H$4*J3)</f>
        <v>3150</v>
      </c>
      <c r="K2" s="259">
        <f>$H$4+($H$4*K3)</f>
        <v>3325</v>
      </c>
      <c r="L2" s="8">
        <f t="shared" ref="L2:Q2" si="0">$H$4+($H$4*L3)</f>
        <v>3500</v>
      </c>
      <c r="M2" s="8">
        <f t="shared" si="0"/>
        <v>3605</v>
      </c>
      <c r="N2" s="8">
        <f t="shared" si="0"/>
        <v>3780</v>
      </c>
      <c r="O2" s="8">
        <f t="shared" si="0"/>
        <v>3850</v>
      </c>
      <c r="P2" s="8">
        <f t="shared" si="0"/>
        <v>4025</v>
      </c>
      <c r="Q2" s="8">
        <f t="shared" si="0"/>
        <v>4200</v>
      </c>
      <c r="R2" s="9">
        <f>$H$4+($H$4*R3)</f>
        <v>4550</v>
      </c>
      <c r="S2" s="10"/>
    </row>
    <row r="3" spans="3:27" ht="15" thickBot="1" x14ac:dyDescent="0.35">
      <c r="D3" s="11" t="s">
        <v>8</v>
      </c>
      <c r="E3" s="12"/>
      <c r="G3" s="13"/>
      <c r="H3" s="14"/>
      <c r="I3" s="15" t="s">
        <v>9</v>
      </c>
      <c r="J3" s="87">
        <v>-0.1</v>
      </c>
      <c r="K3" s="87">
        <v>-0.05</v>
      </c>
      <c r="L3" s="87">
        <v>0</v>
      </c>
      <c r="M3" s="115">
        <v>0.03</v>
      </c>
      <c r="N3" s="115">
        <v>0.08</v>
      </c>
      <c r="O3" s="87">
        <v>0.1</v>
      </c>
      <c r="P3" s="16">
        <v>0.15</v>
      </c>
      <c r="Q3" s="16">
        <v>0.2</v>
      </c>
      <c r="R3" s="17">
        <v>0.3</v>
      </c>
      <c r="S3" s="10"/>
      <c r="U3" s="18" t="s">
        <v>10</v>
      </c>
      <c r="V3" s="19"/>
      <c r="W3" s="19"/>
      <c r="X3" s="19"/>
      <c r="Y3" s="19"/>
      <c r="Z3" s="19"/>
      <c r="AA3" s="20"/>
    </row>
    <row r="4" spans="3:27" ht="15" thickBot="1" x14ac:dyDescent="0.35">
      <c r="C4" s="2" t="s">
        <v>11</v>
      </c>
      <c r="D4" s="11" t="s">
        <v>12</v>
      </c>
      <c r="E4" s="12" t="s">
        <v>13</v>
      </c>
      <c r="G4" s="21" t="s">
        <v>14</v>
      </c>
      <c r="H4" s="116">
        <v>3500</v>
      </c>
      <c r="I4" s="23" t="s">
        <v>15</v>
      </c>
      <c r="J4" s="24">
        <v>0.9</v>
      </c>
      <c r="K4" s="24">
        <v>0.95</v>
      </c>
      <c r="L4" s="24">
        <v>1</v>
      </c>
      <c r="M4" s="24">
        <v>1.03</v>
      </c>
      <c r="N4" s="24">
        <v>1.06</v>
      </c>
      <c r="O4" s="24">
        <v>1.1000000000000001</v>
      </c>
      <c r="P4" s="24">
        <v>1.1499999999999999</v>
      </c>
      <c r="Q4" s="24">
        <v>1.2</v>
      </c>
      <c r="R4" s="25">
        <v>1.3</v>
      </c>
      <c r="S4" s="10"/>
      <c r="U4" s="26"/>
      <c r="V4" s="27"/>
      <c r="W4" s="28">
        <v>45566</v>
      </c>
      <c r="X4" s="28">
        <v>45597</v>
      </c>
      <c r="Y4" s="28">
        <v>45627</v>
      </c>
      <c r="Z4" s="27" t="s">
        <v>16</v>
      </c>
      <c r="AA4" s="29"/>
    </row>
    <row r="5" spans="3:27" ht="15" thickBot="1" x14ac:dyDescent="0.35">
      <c r="C5" s="2" t="s">
        <v>17</v>
      </c>
      <c r="D5" s="30">
        <v>5000</v>
      </c>
      <c r="E5" s="30">
        <v>5000</v>
      </c>
      <c r="G5" s="6"/>
      <c r="M5" s="86"/>
      <c r="S5" s="10"/>
      <c r="U5" s="26" t="s">
        <v>18</v>
      </c>
      <c r="V5" s="27" t="s">
        <v>19</v>
      </c>
      <c r="W5" s="31">
        <v>5000</v>
      </c>
      <c r="X5" s="31">
        <v>5000</v>
      </c>
      <c r="Y5" s="31">
        <v>5000</v>
      </c>
      <c r="Z5" s="31">
        <f>SUM(W5:Y5)</f>
        <v>15000</v>
      </c>
      <c r="AA5" s="29"/>
    </row>
    <row r="6" spans="3:27" x14ac:dyDescent="0.3">
      <c r="C6" s="27" t="s">
        <v>20</v>
      </c>
      <c r="D6" s="32">
        <v>4000</v>
      </c>
      <c r="E6" s="30">
        <v>4000</v>
      </c>
      <c r="G6" s="6" t="s">
        <v>76</v>
      </c>
      <c r="H6" s="76">
        <v>0.05</v>
      </c>
      <c r="I6" s="71" t="s">
        <v>388</v>
      </c>
      <c r="J6" s="72">
        <f>H6*$J$2</f>
        <v>157.5</v>
      </c>
      <c r="K6" s="72">
        <f>H6*$K$2</f>
        <v>166.25</v>
      </c>
      <c r="L6" s="260">
        <f>H6*$L$2</f>
        <v>175</v>
      </c>
      <c r="M6" s="262">
        <f>H6*$M$2</f>
        <v>180.25</v>
      </c>
      <c r="N6" s="263">
        <f>H6*$N$2</f>
        <v>189</v>
      </c>
      <c r="O6" s="263">
        <f>H6*$O$2</f>
        <v>192.5</v>
      </c>
      <c r="P6" s="263">
        <f>H6*$P$2</f>
        <v>201.25</v>
      </c>
      <c r="Q6" s="263">
        <f>H6*$Q$2</f>
        <v>210</v>
      </c>
      <c r="R6" s="263">
        <f>H6*$R$2</f>
        <v>227.5</v>
      </c>
      <c r="S6" s="10"/>
      <c r="U6" s="26"/>
      <c r="V6" s="27"/>
      <c r="W6" s="31"/>
      <c r="X6" s="31"/>
      <c r="Y6" s="31"/>
      <c r="Z6" s="31"/>
      <c r="AA6" s="29"/>
    </row>
    <row r="7" spans="3:27" x14ac:dyDescent="0.3">
      <c r="C7" s="27" t="s">
        <v>21</v>
      </c>
      <c r="D7" s="32">
        <v>4000</v>
      </c>
      <c r="E7" s="30">
        <v>4000</v>
      </c>
      <c r="G7" s="6"/>
      <c r="H7" s="77">
        <v>0.1</v>
      </c>
      <c r="I7" s="73" t="s">
        <v>389</v>
      </c>
      <c r="J7" s="74">
        <f t="shared" ref="J7:J20" si="1">H7*$J$2</f>
        <v>315</v>
      </c>
      <c r="K7" s="74">
        <f t="shared" ref="K7:K20" si="2">H7*$K$2</f>
        <v>332.5</v>
      </c>
      <c r="L7" s="261">
        <f t="shared" ref="L7:L20" si="3">H7*$L$2</f>
        <v>350</v>
      </c>
      <c r="M7" s="264">
        <f t="shared" ref="M7:M20" si="4">H7*$M$2</f>
        <v>360.5</v>
      </c>
      <c r="N7" s="75">
        <f t="shared" ref="N7:N20" si="5">H7*$N$2</f>
        <v>378</v>
      </c>
      <c r="O7" s="75">
        <f t="shared" ref="O7:O20" si="6">H7*$O$2</f>
        <v>385</v>
      </c>
      <c r="P7" s="75">
        <f t="shared" ref="P7:P20" si="7">H7*$P$2</f>
        <v>402.5</v>
      </c>
      <c r="Q7" s="75">
        <f t="shared" ref="Q7:Q20" si="8">H7*$Q$2</f>
        <v>420</v>
      </c>
      <c r="R7" s="75">
        <f t="shared" ref="R7:R20" si="9">H7*$R$2</f>
        <v>455</v>
      </c>
      <c r="S7" s="10"/>
      <c r="U7" s="26" t="s">
        <v>23</v>
      </c>
      <c r="V7" s="27" t="s">
        <v>24</v>
      </c>
      <c r="W7" s="31">
        <v>6000</v>
      </c>
      <c r="X7" s="31">
        <v>5000</v>
      </c>
      <c r="Y7" s="31">
        <v>4500</v>
      </c>
      <c r="Z7" s="31">
        <f>SUM(W7:Y7)</f>
        <v>15500</v>
      </c>
      <c r="AA7" s="29"/>
    </row>
    <row r="8" spans="3:27" ht="15" thickBot="1" x14ac:dyDescent="0.35">
      <c r="C8" s="27" t="s">
        <v>25</v>
      </c>
      <c r="D8" s="32">
        <v>2500</v>
      </c>
      <c r="E8" s="30">
        <v>2500</v>
      </c>
      <c r="G8" s="6"/>
      <c r="H8" s="78">
        <v>0.1</v>
      </c>
      <c r="I8" s="73" t="s">
        <v>390</v>
      </c>
      <c r="J8" s="74">
        <f t="shared" si="1"/>
        <v>315</v>
      </c>
      <c r="K8" s="74">
        <f t="shared" si="2"/>
        <v>332.5</v>
      </c>
      <c r="L8" s="261">
        <f t="shared" si="3"/>
        <v>350</v>
      </c>
      <c r="M8" s="264">
        <f t="shared" si="4"/>
        <v>360.5</v>
      </c>
      <c r="N8" s="75">
        <f t="shared" si="5"/>
        <v>378</v>
      </c>
      <c r="O8" s="75">
        <f t="shared" si="6"/>
        <v>385</v>
      </c>
      <c r="P8" s="75">
        <f t="shared" si="7"/>
        <v>402.5</v>
      </c>
      <c r="Q8" s="75">
        <f t="shared" si="8"/>
        <v>420</v>
      </c>
      <c r="R8" s="75">
        <f t="shared" si="9"/>
        <v>455</v>
      </c>
      <c r="S8" s="10"/>
      <c r="U8" s="26"/>
      <c r="V8" s="27" t="s">
        <v>26</v>
      </c>
      <c r="W8" s="31">
        <f>I39</f>
        <v>1071</v>
      </c>
      <c r="X8" s="31">
        <v>5200</v>
      </c>
      <c r="Y8" s="31">
        <v>5000</v>
      </c>
      <c r="Z8" s="34">
        <f>SUM(W8:Y8)</f>
        <v>11271</v>
      </c>
      <c r="AA8" s="29"/>
    </row>
    <row r="9" spans="3:27" ht="15" thickBot="1" x14ac:dyDescent="0.35">
      <c r="C9" s="27" t="s">
        <v>27</v>
      </c>
      <c r="D9" s="32">
        <v>1200</v>
      </c>
      <c r="E9" s="30">
        <v>1200</v>
      </c>
      <c r="G9" s="6"/>
      <c r="J9" s="74"/>
      <c r="K9" s="74"/>
      <c r="L9" s="261"/>
      <c r="M9" s="264"/>
      <c r="N9" s="75"/>
      <c r="O9" s="75"/>
      <c r="P9" s="75"/>
      <c r="Q9" s="75"/>
      <c r="R9" s="75"/>
      <c r="S9" s="10"/>
      <c r="U9" s="26"/>
      <c r="V9" s="34" t="s">
        <v>28</v>
      </c>
      <c r="W9" s="31">
        <v>5000</v>
      </c>
      <c r="X9" s="31">
        <v>4900</v>
      </c>
      <c r="Y9" s="31">
        <v>6500</v>
      </c>
      <c r="Z9" s="34">
        <f t="shared" ref="Z9:Z10" si="10">SUM(W9:Y9)</f>
        <v>16400</v>
      </c>
      <c r="AA9" s="29">
        <f>Z9/Z5</f>
        <v>1.0933333333333333</v>
      </c>
    </row>
    <row r="10" spans="3:27" x14ac:dyDescent="0.3">
      <c r="C10" s="35" t="s">
        <v>29</v>
      </c>
      <c r="D10" s="36"/>
      <c r="E10" s="30">
        <v>2500</v>
      </c>
      <c r="G10" s="6" t="s">
        <v>77</v>
      </c>
      <c r="H10" s="80">
        <v>0.05</v>
      </c>
      <c r="I10" s="71" t="s">
        <v>395</v>
      </c>
      <c r="J10" s="74">
        <f t="shared" si="1"/>
        <v>157.5</v>
      </c>
      <c r="K10" s="74">
        <f t="shared" si="2"/>
        <v>166.25</v>
      </c>
      <c r="L10" s="261">
        <f t="shared" si="3"/>
        <v>175</v>
      </c>
      <c r="M10" s="264">
        <f t="shared" si="4"/>
        <v>180.25</v>
      </c>
      <c r="N10" s="75">
        <f t="shared" si="5"/>
        <v>189</v>
      </c>
      <c r="O10" s="75">
        <f t="shared" si="6"/>
        <v>192.5</v>
      </c>
      <c r="P10" s="75">
        <f t="shared" si="7"/>
        <v>201.25</v>
      </c>
      <c r="Q10" s="75">
        <f t="shared" si="8"/>
        <v>210</v>
      </c>
      <c r="R10" s="75">
        <f t="shared" si="9"/>
        <v>227.5</v>
      </c>
      <c r="S10" s="10"/>
      <c r="U10" s="26"/>
      <c r="V10" s="27" t="s">
        <v>31</v>
      </c>
      <c r="W10" s="31">
        <v>4800</v>
      </c>
      <c r="X10" s="31">
        <v>4000</v>
      </c>
      <c r="Y10" s="31">
        <v>5000</v>
      </c>
      <c r="Z10" s="34">
        <f t="shared" si="10"/>
        <v>13800</v>
      </c>
      <c r="AA10" s="29"/>
    </row>
    <row r="11" spans="3:27" ht="15" thickBot="1" x14ac:dyDescent="0.35">
      <c r="C11" s="35" t="s">
        <v>32</v>
      </c>
      <c r="D11" s="36"/>
      <c r="E11" s="36">
        <v>3500</v>
      </c>
      <c r="F11" s="27"/>
      <c r="G11" s="6"/>
      <c r="H11" s="81">
        <v>0.1</v>
      </c>
      <c r="I11" s="73" t="s">
        <v>396</v>
      </c>
      <c r="J11" s="74">
        <f t="shared" si="1"/>
        <v>315</v>
      </c>
      <c r="K11" s="74">
        <f t="shared" si="2"/>
        <v>332.5</v>
      </c>
      <c r="L11" s="261">
        <f t="shared" si="3"/>
        <v>350</v>
      </c>
      <c r="M11" s="264">
        <f t="shared" si="4"/>
        <v>360.5</v>
      </c>
      <c r="N11" s="75">
        <f t="shared" si="5"/>
        <v>378</v>
      </c>
      <c r="O11" s="75">
        <f t="shared" si="6"/>
        <v>385</v>
      </c>
      <c r="P11" s="75">
        <f t="shared" si="7"/>
        <v>402.5</v>
      </c>
      <c r="Q11" s="75">
        <f t="shared" si="8"/>
        <v>420</v>
      </c>
      <c r="R11" s="75">
        <f t="shared" si="9"/>
        <v>455</v>
      </c>
      <c r="S11" s="10"/>
      <c r="U11" s="37"/>
      <c r="V11" s="38"/>
      <c r="W11" s="38"/>
      <c r="X11" s="38"/>
      <c r="Y11" s="38" t="s">
        <v>34</v>
      </c>
      <c r="Z11" s="39">
        <f>MEDIAN(Z7:Z10)</f>
        <v>14650</v>
      </c>
      <c r="AA11" s="40">
        <f>Z11/Z5-1</f>
        <v>-2.3333333333333317E-2</v>
      </c>
    </row>
    <row r="12" spans="3:27" x14ac:dyDescent="0.3">
      <c r="C12" s="35" t="s">
        <v>35</v>
      </c>
      <c r="D12" s="36"/>
      <c r="E12" s="36">
        <v>3500</v>
      </c>
      <c r="F12" s="27"/>
      <c r="G12" s="6"/>
      <c r="H12" s="81">
        <v>0.1</v>
      </c>
      <c r="I12" s="73" t="s">
        <v>402</v>
      </c>
      <c r="J12" s="74">
        <f t="shared" si="1"/>
        <v>315</v>
      </c>
      <c r="K12" s="74">
        <f t="shared" si="2"/>
        <v>332.5</v>
      </c>
      <c r="L12" s="261">
        <f t="shared" si="3"/>
        <v>350</v>
      </c>
      <c r="M12" s="264">
        <f t="shared" si="4"/>
        <v>360.5</v>
      </c>
      <c r="N12" s="75">
        <f t="shared" si="5"/>
        <v>378</v>
      </c>
      <c r="O12" s="75">
        <f t="shared" si="6"/>
        <v>385</v>
      </c>
      <c r="P12" s="75">
        <f t="shared" si="7"/>
        <v>402.5</v>
      </c>
      <c r="Q12" s="75">
        <f t="shared" si="8"/>
        <v>420</v>
      </c>
      <c r="R12" s="75">
        <f t="shared" si="9"/>
        <v>455</v>
      </c>
      <c r="S12" s="10"/>
    </row>
    <row r="13" spans="3:27" x14ac:dyDescent="0.3">
      <c r="G13" s="6"/>
      <c r="H13" s="81">
        <v>0.1</v>
      </c>
      <c r="I13" s="73" t="s">
        <v>405</v>
      </c>
      <c r="J13" s="74">
        <f t="shared" si="1"/>
        <v>315</v>
      </c>
      <c r="K13" s="74">
        <f t="shared" si="2"/>
        <v>332.5</v>
      </c>
      <c r="L13" s="261">
        <f t="shared" si="3"/>
        <v>350</v>
      </c>
      <c r="M13" s="264">
        <f t="shared" si="4"/>
        <v>360.5</v>
      </c>
      <c r="N13" s="75">
        <f t="shared" si="5"/>
        <v>378</v>
      </c>
      <c r="O13" s="75">
        <f t="shared" si="6"/>
        <v>385</v>
      </c>
      <c r="P13" s="75">
        <f t="shared" si="7"/>
        <v>402.5</v>
      </c>
      <c r="Q13" s="75">
        <f t="shared" si="8"/>
        <v>420</v>
      </c>
      <c r="R13" s="75">
        <f t="shared" si="9"/>
        <v>455</v>
      </c>
      <c r="S13" s="10"/>
    </row>
    <row r="14" spans="3:27" ht="15" thickBot="1" x14ac:dyDescent="0.35">
      <c r="G14" s="6"/>
      <c r="H14" s="79"/>
      <c r="I14" s="83"/>
      <c r="J14" s="74">
        <f t="shared" si="1"/>
        <v>0</v>
      </c>
      <c r="K14" s="74">
        <f t="shared" si="2"/>
        <v>0</v>
      </c>
      <c r="L14" s="261">
        <f t="shared" si="3"/>
        <v>0</v>
      </c>
      <c r="M14" s="264">
        <f t="shared" si="4"/>
        <v>0</v>
      </c>
      <c r="N14" s="75">
        <f t="shared" si="5"/>
        <v>0</v>
      </c>
      <c r="O14" s="75">
        <f t="shared" si="6"/>
        <v>0</v>
      </c>
      <c r="P14" s="75">
        <f t="shared" si="7"/>
        <v>0</v>
      </c>
      <c r="Q14" s="75">
        <f t="shared" si="8"/>
        <v>0</v>
      </c>
      <c r="R14" s="75">
        <f t="shared" si="9"/>
        <v>0</v>
      </c>
      <c r="S14" s="10"/>
    </row>
    <row r="15" spans="3:27" ht="15" thickBot="1" x14ac:dyDescent="0.35">
      <c r="C15" s="35"/>
      <c r="D15" s="35"/>
      <c r="G15" s="6"/>
      <c r="J15" s="74"/>
      <c r="K15" s="74"/>
      <c r="L15" s="261"/>
      <c r="M15" s="264"/>
      <c r="N15" s="75"/>
      <c r="O15" s="75"/>
      <c r="P15" s="75"/>
      <c r="Q15" s="75"/>
      <c r="R15" s="75"/>
      <c r="S15" s="10"/>
    </row>
    <row r="16" spans="3:27" x14ac:dyDescent="0.3">
      <c r="G16" s="6" t="s">
        <v>78</v>
      </c>
      <c r="H16" s="80">
        <v>0.15</v>
      </c>
      <c r="I16" s="71" t="s">
        <v>391</v>
      </c>
      <c r="J16" s="74">
        <f t="shared" si="1"/>
        <v>472.5</v>
      </c>
      <c r="K16" s="74">
        <f t="shared" si="2"/>
        <v>498.75</v>
      </c>
      <c r="L16" s="261">
        <f t="shared" si="3"/>
        <v>525</v>
      </c>
      <c r="M16" s="264">
        <f t="shared" si="4"/>
        <v>540.75</v>
      </c>
      <c r="N16" s="75">
        <f t="shared" si="5"/>
        <v>567</v>
      </c>
      <c r="O16" s="75">
        <f t="shared" si="6"/>
        <v>577.5</v>
      </c>
      <c r="P16" s="75">
        <f t="shared" si="7"/>
        <v>603.75</v>
      </c>
      <c r="Q16" s="75">
        <f t="shared" si="8"/>
        <v>630</v>
      </c>
      <c r="R16" s="75">
        <f t="shared" si="9"/>
        <v>682.5</v>
      </c>
      <c r="S16" s="10"/>
      <c r="U16" s="2" t="s">
        <v>40</v>
      </c>
    </row>
    <row r="17" spans="1:23" ht="15" thickBot="1" x14ac:dyDescent="0.35">
      <c r="G17" s="6"/>
      <c r="H17" s="82">
        <v>0.15</v>
      </c>
      <c r="I17" s="83" t="s">
        <v>392</v>
      </c>
      <c r="J17" s="74">
        <f t="shared" si="1"/>
        <v>472.5</v>
      </c>
      <c r="K17" s="74">
        <f t="shared" si="2"/>
        <v>498.75</v>
      </c>
      <c r="L17" s="261">
        <f t="shared" si="3"/>
        <v>525</v>
      </c>
      <c r="M17" s="264">
        <f t="shared" si="4"/>
        <v>540.75</v>
      </c>
      <c r="N17" s="75">
        <f t="shared" si="5"/>
        <v>567</v>
      </c>
      <c r="O17" s="75">
        <f t="shared" si="6"/>
        <v>577.5</v>
      </c>
      <c r="P17" s="75">
        <f t="shared" si="7"/>
        <v>603.75</v>
      </c>
      <c r="Q17" s="75">
        <f t="shared" si="8"/>
        <v>630</v>
      </c>
      <c r="R17" s="75">
        <f t="shared" si="9"/>
        <v>682.5</v>
      </c>
      <c r="S17" s="10"/>
    </row>
    <row r="18" spans="1:23" ht="15" thickBot="1" x14ac:dyDescent="0.35">
      <c r="B18" s="41"/>
      <c r="C18" s="41"/>
      <c r="D18" s="41"/>
      <c r="E18" s="41"/>
      <c r="G18" s="6"/>
      <c r="J18" s="74"/>
      <c r="K18" s="74"/>
      <c r="L18" s="261"/>
      <c r="M18" s="264"/>
      <c r="N18" s="75"/>
      <c r="O18" s="75"/>
      <c r="P18" s="75"/>
      <c r="Q18" s="75"/>
      <c r="R18" s="75"/>
      <c r="S18" s="10"/>
      <c r="U18" s="2" t="s">
        <v>41</v>
      </c>
      <c r="V18" s="2" t="s">
        <v>42</v>
      </c>
    </row>
    <row r="19" spans="1:23" x14ac:dyDescent="0.3">
      <c r="B19" s="91" t="s">
        <v>395</v>
      </c>
      <c r="C19" s="101" t="s">
        <v>396</v>
      </c>
      <c r="D19" s="91" t="s">
        <v>402</v>
      </c>
      <c r="E19" s="91" t="s">
        <v>405</v>
      </c>
      <c r="G19" s="6" t="s">
        <v>47</v>
      </c>
      <c r="H19" s="80">
        <v>0.05</v>
      </c>
      <c r="I19" s="71" t="s">
        <v>393</v>
      </c>
      <c r="J19" s="74">
        <f t="shared" si="1"/>
        <v>157.5</v>
      </c>
      <c r="K19" s="74">
        <f t="shared" si="2"/>
        <v>166.25</v>
      </c>
      <c r="L19" s="261">
        <f t="shared" si="3"/>
        <v>175</v>
      </c>
      <c r="M19" s="264">
        <f t="shared" si="4"/>
        <v>180.25</v>
      </c>
      <c r="N19" s="75">
        <f t="shared" si="5"/>
        <v>189</v>
      </c>
      <c r="O19" s="75">
        <f t="shared" si="6"/>
        <v>192.5</v>
      </c>
      <c r="P19" s="75">
        <f t="shared" si="7"/>
        <v>201.25</v>
      </c>
      <c r="Q19" s="75">
        <f t="shared" si="8"/>
        <v>210</v>
      </c>
      <c r="R19" s="75">
        <f t="shared" si="9"/>
        <v>227.5</v>
      </c>
      <c r="S19" s="10"/>
    </row>
    <row r="20" spans="1:23" x14ac:dyDescent="0.3">
      <c r="A20" s="94">
        <v>0</v>
      </c>
      <c r="B20" s="92">
        <f>J10</f>
        <v>157.5</v>
      </c>
      <c r="C20" s="92">
        <f>J11</f>
        <v>315</v>
      </c>
      <c r="D20" s="92">
        <f>J12</f>
        <v>315</v>
      </c>
      <c r="E20" s="92">
        <f>J13</f>
        <v>315</v>
      </c>
      <c r="G20" s="6"/>
      <c r="H20" s="81">
        <v>0.05</v>
      </c>
      <c r="I20" s="73" t="s">
        <v>394</v>
      </c>
      <c r="J20" s="74">
        <f t="shared" si="1"/>
        <v>157.5</v>
      </c>
      <c r="K20" s="74">
        <f t="shared" si="2"/>
        <v>166.25</v>
      </c>
      <c r="L20" s="261">
        <f t="shared" si="3"/>
        <v>175</v>
      </c>
      <c r="M20" s="264">
        <f t="shared" si="4"/>
        <v>180.25</v>
      </c>
      <c r="N20" s="75">
        <f t="shared" si="5"/>
        <v>189</v>
      </c>
      <c r="O20" s="75">
        <f t="shared" si="6"/>
        <v>192.5</v>
      </c>
      <c r="P20" s="75">
        <f t="shared" si="7"/>
        <v>201.25</v>
      </c>
      <c r="Q20" s="75">
        <f t="shared" si="8"/>
        <v>210</v>
      </c>
      <c r="R20" s="75">
        <f t="shared" si="9"/>
        <v>227.5</v>
      </c>
      <c r="S20" s="10"/>
      <c r="U20" s="2" t="s">
        <v>48</v>
      </c>
      <c r="V20" s="2" t="s">
        <v>20</v>
      </c>
      <c r="W20" s="2" t="s">
        <v>49</v>
      </c>
    </row>
    <row r="21" spans="1:23" x14ac:dyDescent="0.3">
      <c r="A21" s="94">
        <v>0.90000999999999998</v>
      </c>
      <c r="B21" s="92">
        <f>K10</f>
        <v>166.25</v>
      </c>
      <c r="C21" s="92">
        <f>K11</f>
        <v>332.5</v>
      </c>
      <c r="D21" s="92">
        <f>K12</f>
        <v>332.5</v>
      </c>
      <c r="E21" s="92">
        <f>K13</f>
        <v>332.5</v>
      </c>
      <c r="G21" s="6"/>
      <c r="H21" s="6"/>
      <c r="I21" s="73"/>
      <c r="J21" s="265"/>
      <c r="K21" s="265"/>
      <c r="L21" s="84"/>
      <c r="M21" s="265"/>
      <c r="N21" s="265"/>
      <c r="O21" s="265"/>
      <c r="P21" s="265"/>
      <c r="Q21" s="265"/>
      <c r="R21" s="265"/>
      <c r="S21" s="10"/>
    </row>
    <row r="22" spans="1:23" x14ac:dyDescent="0.3">
      <c r="A22" s="94">
        <v>0.95001000000000002</v>
      </c>
      <c r="B22" s="92">
        <f>L10</f>
        <v>175</v>
      </c>
      <c r="C22" s="92">
        <f>L11</f>
        <v>350</v>
      </c>
      <c r="D22" s="92">
        <f>L12</f>
        <v>350</v>
      </c>
      <c r="E22" s="92">
        <f>L13</f>
        <v>350</v>
      </c>
      <c r="G22" s="6"/>
      <c r="H22" s="6"/>
      <c r="I22" s="73"/>
      <c r="J22" s="265"/>
      <c r="K22" s="265"/>
      <c r="L22" s="84"/>
      <c r="M22" s="265"/>
      <c r="N22" s="265"/>
      <c r="O22" s="265"/>
      <c r="P22" s="265"/>
      <c r="Q22" s="265"/>
      <c r="R22" s="265"/>
      <c r="S22" s="10"/>
      <c r="U22" s="2" t="s">
        <v>50</v>
      </c>
      <c r="V22" s="2" t="s">
        <v>51</v>
      </c>
      <c r="W22" s="2" t="s">
        <v>42</v>
      </c>
    </row>
    <row r="23" spans="1:23" x14ac:dyDescent="0.3">
      <c r="A23" s="94">
        <v>1.0000100000000001</v>
      </c>
      <c r="B23" s="92">
        <f>M10</f>
        <v>180.25</v>
      </c>
      <c r="C23" s="92">
        <f>M11</f>
        <v>360.5</v>
      </c>
      <c r="D23" s="92">
        <f>M12</f>
        <v>360.5</v>
      </c>
      <c r="E23" s="92">
        <f>M13</f>
        <v>360.5</v>
      </c>
      <c r="G23" s="6"/>
      <c r="H23" s="6"/>
      <c r="I23" s="73"/>
      <c r="J23" s="265"/>
      <c r="K23" s="265"/>
      <c r="L23" s="84"/>
      <c r="M23" s="265"/>
      <c r="N23" s="265"/>
      <c r="O23" s="265"/>
      <c r="P23" s="265"/>
      <c r="Q23" s="265"/>
      <c r="R23" s="265"/>
      <c r="S23" s="10"/>
    </row>
    <row r="24" spans="1:23" x14ac:dyDescent="0.3">
      <c r="A24" s="94">
        <v>1.0300100000000001</v>
      </c>
      <c r="B24" s="93">
        <f>N10</f>
        <v>189</v>
      </c>
      <c r="C24" s="93">
        <f>N11</f>
        <v>378</v>
      </c>
      <c r="D24" s="93">
        <f>N12</f>
        <v>378</v>
      </c>
      <c r="E24" s="93">
        <f>N13</f>
        <v>378</v>
      </c>
      <c r="G24" s="6"/>
      <c r="H24" s="6"/>
      <c r="I24" s="73"/>
      <c r="J24" s="265"/>
      <c r="K24" s="265"/>
      <c r="L24" s="84"/>
      <c r="M24" s="265"/>
      <c r="N24" s="265"/>
      <c r="O24" s="265"/>
      <c r="P24" s="265"/>
      <c r="Q24" s="265"/>
      <c r="R24" s="265"/>
      <c r="S24" s="10"/>
      <c r="U24" s="2" t="s">
        <v>52</v>
      </c>
      <c r="V24" s="2" t="s">
        <v>53</v>
      </c>
      <c r="W24" s="2" t="s">
        <v>54</v>
      </c>
    </row>
    <row r="25" spans="1:23" x14ac:dyDescent="0.3">
      <c r="A25" s="94">
        <f>106.001%</f>
        <v>1.0600100000000001</v>
      </c>
      <c r="B25" s="92">
        <f>O10</f>
        <v>192.5</v>
      </c>
      <c r="C25" s="92">
        <f>O11</f>
        <v>385</v>
      </c>
      <c r="D25" s="92">
        <f>O12</f>
        <v>385</v>
      </c>
      <c r="E25" s="92">
        <f>O13</f>
        <v>385</v>
      </c>
      <c r="G25" s="6"/>
      <c r="H25" s="6"/>
      <c r="I25" s="73"/>
      <c r="J25" s="265"/>
      <c r="K25" s="265"/>
      <c r="L25" s="84"/>
      <c r="M25" s="265"/>
      <c r="N25" s="265"/>
      <c r="O25" s="265"/>
      <c r="P25" s="265"/>
      <c r="Q25" s="265"/>
      <c r="R25" s="265"/>
      <c r="S25" s="10"/>
    </row>
    <row r="26" spans="1:23" x14ac:dyDescent="0.3">
      <c r="A26" s="94">
        <f>110.001%</f>
        <v>1.1000100000000002</v>
      </c>
      <c r="B26" s="92">
        <f>P10</f>
        <v>201.25</v>
      </c>
      <c r="C26" s="92">
        <f>P11</f>
        <v>402.5</v>
      </c>
      <c r="D26" s="92">
        <f>P12</f>
        <v>402.5</v>
      </c>
      <c r="E26" s="92">
        <f>P13</f>
        <v>402.5</v>
      </c>
      <c r="G26" s="6"/>
      <c r="H26" s="6"/>
      <c r="I26" s="73"/>
      <c r="J26" s="265"/>
      <c r="K26" s="265"/>
      <c r="L26" s="84"/>
      <c r="M26" s="265"/>
      <c r="N26" s="265"/>
      <c r="O26" s="265"/>
      <c r="P26" s="265"/>
      <c r="Q26" s="265"/>
      <c r="R26" s="265"/>
      <c r="S26" s="10"/>
    </row>
    <row r="27" spans="1:23" x14ac:dyDescent="0.3">
      <c r="A27" s="94">
        <f>115.001%</f>
        <v>1.15001</v>
      </c>
      <c r="B27" s="92">
        <f>Q10</f>
        <v>210</v>
      </c>
      <c r="C27" s="92">
        <f>Q11</f>
        <v>420</v>
      </c>
      <c r="D27" s="92">
        <f>Q12</f>
        <v>420</v>
      </c>
      <c r="E27" s="92">
        <f>Q13</f>
        <v>420</v>
      </c>
      <c r="G27" s="6"/>
      <c r="H27" s="6"/>
      <c r="I27" s="73"/>
      <c r="J27" s="265"/>
      <c r="K27" s="265"/>
      <c r="L27" s="84"/>
      <c r="M27" s="265"/>
      <c r="N27" s="265"/>
      <c r="O27" s="265"/>
      <c r="P27" s="265"/>
      <c r="Q27" s="265"/>
      <c r="R27" s="265"/>
      <c r="S27" s="10"/>
    </row>
    <row r="28" spans="1:23" x14ac:dyDescent="0.3">
      <c r="A28" s="94">
        <f>120.001%</f>
        <v>1.20001</v>
      </c>
      <c r="B28" s="92">
        <f>R10</f>
        <v>227.5</v>
      </c>
      <c r="C28" s="92">
        <f>R11</f>
        <v>455</v>
      </c>
      <c r="D28" s="92">
        <f>R12</f>
        <v>455</v>
      </c>
      <c r="E28" s="92">
        <f>R13</f>
        <v>455</v>
      </c>
      <c r="G28" s="6"/>
      <c r="H28" s="6"/>
      <c r="I28" s="73"/>
      <c r="J28" s="265"/>
      <c r="K28" s="265"/>
      <c r="L28" s="84"/>
      <c r="M28" s="265"/>
      <c r="N28" s="265"/>
      <c r="O28" s="265"/>
      <c r="P28" s="265"/>
      <c r="Q28" s="265"/>
      <c r="R28" s="265"/>
      <c r="S28" s="10"/>
    </row>
    <row r="29" spans="1:23" ht="15" thickBot="1" x14ac:dyDescent="0.35">
      <c r="G29" s="6"/>
      <c r="H29" s="33"/>
      <c r="I29" s="83"/>
      <c r="J29" s="266"/>
      <c r="K29" s="266"/>
      <c r="L29" s="85"/>
      <c r="M29" s="266"/>
      <c r="N29" s="266"/>
      <c r="O29" s="266"/>
      <c r="P29" s="266"/>
      <c r="Q29" s="266"/>
      <c r="R29" s="266"/>
      <c r="S29" s="10"/>
    </row>
    <row r="30" spans="1:23" x14ac:dyDescent="0.3">
      <c r="A30" s="43"/>
      <c r="B30" s="44"/>
      <c r="C30" s="44"/>
      <c r="D30" s="44"/>
      <c r="E30" s="44"/>
      <c r="G30" s="6"/>
      <c r="H30" s="45">
        <f>SUM(H6:H29)</f>
        <v>1</v>
      </c>
      <c r="S30" s="10"/>
    </row>
    <row r="31" spans="1:23" ht="15" thickBot="1" x14ac:dyDescent="0.35">
      <c r="B31" s="46"/>
      <c r="C31" s="46"/>
      <c r="D31" s="46"/>
      <c r="E31" s="46"/>
      <c r="G31" s="33"/>
      <c r="H31" s="47"/>
      <c r="I31" s="47" t="s">
        <v>55</v>
      </c>
      <c r="J31" s="48">
        <f t="shared" ref="J31:R31" si="11">SUM(J6:J29)</f>
        <v>3150</v>
      </c>
      <c r="K31" s="48">
        <f t="shared" si="11"/>
        <v>3325</v>
      </c>
      <c r="L31" s="48">
        <f t="shared" si="11"/>
        <v>3500</v>
      </c>
      <c r="M31" s="48">
        <f t="shared" si="11"/>
        <v>3605</v>
      </c>
      <c r="N31" s="48">
        <f t="shared" si="11"/>
        <v>3780</v>
      </c>
      <c r="O31" s="48">
        <f t="shared" si="11"/>
        <v>3850</v>
      </c>
      <c r="P31" s="48">
        <f t="shared" si="11"/>
        <v>4025</v>
      </c>
      <c r="Q31" s="48">
        <f t="shared" si="11"/>
        <v>4200</v>
      </c>
      <c r="R31" s="48">
        <f t="shared" si="11"/>
        <v>4550</v>
      </c>
      <c r="S31" s="49"/>
    </row>
    <row r="32" spans="1:23" ht="15" thickBot="1" x14ac:dyDescent="0.35">
      <c r="B32" s="46"/>
      <c r="C32" s="46"/>
      <c r="D32" s="46"/>
      <c r="E32" s="46"/>
    </row>
    <row r="33" spans="2:23" ht="15" thickBot="1" x14ac:dyDescent="0.35">
      <c r="B33" s="46"/>
      <c r="C33" s="46"/>
      <c r="D33" s="46"/>
      <c r="E33" s="46"/>
      <c r="G33" s="50" t="s">
        <v>56</v>
      </c>
      <c r="H33" s="51" t="s">
        <v>57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2"/>
    </row>
    <row r="34" spans="2:23" x14ac:dyDescent="0.3">
      <c r="B34" s="46"/>
      <c r="C34" s="46"/>
      <c r="D34" s="46"/>
      <c r="E34" s="46"/>
    </row>
    <row r="35" spans="2:23" x14ac:dyDescent="0.3">
      <c r="H35" s="53" t="s">
        <v>43</v>
      </c>
      <c r="I35" s="53"/>
      <c r="J35" s="54"/>
      <c r="K35" s="53"/>
      <c r="L35" s="53"/>
      <c r="M35" s="53"/>
      <c r="N35" s="53"/>
      <c r="O35" s="54">
        <f>O6</f>
        <v>192.5</v>
      </c>
      <c r="P35" s="53"/>
      <c r="Q35" s="53"/>
      <c r="R35" s="53"/>
      <c r="S35" s="53"/>
    </row>
    <row r="36" spans="2:23" x14ac:dyDescent="0.3">
      <c r="H36" s="53" t="s">
        <v>44</v>
      </c>
      <c r="I36" s="53"/>
      <c r="J36" s="54">
        <f>J10</f>
        <v>157.5</v>
      </c>
      <c r="K36" s="53"/>
      <c r="L36" s="53"/>
      <c r="M36" s="53"/>
      <c r="N36" s="53"/>
      <c r="O36" s="53"/>
      <c r="P36" s="53"/>
      <c r="Q36" s="53"/>
      <c r="R36" s="53"/>
      <c r="S36" s="53"/>
      <c r="W36" s="53"/>
    </row>
    <row r="37" spans="2:23" x14ac:dyDescent="0.3">
      <c r="H37" s="53" t="s">
        <v>45</v>
      </c>
      <c r="I37" s="53"/>
      <c r="J37" s="53"/>
      <c r="K37" s="53"/>
      <c r="L37" s="53"/>
      <c r="M37" s="54">
        <f>M16</f>
        <v>540.75</v>
      </c>
      <c r="N37" s="53"/>
      <c r="O37" s="53"/>
      <c r="P37" s="53"/>
      <c r="Q37" s="53"/>
      <c r="R37" s="53"/>
      <c r="S37" s="53"/>
    </row>
    <row r="38" spans="2:23" ht="15" thickBot="1" x14ac:dyDescent="0.35">
      <c r="H38" s="55" t="s">
        <v>58</v>
      </c>
      <c r="I38" s="55"/>
      <c r="J38" s="53"/>
      <c r="K38" s="53"/>
      <c r="L38" s="53"/>
      <c r="M38" s="54">
        <f>M19</f>
        <v>180.25</v>
      </c>
      <c r="N38" s="53"/>
      <c r="O38" s="53"/>
      <c r="P38" s="53"/>
      <c r="Q38" s="53"/>
      <c r="R38" s="53"/>
      <c r="S38" s="53"/>
    </row>
    <row r="39" spans="2:23" ht="15" thickBot="1" x14ac:dyDescent="0.35">
      <c r="H39" s="56" t="s">
        <v>55</v>
      </c>
      <c r="I39" s="57">
        <f>SUM(I35:R38)</f>
        <v>1071</v>
      </c>
    </row>
    <row r="41" spans="2:23" ht="23.25" hidden="1" customHeight="1" x14ac:dyDescent="0.3">
      <c r="H41" s="2" t="s">
        <v>59</v>
      </c>
      <c r="I41" s="42" t="s">
        <v>60</v>
      </c>
      <c r="J41" s="58" t="s">
        <v>61</v>
      </c>
      <c r="K41" s="58" t="s">
        <v>62</v>
      </c>
      <c r="L41" s="58" t="s">
        <v>63</v>
      </c>
      <c r="M41" s="58" t="s">
        <v>64</v>
      </c>
      <c r="N41" s="58" t="s">
        <v>65</v>
      </c>
      <c r="O41" s="58" t="s">
        <v>66</v>
      </c>
      <c r="P41" s="58" t="s">
        <v>67</v>
      </c>
      <c r="Q41" s="58" t="s">
        <v>68</v>
      </c>
      <c r="R41" s="58" t="s">
        <v>69</v>
      </c>
    </row>
    <row r="42" spans="2:23" ht="21.6" hidden="1" customHeight="1" x14ac:dyDescent="0.3">
      <c r="I42" s="42">
        <v>0</v>
      </c>
      <c r="J42" s="59">
        <v>1200</v>
      </c>
      <c r="K42" s="59">
        <v>1350</v>
      </c>
      <c r="L42" s="59">
        <f>1425</f>
        <v>1425</v>
      </c>
      <c r="M42" s="59">
        <v>1500</v>
      </c>
      <c r="N42" s="59">
        <v>1575</v>
      </c>
      <c r="O42" s="59">
        <v>1725</v>
      </c>
      <c r="P42" s="59">
        <v>1875</v>
      </c>
      <c r="Q42" s="59">
        <v>1950</v>
      </c>
      <c r="R42" s="59">
        <v>2100</v>
      </c>
      <c r="S42" s="46"/>
    </row>
    <row r="43" spans="2:23" ht="18.149999999999999" customHeight="1" x14ac:dyDescent="0.3">
      <c r="H43" s="2" t="s">
        <v>9</v>
      </c>
      <c r="J43" s="60">
        <v>-0.2</v>
      </c>
      <c r="K43" s="45">
        <v>-0.1</v>
      </c>
      <c r="L43" s="45">
        <v>-0.05</v>
      </c>
      <c r="M43" s="61"/>
      <c r="N43" s="45">
        <v>0.05</v>
      </c>
      <c r="O43" s="45">
        <v>0.15</v>
      </c>
      <c r="P43" s="62">
        <v>0.25</v>
      </c>
      <c r="Q43" s="62">
        <v>0.3</v>
      </c>
      <c r="R43" s="63">
        <v>0.4</v>
      </c>
    </row>
    <row r="44" spans="2:23" ht="15.6" x14ac:dyDescent="0.3">
      <c r="H44" s="2" t="s">
        <v>70</v>
      </c>
      <c r="I44" s="64" t="s">
        <v>60</v>
      </c>
      <c r="J44" s="65" t="s">
        <v>61</v>
      </c>
      <c r="K44" s="58" t="s">
        <v>62</v>
      </c>
      <c r="L44" s="58" t="s">
        <v>63</v>
      </c>
      <c r="M44" s="66">
        <v>1</v>
      </c>
      <c r="N44" s="58" t="s">
        <v>71</v>
      </c>
      <c r="O44" s="58" t="s">
        <v>72</v>
      </c>
      <c r="P44" s="58" t="s">
        <v>73</v>
      </c>
      <c r="Q44" s="58" t="s">
        <v>74</v>
      </c>
      <c r="R44" s="65" t="s">
        <v>75</v>
      </c>
      <c r="S44" s="67"/>
    </row>
    <row r="45" spans="2:23" ht="15.6" x14ac:dyDescent="0.3">
      <c r="H45" s="2" t="s">
        <v>43</v>
      </c>
      <c r="I45" s="68">
        <f>J6</f>
        <v>157.5</v>
      </c>
      <c r="J45" s="68">
        <f t="shared" ref="J45:R45" si="12">J6</f>
        <v>157.5</v>
      </c>
      <c r="K45" s="59">
        <f t="shared" si="12"/>
        <v>166.25</v>
      </c>
      <c r="L45" s="59">
        <f t="shared" si="12"/>
        <v>175</v>
      </c>
      <c r="M45" s="69">
        <f t="shared" si="12"/>
        <v>180.25</v>
      </c>
      <c r="N45" s="59">
        <f t="shared" si="12"/>
        <v>189</v>
      </c>
      <c r="O45" s="59">
        <f t="shared" si="12"/>
        <v>192.5</v>
      </c>
      <c r="P45" s="59">
        <f t="shared" si="12"/>
        <v>201.25</v>
      </c>
      <c r="Q45" s="59">
        <f t="shared" si="12"/>
        <v>210</v>
      </c>
      <c r="R45" s="68">
        <f t="shared" si="12"/>
        <v>227.5</v>
      </c>
      <c r="S45" s="70"/>
    </row>
    <row r="46" spans="2:23" ht="15.6" x14ac:dyDescent="0.3">
      <c r="H46" s="2" t="s">
        <v>44</v>
      </c>
      <c r="I46" s="68">
        <f>J10</f>
        <v>157.5</v>
      </c>
      <c r="J46" s="68">
        <f t="shared" ref="J46:R46" si="13">J10</f>
        <v>157.5</v>
      </c>
      <c r="K46" s="59">
        <f t="shared" si="13"/>
        <v>166.25</v>
      </c>
      <c r="L46" s="59">
        <f t="shared" si="13"/>
        <v>175</v>
      </c>
      <c r="M46" s="69">
        <f t="shared" si="13"/>
        <v>180.25</v>
      </c>
      <c r="N46" s="59">
        <f t="shared" si="13"/>
        <v>189</v>
      </c>
      <c r="O46" s="59">
        <f t="shared" si="13"/>
        <v>192.5</v>
      </c>
      <c r="P46" s="59">
        <f t="shared" si="13"/>
        <v>201.25</v>
      </c>
      <c r="Q46" s="59">
        <f t="shared" si="13"/>
        <v>210</v>
      </c>
      <c r="R46" s="68">
        <f t="shared" si="13"/>
        <v>227.5</v>
      </c>
    </row>
    <row r="47" spans="2:23" ht="15.6" x14ac:dyDescent="0.3">
      <c r="H47" s="2" t="s">
        <v>45</v>
      </c>
      <c r="I47" s="68">
        <f>J16</f>
        <v>472.5</v>
      </c>
      <c r="J47" s="68">
        <f>J16</f>
        <v>472.5</v>
      </c>
      <c r="K47" s="59">
        <f>K16</f>
        <v>498.75</v>
      </c>
      <c r="L47" s="59">
        <f t="shared" ref="L47:R47" si="14">L16</f>
        <v>525</v>
      </c>
      <c r="M47" s="69">
        <f t="shared" si="14"/>
        <v>540.75</v>
      </c>
      <c r="N47" s="59">
        <f t="shared" si="14"/>
        <v>567</v>
      </c>
      <c r="O47" s="59">
        <f t="shared" si="14"/>
        <v>577.5</v>
      </c>
      <c r="P47" s="59">
        <f t="shared" si="14"/>
        <v>603.75</v>
      </c>
      <c r="Q47" s="59">
        <f t="shared" si="14"/>
        <v>630</v>
      </c>
      <c r="R47" s="68">
        <f t="shared" si="14"/>
        <v>682.5</v>
      </c>
    </row>
    <row r="48" spans="2:23" ht="15.6" x14ac:dyDescent="0.3">
      <c r="H48" s="2" t="s">
        <v>46</v>
      </c>
      <c r="I48" s="68">
        <f>J19</f>
        <v>157.5</v>
      </c>
      <c r="J48" s="68">
        <f>J19</f>
        <v>157.5</v>
      </c>
      <c r="K48" s="59">
        <f>K19</f>
        <v>166.25</v>
      </c>
      <c r="L48" s="59">
        <f t="shared" ref="L48:R48" si="15">L19</f>
        <v>175</v>
      </c>
      <c r="M48" s="69">
        <f t="shared" si="15"/>
        <v>180.25</v>
      </c>
      <c r="N48" s="59">
        <f t="shared" si="15"/>
        <v>189</v>
      </c>
      <c r="O48" s="59">
        <f t="shared" si="15"/>
        <v>192.5</v>
      </c>
      <c r="P48" s="59">
        <f t="shared" si="15"/>
        <v>201.25</v>
      </c>
      <c r="Q48" s="59">
        <f t="shared" si="15"/>
        <v>210</v>
      </c>
      <c r="R48" s="68">
        <f t="shared" si="15"/>
        <v>227.5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634B-9099-4756-8489-665F3E8BF51E}">
  <sheetPr>
    <tabColor rgb="FFF7C5F1"/>
  </sheetPr>
  <dimension ref="A1:AA48"/>
  <sheetViews>
    <sheetView showGridLines="0" zoomScaleNormal="100" workbookViewId="0">
      <selection activeCell="M38" sqref="M38"/>
    </sheetView>
  </sheetViews>
  <sheetFormatPr defaultColWidth="8.59765625" defaultRowHeight="14.4" x14ac:dyDescent="0.3"/>
  <cols>
    <col min="1" max="1" width="13" style="2" customWidth="1"/>
    <col min="2" max="2" width="11.3984375" style="2" customWidth="1"/>
    <col min="3" max="3" width="9.8984375" style="2" customWidth="1"/>
    <col min="4" max="4" width="9.59765625" style="2" bestFit="1" customWidth="1"/>
    <col min="5" max="5" width="10.8984375" style="2" bestFit="1" customWidth="1"/>
    <col min="6" max="6" width="3.59765625" style="2" customWidth="1"/>
    <col min="7" max="7" width="9.3984375" style="2" bestFit="1" customWidth="1"/>
    <col min="8" max="8" width="10.09765625" style="2" bestFit="1" customWidth="1"/>
    <col min="9" max="9" width="18.59765625" style="2" customWidth="1"/>
    <col min="10" max="10" width="12.09765625" style="2" customWidth="1"/>
    <col min="11" max="12" width="11.59765625" style="2" customWidth="1"/>
    <col min="13" max="13" width="12" style="2" customWidth="1"/>
    <col min="14" max="14" width="12.8984375" style="2" customWidth="1"/>
    <col min="15" max="15" width="15.09765625" style="2" customWidth="1"/>
    <col min="16" max="16" width="14.5" style="2" customWidth="1"/>
    <col min="17" max="17" width="13" style="2" customWidth="1"/>
    <col min="18" max="18" width="15.09765625" style="2" customWidth="1"/>
    <col min="19" max="20" width="8.59765625" style="2"/>
    <col min="21" max="21" width="15.8984375" style="2" bestFit="1" customWidth="1"/>
    <col min="22" max="22" width="12.09765625" style="2" bestFit="1" customWidth="1"/>
    <col min="23" max="24" width="9.59765625" style="2" bestFit="1" customWidth="1"/>
    <col min="25" max="26" width="10.5" style="2" bestFit="1" customWidth="1"/>
    <col min="27" max="16384" width="8.59765625" style="2"/>
  </cols>
  <sheetData>
    <row r="1" spans="3:27" ht="15" thickBot="1" x14ac:dyDescent="0.35">
      <c r="G1" s="3"/>
      <c r="H1" s="4"/>
      <c r="I1" s="4"/>
      <c r="J1" s="279">
        <f>J2</f>
        <v>3150</v>
      </c>
      <c r="K1" s="279">
        <f>$H$4+($H$4*K3)</f>
        <v>3325</v>
      </c>
      <c r="L1" s="4"/>
      <c r="M1" s="4"/>
      <c r="N1" s="4"/>
      <c r="O1" s="4"/>
      <c r="P1" s="4"/>
      <c r="Q1" s="4"/>
      <c r="R1" s="4"/>
      <c r="S1" s="5"/>
    </row>
    <row r="2" spans="3:27" ht="15" thickBot="1" x14ac:dyDescent="0.35">
      <c r="G2" s="6"/>
      <c r="I2" s="7"/>
      <c r="J2" s="259">
        <f>$H$4+($H$4*J3)</f>
        <v>3150</v>
      </c>
      <c r="K2" s="259">
        <f>$H$4+($H$4*K3)</f>
        <v>3325</v>
      </c>
      <c r="L2" s="8">
        <f t="shared" ref="L2:Q2" si="0">$H$4+($H$4*L3)</f>
        <v>3500</v>
      </c>
      <c r="M2" s="8">
        <f t="shared" si="0"/>
        <v>3605</v>
      </c>
      <c r="N2" s="8">
        <f t="shared" si="0"/>
        <v>3780</v>
      </c>
      <c r="O2" s="8">
        <f t="shared" si="0"/>
        <v>3850</v>
      </c>
      <c r="P2" s="8">
        <f t="shared" si="0"/>
        <v>4025</v>
      </c>
      <c r="Q2" s="8">
        <f t="shared" si="0"/>
        <v>4200</v>
      </c>
      <c r="R2" s="9">
        <f>$H$4+($H$4*R3)</f>
        <v>4550</v>
      </c>
      <c r="S2" s="10"/>
    </row>
    <row r="3" spans="3:27" ht="15" thickBot="1" x14ac:dyDescent="0.35">
      <c r="D3" s="11" t="s">
        <v>8</v>
      </c>
      <c r="E3" s="12"/>
      <c r="G3" s="13"/>
      <c r="H3" s="14"/>
      <c r="I3" s="15" t="s">
        <v>9</v>
      </c>
      <c r="J3" s="87">
        <v>-0.1</v>
      </c>
      <c r="K3" s="87">
        <v>-0.05</v>
      </c>
      <c r="L3" s="87">
        <v>0</v>
      </c>
      <c r="M3" s="115">
        <v>0.03</v>
      </c>
      <c r="N3" s="115">
        <v>0.08</v>
      </c>
      <c r="O3" s="87">
        <v>0.1</v>
      </c>
      <c r="P3" s="16">
        <v>0.15</v>
      </c>
      <c r="Q3" s="16">
        <v>0.2</v>
      </c>
      <c r="R3" s="17">
        <v>0.3</v>
      </c>
      <c r="S3" s="10"/>
      <c r="U3" s="18" t="s">
        <v>10</v>
      </c>
      <c r="V3" s="19"/>
      <c r="W3" s="19"/>
      <c r="X3" s="19"/>
      <c r="Y3" s="19"/>
      <c r="Z3" s="19"/>
      <c r="AA3" s="20"/>
    </row>
    <row r="4" spans="3:27" ht="15" thickBot="1" x14ac:dyDescent="0.35">
      <c r="C4" s="2" t="s">
        <v>11</v>
      </c>
      <c r="D4" s="11" t="s">
        <v>12</v>
      </c>
      <c r="E4" s="12" t="s">
        <v>13</v>
      </c>
      <c r="G4" s="21" t="s">
        <v>14</v>
      </c>
      <c r="H4" s="116">
        <v>3500</v>
      </c>
      <c r="I4" s="23" t="s">
        <v>15</v>
      </c>
      <c r="J4" s="24">
        <v>0.9</v>
      </c>
      <c r="K4" s="24">
        <v>0.95</v>
      </c>
      <c r="L4" s="24">
        <v>1</v>
      </c>
      <c r="M4" s="24">
        <v>1.03</v>
      </c>
      <c r="N4" s="24">
        <v>1.06</v>
      </c>
      <c r="O4" s="24">
        <v>1.1000000000000001</v>
      </c>
      <c r="P4" s="24">
        <v>1.1499999999999999</v>
      </c>
      <c r="Q4" s="24">
        <v>1.2</v>
      </c>
      <c r="R4" s="25">
        <v>1.3</v>
      </c>
      <c r="S4" s="10"/>
      <c r="U4" s="26"/>
      <c r="V4" s="27"/>
      <c r="W4" s="28">
        <v>45566</v>
      </c>
      <c r="X4" s="28">
        <v>45597</v>
      </c>
      <c r="Y4" s="28">
        <v>45627</v>
      </c>
      <c r="Z4" s="27" t="s">
        <v>16</v>
      </c>
      <c r="AA4" s="29"/>
    </row>
    <row r="5" spans="3:27" ht="15" thickBot="1" x14ac:dyDescent="0.35">
      <c r="C5" s="2" t="s">
        <v>17</v>
      </c>
      <c r="D5" s="30">
        <v>5000</v>
      </c>
      <c r="E5" s="30">
        <v>5000</v>
      </c>
      <c r="G5" s="6"/>
      <c r="M5" s="86"/>
      <c r="S5" s="10"/>
      <c r="U5" s="26" t="s">
        <v>18</v>
      </c>
      <c r="V5" s="27" t="s">
        <v>19</v>
      </c>
      <c r="W5" s="31">
        <v>5000</v>
      </c>
      <c r="X5" s="31">
        <v>5000</v>
      </c>
      <c r="Y5" s="31">
        <v>5000</v>
      </c>
      <c r="Z5" s="31">
        <f>SUM(W5:Y5)</f>
        <v>15000</v>
      </c>
      <c r="AA5" s="29"/>
    </row>
    <row r="6" spans="3:27" x14ac:dyDescent="0.3">
      <c r="C6" s="27" t="s">
        <v>20</v>
      </c>
      <c r="D6" s="32">
        <v>4000</v>
      </c>
      <c r="E6" s="30">
        <v>4000</v>
      </c>
      <c r="G6" s="6" t="s">
        <v>76</v>
      </c>
      <c r="H6" s="76">
        <v>0.1</v>
      </c>
      <c r="I6" s="71" t="s">
        <v>388</v>
      </c>
      <c r="J6" s="72">
        <f>H6*$J$2</f>
        <v>315</v>
      </c>
      <c r="K6" s="72">
        <f>H6*$K$2</f>
        <v>332.5</v>
      </c>
      <c r="L6" s="260">
        <f>H6*$L$2</f>
        <v>350</v>
      </c>
      <c r="M6" s="262">
        <f>H6*$M$2</f>
        <v>360.5</v>
      </c>
      <c r="N6" s="263">
        <f>H6*$N$2</f>
        <v>378</v>
      </c>
      <c r="O6" s="263">
        <f>H6*$O$2</f>
        <v>385</v>
      </c>
      <c r="P6" s="263">
        <f>H6*$P$2</f>
        <v>402.5</v>
      </c>
      <c r="Q6" s="263">
        <f>H6*$Q$2</f>
        <v>420</v>
      </c>
      <c r="R6" s="263">
        <f>H6*$R$2</f>
        <v>455</v>
      </c>
      <c r="S6" s="10"/>
      <c r="U6" s="26"/>
      <c r="V6" s="27"/>
      <c r="W6" s="31"/>
      <c r="X6" s="31"/>
      <c r="Y6" s="31"/>
      <c r="Z6" s="31"/>
      <c r="AA6" s="29"/>
    </row>
    <row r="7" spans="3:27" x14ac:dyDescent="0.3">
      <c r="C7" s="27" t="s">
        <v>21</v>
      </c>
      <c r="D7" s="32">
        <v>4000</v>
      </c>
      <c r="E7" s="30">
        <v>4000</v>
      </c>
      <c r="G7" s="6"/>
      <c r="H7" s="77">
        <v>0.15</v>
      </c>
      <c r="I7" s="73" t="s">
        <v>389</v>
      </c>
      <c r="J7" s="74">
        <f t="shared" ref="J7:J20" si="1">H7*$J$2</f>
        <v>472.5</v>
      </c>
      <c r="K7" s="74">
        <f t="shared" ref="K7:K20" si="2">H7*$K$2</f>
        <v>498.75</v>
      </c>
      <c r="L7" s="261">
        <f t="shared" ref="L7:L20" si="3">H7*$L$2</f>
        <v>525</v>
      </c>
      <c r="M7" s="264">
        <f t="shared" ref="M7:M20" si="4">H7*$M$2</f>
        <v>540.75</v>
      </c>
      <c r="N7" s="75">
        <f t="shared" ref="N7:N20" si="5">H7*$N$2</f>
        <v>567</v>
      </c>
      <c r="O7" s="75">
        <f t="shared" ref="O7:O20" si="6">H7*$O$2</f>
        <v>577.5</v>
      </c>
      <c r="P7" s="75">
        <f t="shared" ref="P7:P20" si="7">H7*$P$2</f>
        <v>603.75</v>
      </c>
      <c r="Q7" s="75">
        <f t="shared" ref="Q7:Q20" si="8">H7*$Q$2</f>
        <v>630</v>
      </c>
      <c r="R7" s="75">
        <f t="shared" ref="R7:R20" si="9">H7*$R$2</f>
        <v>682.5</v>
      </c>
      <c r="S7" s="10"/>
      <c r="U7" s="26" t="s">
        <v>23</v>
      </c>
      <c r="V7" s="27" t="s">
        <v>24</v>
      </c>
      <c r="W7" s="31">
        <v>6000</v>
      </c>
      <c r="X7" s="31">
        <v>5000</v>
      </c>
      <c r="Y7" s="31">
        <v>4500</v>
      </c>
      <c r="Z7" s="31">
        <f>SUM(W7:Y7)</f>
        <v>15500</v>
      </c>
      <c r="AA7" s="29"/>
    </row>
    <row r="8" spans="3:27" ht="15" thickBot="1" x14ac:dyDescent="0.35">
      <c r="C8" s="27" t="s">
        <v>25</v>
      </c>
      <c r="D8" s="32">
        <v>2500</v>
      </c>
      <c r="E8" s="30">
        <v>2500</v>
      </c>
      <c r="G8" s="6"/>
      <c r="H8" s="78">
        <v>0.25</v>
      </c>
      <c r="I8" s="73" t="s">
        <v>390</v>
      </c>
      <c r="J8" s="74">
        <f t="shared" si="1"/>
        <v>787.5</v>
      </c>
      <c r="K8" s="74">
        <f t="shared" si="2"/>
        <v>831.25</v>
      </c>
      <c r="L8" s="261">
        <f t="shared" si="3"/>
        <v>875</v>
      </c>
      <c r="M8" s="264">
        <f t="shared" si="4"/>
        <v>901.25</v>
      </c>
      <c r="N8" s="75">
        <f t="shared" si="5"/>
        <v>945</v>
      </c>
      <c r="O8" s="75">
        <f t="shared" si="6"/>
        <v>962.5</v>
      </c>
      <c r="P8" s="75">
        <f t="shared" si="7"/>
        <v>1006.25</v>
      </c>
      <c r="Q8" s="75">
        <f t="shared" si="8"/>
        <v>1050</v>
      </c>
      <c r="R8" s="75">
        <f t="shared" si="9"/>
        <v>1137.5</v>
      </c>
      <c r="S8" s="10"/>
      <c r="U8" s="26"/>
      <c r="V8" s="27" t="s">
        <v>26</v>
      </c>
      <c r="W8" s="31">
        <f>I39</f>
        <v>1083.25</v>
      </c>
      <c r="X8" s="31">
        <v>5200</v>
      </c>
      <c r="Y8" s="31">
        <v>5000</v>
      </c>
      <c r="Z8" s="34">
        <f>SUM(W8:Y8)</f>
        <v>11283.25</v>
      </c>
      <c r="AA8" s="29"/>
    </row>
    <row r="9" spans="3:27" ht="15" thickBot="1" x14ac:dyDescent="0.35">
      <c r="C9" s="27" t="s">
        <v>27</v>
      </c>
      <c r="D9" s="32">
        <v>1200</v>
      </c>
      <c r="E9" s="30">
        <v>1200</v>
      </c>
      <c r="G9" s="6"/>
      <c r="J9" s="75"/>
      <c r="K9" s="75"/>
      <c r="L9" s="261"/>
      <c r="M9" s="264"/>
      <c r="N9" s="75"/>
      <c r="O9" s="75"/>
      <c r="P9" s="75"/>
      <c r="Q9" s="75"/>
      <c r="R9" s="75"/>
      <c r="S9" s="10"/>
      <c r="U9" s="26"/>
      <c r="V9" s="34" t="s">
        <v>28</v>
      </c>
      <c r="W9" s="31">
        <v>5000</v>
      </c>
      <c r="X9" s="31">
        <v>4900</v>
      </c>
      <c r="Y9" s="31">
        <v>6500</v>
      </c>
      <c r="Z9" s="34">
        <f t="shared" ref="Z9:Z10" si="10">SUM(W9:Y9)</f>
        <v>16400</v>
      </c>
      <c r="AA9" s="29">
        <f>Z9/Z5</f>
        <v>1.0933333333333333</v>
      </c>
    </row>
    <row r="10" spans="3:27" x14ac:dyDescent="0.3">
      <c r="C10" s="35" t="s">
        <v>29</v>
      </c>
      <c r="D10" s="36"/>
      <c r="E10" s="30">
        <v>2500</v>
      </c>
      <c r="G10" s="6" t="s">
        <v>77</v>
      </c>
      <c r="H10" s="80">
        <v>0.05</v>
      </c>
      <c r="I10" s="71" t="s">
        <v>395</v>
      </c>
      <c r="J10" s="74">
        <f t="shared" si="1"/>
        <v>157.5</v>
      </c>
      <c r="K10" s="74">
        <f t="shared" si="2"/>
        <v>166.25</v>
      </c>
      <c r="L10" s="261">
        <f t="shared" si="3"/>
        <v>175</v>
      </c>
      <c r="M10" s="264">
        <f t="shared" si="4"/>
        <v>180.25</v>
      </c>
      <c r="N10" s="75">
        <f t="shared" si="5"/>
        <v>189</v>
      </c>
      <c r="O10" s="75">
        <f t="shared" si="6"/>
        <v>192.5</v>
      </c>
      <c r="P10" s="75">
        <f t="shared" si="7"/>
        <v>201.25</v>
      </c>
      <c r="Q10" s="75">
        <f t="shared" si="8"/>
        <v>210</v>
      </c>
      <c r="R10" s="75">
        <f t="shared" si="9"/>
        <v>227.5</v>
      </c>
      <c r="S10" s="10"/>
      <c r="U10" s="26"/>
      <c r="V10" s="27" t="s">
        <v>31</v>
      </c>
      <c r="W10" s="31">
        <v>4800</v>
      </c>
      <c r="X10" s="31">
        <v>4000</v>
      </c>
      <c r="Y10" s="31">
        <v>5000</v>
      </c>
      <c r="Z10" s="34">
        <f t="shared" si="10"/>
        <v>13800</v>
      </c>
      <c r="AA10" s="29"/>
    </row>
    <row r="11" spans="3:27" ht="15" thickBot="1" x14ac:dyDescent="0.35">
      <c r="C11" s="35" t="s">
        <v>32</v>
      </c>
      <c r="D11" s="36"/>
      <c r="E11" s="36">
        <v>3500</v>
      </c>
      <c r="F11" s="27"/>
      <c r="G11" s="6"/>
      <c r="H11" s="81">
        <v>0.05</v>
      </c>
      <c r="I11" s="73" t="s">
        <v>396</v>
      </c>
      <c r="J11" s="74">
        <f t="shared" si="1"/>
        <v>157.5</v>
      </c>
      <c r="K11" s="74">
        <f t="shared" si="2"/>
        <v>166.25</v>
      </c>
      <c r="L11" s="261">
        <f t="shared" si="3"/>
        <v>175</v>
      </c>
      <c r="M11" s="264">
        <f t="shared" si="4"/>
        <v>180.25</v>
      </c>
      <c r="N11" s="75">
        <f t="shared" si="5"/>
        <v>189</v>
      </c>
      <c r="O11" s="75">
        <f t="shared" si="6"/>
        <v>192.5</v>
      </c>
      <c r="P11" s="75">
        <f t="shared" si="7"/>
        <v>201.25</v>
      </c>
      <c r="Q11" s="75">
        <f t="shared" si="8"/>
        <v>210</v>
      </c>
      <c r="R11" s="75">
        <f t="shared" si="9"/>
        <v>227.5</v>
      </c>
      <c r="S11" s="10"/>
      <c r="U11" s="37"/>
      <c r="V11" s="38"/>
      <c r="W11" s="38"/>
      <c r="X11" s="38"/>
      <c r="Y11" s="38" t="s">
        <v>34</v>
      </c>
      <c r="Z11" s="39">
        <f>MEDIAN(Z7:Z10)</f>
        <v>14650</v>
      </c>
      <c r="AA11" s="40">
        <f>Z11/Z5-1</f>
        <v>-2.3333333333333317E-2</v>
      </c>
    </row>
    <row r="12" spans="3:27" x14ac:dyDescent="0.3">
      <c r="C12" s="35" t="s">
        <v>35</v>
      </c>
      <c r="D12" s="36"/>
      <c r="E12" s="36">
        <v>3500</v>
      </c>
      <c r="F12" s="27"/>
      <c r="G12" s="6"/>
      <c r="H12" s="81">
        <v>0.05</v>
      </c>
      <c r="I12" s="73" t="s">
        <v>402</v>
      </c>
      <c r="J12" s="74">
        <f t="shared" si="1"/>
        <v>157.5</v>
      </c>
      <c r="K12" s="74">
        <f t="shared" si="2"/>
        <v>166.25</v>
      </c>
      <c r="L12" s="261">
        <f t="shared" si="3"/>
        <v>175</v>
      </c>
      <c r="M12" s="264">
        <f t="shared" si="4"/>
        <v>180.25</v>
      </c>
      <c r="N12" s="75">
        <f t="shared" si="5"/>
        <v>189</v>
      </c>
      <c r="O12" s="75">
        <f t="shared" si="6"/>
        <v>192.5</v>
      </c>
      <c r="P12" s="75">
        <f t="shared" si="7"/>
        <v>201.25</v>
      </c>
      <c r="Q12" s="75">
        <f t="shared" si="8"/>
        <v>210</v>
      </c>
      <c r="R12" s="75">
        <f t="shared" si="9"/>
        <v>227.5</v>
      </c>
      <c r="S12" s="10"/>
    </row>
    <row r="13" spans="3:27" x14ac:dyDescent="0.3">
      <c r="G13" s="6"/>
      <c r="H13" s="81">
        <v>0.05</v>
      </c>
      <c r="I13" s="73" t="s">
        <v>405</v>
      </c>
      <c r="J13" s="74">
        <f t="shared" si="1"/>
        <v>157.5</v>
      </c>
      <c r="K13" s="74">
        <f t="shared" si="2"/>
        <v>166.25</v>
      </c>
      <c r="L13" s="261">
        <f t="shared" si="3"/>
        <v>175</v>
      </c>
      <c r="M13" s="264">
        <f t="shared" si="4"/>
        <v>180.25</v>
      </c>
      <c r="N13" s="75">
        <f t="shared" si="5"/>
        <v>189</v>
      </c>
      <c r="O13" s="75">
        <f t="shared" si="6"/>
        <v>192.5</v>
      </c>
      <c r="P13" s="75">
        <f t="shared" si="7"/>
        <v>201.25</v>
      </c>
      <c r="Q13" s="75">
        <f t="shared" si="8"/>
        <v>210</v>
      </c>
      <c r="R13" s="75">
        <f t="shared" si="9"/>
        <v>227.5</v>
      </c>
      <c r="S13" s="10"/>
    </row>
    <row r="14" spans="3:27" ht="15" thickBot="1" x14ac:dyDescent="0.35">
      <c r="G14" s="6"/>
      <c r="H14" s="79"/>
      <c r="I14" s="83"/>
      <c r="J14" s="74">
        <f t="shared" si="1"/>
        <v>0</v>
      </c>
      <c r="K14" s="74">
        <f t="shared" si="2"/>
        <v>0</v>
      </c>
      <c r="L14" s="261">
        <f t="shared" si="3"/>
        <v>0</v>
      </c>
      <c r="M14" s="264">
        <f t="shared" si="4"/>
        <v>0</v>
      </c>
      <c r="N14" s="75">
        <f t="shared" si="5"/>
        <v>0</v>
      </c>
      <c r="O14" s="75">
        <f t="shared" si="6"/>
        <v>0</v>
      </c>
      <c r="P14" s="75">
        <f t="shared" si="7"/>
        <v>0</v>
      </c>
      <c r="Q14" s="75">
        <f t="shared" si="8"/>
        <v>0</v>
      </c>
      <c r="R14" s="75">
        <f t="shared" si="9"/>
        <v>0</v>
      </c>
      <c r="S14" s="10"/>
    </row>
    <row r="15" spans="3:27" ht="15" thickBot="1" x14ac:dyDescent="0.35">
      <c r="C15" s="35"/>
      <c r="D15" s="35"/>
      <c r="G15" s="6"/>
      <c r="J15" s="75"/>
      <c r="K15" s="75"/>
      <c r="L15" s="261"/>
      <c r="M15" s="264"/>
      <c r="N15" s="75"/>
      <c r="O15" s="75"/>
      <c r="P15" s="75"/>
      <c r="Q15" s="75"/>
      <c r="R15" s="75"/>
      <c r="S15" s="10"/>
    </row>
    <row r="16" spans="3:27" x14ac:dyDescent="0.3">
      <c r="G16" s="6" t="s">
        <v>78</v>
      </c>
      <c r="H16" s="80">
        <v>0.1</v>
      </c>
      <c r="I16" s="71" t="s">
        <v>391</v>
      </c>
      <c r="J16" s="74">
        <f t="shared" si="1"/>
        <v>315</v>
      </c>
      <c r="K16" s="74">
        <f t="shared" si="2"/>
        <v>332.5</v>
      </c>
      <c r="L16" s="261">
        <f t="shared" si="3"/>
        <v>350</v>
      </c>
      <c r="M16" s="264">
        <f t="shared" si="4"/>
        <v>360.5</v>
      </c>
      <c r="N16" s="75">
        <f t="shared" si="5"/>
        <v>378</v>
      </c>
      <c r="O16" s="75">
        <f t="shared" si="6"/>
        <v>385</v>
      </c>
      <c r="P16" s="75">
        <f t="shared" si="7"/>
        <v>402.5</v>
      </c>
      <c r="Q16" s="75">
        <f t="shared" si="8"/>
        <v>420</v>
      </c>
      <c r="R16" s="75">
        <f t="shared" si="9"/>
        <v>455</v>
      </c>
      <c r="S16" s="10"/>
      <c r="U16" s="2" t="s">
        <v>40</v>
      </c>
    </row>
    <row r="17" spans="1:23" ht="15" thickBot="1" x14ac:dyDescent="0.35">
      <c r="G17" s="6"/>
      <c r="H17" s="82">
        <v>0.1</v>
      </c>
      <c r="I17" s="83" t="s">
        <v>392</v>
      </c>
      <c r="J17" s="74">
        <f t="shared" si="1"/>
        <v>315</v>
      </c>
      <c r="K17" s="74">
        <f t="shared" si="2"/>
        <v>332.5</v>
      </c>
      <c r="L17" s="261">
        <f t="shared" si="3"/>
        <v>350</v>
      </c>
      <c r="M17" s="264">
        <f t="shared" si="4"/>
        <v>360.5</v>
      </c>
      <c r="N17" s="75">
        <f t="shared" si="5"/>
        <v>378</v>
      </c>
      <c r="O17" s="75">
        <f t="shared" si="6"/>
        <v>385</v>
      </c>
      <c r="P17" s="75">
        <f t="shared" si="7"/>
        <v>402.5</v>
      </c>
      <c r="Q17" s="75">
        <f t="shared" si="8"/>
        <v>420</v>
      </c>
      <c r="R17" s="75">
        <f t="shared" si="9"/>
        <v>455</v>
      </c>
      <c r="S17" s="10"/>
    </row>
    <row r="18" spans="1:23" ht="15" thickBot="1" x14ac:dyDescent="0.35">
      <c r="B18" s="41"/>
      <c r="C18" s="41"/>
      <c r="D18" s="41"/>
      <c r="E18" s="41"/>
      <c r="G18" s="6"/>
      <c r="J18" s="75"/>
      <c r="K18" s="75"/>
      <c r="L18" s="261"/>
      <c r="M18" s="264"/>
      <c r="N18" s="75"/>
      <c r="O18" s="75"/>
      <c r="P18" s="75"/>
      <c r="Q18" s="75"/>
      <c r="R18" s="75"/>
      <c r="S18" s="10"/>
      <c r="U18" s="2" t="s">
        <v>41</v>
      </c>
      <c r="V18" s="2" t="s">
        <v>42</v>
      </c>
    </row>
    <row r="19" spans="1:23" x14ac:dyDescent="0.3">
      <c r="B19" s="91" t="s">
        <v>395</v>
      </c>
      <c r="C19" s="101" t="s">
        <v>396</v>
      </c>
      <c r="D19" s="91" t="s">
        <v>402</v>
      </c>
      <c r="E19" s="91" t="s">
        <v>405</v>
      </c>
      <c r="G19" s="6" t="s">
        <v>47</v>
      </c>
      <c r="H19" s="80">
        <v>0.05</v>
      </c>
      <c r="I19" s="71" t="s">
        <v>393</v>
      </c>
      <c r="J19" s="74">
        <f t="shared" si="1"/>
        <v>157.5</v>
      </c>
      <c r="K19" s="74">
        <f t="shared" si="2"/>
        <v>166.25</v>
      </c>
      <c r="L19" s="261">
        <f t="shared" si="3"/>
        <v>175</v>
      </c>
      <c r="M19" s="264">
        <f t="shared" si="4"/>
        <v>180.25</v>
      </c>
      <c r="N19" s="75">
        <f t="shared" si="5"/>
        <v>189</v>
      </c>
      <c r="O19" s="75">
        <f t="shared" si="6"/>
        <v>192.5</v>
      </c>
      <c r="P19" s="75">
        <f t="shared" si="7"/>
        <v>201.25</v>
      </c>
      <c r="Q19" s="75">
        <f t="shared" si="8"/>
        <v>210</v>
      </c>
      <c r="R19" s="75">
        <f t="shared" si="9"/>
        <v>227.5</v>
      </c>
      <c r="S19" s="10"/>
    </row>
    <row r="20" spans="1:23" x14ac:dyDescent="0.3">
      <c r="A20" s="94">
        <v>0</v>
      </c>
      <c r="B20" s="92">
        <f>J10</f>
        <v>157.5</v>
      </c>
      <c r="C20" s="92">
        <f>J11</f>
        <v>157.5</v>
      </c>
      <c r="D20" s="92">
        <f>J12</f>
        <v>157.5</v>
      </c>
      <c r="E20" s="92">
        <f>J13</f>
        <v>157.5</v>
      </c>
      <c r="G20" s="6"/>
      <c r="H20" s="81">
        <v>0.05</v>
      </c>
      <c r="I20" s="73" t="s">
        <v>394</v>
      </c>
      <c r="J20" s="74">
        <f t="shared" si="1"/>
        <v>157.5</v>
      </c>
      <c r="K20" s="74">
        <f t="shared" si="2"/>
        <v>166.25</v>
      </c>
      <c r="L20" s="261">
        <f t="shared" si="3"/>
        <v>175</v>
      </c>
      <c r="M20" s="264">
        <f t="shared" si="4"/>
        <v>180.25</v>
      </c>
      <c r="N20" s="75">
        <f t="shared" si="5"/>
        <v>189</v>
      </c>
      <c r="O20" s="75">
        <f t="shared" si="6"/>
        <v>192.5</v>
      </c>
      <c r="P20" s="75">
        <f t="shared" si="7"/>
        <v>201.25</v>
      </c>
      <c r="Q20" s="75">
        <f t="shared" si="8"/>
        <v>210</v>
      </c>
      <c r="R20" s="75">
        <f t="shared" si="9"/>
        <v>227.5</v>
      </c>
      <c r="S20" s="10"/>
      <c r="U20" s="2" t="s">
        <v>48</v>
      </c>
      <c r="V20" s="2" t="s">
        <v>20</v>
      </c>
      <c r="W20" s="2" t="s">
        <v>49</v>
      </c>
    </row>
    <row r="21" spans="1:23" x14ac:dyDescent="0.3">
      <c r="A21" s="94">
        <v>0.90000999999999998</v>
      </c>
      <c r="B21" s="92">
        <f>K10</f>
        <v>166.25</v>
      </c>
      <c r="C21" s="92">
        <f>K11</f>
        <v>166.25</v>
      </c>
      <c r="D21" s="92">
        <f>K12</f>
        <v>166.25</v>
      </c>
      <c r="E21" s="92">
        <f>K13</f>
        <v>166.25</v>
      </c>
      <c r="G21" s="6"/>
      <c r="H21" s="6"/>
      <c r="I21" s="73"/>
      <c r="J21" s="265"/>
      <c r="K21" s="265"/>
      <c r="L21" s="84"/>
      <c r="M21" s="265"/>
      <c r="N21" s="265"/>
      <c r="O21" s="265"/>
      <c r="P21" s="265"/>
      <c r="Q21" s="265"/>
      <c r="R21" s="265"/>
      <c r="S21" s="10"/>
    </row>
    <row r="22" spans="1:23" x14ac:dyDescent="0.3">
      <c r="A22" s="94">
        <v>0.95001000000000002</v>
      </c>
      <c r="B22" s="92">
        <f>L10</f>
        <v>175</v>
      </c>
      <c r="C22" s="92">
        <f>L11</f>
        <v>175</v>
      </c>
      <c r="D22" s="92">
        <f>L12</f>
        <v>175</v>
      </c>
      <c r="E22" s="92">
        <f>L13</f>
        <v>175</v>
      </c>
      <c r="G22" s="6"/>
      <c r="H22" s="6"/>
      <c r="I22" s="73"/>
      <c r="J22" s="265"/>
      <c r="K22" s="265"/>
      <c r="L22" s="84"/>
      <c r="M22" s="265"/>
      <c r="N22" s="265"/>
      <c r="O22" s="265"/>
      <c r="P22" s="265"/>
      <c r="Q22" s="265"/>
      <c r="R22" s="265"/>
      <c r="S22" s="10"/>
      <c r="U22" s="2" t="s">
        <v>50</v>
      </c>
      <c r="V22" s="2" t="s">
        <v>51</v>
      </c>
      <c r="W22" s="2" t="s">
        <v>42</v>
      </c>
    </row>
    <row r="23" spans="1:23" x14ac:dyDescent="0.3">
      <c r="A23" s="94">
        <v>1.0000100000000001</v>
      </c>
      <c r="B23" s="92">
        <f>M10</f>
        <v>180.25</v>
      </c>
      <c r="C23" s="92">
        <f>M11</f>
        <v>180.25</v>
      </c>
      <c r="D23" s="92">
        <f>M12</f>
        <v>180.25</v>
      </c>
      <c r="E23" s="92">
        <f>M13</f>
        <v>180.25</v>
      </c>
      <c r="G23" s="6"/>
      <c r="H23" s="6"/>
      <c r="I23" s="73"/>
      <c r="J23" s="265"/>
      <c r="K23" s="265"/>
      <c r="L23" s="84"/>
      <c r="M23" s="265"/>
      <c r="N23" s="265"/>
      <c r="O23" s="265"/>
      <c r="P23" s="265"/>
      <c r="Q23" s="265"/>
      <c r="R23" s="265"/>
      <c r="S23" s="10"/>
    </row>
    <row r="24" spans="1:23" x14ac:dyDescent="0.3">
      <c r="A24" s="94">
        <v>1.0300100000000001</v>
      </c>
      <c r="B24" s="93">
        <f>N10</f>
        <v>189</v>
      </c>
      <c r="C24" s="93">
        <f>N11</f>
        <v>189</v>
      </c>
      <c r="D24" s="93">
        <f>N12</f>
        <v>189</v>
      </c>
      <c r="E24" s="93">
        <f>N13</f>
        <v>189</v>
      </c>
      <c r="G24" s="6"/>
      <c r="H24" s="6"/>
      <c r="I24" s="73"/>
      <c r="J24" s="265"/>
      <c r="K24" s="265"/>
      <c r="L24" s="84"/>
      <c r="M24" s="265"/>
      <c r="N24" s="265"/>
      <c r="O24" s="265"/>
      <c r="P24" s="265"/>
      <c r="Q24" s="265"/>
      <c r="R24" s="265"/>
      <c r="S24" s="10"/>
      <c r="U24" s="2" t="s">
        <v>52</v>
      </c>
      <c r="V24" s="2" t="s">
        <v>53</v>
      </c>
      <c r="W24" s="2" t="s">
        <v>54</v>
      </c>
    </row>
    <row r="25" spans="1:23" x14ac:dyDescent="0.3">
      <c r="A25" s="94">
        <f>106.001%</f>
        <v>1.0600100000000001</v>
      </c>
      <c r="B25" s="92">
        <f>O10</f>
        <v>192.5</v>
      </c>
      <c r="C25" s="92">
        <f>O11</f>
        <v>192.5</v>
      </c>
      <c r="D25" s="92">
        <f>O12</f>
        <v>192.5</v>
      </c>
      <c r="E25" s="92">
        <f>O13</f>
        <v>192.5</v>
      </c>
      <c r="G25" s="6"/>
      <c r="H25" s="6"/>
      <c r="I25" s="73"/>
      <c r="J25" s="265"/>
      <c r="K25" s="265"/>
      <c r="L25" s="84"/>
      <c r="M25" s="265"/>
      <c r="N25" s="265"/>
      <c r="O25" s="265"/>
      <c r="P25" s="265"/>
      <c r="Q25" s="265"/>
      <c r="R25" s="265"/>
      <c r="S25" s="10"/>
    </row>
    <row r="26" spans="1:23" x14ac:dyDescent="0.3">
      <c r="A26" s="94">
        <f>110.001%</f>
        <v>1.1000100000000002</v>
      </c>
      <c r="B26" s="92">
        <f>P10</f>
        <v>201.25</v>
      </c>
      <c r="C26" s="92">
        <f>P11</f>
        <v>201.25</v>
      </c>
      <c r="D26" s="92">
        <f>P12</f>
        <v>201.25</v>
      </c>
      <c r="E26" s="92">
        <f>P13</f>
        <v>201.25</v>
      </c>
      <c r="G26" s="6"/>
      <c r="H26" s="6"/>
      <c r="I26" s="73"/>
      <c r="J26" s="265"/>
      <c r="K26" s="265"/>
      <c r="L26" s="84"/>
      <c r="M26" s="265"/>
      <c r="N26" s="265"/>
      <c r="O26" s="265"/>
      <c r="P26" s="265"/>
      <c r="Q26" s="265"/>
      <c r="R26" s="265"/>
      <c r="S26" s="10"/>
    </row>
    <row r="27" spans="1:23" x14ac:dyDescent="0.3">
      <c r="A27" s="94">
        <f>115.001%</f>
        <v>1.15001</v>
      </c>
      <c r="B27" s="92">
        <f>Q10</f>
        <v>210</v>
      </c>
      <c r="C27" s="92">
        <f>Q11</f>
        <v>210</v>
      </c>
      <c r="D27" s="92">
        <f>Q12</f>
        <v>210</v>
      </c>
      <c r="E27" s="92">
        <f>Q13</f>
        <v>210</v>
      </c>
      <c r="G27" s="6"/>
      <c r="H27" s="6"/>
      <c r="I27" s="73"/>
      <c r="J27" s="265"/>
      <c r="K27" s="265"/>
      <c r="L27" s="84"/>
      <c r="M27" s="265"/>
      <c r="N27" s="265"/>
      <c r="O27" s="265"/>
      <c r="P27" s="265"/>
      <c r="Q27" s="265"/>
      <c r="R27" s="265"/>
      <c r="S27" s="10"/>
    </row>
    <row r="28" spans="1:23" x14ac:dyDescent="0.3">
      <c r="A28" s="94">
        <f>120.001%</f>
        <v>1.20001</v>
      </c>
      <c r="B28" s="92">
        <f>R10</f>
        <v>227.5</v>
      </c>
      <c r="C28" s="92">
        <f>R11</f>
        <v>227.5</v>
      </c>
      <c r="D28" s="92">
        <f>R12</f>
        <v>227.5</v>
      </c>
      <c r="E28" s="92">
        <f>R13</f>
        <v>227.5</v>
      </c>
      <c r="G28" s="6"/>
      <c r="H28" s="6"/>
      <c r="I28" s="73"/>
      <c r="J28" s="265"/>
      <c r="K28" s="265"/>
      <c r="L28" s="84"/>
      <c r="M28" s="265"/>
      <c r="N28" s="265"/>
      <c r="O28" s="265"/>
      <c r="P28" s="265"/>
      <c r="Q28" s="265"/>
      <c r="R28" s="265"/>
      <c r="S28" s="10"/>
    </row>
    <row r="29" spans="1:23" ht="15" thickBot="1" x14ac:dyDescent="0.35">
      <c r="G29" s="6"/>
      <c r="H29" s="33"/>
      <c r="I29" s="83"/>
      <c r="J29" s="266"/>
      <c r="K29" s="266"/>
      <c r="L29" s="85"/>
      <c r="M29" s="266"/>
      <c r="N29" s="266"/>
      <c r="O29" s="266"/>
      <c r="P29" s="266"/>
      <c r="Q29" s="266"/>
      <c r="R29" s="266"/>
      <c r="S29" s="10"/>
    </row>
    <row r="30" spans="1:23" x14ac:dyDescent="0.3">
      <c r="A30" s="43"/>
      <c r="B30" s="44"/>
      <c r="C30" s="44"/>
      <c r="D30" s="44"/>
      <c r="E30" s="44"/>
      <c r="G30" s="6"/>
      <c r="H30" s="45">
        <f>SUM(H6:H29)</f>
        <v>1.0000000000000002</v>
      </c>
      <c r="S30" s="10"/>
    </row>
    <row r="31" spans="1:23" ht="15" thickBot="1" x14ac:dyDescent="0.35">
      <c r="B31" s="46"/>
      <c r="C31" s="46"/>
      <c r="D31" s="46"/>
      <c r="E31" s="46"/>
      <c r="G31" s="33"/>
      <c r="H31" s="47"/>
      <c r="I31" s="47" t="s">
        <v>55</v>
      </c>
      <c r="J31" s="48">
        <f t="shared" ref="J31:R31" si="11">SUM(J6:J29)</f>
        <v>3150</v>
      </c>
      <c r="K31" s="48">
        <f t="shared" si="11"/>
        <v>3325</v>
      </c>
      <c r="L31" s="48">
        <f t="shared" si="11"/>
        <v>3500</v>
      </c>
      <c r="M31" s="48">
        <f t="shared" si="11"/>
        <v>3605</v>
      </c>
      <c r="N31" s="48">
        <f t="shared" si="11"/>
        <v>3780</v>
      </c>
      <c r="O31" s="48">
        <f t="shared" si="11"/>
        <v>3850</v>
      </c>
      <c r="P31" s="48">
        <f t="shared" si="11"/>
        <v>4025</v>
      </c>
      <c r="Q31" s="48">
        <f t="shared" si="11"/>
        <v>4200</v>
      </c>
      <c r="R31" s="48">
        <f t="shared" si="11"/>
        <v>4550</v>
      </c>
      <c r="S31" s="49"/>
    </row>
    <row r="32" spans="1:23" ht="15" thickBot="1" x14ac:dyDescent="0.35">
      <c r="B32" s="46"/>
      <c r="C32" s="46"/>
      <c r="D32" s="46"/>
      <c r="E32" s="46"/>
    </row>
    <row r="33" spans="2:23" ht="15" thickBot="1" x14ac:dyDescent="0.35">
      <c r="B33" s="46"/>
      <c r="C33" s="46"/>
      <c r="D33" s="46"/>
      <c r="E33" s="46"/>
      <c r="G33" s="50" t="s">
        <v>56</v>
      </c>
      <c r="H33" s="51" t="s">
        <v>57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2"/>
    </row>
    <row r="34" spans="2:23" x14ac:dyDescent="0.3">
      <c r="B34" s="46"/>
      <c r="C34" s="46"/>
      <c r="D34" s="46"/>
      <c r="E34" s="46"/>
    </row>
    <row r="35" spans="2:23" x14ac:dyDescent="0.3">
      <c r="H35" s="53" t="s">
        <v>43</v>
      </c>
      <c r="I35" s="53"/>
      <c r="J35" s="54"/>
      <c r="K35" s="53"/>
      <c r="L35" s="53"/>
      <c r="M35" s="53"/>
      <c r="N35" s="53"/>
      <c r="O35" s="54">
        <f>O6</f>
        <v>385</v>
      </c>
      <c r="P35" s="53"/>
      <c r="Q35" s="53"/>
      <c r="R35" s="53"/>
      <c r="S35" s="53"/>
    </row>
    <row r="36" spans="2:23" x14ac:dyDescent="0.3">
      <c r="H36" s="53" t="s">
        <v>44</v>
      </c>
      <c r="I36" s="53"/>
      <c r="J36" s="54">
        <f>J10</f>
        <v>157.5</v>
      </c>
      <c r="K36" s="53"/>
      <c r="L36" s="53"/>
      <c r="M36" s="53"/>
      <c r="N36" s="53"/>
      <c r="O36" s="53"/>
      <c r="P36" s="53"/>
      <c r="Q36" s="53"/>
      <c r="R36" s="53"/>
      <c r="S36" s="53"/>
      <c r="W36" s="53"/>
    </row>
    <row r="37" spans="2:23" x14ac:dyDescent="0.3">
      <c r="H37" s="53" t="s">
        <v>45</v>
      </c>
      <c r="I37" s="53"/>
      <c r="J37" s="53"/>
      <c r="K37" s="53"/>
      <c r="L37" s="53"/>
      <c r="M37" s="54">
        <f>M16</f>
        <v>360.5</v>
      </c>
      <c r="N37" s="53"/>
      <c r="O37" s="53"/>
      <c r="P37" s="53"/>
      <c r="Q37" s="53"/>
      <c r="R37" s="53"/>
      <c r="S37" s="53"/>
    </row>
    <row r="38" spans="2:23" ht="15" thickBot="1" x14ac:dyDescent="0.35">
      <c r="H38" s="55" t="s">
        <v>58</v>
      </c>
      <c r="I38" s="55"/>
      <c r="J38" s="53"/>
      <c r="K38" s="53"/>
      <c r="L38" s="53"/>
      <c r="M38" s="54">
        <f>M19</f>
        <v>180.25</v>
      </c>
      <c r="N38" s="53"/>
      <c r="O38" s="53"/>
      <c r="P38" s="53"/>
      <c r="Q38" s="53"/>
      <c r="R38" s="53"/>
      <c r="S38" s="53"/>
    </row>
    <row r="39" spans="2:23" ht="15" thickBot="1" x14ac:dyDescent="0.35">
      <c r="H39" s="56" t="s">
        <v>55</v>
      </c>
      <c r="I39" s="57">
        <f>SUM(I35:R38)</f>
        <v>1083.25</v>
      </c>
    </row>
    <row r="41" spans="2:23" ht="23.25" hidden="1" customHeight="1" x14ac:dyDescent="0.3">
      <c r="H41" s="2" t="s">
        <v>59</v>
      </c>
      <c r="I41" s="42" t="s">
        <v>60</v>
      </c>
      <c r="J41" s="58" t="s">
        <v>61</v>
      </c>
      <c r="K41" s="58" t="s">
        <v>62</v>
      </c>
      <c r="L41" s="58" t="s">
        <v>63</v>
      </c>
      <c r="M41" s="58" t="s">
        <v>64</v>
      </c>
      <c r="N41" s="58" t="s">
        <v>65</v>
      </c>
      <c r="O41" s="58" t="s">
        <v>66</v>
      </c>
      <c r="P41" s="58" t="s">
        <v>67</v>
      </c>
      <c r="Q41" s="58" t="s">
        <v>68</v>
      </c>
      <c r="R41" s="58" t="s">
        <v>69</v>
      </c>
    </row>
    <row r="42" spans="2:23" ht="21.6" hidden="1" customHeight="1" x14ac:dyDescent="0.3">
      <c r="I42" s="42">
        <v>0</v>
      </c>
      <c r="J42" s="59">
        <v>1200</v>
      </c>
      <c r="K42" s="59">
        <v>1350</v>
      </c>
      <c r="L42" s="59">
        <f>1425</f>
        <v>1425</v>
      </c>
      <c r="M42" s="59">
        <v>1500</v>
      </c>
      <c r="N42" s="59">
        <v>1575</v>
      </c>
      <c r="O42" s="59">
        <v>1725</v>
      </c>
      <c r="P42" s="59">
        <v>1875</v>
      </c>
      <c r="Q42" s="59">
        <v>1950</v>
      </c>
      <c r="R42" s="59">
        <v>2100</v>
      </c>
      <c r="S42" s="46"/>
    </row>
    <row r="43" spans="2:23" ht="18.149999999999999" customHeight="1" x14ac:dyDescent="0.3">
      <c r="H43" s="2" t="s">
        <v>9</v>
      </c>
      <c r="J43" s="60">
        <v>-0.2</v>
      </c>
      <c r="K43" s="45">
        <v>-0.1</v>
      </c>
      <c r="L43" s="45">
        <v>-0.05</v>
      </c>
      <c r="M43" s="61"/>
      <c r="N43" s="45">
        <v>0.05</v>
      </c>
      <c r="O43" s="45">
        <v>0.15</v>
      </c>
      <c r="P43" s="62">
        <v>0.25</v>
      </c>
      <c r="Q43" s="62">
        <v>0.3</v>
      </c>
      <c r="R43" s="63">
        <v>0.4</v>
      </c>
    </row>
    <row r="44" spans="2:23" ht="15.6" x14ac:dyDescent="0.3">
      <c r="H44" s="2" t="s">
        <v>70</v>
      </c>
      <c r="I44" s="64" t="s">
        <v>60</v>
      </c>
      <c r="J44" s="65" t="s">
        <v>61</v>
      </c>
      <c r="K44" s="58" t="s">
        <v>62</v>
      </c>
      <c r="L44" s="58" t="s">
        <v>63</v>
      </c>
      <c r="M44" s="66">
        <v>1</v>
      </c>
      <c r="N44" s="58" t="s">
        <v>71</v>
      </c>
      <c r="O44" s="58" t="s">
        <v>72</v>
      </c>
      <c r="P44" s="58" t="s">
        <v>73</v>
      </c>
      <c r="Q44" s="58" t="s">
        <v>74</v>
      </c>
      <c r="R44" s="65" t="s">
        <v>75</v>
      </c>
      <c r="S44" s="67"/>
    </row>
    <row r="45" spans="2:23" ht="15.6" x14ac:dyDescent="0.3">
      <c r="H45" s="2" t="s">
        <v>43</v>
      </c>
      <c r="I45" s="68">
        <f>J6</f>
        <v>315</v>
      </c>
      <c r="J45" s="68">
        <f t="shared" ref="J45:R45" si="12">J6</f>
        <v>315</v>
      </c>
      <c r="K45" s="59">
        <f t="shared" si="12"/>
        <v>332.5</v>
      </c>
      <c r="L45" s="59">
        <f t="shared" si="12"/>
        <v>350</v>
      </c>
      <c r="M45" s="69">
        <f t="shared" si="12"/>
        <v>360.5</v>
      </c>
      <c r="N45" s="59">
        <f t="shared" si="12"/>
        <v>378</v>
      </c>
      <c r="O45" s="59">
        <f t="shared" si="12"/>
        <v>385</v>
      </c>
      <c r="P45" s="59">
        <f t="shared" si="12"/>
        <v>402.5</v>
      </c>
      <c r="Q45" s="59">
        <f t="shared" si="12"/>
        <v>420</v>
      </c>
      <c r="R45" s="68">
        <f t="shared" si="12"/>
        <v>455</v>
      </c>
      <c r="S45" s="70"/>
    </row>
    <row r="46" spans="2:23" ht="15.6" x14ac:dyDescent="0.3">
      <c r="H46" s="2" t="s">
        <v>44</v>
      </c>
      <c r="I46" s="68">
        <f>J10</f>
        <v>157.5</v>
      </c>
      <c r="J46" s="68">
        <f t="shared" ref="J46:R46" si="13">J10</f>
        <v>157.5</v>
      </c>
      <c r="K46" s="59">
        <f t="shared" si="13"/>
        <v>166.25</v>
      </c>
      <c r="L46" s="59">
        <f t="shared" si="13"/>
        <v>175</v>
      </c>
      <c r="M46" s="69">
        <f t="shared" si="13"/>
        <v>180.25</v>
      </c>
      <c r="N46" s="59">
        <f t="shared" si="13"/>
        <v>189</v>
      </c>
      <c r="O46" s="59">
        <f t="shared" si="13"/>
        <v>192.5</v>
      </c>
      <c r="P46" s="59">
        <f t="shared" si="13"/>
        <v>201.25</v>
      </c>
      <c r="Q46" s="59">
        <f t="shared" si="13"/>
        <v>210</v>
      </c>
      <c r="R46" s="68">
        <f t="shared" si="13"/>
        <v>227.5</v>
      </c>
    </row>
    <row r="47" spans="2:23" ht="15.6" x14ac:dyDescent="0.3">
      <c r="H47" s="2" t="s">
        <v>45</v>
      </c>
      <c r="I47" s="68">
        <f>J16</f>
        <v>315</v>
      </c>
      <c r="J47" s="68">
        <f>J16</f>
        <v>315</v>
      </c>
      <c r="K47" s="59">
        <f>K16</f>
        <v>332.5</v>
      </c>
      <c r="L47" s="59">
        <f t="shared" ref="L47:R47" si="14">L16</f>
        <v>350</v>
      </c>
      <c r="M47" s="69">
        <f t="shared" si="14"/>
        <v>360.5</v>
      </c>
      <c r="N47" s="59">
        <f t="shared" si="14"/>
        <v>378</v>
      </c>
      <c r="O47" s="59">
        <f t="shared" si="14"/>
        <v>385</v>
      </c>
      <c r="P47" s="59">
        <f t="shared" si="14"/>
        <v>402.5</v>
      </c>
      <c r="Q47" s="59">
        <f t="shared" si="14"/>
        <v>420</v>
      </c>
      <c r="R47" s="68">
        <f t="shared" si="14"/>
        <v>455</v>
      </c>
    </row>
    <row r="48" spans="2:23" ht="15.6" x14ac:dyDescent="0.3">
      <c r="H48" s="2" t="s">
        <v>46</v>
      </c>
      <c r="I48" s="68">
        <f>J19</f>
        <v>157.5</v>
      </c>
      <c r="J48" s="68">
        <f>J19</f>
        <v>157.5</v>
      </c>
      <c r="K48" s="59">
        <f>K19</f>
        <v>166.25</v>
      </c>
      <c r="L48" s="59">
        <f t="shared" ref="L48:R48" si="15">L19</f>
        <v>175</v>
      </c>
      <c r="M48" s="69">
        <f t="shared" si="15"/>
        <v>180.25</v>
      </c>
      <c r="N48" s="59">
        <f t="shared" si="15"/>
        <v>189</v>
      </c>
      <c r="O48" s="59">
        <f t="shared" si="15"/>
        <v>192.5</v>
      </c>
      <c r="P48" s="59">
        <f t="shared" si="15"/>
        <v>201.25</v>
      </c>
      <c r="Q48" s="59">
        <f t="shared" si="15"/>
        <v>210</v>
      </c>
      <c r="R48" s="68">
        <f t="shared" si="15"/>
        <v>227.5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0773-5559-47D9-8097-D887CE4E2769}">
  <sheetPr>
    <tabColor rgb="FFFF0000"/>
  </sheetPr>
  <dimension ref="A1:W5"/>
  <sheetViews>
    <sheetView topLeftCell="C1" zoomScale="60" zoomScaleNormal="60" workbookViewId="0">
      <pane xSplit="2" ySplit="6" topLeftCell="E7" activePane="bottomRight" state="frozen"/>
      <selection activeCell="L22" sqref="L22"/>
      <selection pane="topRight" activeCell="L22" sqref="L22"/>
      <selection pane="bottomLeft" activeCell="L22" sqref="L22"/>
      <selection pane="bottomRight" activeCell="L22" sqref="L22"/>
    </sheetView>
  </sheetViews>
  <sheetFormatPr defaultRowHeight="16.8" x14ac:dyDescent="0.4"/>
  <cols>
    <col min="1" max="1" width="13.5" customWidth="1"/>
    <col min="2" max="2" width="7.59765625" customWidth="1"/>
    <col min="3" max="3" width="9.09765625" customWidth="1"/>
    <col min="4" max="4" width="9.8984375" customWidth="1"/>
    <col min="14" max="14" width="8.3984375" customWidth="1"/>
    <col min="15" max="15" width="10.5" customWidth="1"/>
    <col min="16" max="16" width="9.3984375" customWidth="1"/>
    <col min="17" max="17" width="8.3984375" customWidth="1"/>
    <col min="18" max="18" width="10.09765625" customWidth="1"/>
    <col min="19" max="19" width="9.59765625" customWidth="1"/>
  </cols>
  <sheetData>
    <row r="1" spans="1:23" x14ac:dyDescent="0.4">
      <c r="A1" t="s">
        <v>1</v>
      </c>
      <c r="E1" s="99">
        <v>1</v>
      </c>
      <c r="F1" s="99">
        <v>2</v>
      </c>
      <c r="G1" s="99">
        <v>3</v>
      </c>
      <c r="H1" s="99">
        <v>4</v>
      </c>
      <c r="I1" s="99">
        <v>5</v>
      </c>
      <c r="J1" s="99">
        <v>6</v>
      </c>
      <c r="K1" s="99">
        <v>7</v>
      </c>
      <c r="L1" s="99">
        <v>8</v>
      </c>
      <c r="M1" s="99">
        <v>9</v>
      </c>
      <c r="N1" s="99">
        <v>10</v>
      </c>
      <c r="O1" s="99">
        <v>11</v>
      </c>
      <c r="P1" s="99">
        <v>12</v>
      </c>
      <c r="Q1" s="99">
        <v>13</v>
      </c>
      <c r="R1" s="99">
        <v>14</v>
      </c>
      <c r="S1" s="99">
        <v>15</v>
      </c>
      <c r="T1" s="99">
        <v>16</v>
      </c>
      <c r="U1" s="99">
        <v>17</v>
      </c>
      <c r="V1" s="99">
        <v>18</v>
      </c>
      <c r="W1" s="99">
        <v>19</v>
      </c>
    </row>
    <row r="2" spans="1:23" x14ac:dyDescent="0.4">
      <c r="A2">
        <v>1190011201</v>
      </c>
      <c r="B2">
        <f>VLOOKUP(A2,[1]Sheet2!$A$2:$C$409,2,0)</f>
        <v>76001</v>
      </c>
      <c r="C2" t="s">
        <v>122</v>
      </c>
      <c r="D2" t="e">
        <f>VLOOKUP(A2,'Actual_Aji Plus'!#REF!,2,0)</f>
        <v>#REF!</v>
      </c>
      <c r="E2" s="96">
        <v>0.9</v>
      </c>
      <c r="F2" s="96">
        <v>0.90010000000000001</v>
      </c>
      <c r="G2" s="96">
        <v>0.95</v>
      </c>
      <c r="H2" s="96">
        <v>0.95009999999999994</v>
      </c>
      <c r="I2" s="96">
        <v>1</v>
      </c>
      <c r="J2" s="96">
        <v>1.0001</v>
      </c>
      <c r="K2" s="96">
        <v>1.03</v>
      </c>
      <c r="L2" s="96">
        <v>1.0301</v>
      </c>
      <c r="M2" s="96">
        <v>1.06</v>
      </c>
      <c r="N2" s="96">
        <v>1.0601</v>
      </c>
      <c r="O2" s="96">
        <v>1.1000000000000001</v>
      </c>
      <c r="P2" s="96">
        <v>1.1001000000000001</v>
      </c>
      <c r="Q2" s="96">
        <v>1.1499999999999999</v>
      </c>
      <c r="R2" s="96">
        <v>1.1500999999999999</v>
      </c>
      <c r="S2" s="97">
        <v>1.2</v>
      </c>
      <c r="T2" s="98">
        <v>1.2000999999999999</v>
      </c>
      <c r="U2" s="97">
        <v>1.7</v>
      </c>
      <c r="V2" s="97">
        <v>0.8</v>
      </c>
      <c r="W2" s="97">
        <v>0.55000000000000004</v>
      </c>
    </row>
    <row r="4" spans="1:23" x14ac:dyDescent="0.4">
      <c r="E4" s="99">
        <v>1</v>
      </c>
      <c r="F4" s="99">
        <v>2</v>
      </c>
      <c r="G4" s="99">
        <v>3</v>
      </c>
      <c r="H4" s="99">
        <v>4</v>
      </c>
      <c r="I4" s="99">
        <v>5</v>
      </c>
      <c r="J4" s="99">
        <v>6</v>
      </c>
      <c r="K4" s="99">
        <v>7</v>
      </c>
      <c r="L4" s="99">
        <v>8</v>
      </c>
      <c r="M4" s="99">
        <v>9</v>
      </c>
      <c r="N4" s="99">
        <v>10</v>
      </c>
      <c r="O4" s="99">
        <v>11</v>
      </c>
      <c r="P4" s="99">
        <v>12</v>
      </c>
      <c r="Q4" s="99">
        <v>13</v>
      </c>
      <c r="R4" s="99">
        <v>14</v>
      </c>
      <c r="S4" s="99">
        <v>15</v>
      </c>
      <c r="T4" s="99">
        <v>16</v>
      </c>
      <c r="U4" s="99">
        <v>17</v>
      </c>
      <c r="V4" s="99">
        <v>18</v>
      </c>
      <c r="W4" s="99">
        <v>19</v>
      </c>
    </row>
    <row r="5" spans="1:23" x14ac:dyDescent="0.4">
      <c r="E5" s="95">
        <f>IFERROR(VLOOKUP(E2,'Top WS'!$A$19:$B$28,2),0)</f>
        <v>180</v>
      </c>
      <c r="F5" s="95">
        <f>IFERROR(VLOOKUP(F2,'Top WS'!$A$19:$B$28,2),0)</f>
        <v>190</v>
      </c>
      <c r="G5" s="95">
        <f>IFERROR(VLOOKUP(G2,'Top WS'!$A$19:$B$28,2),0)</f>
        <v>190</v>
      </c>
      <c r="H5" s="95">
        <f>IFERROR(VLOOKUP(H2,'Top WS'!$A$19:$B$28,2),0)</f>
        <v>200</v>
      </c>
      <c r="I5" s="95">
        <f>IFERROR(VLOOKUP(I2,'Top WS'!$A$19:$B$28,2),0)</f>
        <v>200</v>
      </c>
      <c r="J5" s="95">
        <f>IFERROR(VLOOKUP(J2,'Top WS'!$A$19:$B$28,2),0)</f>
        <v>206</v>
      </c>
      <c r="K5" s="95">
        <f>IFERROR(VLOOKUP(K2,'Top WS'!$A$19:$B$28,2),0)</f>
        <v>206</v>
      </c>
      <c r="L5" s="95">
        <f>IFERROR(VLOOKUP(L2,'Top WS'!$A$19:$B$28,2),0)</f>
        <v>216</v>
      </c>
      <c r="M5" s="95">
        <f>IFERROR(VLOOKUP(M2,'Top WS'!$A$19:$B$28,2),0)</f>
        <v>216</v>
      </c>
      <c r="N5" s="95">
        <f>IFERROR(VLOOKUP(N2,'Top WS'!$A$19:$B$28,2),0)</f>
        <v>220</v>
      </c>
      <c r="O5" s="95">
        <f>IFERROR(VLOOKUP(O2,'Top WS'!$A$19:$B$28,2),0)</f>
        <v>220</v>
      </c>
      <c r="P5" s="95">
        <f>IFERROR(VLOOKUP(P2,'Top WS'!$A$19:$B$28,2),0)</f>
        <v>230</v>
      </c>
      <c r="Q5" s="95">
        <f>IFERROR(VLOOKUP(Q2,'Top WS'!$A$19:$B$28,2),0)</f>
        <v>230</v>
      </c>
      <c r="R5" s="95">
        <f>IFERROR(VLOOKUP(R2,'Top WS'!$A$19:$B$28,2),0)</f>
        <v>240</v>
      </c>
      <c r="S5" s="95">
        <f>IFERROR(VLOOKUP(S2,'Top WS'!$A$19:$B$28,2),0)</f>
        <v>240</v>
      </c>
      <c r="T5" s="95">
        <f>IFERROR(VLOOKUP(T2,'Top WS'!$A$19:$B$28,2),0)</f>
        <v>260</v>
      </c>
      <c r="U5" s="95">
        <f>IFERROR(VLOOKUP(U2,'Top WS'!$A$19:$B$28,2),0)</f>
        <v>260</v>
      </c>
      <c r="V5" s="95">
        <f>IFERROR(VLOOKUP(V2,'Top WS'!$A$19:$B$28,2),0)</f>
        <v>180</v>
      </c>
      <c r="W5" s="95">
        <f>IFERROR(VLOOKUP(W2,'Top WS'!$A$19:$B$28,2),0)</f>
        <v>180</v>
      </c>
    </row>
  </sheetData>
  <phoneticPr fontId="10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4B21-6FC6-4F93-988E-B7CDCEAA541B}">
  <sheetPr>
    <tabColor rgb="FFF7C5F1"/>
  </sheetPr>
  <dimension ref="A1:AA48"/>
  <sheetViews>
    <sheetView showGridLines="0" topLeftCell="L1" zoomScaleNormal="100" workbookViewId="0">
      <selection activeCell="R27" sqref="R27"/>
    </sheetView>
  </sheetViews>
  <sheetFormatPr defaultColWidth="8.59765625" defaultRowHeight="14.4" x14ac:dyDescent="0.3"/>
  <cols>
    <col min="1" max="1" width="13" style="2" customWidth="1"/>
    <col min="2" max="2" width="11.3984375" style="2" customWidth="1"/>
    <col min="3" max="3" width="9.8984375" style="2" customWidth="1"/>
    <col min="4" max="4" width="9.59765625" style="2" bestFit="1" customWidth="1"/>
    <col min="5" max="5" width="10.8984375" style="2" bestFit="1" customWidth="1"/>
    <col min="6" max="6" width="3.59765625" style="2" customWidth="1"/>
    <col min="7" max="7" width="9.3984375" style="2" bestFit="1" customWidth="1"/>
    <col min="8" max="8" width="10.09765625" style="2" bestFit="1" customWidth="1"/>
    <col min="9" max="9" width="18.59765625" style="2" customWidth="1"/>
    <col min="10" max="10" width="12.09765625" style="2" customWidth="1"/>
    <col min="11" max="12" width="11.59765625" style="2" customWidth="1"/>
    <col min="13" max="13" width="12" style="2" customWidth="1"/>
    <col min="14" max="14" width="12.8984375" style="2" customWidth="1"/>
    <col min="15" max="15" width="15.09765625" style="2" customWidth="1"/>
    <col min="16" max="16" width="14.5" style="2" customWidth="1"/>
    <col min="17" max="17" width="13" style="2" customWidth="1"/>
    <col min="18" max="18" width="15.09765625" style="2" customWidth="1"/>
    <col min="19" max="20" width="8.59765625" style="2"/>
    <col min="21" max="21" width="15.8984375" style="2" bestFit="1" customWidth="1"/>
    <col min="22" max="22" width="12.09765625" style="2" bestFit="1" customWidth="1"/>
    <col min="23" max="24" width="9.59765625" style="2" bestFit="1" customWidth="1"/>
    <col min="25" max="26" width="10.5" style="2" bestFit="1" customWidth="1"/>
    <col min="27" max="16384" width="8.59765625" style="2"/>
  </cols>
  <sheetData>
    <row r="1" spans="3:27" ht="15" thickBot="1" x14ac:dyDescent="0.35">
      <c r="G1" s="3"/>
      <c r="H1" s="4"/>
      <c r="I1" s="4"/>
      <c r="J1" s="251">
        <f>$H$4+($H$4*J3)</f>
        <v>3150</v>
      </c>
      <c r="K1" s="251">
        <f>$H$4+($H$4*K3)</f>
        <v>3325</v>
      </c>
      <c r="L1" s="4"/>
      <c r="M1" s="4"/>
      <c r="N1" s="4"/>
      <c r="O1" s="4"/>
      <c r="P1" s="4"/>
      <c r="Q1" s="4"/>
      <c r="R1" s="4"/>
      <c r="S1" s="5"/>
    </row>
    <row r="2" spans="3:27" ht="15" thickBot="1" x14ac:dyDescent="0.35">
      <c r="G2" s="6"/>
      <c r="I2" s="7"/>
      <c r="J2" s="259">
        <f>$H$4+($H$4*J3)</f>
        <v>3150</v>
      </c>
      <c r="K2" s="259">
        <f>$H$4+($H$4*K3)</f>
        <v>3325</v>
      </c>
      <c r="L2" s="8">
        <f t="shared" ref="L2:Q2" si="0">$H$4+($H$4*L3)</f>
        <v>3500</v>
      </c>
      <c r="M2" s="8">
        <f>$H$4+($H$4*M3)</f>
        <v>3605</v>
      </c>
      <c r="N2" s="8">
        <f t="shared" si="0"/>
        <v>3780</v>
      </c>
      <c r="O2" s="8">
        <f t="shared" si="0"/>
        <v>3850</v>
      </c>
      <c r="P2" s="8">
        <f t="shared" si="0"/>
        <v>4025</v>
      </c>
      <c r="Q2" s="8">
        <f t="shared" si="0"/>
        <v>4200</v>
      </c>
      <c r="R2" s="9">
        <f>$H$4+($H$4*R3)</f>
        <v>4550</v>
      </c>
      <c r="S2" s="10"/>
    </row>
    <row r="3" spans="3:27" ht="15" thickBot="1" x14ac:dyDescent="0.35">
      <c r="D3" s="11" t="s">
        <v>8</v>
      </c>
      <c r="E3" s="12"/>
      <c r="G3" s="13"/>
      <c r="H3" s="14"/>
      <c r="I3" s="15" t="s">
        <v>9</v>
      </c>
      <c r="J3" s="87">
        <v>-0.1</v>
      </c>
      <c r="K3" s="87">
        <v>-0.05</v>
      </c>
      <c r="L3" s="87">
        <v>0</v>
      </c>
      <c r="M3" s="115">
        <v>0.03</v>
      </c>
      <c r="N3" s="115">
        <v>0.08</v>
      </c>
      <c r="O3" s="87">
        <v>0.1</v>
      </c>
      <c r="P3" s="16">
        <v>0.15</v>
      </c>
      <c r="Q3" s="16">
        <v>0.2</v>
      </c>
      <c r="R3" s="17">
        <v>0.3</v>
      </c>
      <c r="S3" s="10"/>
      <c r="U3" s="18" t="s">
        <v>10</v>
      </c>
      <c r="V3" s="19"/>
      <c r="W3" s="19"/>
      <c r="X3" s="19"/>
      <c r="Y3" s="19"/>
      <c r="Z3" s="19"/>
      <c r="AA3" s="20"/>
    </row>
    <row r="4" spans="3:27" ht="15" thickBot="1" x14ac:dyDescent="0.35">
      <c r="C4" s="2" t="s">
        <v>11</v>
      </c>
      <c r="D4" s="11" t="s">
        <v>12</v>
      </c>
      <c r="E4" s="12" t="s">
        <v>13</v>
      </c>
      <c r="G4" s="21" t="s">
        <v>14</v>
      </c>
      <c r="H4" s="116">
        <v>3500</v>
      </c>
      <c r="I4" s="23" t="s">
        <v>15</v>
      </c>
      <c r="J4" s="24">
        <v>0.9</v>
      </c>
      <c r="K4" s="24">
        <v>0.95</v>
      </c>
      <c r="L4" s="24">
        <v>1</v>
      </c>
      <c r="M4" s="24">
        <v>1.03</v>
      </c>
      <c r="N4" s="24">
        <v>1.06</v>
      </c>
      <c r="O4" s="24">
        <v>1.1000000000000001</v>
      </c>
      <c r="P4" s="24">
        <v>1.1499999999999999</v>
      </c>
      <c r="Q4" s="24">
        <v>1.2</v>
      </c>
      <c r="R4" s="25">
        <v>1.3</v>
      </c>
      <c r="S4" s="10"/>
      <c r="U4" s="26"/>
      <c r="V4" s="27"/>
      <c r="W4" s="28">
        <v>45566</v>
      </c>
      <c r="X4" s="28">
        <v>45597</v>
      </c>
      <c r="Y4" s="28">
        <v>45627</v>
      </c>
      <c r="Z4" s="27" t="s">
        <v>16</v>
      </c>
      <c r="AA4" s="29"/>
    </row>
    <row r="5" spans="3:27" ht="15" thickBot="1" x14ac:dyDescent="0.35">
      <c r="C5" s="2" t="s">
        <v>17</v>
      </c>
      <c r="D5" s="30">
        <v>5000</v>
      </c>
      <c r="E5" s="30">
        <v>5000</v>
      </c>
      <c r="G5" s="6"/>
      <c r="M5" s="86"/>
      <c r="S5" s="10"/>
      <c r="U5" s="26" t="s">
        <v>18</v>
      </c>
      <c r="V5" s="27" t="s">
        <v>19</v>
      </c>
      <c r="W5" s="31">
        <v>5000</v>
      </c>
      <c r="X5" s="31">
        <v>5000</v>
      </c>
      <c r="Y5" s="31">
        <v>5000</v>
      </c>
      <c r="Z5" s="31">
        <f>SUM(W5:Y5)</f>
        <v>15000</v>
      </c>
      <c r="AA5" s="29"/>
    </row>
    <row r="6" spans="3:27" x14ac:dyDescent="0.3">
      <c r="C6" s="27" t="s">
        <v>20</v>
      </c>
      <c r="D6" s="32">
        <v>4000</v>
      </c>
      <c r="E6" s="30">
        <v>4000</v>
      </c>
      <c r="G6" s="6" t="s">
        <v>76</v>
      </c>
      <c r="H6" s="76">
        <v>0.08</v>
      </c>
      <c r="I6" s="71" t="s">
        <v>388</v>
      </c>
      <c r="J6" s="72">
        <f>H6*$J$2</f>
        <v>252</v>
      </c>
      <c r="K6" s="72">
        <f>H6*$K$2</f>
        <v>266</v>
      </c>
      <c r="L6" s="260">
        <f>H6*$L$2</f>
        <v>280</v>
      </c>
      <c r="M6" s="262">
        <f>H6*$M$2</f>
        <v>288.40000000000003</v>
      </c>
      <c r="N6" s="263">
        <f>H6*$N$2</f>
        <v>302.40000000000003</v>
      </c>
      <c r="O6" s="263">
        <f>H6*$O$2</f>
        <v>308</v>
      </c>
      <c r="P6" s="263">
        <f>H6*$P$2</f>
        <v>322</v>
      </c>
      <c r="Q6" s="263">
        <f>H6*$Q$2</f>
        <v>336</v>
      </c>
      <c r="R6" s="263">
        <f>H6*$R$2</f>
        <v>364</v>
      </c>
      <c r="S6" s="10"/>
      <c r="U6" s="26"/>
      <c r="V6" s="27"/>
      <c r="W6" s="31"/>
      <c r="X6" s="31"/>
      <c r="Y6" s="31"/>
      <c r="Z6" s="31"/>
      <c r="AA6" s="29"/>
    </row>
    <row r="7" spans="3:27" x14ac:dyDescent="0.3">
      <c r="C7" s="27" t="s">
        <v>21</v>
      </c>
      <c r="D7" s="32">
        <v>4000</v>
      </c>
      <c r="E7" s="30">
        <v>4000</v>
      </c>
      <c r="G7" s="6"/>
      <c r="H7" s="77">
        <v>0.13</v>
      </c>
      <c r="I7" s="73" t="s">
        <v>389</v>
      </c>
      <c r="J7" s="74">
        <f t="shared" ref="J7:J20" si="1">H7*$J$2</f>
        <v>409.5</v>
      </c>
      <c r="K7" s="74">
        <f t="shared" ref="K7:K20" si="2">H7*$K$2</f>
        <v>432.25</v>
      </c>
      <c r="L7" s="261">
        <f t="shared" ref="L7:L20" si="3">H7*$L$2</f>
        <v>455</v>
      </c>
      <c r="M7" s="264">
        <f t="shared" ref="M7:M20" si="4">H7*$M$2</f>
        <v>468.65000000000003</v>
      </c>
      <c r="N7" s="75">
        <f t="shared" ref="N7:N20" si="5">H7*$N$2</f>
        <v>491.40000000000003</v>
      </c>
      <c r="O7" s="75">
        <f t="shared" ref="O7:O20" si="6">H7*$O$2</f>
        <v>500.5</v>
      </c>
      <c r="P7" s="75">
        <f t="shared" ref="P7:P20" si="7">H7*$P$2</f>
        <v>523.25</v>
      </c>
      <c r="Q7" s="75">
        <f t="shared" ref="Q7:Q20" si="8">H7*$Q$2</f>
        <v>546</v>
      </c>
      <c r="R7" s="75">
        <f t="shared" ref="R7:R20" si="9">H7*$R$2</f>
        <v>591.5</v>
      </c>
      <c r="S7" s="10"/>
      <c r="U7" s="26" t="s">
        <v>23</v>
      </c>
      <c r="V7" s="27" t="s">
        <v>24</v>
      </c>
      <c r="W7" s="31">
        <v>6000</v>
      </c>
      <c r="X7" s="31">
        <v>5000</v>
      </c>
      <c r="Y7" s="31">
        <v>4500</v>
      </c>
      <c r="Z7" s="31">
        <f>SUM(W7:Y7)</f>
        <v>15500</v>
      </c>
      <c r="AA7" s="29"/>
    </row>
    <row r="8" spans="3:27" ht="15" thickBot="1" x14ac:dyDescent="0.35">
      <c r="C8" s="27" t="s">
        <v>25</v>
      </c>
      <c r="D8" s="32">
        <v>2500</v>
      </c>
      <c r="E8" s="30">
        <v>2500</v>
      </c>
      <c r="G8" s="6"/>
      <c r="H8" s="78">
        <v>0.18</v>
      </c>
      <c r="I8" s="73" t="s">
        <v>390</v>
      </c>
      <c r="J8" s="74">
        <f t="shared" si="1"/>
        <v>567</v>
      </c>
      <c r="K8" s="74">
        <f t="shared" si="2"/>
        <v>598.5</v>
      </c>
      <c r="L8" s="261">
        <f t="shared" si="3"/>
        <v>630</v>
      </c>
      <c r="M8" s="264">
        <f t="shared" si="4"/>
        <v>648.9</v>
      </c>
      <c r="N8" s="75">
        <f t="shared" si="5"/>
        <v>680.4</v>
      </c>
      <c r="O8" s="75">
        <f t="shared" si="6"/>
        <v>693</v>
      </c>
      <c r="P8" s="75">
        <f t="shared" si="7"/>
        <v>724.5</v>
      </c>
      <c r="Q8" s="75">
        <f t="shared" si="8"/>
        <v>756</v>
      </c>
      <c r="R8" s="75">
        <f t="shared" si="9"/>
        <v>819</v>
      </c>
      <c r="S8" s="10"/>
      <c r="U8" s="26"/>
      <c r="V8" s="27" t="s">
        <v>26</v>
      </c>
      <c r="W8" s="31">
        <f>I39</f>
        <v>1114.4000000000001</v>
      </c>
      <c r="X8" s="31">
        <v>5200</v>
      </c>
      <c r="Y8" s="31">
        <v>5000</v>
      </c>
      <c r="Z8" s="34">
        <f>SUM(W8:Y8)</f>
        <v>11314.4</v>
      </c>
      <c r="AA8" s="29"/>
    </row>
    <row r="9" spans="3:27" ht="15" thickBot="1" x14ac:dyDescent="0.35">
      <c r="C9" s="27" t="s">
        <v>27</v>
      </c>
      <c r="D9" s="32">
        <v>1200</v>
      </c>
      <c r="E9" s="30">
        <v>1200</v>
      </c>
      <c r="G9" s="6"/>
      <c r="J9" s="75"/>
      <c r="K9" s="75"/>
      <c r="L9" s="261"/>
      <c r="M9" s="264"/>
      <c r="N9" s="75"/>
      <c r="O9" s="75"/>
      <c r="P9" s="75"/>
      <c r="Q9" s="75"/>
      <c r="R9" s="75"/>
      <c r="S9" s="10"/>
      <c r="U9" s="26"/>
      <c r="V9" s="27" t="s">
        <v>28</v>
      </c>
      <c r="W9" s="31">
        <v>5000</v>
      </c>
      <c r="X9" s="31">
        <v>4900</v>
      </c>
      <c r="Y9" s="31">
        <v>6500</v>
      </c>
      <c r="Z9" s="34">
        <f t="shared" ref="Z9:Z10" si="10">SUM(W9:Y9)</f>
        <v>16400</v>
      </c>
      <c r="AA9" s="29">
        <f>Z9/Z5</f>
        <v>1.0933333333333333</v>
      </c>
    </row>
    <row r="10" spans="3:27" x14ac:dyDescent="0.3">
      <c r="C10" s="35" t="s">
        <v>29</v>
      </c>
      <c r="D10" s="36"/>
      <c r="E10" s="30">
        <v>2500</v>
      </c>
      <c r="G10" s="6" t="s">
        <v>77</v>
      </c>
      <c r="H10" s="80">
        <v>0.05</v>
      </c>
      <c r="I10" s="71" t="s">
        <v>395</v>
      </c>
      <c r="J10" s="74">
        <f t="shared" si="1"/>
        <v>157.5</v>
      </c>
      <c r="K10" s="74">
        <f t="shared" si="2"/>
        <v>166.25</v>
      </c>
      <c r="L10" s="261">
        <f t="shared" si="3"/>
        <v>175</v>
      </c>
      <c r="M10" s="264">
        <f t="shared" si="4"/>
        <v>180.25</v>
      </c>
      <c r="N10" s="75">
        <f t="shared" si="5"/>
        <v>189</v>
      </c>
      <c r="O10" s="75">
        <f t="shared" si="6"/>
        <v>192.5</v>
      </c>
      <c r="P10" s="75">
        <f t="shared" si="7"/>
        <v>201.25</v>
      </c>
      <c r="Q10" s="75">
        <f t="shared" si="8"/>
        <v>210</v>
      </c>
      <c r="R10" s="75">
        <f t="shared" si="9"/>
        <v>227.5</v>
      </c>
      <c r="S10" s="10"/>
      <c r="U10" s="26"/>
      <c r="V10" s="27" t="s">
        <v>31</v>
      </c>
      <c r="W10" s="31">
        <v>4800</v>
      </c>
      <c r="X10" s="31">
        <v>4000</v>
      </c>
      <c r="Y10" s="31">
        <v>5000</v>
      </c>
      <c r="Z10" s="34">
        <f t="shared" si="10"/>
        <v>13800</v>
      </c>
      <c r="AA10" s="29"/>
    </row>
    <row r="11" spans="3:27" ht="15" thickBot="1" x14ac:dyDescent="0.35">
      <c r="C11" s="35" t="s">
        <v>32</v>
      </c>
      <c r="D11" s="36"/>
      <c r="E11" s="36">
        <v>3500</v>
      </c>
      <c r="F11" s="27"/>
      <c r="G11" s="6"/>
      <c r="H11" s="81">
        <v>0.06</v>
      </c>
      <c r="I11" s="73" t="s">
        <v>396</v>
      </c>
      <c r="J11" s="74">
        <f t="shared" si="1"/>
        <v>189</v>
      </c>
      <c r="K11" s="74">
        <f t="shared" si="2"/>
        <v>199.5</v>
      </c>
      <c r="L11" s="261">
        <f t="shared" si="3"/>
        <v>210</v>
      </c>
      <c r="M11" s="264">
        <f t="shared" si="4"/>
        <v>216.29999999999998</v>
      </c>
      <c r="N11" s="75">
        <f t="shared" si="5"/>
        <v>226.79999999999998</v>
      </c>
      <c r="O11" s="75">
        <f t="shared" si="6"/>
        <v>231</v>
      </c>
      <c r="P11" s="75">
        <f t="shared" si="7"/>
        <v>241.5</v>
      </c>
      <c r="Q11" s="75">
        <f t="shared" si="8"/>
        <v>252</v>
      </c>
      <c r="R11" s="75">
        <f t="shared" si="9"/>
        <v>273</v>
      </c>
      <c r="S11" s="10"/>
      <c r="U11" s="37"/>
      <c r="V11" s="38"/>
      <c r="W11" s="38"/>
      <c r="X11" s="38"/>
      <c r="Y11" s="38" t="s">
        <v>34</v>
      </c>
      <c r="Z11" s="39">
        <f>MEDIAN(Z7:Z10)</f>
        <v>14650</v>
      </c>
      <c r="AA11" s="40">
        <f>Z11/Z5-1</f>
        <v>-2.3333333333333317E-2</v>
      </c>
    </row>
    <row r="12" spans="3:27" x14ac:dyDescent="0.3">
      <c r="C12" s="35" t="s">
        <v>35</v>
      </c>
      <c r="D12" s="36"/>
      <c r="E12" s="36">
        <v>3500</v>
      </c>
      <c r="F12" s="27"/>
      <c r="G12" s="6"/>
      <c r="H12" s="81">
        <v>7.0000000000000007E-2</v>
      </c>
      <c r="I12" s="73" t="s">
        <v>402</v>
      </c>
      <c r="J12" s="74">
        <f t="shared" si="1"/>
        <v>220.50000000000003</v>
      </c>
      <c r="K12" s="74">
        <f t="shared" si="2"/>
        <v>232.75000000000003</v>
      </c>
      <c r="L12" s="261">
        <f t="shared" si="3"/>
        <v>245.00000000000003</v>
      </c>
      <c r="M12" s="264">
        <f t="shared" si="4"/>
        <v>252.35000000000002</v>
      </c>
      <c r="N12" s="75">
        <f t="shared" si="5"/>
        <v>264.60000000000002</v>
      </c>
      <c r="O12" s="75">
        <f t="shared" si="6"/>
        <v>269.5</v>
      </c>
      <c r="P12" s="75">
        <f t="shared" si="7"/>
        <v>281.75</v>
      </c>
      <c r="Q12" s="75">
        <f t="shared" si="8"/>
        <v>294</v>
      </c>
      <c r="R12" s="75">
        <f t="shared" si="9"/>
        <v>318.50000000000006</v>
      </c>
      <c r="S12" s="10"/>
    </row>
    <row r="13" spans="3:27" x14ac:dyDescent="0.3">
      <c r="G13" s="6"/>
      <c r="H13" s="81">
        <v>7.0000000000000007E-2</v>
      </c>
      <c r="I13" s="73" t="s">
        <v>405</v>
      </c>
      <c r="J13" s="74">
        <f t="shared" si="1"/>
        <v>220.50000000000003</v>
      </c>
      <c r="K13" s="74">
        <f t="shared" si="2"/>
        <v>232.75000000000003</v>
      </c>
      <c r="L13" s="261">
        <f t="shared" si="3"/>
        <v>245.00000000000003</v>
      </c>
      <c r="M13" s="264">
        <f t="shared" si="4"/>
        <v>252.35000000000002</v>
      </c>
      <c r="N13" s="75">
        <f t="shared" si="5"/>
        <v>264.60000000000002</v>
      </c>
      <c r="O13" s="75">
        <f t="shared" si="6"/>
        <v>269.5</v>
      </c>
      <c r="P13" s="75">
        <f t="shared" si="7"/>
        <v>281.75</v>
      </c>
      <c r="Q13" s="75">
        <f t="shared" si="8"/>
        <v>294</v>
      </c>
      <c r="R13" s="75">
        <f t="shared" si="9"/>
        <v>318.50000000000006</v>
      </c>
      <c r="S13" s="10"/>
    </row>
    <row r="14" spans="3:27" ht="15" thickBot="1" x14ac:dyDescent="0.35">
      <c r="G14" s="6"/>
      <c r="H14" s="79"/>
      <c r="I14" s="83"/>
      <c r="J14" s="74">
        <f t="shared" si="1"/>
        <v>0</v>
      </c>
      <c r="K14" s="74">
        <f t="shared" si="2"/>
        <v>0</v>
      </c>
      <c r="L14" s="261">
        <f t="shared" si="3"/>
        <v>0</v>
      </c>
      <c r="M14" s="264">
        <f t="shared" si="4"/>
        <v>0</v>
      </c>
      <c r="N14" s="75">
        <f t="shared" si="5"/>
        <v>0</v>
      </c>
      <c r="O14" s="75">
        <f t="shared" si="6"/>
        <v>0</v>
      </c>
      <c r="P14" s="75">
        <f t="shared" si="7"/>
        <v>0</v>
      </c>
      <c r="Q14" s="75">
        <f t="shared" si="8"/>
        <v>0</v>
      </c>
      <c r="R14" s="75">
        <f t="shared" si="9"/>
        <v>0</v>
      </c>
      <c r="S14" s="10"/>
    </row>
    <row r="15" spans="3:27" ht="15" thickBot="1" x14ac:dyDescent="0.35">
      <c r="C15" s="35"/>
      <c r="D15" s="35"/>
      <c r="G15" s="6"/>
      <c r="J15" s="75"/>
      <c r="K15" s="75"/>
      <c r="L15" s="261"/>
      <c r="M15" s="264"/>
      <c r="N15" s="75"/>
      <c r="O15" s="75"/>
      <c r="P15" s="75"/>
      <c r="Q15" s="75"/>
      <c r="R15" s="75"/>
      <c r="S15" s="10"/>
    </row>
    <row r="16" spans="3:27" x14ac:dyDescent="0.3">
      <c r="G16" s="6" t="s">
        <v>78</v>
      </c>
      <c r="H16" s="80">
        <v>0.13</v>
      </c>
      <c r="I16" s="71" t="s">
        <v>391</v>
      </c>
      <c r="J16" s="74">
        <f t="shared" si="1"/>
        <v>409.5</v>
      </c>
      <c r="K16" s="74">
        <f t="shared" si="2"/>
        <v>432.25</v>
      </c>
      <c r="L16" s="261">
        <f t="shared" si="3"/>
        <v>455</v>
      </c>
      <c r="M16" s="264">
        <f t="shared" si="4"/>
        <v>468.65000000000003</v>
      </c>
      <c r="N16" s="75">
        <f t="shared" si="5"/>
        <v>491.40000000000003</v>
      </c>
      <c r="O16" s="75">
        <f t="shared" si="6"/>
        <v>500.5</v>
      </c>
      <c r="P16" s="75">
        <f t="shared" si="7"/>
        <v>523.25</v>
      </c>
      <c r="Q16" s="75">
        <f t="shared" si="8"/>
        <v>546</v>
      </c>
      <c r="R16" s="75">
        <f t="shared" si="9"/>
        <v>591.5</v>
      </c>
      <c r="S16" s="10"/>
      <c r="U16" s="2" t="s">
        <v>40</v>
      </c>
    </row>
    <row r="17" spans="1:23" ht="15" thickBot="1" x14ac:dyDescent="0.35">
      <c r="G17" s="6"/>
      <c r="H17" s="82">
        <v>0.13</v>
      </c>
      <c r="I17" s="83" t="s">
        <v>392</v>
      </c>
      <c r="J17" s="74">
        <f t="shared" si="1"/>
        <v>409.5</v>
      </c>
      <c r="K17" s="74">
        <f t="shared" si="2"/>
        <v>432.25</v>
      </c>
      <c r="L17" s="261">
        <f t="shared" si="3"/>
        <v>455</v>
      </c>
      <c r="M17" s="264">
        <f t="shared" si="4"/>
        <v>468.65000000000003</v>
      </c>
      <c r="N17" s="75">
        <f t="shared" si="5"/>
        <v>491.40000000000003</v>
      </c>
      <c r="O17" s="75">
        <f t="shared" si="6"/>
        <v>500.5</v>
      </c>
      <c r="P17" s="75">
        <f t="shared" si="7"/>
        <v>523.25</v>
      </c>
      <c r="Q17" s="75">
        <f t="shared" si="8"/>
        <v>546</v>
      </c>
      <c r="R17" s="75">
        <f t="shared" si="9"/>
        <v>591.5</v>
      </c>
      <c r="S17" s="10"/>
    </row>
    <row r="18" spans="1:23" ht="15" thickBot="1" x14ac:dyDescent="0.35">
      <c r="B18" s="41"/>
      <c r="C18" s="41"/>
      <c r="D18" s="41"/>
      <c r="E18" s="41"/>
      <c r="G18" s="6"/>
      <c r="J18" s="75"/>
      <c r="K18" s="75"/>
      <c r="L18" s="261"/>
      <c r="M18" s="264"/>
      <c r="N18" s="75"/>
      <c r="O18" s="75"/>
      <c r="P18" s="75"/>
      <c r="Q18" s="75"/>
      <c r="R18" s="75"/>
      <c r="S18" s="10"/>
      <c r="U18" s="2" t="s">
        <v>41</v>
      </c>
      <c r="V18" s="2" t="s">
        <v>42</v>
      </c>
    </row>
    <row r="19" spans="1:23" x14ac:dyDescent="0.3">
      <c r="B19" s="91" t="s">
        <v>395</v>
      </c>
      <c r="C19" s="101" t="s">
        <v>396</v>
      </c>
      <c r="D19" s="91" t="s">
        <v>402</v>
      </c>
      <c r="E19" s="91" t="s">
        <v>405</v>
      </c>
      <c r="G19" s="6" t="s">
        <v>47</v>
      </c>
      <c r="H19" s="80">
        <v>0.05</v>
      </c>
      <c r="I19" s="71" t="s">
        <v>393</v>
      </c>
      <c r="J19" s="74">
        <f t="shared" si="1"/>
        <v>157.5</v>
      </c>
      <c r="K19" s="74">
        <f t="shared" si="2"/>
        <v>166.25</v>
      </c>
      <c r="L19" s="261">
        <f t="shared" si="3"/>
        <v>175</v>
      </c>
      <c r="M19" s="264">
        <f t="shared" si="4"/>
        <v>180.25</v>
      </c>
      <c r="N19" s="75">
        <f t="shared" si="5"/>
        <v>189</v>
      </c>
      <c r="O19" s="75">
        <f t="shared" si="6"/>
        <v>192.5</v>
      </c>
      <c r="P19" s="75">
        <f t="shared" si="7"/>
        <v>201.25</v>
      </c>
      <c r="Q19" s="75">
        <f t="shared" si="8"/>
        <v>210</v>
      </c>
      <c r="R19" s="75">
        <f t="shared" si="9"/>
        <v>227.5</v>
      </c>
      <c r="S19" s="10"/>
    </row>
    <row r="20" spans="1:23" x14ac:dyDescent="0.3">
      <c r="A20" s="94">
        <v>0</v>
      </c>
      <c r="B20" s="92">
        <f>J10</f>
        <v>157.5</v>
      </c>
      <c r="C20" s="92">
        <f>J11</f>
        <v>189</v>
      </c>
      <c r="D20" s="92">
        <f>J12</f>
        <v>220.50000000000003</v>
      </c>
      <c r="E20" s="92">
        <f>J13</f>
        <v>220.50000000000003</v>
      </c>
      <c r="G20" s="6"/>
      <c r="H20" s="81">
        <v>0.05</v>
      </c>
      <c r="I20" s="73" t="s">
        <v>394</v>
      </c>
      <c r="J20" s="74">
        <f t="shared" si="1"/>
        <v>157.5</v>
      </c>
      <c r="K20" s="74">
        <f t="shared" si="2"/>
        <v>166.25</v>
      </c>
      <c r="L20" s="261">
        <f t="shared" si="3"/>
        <v>175</v>
      </c>
      <c r="M20" s="264">
        <f t="shared" si="4"/>
        <v>180.25</v>
      </c>
      <c r="N20" s="75">
        <f t="shared" si="5"/>
        <v>189</v>
      </c>
      <c r="O20" s="75">
        <f t="shared" si="6"/>
        <v>192.5</v>
      </c>
      <c r="P20" s="75">
        <f t="shared" si="7"/>
        <v>201.25</v>
      </c>
      <c r="Q20" s="75">
        <f t="shared" si="8"/>
        <v>210</v>
      </c>
      <c r="R20" s="75">
        <f t="shared" si="9"/>
        <v>227.5</v>
      </c>
      <c r="S20" s="10"/>
      <c r="U20" s="2" t="s">
        <v>48</v>
      </c>
      <c r="V20" s="2" t="s">
        <v>20</v>
      </c>
      <c r="W20" s="2" t="s">
        <v>49</v>
      </c>
    </row>
    <row r="21" spans="1:23" x14ac:dyDescent="0.3">
      <c r="A21" s="94">
        <v>0.90000999999999998</v>
      </c>
      <c r="B21" s="92">
        <f>K10</f>
        <v>166.25</v>
      </c>
      <c r="C21" s="92">
        <f>K11</f>
        <v>199.5</v>
      </c>
      <c r="D21" s="92">
        <f>K12</f>
        <v>232.75000000000003</v>
      </c>
      <c r="E21" s="92">
        <f>K13</f>
        <v>232.75000000000003</v>
      </c>
      <c r="G21" s="6"/>
      <c r="H21" s="6"/>
      <c r="I21" s="73"/>
      <c r="J21" s="265"/>
      <c r="K21" s="265"/>
      <c r="L21" s="84"/>
      <c r="M21" s="265"/>
      <c r="N21" s="265"/>
      <c r="O21" s="265"/>
      <c r="P21" s="265"/>
      <c r="Q21" s="265"/>
      <c r="R21" s="265"/>
      <c r="S21" s="10"/>
    </row>
    <row r="22" spans="1:23" x14ac:dyDescent="0.3">
      <c r="A22" s="94">
        <v>0.95001000000000002</v>
      </c>
      <c r="B22" s="92">
        <f>L10</f>
        <v>175</v>
      </c>
      <c r="C22" s="92">
        <f>L11</f>
        <v>210</v>
      </c>
      <c r="D22" s="92">
        <f>L12</f>
        <v>245.00000000000003</v>
      </c>
      <c r="E22" s="92">
        <f>L13</f>
        <v>245.00000000000003</v>
      </c>
      <c r="G22" s="6"/>
      <c r="H22" s="6"/>
      <c r="I22" s="73"/>
      <c r="J22" s="265"/>
      <c r="K22" s="265"/>
      <c r="L22" s="84"/>
      <c r="M22" s="265"/>
      <c r="N22" s="265"/>
      <c r="O22" s="265"/>
      <c r="P22" s="265"/>
      <c r="Q22" s="265"/>
      <c r="R22" s="265"/>
      <c r="S22" s="10"/>
      <c r="U22" s="2" t="s">
        <v>50</v>
      </c>
      <c r="V22" s="2" t="s">
        <v>51</v>
      </c>
      <c r="W22" s="2" t="s">
        <v>42</v>
      </c>
    </row>
    <row r="23" spans="1:23" x14ac:dyDescent="0.3">
      <c r="A23" s="94">
        <v>1.0000100000000001</v>
      </c>
      <c r="B23" s="92">
        <f>M10</f>
        <v>180.25</v>
      </c>
      <c r="C23" s="92">
        <f>M11</f>
        <v>216.29999999999998</v>
      </c>
      <c r="D23" s="92">
        <f>M12</f>
        <v>252.35000000000002</v>
      </c>
      <c r="E23" s="92">
        <f>M13</f>
        <v>252.35000000000002</v>
      </c>
      <c r="G23" s="6"/>
      <c r="H23" s="6"/>
      <c r="I23" s="73"/>
      <c r="J23" s="265"/>
      <c r="K23" s="265"/>
      <c r="L23" s="84"/>
      <c r="M23" s="265"/>
      <c r="N23" s="265"/>
      <c r="O23" s="265"/>
      <c r="P23" s="265"/>
      <c r="Q23" s="265"/>
      <c r="R23" s="265"/>
      <c r="S23" s="10"/>
    </row>
    <row r="24" spans="1:23" x14ac:dyDescent="0.3">
      <c r="A24" s="94">
        <v>1.0300100000000001</v>
      </c>
      <c r="B24" s="93">
        <f>N10</f>
        <v>189</v>
      </c>
      <c r="C24" s="93">
        <f>N11</f>
        <v>226.79999999999998</v>
      </c>
      <c r="D24" s="93">
        <f>N12</f>
        <v>264.60000000000002</v>
      </c>
      <c r="E24" s="93">
        <f>N13</f>
        <v>264.60000000000002</v>
      </c>
      <c r="G24" s="6"/>
      <c r="H24" s="6"/>
      <c r="I24" s="73"/>
      <c r="J24" s="265"/>
      <c r="K24" s="265"/>
      <c r="L24" s="84"/>
      <c r="M24" s="265"/>
      <c r="N24" s="265"/>
      <c r="O24" s="265"/>
      <c r="P24" s="265"/>
      <c r="Q24" s="265"/>
      <c r="R24" s="265"/>
      <c r="S24" s="10"/>
      <c r="U24" s="2" t="s">
        <v>52</v>
      </c>
      <c r="V24" s="2" t="s">
        <v>53</v>
      </c>
      <c r="W24" s="2" t="s">
        <v>54</v>
      </c>
    </row>
    <row r="25" spans="1:23" x14ac:dyDescent="0.3">
      <c r="A25" s="94">
        <f>106.001%</f>
        <v>1.0600100000000001</v>
      </c>
      <c r="B25" s="92">
        <f>O10</f>
        <v>192.5</v>
      </c>
      <c r="C25" s="92">
        <f>O11</f>
        <v>231</v>
      </c>
      <c r="D25" s="92">
        <f>O12</f>
        <v>269.5</v>
      </c>
      <c r="E25" s="92">
        <f>O13</f>
        <v>269.5</v>
      </c>
      <c r="G25" s="6"/>
      <c r="H25" s="6"/>
      <c r="I25" s="73"/>
      <c r="J25" s="265"/>
      <c r="K25" s="265"/>
      <c r="L25" s="84"/>
      <c r="M25" s="265"/>
      <c r="N25" s="265"/>
      <c r="O25" s="265"/>
      <c r="P25" s="265"/>
      <c r="Q25" s="265"/>
      <c r="R25" s="265"/>
      <c r="S25" s="10"/>
    </row>
    <row r="26" spans="1:23" x14ac:dyDescent="0.3">
      <c r="A26" s="94">
        <f>110.001%</f>
        <v>1.1000100000000002</v>
      </c>
      <c r="B26" s="92">
        <f>P10</f>
        <v>201.25</v>
      </c>
      <c r="C26" s="92">
        <f>P11</f>
        <v>241.5</v>
      </c>
      <c r="D26" s="92">
        <f>P12</f>
        <v>281.75</v>
      </c>
      <c r="E26" s="92">
        <f>P13</f>
        <v>281.75</v>
      </c>
      <c r="G26" s="6"/>
      <c r="H26" s="6"/>
      <c r="I26" s="73"/>
      <c r="J26" s="265"/>
      <c r="K26" s="265"/>
      <c r="L26" s="84"/>
      <c r="M26" s="265"/>
      <c r="N26" s="265"/>
      <c r="O26" s="265"/>
      <c r="P26" s="265"/>
      <c r="Q26" s="265"/>
      <c r="R26" s="265"/>
      <c r="S26" s="10"/>
    </row>
    <row r="27" spans="1:23" x14ac:dyDescent="0.3">
      <c r="A27" s="94">
        <f>115.001%</f>
        <v>1.15001</v>
      </c>
      <c r="B27" s="92">
        <f>Q10</f>
        <v>210</v>
      </c>
      <c r="C27" s="92">
        <f>Q11</f>
        <v>252</v>
      </c>
      <c r="D27" s="92">
        <f>Q12</f>
        <v>294</v>
      </c>
      <c r="E27" s="92">
        <f>Q13</f>
        <v>294</v>
      </c>
      <c r="G27" s="6"/>
      <c r="H27" s="6"/>
      <c r="I27" s="73"/>
      <c r="J27" s="265"/>
      <c r="K27" s="265"/>
      <c r="L27" s="84"/>
      <c r="M27" s="265"/>
      <c r="N27" s="265"/>
      <c r="O27" s="265"/>
      <c r="P27" s="265"/>
      <c r="Q27" s="265"/>
      <c r="R27" s="265"/>
      <c r="S27" s="10"/>
    </row>
    <row r="28" spans="1:23" x14ac:dyDescent="0.3">
      <c r="A28" s="94">
        <f>120.001%</f>
        <v>1.20001</v>
      </c>
      <c r="B28" s="92">
        <f>R10</f>
        <v>227.5</v>
      </c>
      <c r="C28" s="92">
        <f>R11</f>
        <v>273</v>
      </c>
      <c r="D28" s="92">
        <f>R12</f>
        <v>318.50000000000006</v>
      </c>
      <c r="E28" s="92">
        <f>R13</f>
        <v>318.50000000000006</v>
      </c>
      <c r="G28" s="6"/>
      <c r="H28" s="6"/>
      <c r="I28" s="73"/>
      <c r="J28" s="265"/>
      <c r="K28" s="265"/>
      <c r="L28" s="84"/>
      <c r="M28" s="265"/>
      <c r="N28" s="265"/>
      <c r="O28" s="265"/>
      <c r="P28" s="265"/>
      <c r="Q28" s="265"/>
      <c r="R28" s="265"/>
      <c r="S28" s="10"/>
    </row>
    <row r="29" spans="1:23" ht="15" thickBot="1" x14ac:dyDescent="0.35">
      <c r="G29" s="6"/>
      <c r="H29" s="33"/>
      <c r="I29" s="83"/>
      <c r="J29" s="266"/>
      <c r="K29" s="266"/>
      <c r="L29" s="85"/>
      <c r="M29" s="266"/>
      <c r="N29" s="266"/>
      <c r="O29" s="266"/>
      <c r="P29" s="266"/>
      <c r="Q29" s="266"/>
      <c r="R29" s="266"/>
      <c r="S29" s="10"/>
    </row>
    <row r="30" spans="1:23" x14ac:dyDescent="0.3">
      <c r="A30" s="43"/>
      <c r="B30" s="44"/>
      <c r="C30" s="44"/>
      <c r="D30" s="44"/>
      <c r="E30" s="44"/>
      <c r="G30" s="6"/>
      <c r="H30" s="45">
        <f>SUM(H6:H29)</f>
        <v>1.0000000000000002</v>
      </c>
      <c r="S30" s="10"/>
    </row>
    <row r="31" spans="1:23" ht="15" thickBot="1" x14ac:dyDescent="0.35">
      <c r="B31" s="46"/>
      <c r="C31" s="46"/>
      <c r="D31" s="46"/>
      <c r="E31" s="46"/>
      <c r="G31" s="33"/>
      <c r="H31" s="47"/>
      <c r="I31" s="47" t="s">
        <v>55</v>
      </c>
      <c r="J31" s="48">
        <f t="shared" ref="J31:R31" si="11">SUM(J6:J29)</f>
        <v>3150</v>
      </c>
      <c r="K31" s="48">
        <f t="shared" si="11"/>
        <v>3325</v>
      </c>
      <c r="L31" s="48">
        <f t="shared" si="11"/>
        <v>3500</v>
      </c>
      <c r="M31" s="48">
        <f t="shared" si="11"/>
        <v>3605</v>
      </c>
      <c r="N31" s="48">
        <f t="shared" si="11"/>
        <v>3780</v>
      </c>
      <c r="O31" s="48">
        <f t="shared" si="11"/>
        <v>3850</v>
      </c>
      <c r="P31" s="48">
        <f t="shared" si="11"/>
        <v>4025</v>
      </c>
      <c r="Q31" s="48">
        <f t="shared" si="11"/>
        <v>4200</v>
      </c>
      <c r="R31" s="48">
        <f t="shared" si="11"/>
        <v>4550</v>
      </c>
      <c r="S31" s="49"/>
    </row>
    <row r="32" spans="1:23" ht="15" thickBot="1" x14ac:dyDescent="0.35">
      <c r="B32" s="46"/>
      <c r="C32" s="46"/>
      <c r="D32" s="46"/>
      <c r="E32" s="46"/>
    </row>
    <row r="33" spans="2:23" ht="15" thickBot="1" x14ac:dyDescent="0.35">
      <c r="B33" s="46"/>
      <c r="C33" s="46"/>
      <c r="D33" s="46"/>
      <c r="E33" s="46"/>
      <c r="G33" s="50" t="s">
        <v>56</v>
      </c>
      <c r="H33" s="51" t="s">
        <v>57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2"/>
    </row>
    <row r="34" spans="2:23" x14ac:dyDescent="0.3">
      <c r="B34" s="46"/>
      <c r="C34" s="46"/>
      <c r="D34" s="46"/>
      <c r="E34" s="46"/>
    </row>
    <row r="35" spans="2:23" x14ac:dyDescent="0.3">
      <c r="H35" s="53" t="s">
        <v>43</v>
      </c>
      <c r="I35" s="53"/>
      <c r="J35" s="54"/>
      <c r="K35" s="53"/>
      <c r="L35" s="53"/>
      <c r="M35" s="53"/>
      <c r="N35" s="53"/>
      <c r="O35" s="54">
        <f>O6</f>
        <v>308</v>
      </c>
      <c r="P35" s="53"/>
      <c r="Q35" s="53"/>
      <c r="R35" s="53"/>
      <c r="S35" s="53"/>
    </row>
    <row r="36" spans="2:23" x14ac:dyDescent="0.3">
      <c r="H36" s="53" t="s">
        <v>44</v>
      </c>
      <c r="I36" s="53"/>
      <c r="J36" s="54">
        <f>J10</f>
        <v>157.5</v>
      </c>
      <c r="K36" s="53"/>
      <c r="L36" s="53"/>
      <c r="M36" s="53"/>
      <c r="N36" s="53"/>
      <c r="O36" s="53"/>
      <c r="P36" s="53"/>
      <c r="Q36" s="53"/>
      <c r="R36" s="53"/>
      <c r="S36" s="53"/>
      <c r="W36" s="53"/>
    </row>
    <row r="37" spans="2:23" x14ac:dyDescent="0.3">
      <c r="H37" s="53" t="s">
        <v>45</v>
      </c>
      <c r="I37" s="53"/>
      <c r="J37" s="53"/>
      <c r="K37" s="53"/>
      <c r="L37" s="53"/>
      <c r="M37" s="54">
        <f>M16</f>
        <v>468.65000000000003</v>
      </c>
      <c r="N37" s="53"/>
      <c r="O37" s="53"/>
      <c r="P37" s="53"/>
      <c r="Q37" s="53"/>
      <c r="R37" s="53"/>
      <c r="S37" s="53"/>
    </row>
    <row r="38" spans="2:23" ht="15" thickBot="1" x14ac:dyDescent="0.35">
      <c r="H38" s="55" t="s">
        <v>58</v>
      </c>
      <c r="I38" s="55"/>
      <c r="J38" s="53"/>
      <c r="K38" s="53"/>
      <c r="L38" s="53"/>
      <c r="M38" s="54">
        <f>M19</f>
        <v>180.25</v>
      </c>
      <c r="N38" s="53"/>
      <c r="O38" s="53"/>
      <c r="P38" s="53"/>
      <c r="Q38" s="53"/>
      <c r="R38" s="53"/>
      <c r="S38" s="53"/>
    </row>
    <row r="39" spans="2:23" ht="15" thickBot="1" x14ac:dyDescent="0.35">
      <c r="H39" s="56" t="s">
        <v>55</v>
      </c>
      <c r="I39" s="57">
        <f>SUM(I35:R38)</f>
        <v>1114.4000000000001</v>
      </c>
    </row>
    <row r="41" spans="2:23" ht="23.25" hidden="1" customHeight="1" x14ac:dyDescent="0.3">
      <c r="H41" s="2" t="s">
        <v>59</v>
      </c>
      <c r="I41" s="42" t="s">
        <v>60</v>
      </c>
      <c r="J41" s="58" t="s">
        <v>61</v>
      </c>
      <c r="K41" s="58" t="s">
        <v>62</v>
      </c>
      <c r="L41" s="58" t="s">
        <v>63</v>
      </c>
      <c r="M41" s="58" t="s">
        <v>64</v>
      </c>
      <c r="N41" s="58" t="s">
        <v>65</v>
      </c>
      <c r="O41" s="58" t="s">
        <v>66</v>
      </c>
      <c r="P41" s="58" t="s">
        <v>67</v>
      </c>
      <c r="Q41" s="58" t="s">
        <v>68</v>
      </c>
      <c r="R41" s="58" t="s">
        <v>69</v>
      </c>
    </row>
    <row r="42" spans="2:23" ht="21.6" hidden="1" customHeight="1" x14ac:dyDescent="0.3">
      <c r="I42" s="42">
        <v>0</v>
      </c>
      <c r="J42" s="59">
        <v>1200</v>
      </c>
      <c r="K42" s="59">
        <v>1350</v>
      </c>
      <c r="L42" s="59">
        <f>1425</f>
        <v>1425</v>
      </c>
      <c r="M42" s="59">
        <v>1500</v>
      </c>
      <c r="N42" s="59">
        <v>1575</v>
      </c>
      <c r="O42" s="59">
        <v>1725</v>
      </c>
      <c r="P42" s="59">
        <v>1875</v>
      </c>
      <c r="Q42" s="59">
        <v>1950</v>
      </c>
      <c r="R42" s="59">
        <v>2100</v>
      </c>
      <c r="S42" s="46"/>
    </row>
    <row r="43" spans="2:23" ht="18.149999999999999" customHeight="1" x14ac:dyDescent="0.3">
      <c r="H43" s="2" t="s">
        <v>9</v>
      </c>
      <c r="J43" s="60">
        <v>-0.2</v>
      </c>
      <c r="K43" s="45">
        <v>-0.1</v>
      </c>
      <c r="L43" s="45">
        <v>-0.05</v>
      </c>
      <c r="M43" s="61"/>
      <c r="N43" s="45">
        <v>0.05</v>
      </c>
      <c r="O43" s="45">
        <v>0.15</v>
      </c>
      <c r="P43" s="62">
        <v>0.25</v>
      </c>
      <c r="Q43" s="62">
        <v>0.3</v>
      </c>
      <c r="R43" s="63">
        <v>0.4</v>
      </c>
    </row>
    <row r="44" spans="2:23" ht="15.6" x14ac:dyDescent="0.3">
      <c r="H44" s="2" t="s">
        <v>70</v>
      </c>
      <c r="I44" s="64" t="s">
        <v>60</v>
      </c>
      <c r="J44" s="65" t="s">
        <v>61</v>
      </c>
      <c r="K44" s="58" t="s">
        <v>62</v>
      </c>
      <c r="L44" s="58" t="s">
        <v>63</v>
      </c>
      <c r="M44" s="66">
        <v>1</v>
      </c>
      <c r="N44" s="58" t="s">
        <v>71</v>
      </c>
      <c r="O44" s="58" t="s">
        <v>72</v>
      </c>
      <c r="P44" s="58" t="s">
        <v>73</v>
      </c>
      <c r="Q44" s="58" t="s">
        <v>74</v>
      </c>
      <c r="R44" s="65" t="s">
        <v>75</v>
      </c>
      <c r="S44" s="67"/>
    </row>
    <row r="45" spans="2:23" ht="15.6" x14ac:dyDescent="0.3">
      <c r="H45" s="2" t="s">
        <v>43</v>
      </c>
      <c r="I45" s="68">
        <f>J6</f>
        <v>252</v>
      </c>
      <c r="J45" s="68">
        <f t="shared" ref="J45:R45" si="12">J6</f>
        <v>252</v>
      </c>
      <c r="K45" s="59">
        <f t="shared" si="12"/>
        <v>266</v>
      </c>
      <c r="L45" s="59">
        <f t="shared" si="12"/>
        <v>280</v>
      </c>
      <c r="M45" s="69">
        <f t="shared" si="12"/>
        <v>288.40000000000003</v>
      </c>
      <c r="N45" s="59">
        <f t="shared" si="12"/>
        <v>302.40000000000003</v>
      </c>
      <c r="O45" s="59">
        <f t="shared" si="12"/>
        <v>308</v>
      </c>
      <c r="P45" s="59">
        <f t="shared" si="12"/>
        <v>322</v>
      </c>
      <c r="Q45" s="59">
        <f t="shared" si="12"/>
        <v>336</v>
      </c>
      <c r="R45" s="68">
        <f t="shared" si="12"/>
        <v>364</v>
      </c>
      <c r="S45" s="70"/>
    </row>
    <row r="46" spans="2:23" ht="15.6" x14ac:dyDescent="0.3">
      <c r="H46" s="2" t="s">
        <v>44</v>
      </c>
      <c r="I46" s="68">
        <f>J10</f>
        <v>157.5</v>
      </c>
      <c r="J46" s="68">
        <f t="shared" ref="J46:R46" si="13">J10</f>
        <v>157.5</v>
      </c>
      <c r="K46" s="59">
        <f t="shared" si="13"/>
        <v>166.25</v>
      </c>
      <c r="L46" s="59">
        <f t="shared" si="13"/>
        <v>175</v>
      </c>
      <c r="M46" s="69">
        <f t="shared" si="13"/>
        <v>180.25</v>
      </c>
      <c r="N46" s="59">
        <f t="shared" si="13"/>
        <v>189</v>
      </c>
      <c r="O46" s="59">
        <f t="shared" si="13"/>
        <v>192.5</v>
      </c>
      <c r="P46" s="59">
        <f t="shared" si="13"/>
        <v>201.25</v>
      </c>
      <c r="Q46" s="59">
        <f t="shared" si="13"/>
        <v>210</v>
      </c>
      <c r="R46" s="68">
        <f t="shared" si="13"/>
        <v>227.5</v>
      </c>
    </row>
    <row r="47" spans="2:23" ht="15.6" x14ac:dyDescent="0.3">
      <c r="H47" s="2" t="s">
        <v>45</v>
      </c>
      <c r="I47" s="68">
        <f>J16</f>
        <v>409.5</v>
      </c>
      <c r="J47" s="68">
        <f>J16</f>
        <v>409.5</v>
      </c>
      <c r="K47" s="59">
        <f>K16</f>
        <v>432.25</v>
      </c>
      <c r="L47" s="59">
        <f t="shared" ref="L47:R47" si="14">L16</f>
        <v>455</v>
      </c>
      <c r="M47" s="69">
        <f t="shared" si="14"/>
        <v>468.65000000000003</v>
      </c>
      <c r="N47" s="59">
        <f t="shared" si="14"/>
        <v>491.40000000000003</v>
      </c>
      <c r="O47" s="59">
        <f t="shared" si="14"/>
        <v>500.5</v>
      </c>
      <c r="P47" s="59">
        <f t="shared" si="14"/>
        <v>523.25</v>
      </c>
      <c r="Q47" s="59">
        <f t="shared" si="14"/>
        <v>546</v>
      </c>
      <c r="R47" s="68">
        <f t="shared" si="14"/>
        <v>591.5</v>
      </c>
    </row>
    <row r="48" spans="2:23" ht="15.6" x14ac:dyDescent="0.3">
      <c r="H48" s="2" t="s">
        <v>46</v>
      </c>
      <c r="I48" s="68">
        <f>J19</f>
        <v>157.5</v>
      </c>
      <c r="J48" s="68">
        <f>J19</f>
        <v>157.5</v>
      </c>
      <c r="K48" s="59">
        <f>K19</f>
        <v>166.25</v>
      </c>
      <c r="L48" s="59">
        <f t="shared" ref="L48:R48" si="15">L19</f>
        <v>175</v>
      </c>
      <c r="M48" s="69">
        <f t="shared" si="15"/>
        <v>180.25</v>
      </c>
      <c r="N48" s="59">
        <f t="shared" si="15"/>
        <v>189</v>
      </c>
      <c r="O48" s="59">
        <f t="shared" si="15"/>
        <v>192.5</v>
      </c>
      <c r="P48" s="59">
        <f t="shared" si="15"/>
        <v>201.25</v>
      </c>
      <c r="Q48" s="59">
        <f t="shared" si="15"/>
        <v>210</v>
      </c>
      <c r="R48" s="68">
        <f t="shared" si="15"/>
        <v>227.5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C0FD-BC37-4119-9DFC-F2797ACB7B7A}">
  <dimension ref="A1:A12"/>
  <sheetViews>
    <sheetView workbookViewId="0"/>
  </sheetViews>
  <sheetFormatPr defaultRowHeight="16.8" x14ac:dyDescent="0.4"/>
  <sheetData>
    <row r="1" spans="1:1" x14ac:dyDescent="0.4">
      <c r="A1" s="236" t="s">
        <v>127</v>
      </c>
    </row>
    <row r="2" spans="1:1" x14ac:dyDescent="0.4">
      <c r="A2" s="117" t="s">
        <v>0</v>
      </c>
    </row>
    <row r="3" spans="1:1" x14ac:dyDescent="0.4">
      <c r="A3" s="117" t="s">
        <v>22</v>
      </c>
    </row>
    <row r="4" spans="1:1" x14ac:dyDescent="0.4">
      <c r="A4" s="117" t="s">
        <v>125</v>
      </c>
    </row>
    <row r="5" spans="1:1" x14ac:dyDescent="0.4">
      <c r="A5" s="117" t="s">
        <v>39</v>
      </c>
    </row>
    <row r="6" spans="1:1" x14ac:dyDescent="0.4">
      <c r="A6" s="117" t="s">
        <v>226</v>
      </c>
    </row>
    <row r="7" spans="1:1" x14ac:dyDescent="0.4">
      <c r="A7" s="117" t="s">
        <v>30</v>
      </c>
    </row>
    <row r="8" spans="1:1" x14ac:dyDescent="0.4">
      <c r="A8" s="117" t="s">
        <v>38</v>
      </c>
    </row>
    <row r="9" spans="1:1" x14ac:dyDescent="0.4">
      <c r="A9" s="117" t="s">
        <v>36</v>
      </c>
    </row>
    <row r="10" spans="1:1" x14ac:dyDescent="0.4">
      <c r="A10" s="117" t="s">
        <v>37</v>
      </c>
    </row>
    <row r="11" spans="1:1" x14ac:dyDescent="0.4">
      <c r="A11" s="117" t="s">
        <v>33</v>
      </c>
    </row>
    <row r="12" spans="1:1" x14ac:dyDescent="0.4">
      <c r="A12" s="117" t="s">
        <v>227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18CB-F825-47FB-BA32-A8DCCB7192A5}">
  <sheetPr>
    <tabColor rgb="FF00B050"/>
  </sheetPr>
  <dimension ref="A1:P108"/>
  <sheetViews>
    <sheetView showGridLines="0" zoomScale="110" zoomScaleNormal="110" workbookViewId="0">
      <selection activeCell="O96" sqref="O96"/>
    </sheetView>
  </sheetViews>
  <sheetFormatPr defaultColWidth="8.59765625" defaultRowHeight="10.8" x14ac:dyDescent="0.25"/>
  <cols>
    <col min="1" max="2" width="8.59765625" style="139"/>
    <col min="3" max="3" width="10.3984375" style="139" bestFit="1" customWidth="1"/>
    <col min="4" max="4" width="12.09765625" style="139" customWidth="1"/>
    <col min="5" max="13" width="10.3984375" style="139" bestFit="1" customWidth="1"/>
    <col min="14" max="16384" width="8.59765625" style="139"/>
  </cols>
  <sheetData>
    <row r="1" spans="1:16" ht="11.4" thickBot="1" x14ac:dyDescent="0.3">
      <c r="E1" s="169">
        <v>0</v>
      </c>
      <c r="F1" s="169">
        <f>E4+0.0001</f>
        <v>0.90010000000000001</v>
      </c>
      <c r="G1" s="169">
        <f t="shared" ref="G1:N1" si="0">F4+0.0001</f>
        <v>0.95009999999999994</v>
      </c>
      <c r="H1" s="169">
        <f t="shared" si="0"/>
        <v>1.0001</v>
      </c>
      <c r="I1" s="169">
        <f t="shared" si="0"/>
        <v>1.0301</v>
      </c>
      <c r="J1" s="169">
        <f t="shared" si="0"/>
        <v>1.0601</v>
      </c>
      <c r="K1" s="169">
        <f t="shared" si="0"/>
        <v>1.1001000000000001</v>
      </c>
      <c r="L1" s="169">
        <f t="shared" si="0"/>
        <v>1.1500999999999999</v>
      </c>
      <c r="M1" s="169">
        <f t="shared" si="0"/>
        <v>1.2000999999999999</v>
      </c>
      <c r="N1" s="169">
        <f t="shared" si="0"/>
        <v>1.3001</v>
      </c>
      <c r="O1" s="170"/>
      <c r="P1" s="170"/>
    </row>
    <row r="2" spans="1:16" ht="11.4" thickBot="1" x14ac:dyDescent="0.3">
      <c r="A2" s="138" t="s">
        <v>178</v>
      </c>
      <c r="B2" s="156"/>
      <c r="C2" s="157" t="b">
        <f>C4=SUM(G6:G20)</f>
        <v>1</v>
      </c>
      <c r="D2" s="141"/>
      <c r="E2" s="267">
        <f>'Top WS'!J2</f>
        <v>3600</v>
      </c>
      <c r="F2" s="267">
        <f>'Top WS'!K2</f>
        <v>3800</v>
      </c>
      <c r="G2" s="142">
        <f>'Top WS'!L2</f>
        <v>4000</v>
      </c>
      <c r="H2" s="142">
        <f>'Top WS'!M2</f>
        <v>4120</v>
      </c>
      <c r="I2" s="142">
        <f>'Top WS'!N2</f>
        <v>4320</v>
      </c>
      <c r="J2" s="142">
        <f>'Top WS'!O2</f>
        <v>4400</v>
      </c>
      <c r="K2" s="142">
        <f>'Top WS'!P2</f>
        <v>4600</v>
      </c>
      <c r="L2" s="142">
        <f>'Top WS'!Q2</f>
        <v>4800</v>
      </c>
      <c r="M2" s="143">
        <f>'Top WS'!R2</f>
        <v>5200</v>
      </c>
    </row>
    <row r="3" spans="1:16" x14ac:dyDescent="0.25">
      <c r="B3" s="144"/>
      <c r="C3" s="145"/>
      <c r="D3" s="146" t="s">
        <v>9</v>
      </c>
      <c r="E3" s="147">
        <v>-0.1</v>
      </c>
      <c r="F3" s="147">
        <v>-0.05</v>
      </c>
      <c r="G3" s="147">
        <v>0</v>
      </c>
      <c r="H3" s="148">
        <v>0.03</v>
      </c>
      <c r="I3" s="148">
        <v>0.08</v>
      </c>
      <c r="J3" s="147">
        <v>0.1</v>
      </c>
      <c r="K3" s="149">
        <v>0.15</v>
      </c>
      <c r="L3" s="149">
        <v>0.2</v>
      </c>
      <c r="M3" s="150">
        <v>0.3</v>
      </c>
    </row>
    <row r="4" spans="1:16" ht="11.4" thickBot="1" x14ac:dyDescent="0.3">
      <c r="B4" s="151" t="s">
        <v>14</v>
      </c>
      <c r="C4" s="158">
        <f>'Top WS'!H4</f>
        <v>4000</v>
      </c>
      <c r="D4" s="153" t="s">
        <v>15</v>
      </c>
      <c r="E4" s="154">
        <v>0.9</v>
      </c>
      <c r="F4" s="154">
        <v>0.95</v>
      </c>
      <c r="G4" s="154">
        <v>1</v>
      </c>
      <c r="H4" s="154">
        <v>1.03</v>
      </c>
      <c r="I4" s="154">
        <v>1.06</v>
      </c>
      <c r="J4" s="154">
        <v>1.1000000000000001</v>
      </c>
      <c r="K4" s="154">
        <v>1.1499999999999999</v>
      </c>
      <c r="L4" s="154">
        <v>1.2</v>
      </c>
      <c r="M4" s="155">
        <v>1.3</v>
      </c>
    </row>
    <row r="5" spans="1:16" ht="11.4" thickBot="1" x14ac:dyDescent="0.3">
      <c r="B5" s="140"/>
      <c r="C5" s="131"/>
      <c r="D5" s="154"/>
      <c r="E5" s="168">
        <v>2</v>
      </c>
      <c r="F5" s="168">
        <v>3</v>
      </c>
      <c r="G5" s="168">
        <v>4</v>
      </c>
      <c r="H5" s="168">
        <v>5</v>
      </c>
      <c r="I5" s="168">
        <v>6</v>
      </c>
      <c r="J5" s="168">
        <v>7</v>
      </c>
      <c r="K5" s="168">
        <v>8</v>
      </c>
      <c r="L5" s="168">
        <v>9</v>
      </c>
      <c r="M5" s="168">
        <v>10</v>
      </c>
      <c r="N5" s="169"/>
      <c r="O5" s="170"/>
    </row>
    <row r="6" spans="1:16" x14ac:dyDescent="0.25">
      <c r="B6" s="159" t="s">
        <v>76</v>
      </c>
      <c r="C6" s="124">
        <f>'Top WS'!H6</f>
        <v>0.05</v>
      </c>
      <c r="D6" s="125" t="str">
        <f>'Top WS'!I6</f>
        <v>A</v>
      </c>
      <c r="E6" s="126">
        <f>'Top WS'!J6</f>
        <v>180</v>
      </c>
      <c r="F6" s="126">
        <f>'Top WS'!K6</f>
        <v>190</v>
      </c>
      <c r="G6" s="273">
        <f>'Top WS'!L6</f>
        <v>200</v>
      </c>
      <c r="H6" s="268">
        <f>'Top WS'!M6</f>
        <v>206</v>
      </c>
      <c r="I6" s="269">
        <f>'Top WS'!N6</f>
        <v>216</v>
      </c>
      <c r="J6" s="269">
        <f>'Top WS'!O6</f>
        <v>220</v>
      </c>
      <c r="K6" s="269">
        <f>'Top WS'!P6</f>
        <v>230</v>
      </c>
      <c r="L6" s="269">
        <f>'Top WS'!Q6</f>
        <v>240</v>
      </c>
      <c r="M6" s="269">
        <f>'Top WS'!R6</f>
        <v>260</v>
      </c>
    </row>
    <row r="7" spans="1:16" x14ac:dyDescent="0.25">
      <c r="B7" s="159"/>
      <c r="C7" s="127">
        <f>'Top WS'!H7</f>
        <v>0.1</v>
      </c>
      <c r="D7" s="128" t="str">
        <f>'Top WS'!I7</f>
        <v>R</v>
      </c>
      <c r="E7" s="129">
        <f>'Top WS'!J7</f>
        <v>360</v>
      </c>
      <c r="F7" s="129">
        <f>'Top WS'!K7</f>
        <v>380</v>
      </c>
      <c r="G7" s="274">
        <f>'Top WS'!L7</f>
        <v>400</v>
      </c>
      <c r="H7" s="270">
        <f>'Top WS'!M7</f>
        <v>412</v>
      </c>
      <c r="I7" s="132">
        <f>'Top WS'!N7</f>
        <v>432</v>
      </c>
      <c r="J7" s="132">
        <f>'Top WS'!O7</f>
        <v>440</v>
      </c>
      <c r="K7" s="132">
        <f>'Top WS'!P7</f>
        <v>460</v>
      </c>
      <c r="L7" s="132">
        <f>'Top WS'!Q7</f>
        <v>480</v>
      </c>
      <c r="M7" s="132">
        <f>'Top WS'!R7</f>
        <v>520</v>
      </c>
    </row>
    <row r="8" spans="1:16" ht="11.4" thickBot="1" x14ac:dyDescent="0.3">
      <c r="B8" s="159"/>
      <c r="C8" s="130">
        <f>'Top WS'!H8</f>
        <v>0.2</v>
      </c>
      <c r="D8" s="128" t="str">
        <f>'Top WS'!I8</f>
        <v>B</v>
      </c>
      <c r="E8" s="129">
        <f>'Top WS'!J8</f>
        <v>720</v>
      </c>
      <c r="F8" s="129">
        <f>'Top WS'!K8</f>
        <v>760</v>
      </c>
      <c r="G8" s="274">
        <f>'Top WS'!L8</f>
        <v>800</v>
      </c>
      <c r="H8" s="270">
        <f>'Top WS'!M8</f>
        <v>824</v>
      </c>
      <c r="I8" s="132">
        <f>'Top WS'!N8</f>
        <v>864</v>
      </c>
      <c r="J8" s="132">
        <f>'Top WS'!O8</f>
        <v>880</v>
      </c>
      <c r="K8" s="132">
        <f>'Top WS'!P8</f>
        <v>920</v>
      </c>
      <c r="L8" s="132">
        <f>'Top WS'!Q8</f>
        <v>960</v>
      </c>
      <c r="M8" s="132">
        <f>'Top WS'!R8</f>
        <v>1040</v>
      </c>
    </row>
    <row r="9" spans="1:16" ht="11.4" thickBot="1" x14ac:dyDescent="0.3">
      <c r="B9" s="140"/>
      <c r="C9" s="131"/>
      <c r="D9" s="131"/>
      <c r="E9" s="132"/>
      <c r="F9" s="132"/>
      <c r="G9" s="274"/>
      <c r="H9" s="270"/>
      <c r="I9" s="132"/>
      <c r="J9" s="132"/>
      <c r="K9" s="132"/>
      <c r="L9" s="132"/>
      <c r="M9" s="132"/>
    </row>
    <row r="10" spans="1:16" x14ac:dyDescent="0.25">
      <c r="B10" s="159" t="s">
        <v>77</v>
      </c>
      <c r="C10" s="133">
        <f>'Top WS'!H10</f>
        <v>0.05</v>
      </c>
      <c r="D10" s="125" t="str">
        <f>'Top WS'!I10</f>
        <v>AP</v>
      </c>
      <c r="E10" s="129">
        <f>'Top WS'!J10</f>
        <v>180</v>
      </c>
      <c r="F10" s="129">
        <f>'Top WS'!K10</f>
        <v>190</v>
      </c>
      <c r="G10" s="274">
        <f>'Top WS'!L10</f>
        <v>200</v>
      </c>
      <c r="H10" s="270">
        <f>'Top WS'!M10</f>
        <v>206</v>
      </c>
      <c r="I10" s="132">
        <f>'Top WS'!N10</f>
        <v>216</v>
      </c>
      <c r="J10" s="132">
        <f>'Top WS'!O10</f>
        <v>220</v>
      </c>
      <c r="K10" s="132">
        <f>'Top WS'!P10</f>
        <v>230</v>
      </c>
      <c r="L10" s="132">
        <f>'Top WS'!Q10</f>
        <v>240</v>
      </c>
      <c r="M10" s="132">
        <f>'Top WS'!R10</f>
        <v>260</v>
      </c>
    </row>
    <row r="11" spans="1:16" x14ac:dyDescent="0.25">
      <c r="B11" s="159"/>
      <c r="C11" s="134">
        <f>'Top WS'!H11</f>
        <v>0.1</v>
      </c>
      <c r="D11" s="128" t="str">
        <f>'Top WS'!I11</f>
        <v>Q</v>
      </c>
      <c r="E11" s="129">
        <f>'Top WS'!J11</f>
        <v>360</v>
      </c>
      <c r="F11" s="129">
        <f>'Top WS'!K11</f>
        <v>380</v>
      </c>
      <c r="G11" s="274">
        <f>'Top WS'!L11</f>
        <v>400</v>
      </c>
      <c r="H11" s="270">
        <f>'Top WS'!M11</f>
        <v>412</v>
      </c>
      <c r="I11" s="132">
        <f>'Top WS'!N11</f>
        <v>432</v>
      </c>
      <c r="J11" s="132">
        <f>'Top WS'!O11</f>
        <v>440</v>
      </c>
      <c r="K11" s="132">
        <f>'Top WS'!P11</f>
        <v>460</v>
      </c>
      <c r="L11" s="132">
        <f>'Top WS'!Q11</f>
        <v>480</v>
      </c>
      <c r="M11" s="132">
        <f>'Top WS'!R11</f>
        <v>520</v>
      </c>
    </row>
    <row r="12" spans="1:16" x14ac:dyDescent="0.25">
      <c r="B12" s="159"/>
      <c r="C12" s="134">
        <f>'Top WS'!H12</f>
        <v>0.05</v>
      </c>
      <c r="D12" s="128" t="str">
        <f>'Top WS'!I12</f>
        <v>M</v>
      </c>
      <c r="E12" s="129">
        <f>'Top WS'!J12</f>
        <v>180</v>
      </c>
      <c r="F12" s="129">
        <f>'Top WS'!K12</f>
        <v>190</v>
      </c>
      <c r="G12" s="274">
        <f>'Top WS'!L12</f>
        <v>200</v>
      </c>
      <c r="H12" s="270">
        <f>'Top WS'!M12</f>
        <v>206</v>
      </c>
      <c r="I12" s="132">
        <f>'Top WS'!N12</f>
        <v>216</v>
      </c>
      <c r="J12" s="132">
        <f>'Top WS'!O12</f>
        <v>220</v>
      </c>
      <c r="K12" s="132">
        <f>'Top WS'!P12</f>
        <v>230</v>
      </c>
      <c r="L12" s="132">
        <f>'Top WS'!Q12</f>
        <v>240</v>
      </c>
      <c r="M12" s="132">
        <f>'Top WS'!R12</f>
        <v>260</v>
      </c>
    </row>
    <row r="13" spans="1:16" x14ac:dyDescent="0.25">
      <c r="B13" s="159"/>
      <c r="C13" s="134">
        <f>'Top WS'!H13</f>
        <v>0.1</v>
      </c>
      <c r="D13" s="128" t="str">
        <f>'Top WS'!I13</f>
        <v>NS</v>
      </c>
      <c r="E13" s="129">
        <f>'Top WS'!J13</f>
        <v>360</v>
      </c>
      <c r="F13" s="129">
        <f>'Top WS'!K13</f>
        <v>380</v>
      </c>
      <c r="G13" s="274">
        <f>'Top WS'!L13</f>
        <v>400</v>
      </c>
      <c r="H13" s="270">
        <f>'Top WS'!M13</f>
        <v>412</v>
      </c>
      <c r="I13" s="132">
        <f>'Top WS'!N13</f>
        <v>432</v>
      </c>
      <c r="J13" s="132">
        <f>'Top WS'!O13</f>
        <v>440</v>
      </c>
      <c r="K13" s="132">
        <f>'Top WS'!P13</f>
        <v>460</v>
      </c>
      <c r="L13" s="132">
        <f>'Top WS'!Q13</f>
        <v>480</v>
      </c>
      <c r="M13" s="132">
        <f>'Top WS'!R13</f>
        <v>520</v>
      </c>
    </row>
    <row r="14" spans="1:16" ht="11.4" thickBot="1" x14ac:dyDescent="0.3">
      <c r="B14" s="140"/>
      <c r="C14" s="135"/>
      <c r="D14" s="136"/>
      <c r="E14" s="129"/>
      <c r="F14" s="129"/>
      <c r="G14" s="274"/>
      <c r="H14" s="270"/>
      <c r="I14" s="132"/>
      <c r="J14" s="132"/>
      <c r="K14" s="132"/>
      <c r="L14" s="132"/>
      <c r="M14" s="132"/>
    </row>
    <row r="15" spans="1:16" ht="11.4" thickBot="1" x14ac:dyDescent="0.3">
      <c r="B15" s="140"/>
      <c r="C15" s="131"/>
      <c r="D15" s="131"/>
      <c r="E15" s="132"/>
      <c r="F15" s="132"/>
      <c r="G15" s="274"/>
      <c r="H15" s="270"/>
      <c r="I15" s="132"/>
      <c r="J15" s="132"/>
      <c r="K15" s="132"/>
      <c r="L15" s="132"/>
      <c r="M15" s="132"/>
    </row>
    <row r="16" spans="1:16" x14ac:dyDescent="0.25">
      <c r="B16" s="159" t="s">
        <v>78</v>
      </c>
      <c r="C16" s="133">
        <f>'Top WS'!H16</f>
        <v>0.15</v>
      </c>
      <c r="D16" s="125" t="str">
        <f>'Top WS'!I16</f>
        <v>Y</v>
      </c>
      <c r="E16" s="129">
        <f>'Top WS'!J16</f>
        <v>540</v>
      </c>
      <c r="F16" s="129">
        <f>'Top WS'!K16</f>
        <v>570</v>
      </c>
      <c r="G16" s="274">
        <f>'Top WS'!L16</f>
        <v>600</v>
      </c>
      <c r="H16" s="270">
        <f>'Top WS'!M16</f>
        <v>618</v>
      </c>
      <c r="I16" s="132">
        <f>'Top WS'!N16</f>
        <v>648</v>
      </c>
      <c r="J16" s="132">
        <f>'Top WS'!O16</f>
        <v>660</v>
      </c>
      <c r="K16" s="132">
        <f>'Top WS'!P16</f>
        <v>690</v>
      </c>
      <c r="L16" s="132">
        <f>'Top WS'!Q16</f>
        <v>720</v>
      </c>
      <c r="M16" s="132">
        <f>'Top WS'!R16</f>
        <v>780</v>
      </c>
    </row>
    <row r="17" spans="1:13" ht="11.4" thickBot="1" x14ac:dyDescent="0.3">
      <c r="B17" s="159"/>
      <c r="C17" s="137">
        <f>'Top WS'!H17</f>
        <v>0.1</v>
      </c>
      <c r="D17" s="136" t="str">
        <f>'Top WS'!I17</f>
        <v>P</v>
      </c>
      <c r="E17" s="129">
        <f>'Top WS'!J17</f>
        <v>360</v>
      </c>
      <c r="F17" s="129">
        <f>'Top WS'!K17</f>
        <v>380</v>
      </c>
      <c r="G17" s="274">
        <f>'Top WS'!L17</f>
        <v>400</v>
      </c>
      <c r="H17" s="270">
        <f>'Top WS'!M17</f>
        <v>412</v>
      </c>
      <c r="I17" s="132">
        <f>'Top WS'!N17</f>
        <v>432</v>
      </c>
      <c r="J17" s="132">
        <f>'Top WS'!O17</f>
        <v>440</v>
      </c>
      <c r="K17" s="132">
        <f>'Top WS'!P17</f>
        <v>460</v>
      </c>
      <c r="L17" s="132">
        <f>'Top WS'!Q17</f>
        <v>480</v>
      </c>
      <c r="M17" s="132">
        <f>'Top WS'!R17</f>
        <v>520</v>
      </c>
    </row>
    <row r="18" spans="1:13" ht="11.4" thickBot="1" x14ac:dyDescent="0.3">
      <c r="B18" s="140"/>
      <c r="C18" s="131"/>
      <c r="D18" s="131"/>
      <c r="E18" s="132"/>
      <c r="F18" s="132"/>
      <c r="G18" s="274"/>
      <c r="H18" s="270"/>
      <c r="I18" s="132"/>
      <c r="J18" s="132"/>
      <c r="K18" s="132"/>
      <c r="L18" s="132"/>
      <c r="M18" s="132"/>
    </row>
    <row r="19" spans="1:13" x14ac:dyDescent="0.25">
      <c r="B19" s="159" t="s">
        <v>47</v>
      </c>
      <c r="C19" s="133">
        <f>'Top WS'!H19</f>
        <v>0.05</v>
      </c>
      <c r="D19" s="125" t="str">
        <f>'Top WS'!I19</f>
        <v>T</v>
      </c>
      <c r="E19" s="129">
        <f>'Top WS'!J19</f>
        <v>180</v>
      </c>
      <c r="F19" s="129">
        <f>'Top WS'!K19</f>
        <v>190</v>
      </c>
      <c r="G19" s="274">
        <f>'Top WS'!L19</f>
        <v>200</v>
      </c>
      <c r="H19" s="270">
        <f>'Top WS'!M19</f>
        <v>206</v>
      </c>
      <c r="I19" s="132">
        <f>'Top WS'!N19</f>
        <v>216</v>
      </c>
      <c r="J19" s="132">
        <f>'Top WS'!O19</f>
        <v>220</v>
      </c>
      <c r="K19" s="132">
        <f>'Top WS'!P19</f>
        <v>230</v>
      </c>
      <c r="L19" s="132">
        <f>'Top WS'!Q19</f>
        <v>240</v>
      </c>
      <c r="M19" s="132">
        <f>'Top WS'!R19</f>
        <v>260</v>
      </c>
    </row>
    <row r="20" spans="1:13" ht="11.4" thickBot="1" x14ac:dyDescent="0.3">
      <c r="B20" s="160"/>
      <c r="C20" s="137">
        <f>'Top WS'!H20</f>
        <v>0.05</v>
      </c>
      <c r="D20" s="136" t="str">
        <f>'Top WS'!I20</f>
        <v>RK</v>
      </c>
      <c r="E20" s="165">
        <f>'Top WS'!J20</f>
        <v>180</v>
      </c>
      <c r="F20" s="165">
        <f>'Top WS'!K20</f>
        <v>190</v>
      </c>
      <c r="G20" s="275">
        <f>'Top WS'!L20</f>
        <v>200</v>
      </c>
      <c r="H20" s="271">
        <f>'Top WS'!M20</f>
        <v>206</v>
      </c>
      <c r="I20" s="272">
        <f>'Top WS'!N20</f>
        <v>216</v>
      </c>
      <c r="J20" s="272">
        <f>'Top WS'!O20</f>
        <v>220</v>
      </c>
      <c r="K20" s="272">
        <f>'Top WS'!P20</f>
        <v>230</v>
      </c>
      <c r="L20" s="272">
        <f>'Top WS'!Q20</f>
        <v>240</v>
      </c>
      <c r="M20" s="272">
        <f>'Top WS'!R20</f>
        <v>260</v>
      </c>
    </row>
    <row r="21" spans="1:13" ht="11.4" thickBot="1" x14ac:dyDescent="0.3"/>
    <row r="22" spans="1:13" hidden="1" x14ac:dyDescent="0.25"/>
    <row r="23" spans="1:13" hidden="1" x14ac:dyDescent="0.25"/>
    <row r="24" spans="1:13" hidden="1" x14ac:dyDescent="0.25"/>
    <row r="25" spans="1:13" hidden="1" x14ac:dyDescent="0.25"/>
    <row r="26" spans="1:13" hidden="1" x14ac:dyDescent="0.25"/>
    <row r="27" spans="1:13" hidden="1" x14ac:dyDescent="0.25"/>
    <row r="28" spans="1:13" hidden="1" x14ac:dyDescent="0.25"/>
    <row r="29" spans="1:13" ht="11.4" hidden="1" thickBot="1" x14ac:dyDescent="0.3"/>
    <row r="30" spans="1:13" ht="11.4" thickBot="1" x14ac:dyDescent="0.3">
      <c r="A30" s="138" t="s">
        <v>179</v>
      </c>
      <c r="B30" s="156"/>
      <c r="C30" s="157" t="b">
        <f>C32=SUM(G34:G48)</f>
        <v>1</v>
      </c>
      <c r="D30" s="141"/>
      <c r="E30" s="267">
        <f>' WS SF'!J2</f>
        <v>3150</v>
      </c>
      <c r="F30" s="267">
        <f>' WS SF'!K2</f>
        <v>3325</v>
      </c>
      <c r="G30" s="142">
        <f>' WS SF'!L2</f>
        <v>3500</v>
      </c>
      <c r="H30" s="142">
        <f>' WS SF'!M2</f>
        <v>3605</v>
      </c>
      <c r="I30" s="142">
        <f>' WS SF'!N2</f>
        <v>3780</v>
      </c>
      <c r="J30" s="142">
        <f>' WS SF'!O2</f>
        <v>3850</v>
      </c>
      <c r="K30" s="142">
        <f>' WS SF'!P2</f>
        <v>4025</v>
      </c>
      <c r="L30" s="142">
        <f>' WS SF'!Q2</f>
        <v>4200</v>
      </c>
      <c r="M30" s="143">
        <f>' WS SF'!R2</f>
        <v>4550</v>
      </c>
    </row>
    <row r="31" spans="1:13" x14ac:dyDescent="0.25">
      <c r="B31" s="144"/>
      <c r="C31" s="145"/>
      <c r="D31" s="146" t="s">
        <v>9</v>
      </c>
      <c r="E31" s="147">
        <f>' WS SF'!J3</f>
        <v>-0.1</v>
      </c>
      <c r="F31" s="147">
        <f>' WS SF'!K3</f>
        <v>-0.05</v>
      </c>
      <c r="G31" s="147">
        <f>' WS SF'!L3</f>
        <v>0</v>
      </c>
      <c r="H31" s="148">
        <f>' WS SF'!M3</f>
        <v>0.03</v>
      </c>
      <c r="I31" s="148">
        <f>' WS SF'!N3</f>
        <v>0.08</v>
      </c>
      <c r="J31" s="147">
        <f>' WS SF'!O3</f>
        <v>0.1</v>
      </c>
      <c r="K31" s="149">
        <f>' WS SF'!P3</f>
        <v>0.15</v>
      </c>
      <c r="L31" s="149">
        <f>' WS SF'!Q3</f>
        <v>0.2</v>
      </c>
      <c r="M31" s="150">
        <f>' WS SF'!R3</f>
        <v>0.3</v>
      </c>
    </row>
    <row r="32" spans="1:13" ht="11.4" thickBot="1" x14ac:dyDescent="0.3">
      <c r="B32" s="151" t="s">
        <v>14</v>
      </c>
      <c r="C32" s="152">
        <f>' WS SF'!H4</f>
        <v>3500</v>
      </c>
      <c r="D32" s="153" t="s">
        <v>15</v>
      </c>
      <c r="E32" s="154">
        <f>' WS SF'!J4</f>
        <v>0.9</v>
      </c>
      <c r="F32" s="154">
        <f>' WS SF'!K4</f>
        <v>0.95</v>
      </c>
      <c r="G32" s="154">
        <f>' WS SF'!L4</f>
        <v>1</v>
      </c>
      <c r="H32" s="154">
        <f>' WS SF'!M4</f>
        <v>1.03</v>
      </c>
      <c r="I32" s="154">
        <f>' WS SF'!N4</f>
        <v>1.06</v>
      </c>
      <c r="J32" s="154">
        <f>' WS SF'!O4</f>
        <v>1.1000000000000001</v>
      </c>
      <c r="K32" s="154">
        <f>' WS SF'!P4</f>
        <v>1.1499999999999999</v>
      </c>
      <c r="L32" s="154">
        <f>' WS SF'!Q4</f>
        <v>1.2</v>
      </c>
      <c r="M32" s="155">
        <f>' WS SF'!R4</f>
        <v>1.3</v>
      </c>
    </row>
    <row r="33" spans="2:16" ht="11.4" thickBot="1" x14ac:dyDescent="0.3">
      <c r="B33" s="140"/>
      <c r="C33" s="131"/>
      <c r="D33" s="131"/>
      <c r="E33" s="168">
        <v>2</v>
      </c>
      <c r="F33" s="168">
        <v>3</v>
      </c>
      <c r="G33" s="168">
        <v>4</v>
      </c>
      <c r="H33" s="168">
        <v>5</v>
      </c>
      <c r="I33" s="168">
        <v>6</v>
      </c>
      <c r="J33" s="168">
        <v>7</v>
      </c>
      <c r="K33" s="168">
        <v>8</v>
      </c>
      <c r="L33" s="168">
        <v>9</v>
      </c>
      <c r="M33" s="168">
        <v>10</v>
      </c>
      <c r="N33" s="169"/>
      <c r="O33" s="170"/>
      <c r="P33" s="170"/>
    </row>
    <row r="34" spans="2:16" x14ac:dyDescent="0.25">
      <c r="B34" s="140" t="s">
        <v>76</v>
      </c>
      <c r="C34" s="124">
        <f>' WS SF'!H6</f>
        <v>0.05</v>
      </c>
      <c r="D34" s="125" t="str">
        <f>' WS SF'!I6</f>
        <v>A</v>
      </c>
      <c r="E34" s="126">
        <f>' WS SF'!J6</f>
        <v>157.5</v>
      </c>
      <c r="F34" s="126">
        <f>' WS SF'!K6</f>
        <v>166.25</v>
      </c>
      <c r="G34" s="273">
        <f>' WS SF'!L6</f>
        <v>175</v>
      </c>
      <c r="H34" s="268">
        <f>' WS SF'!M6</f>
        <v>180.25</v>
      </c>
      <c r="I34" s="269">
        <f>' WS SF'!N6</f>
        <v>189</v>
      </c>
      <c r="J34" s="269">
        <f>' WS SF'!O6</f>
        <v>192.5</v>
      </c>
      <c r="K34" s="269">
        <f>' WS SF'!P6</f>
        <v>201.25</v>
      </c>
      <c r="L34" s="269">
        <f>' WS SF'!Q6</f>
        <v>210</v>
      </c>
      <c r="M34" s="269">
        <f>' WS SF'!R6</f>
        <v>227.5</v>
      </c>
    </row>
    <row r="35" spans="2:16" x14ac:dyDescent="0.25">
      <c r="B35" s="140"/>
      <c r="C35" s="127">
        <f>' WS SF'!H7</f>
        <v>0.1</v>
      </c>
      <c r="D35" s="128" t="str">
        <f>' WS SF'!I7</f>
        <v>R</v>
      </c>
      <c r="E35" s="129">
        <f>' WS SF'!J7</f>
        <v>315</v>
      </c>
      <c r="F35" s="129">
        <f>' WS SF'!K7</f>
        <v>332.5</v>
      </c>
      <c r="G35" s="274">
        <f>' WS SF'!L7</f>
        <v>350</v>
      </c>
      <c r="H35" s="270">
        <f>' WS SF'!M7</f>
        <v>360.5</v>
      </c>
      <c r="I35" s="132">
        <f>' WS SF'!N7</f>
        <v>378</v>
      </c>
      <c r="J35" s="132">
        <f>' WS SF'!O7</f>
        <v>385</v>
      </c>
      <c r="K35" s="132">
        <f>' WS SF'!P7</f>
        <v>402.5</v>
      </c>
      <c r="L35" s="132">
        <f>' WS SF'!Q7</f>
        <v>420</v>
      </c>
      <c r="M35" s="132">
        <f>' WS SF'!R7</f>
        <v>455</v>
      </c>
    </row>
    <row r="36" spans="2:16" ht="11.4" thickBot="1" x14ac:dyDescent="0.3">
      <c r="B36" s="140"/>
      <c r="C36" s="130">
        <f>' WS SF'!H8</f>
        <v>0.1</v>
      </c>
      <c r="D36" s="128" t="str">
        <f>' WS SF'!I8</f>
        <v>B</v>
      </c>
      <c r="E36" s="129">
        <f>' WS SF'!J8</f>
        <v>315</v>
      </c>
      <c r="F36" s="129">
        <f>' WS SF'!K8</f>
        <v>332.5</v>
      </c>
      <c r="G36" s="274">
        <f>' WS SF'!L8</f>
        <v>350</v>
      </c>
      <c r="H36" s="270">
        <f>' WS SF'!M8</f>
        <v>360.5</v>
      </c>
      <c r="I36" s="132">
        <f>' WS SF'!N8</f>
        <v>378</v>
      </c>
      <c r="J36" s="132">
        <f>' WS SF'!O8</f>
        <v>385</v>
      </c>
      <c r="K36" s="132">
        <f>' WS SF'!P8</f>
        <v>402.5</v>
      </c>
      <c r="L36" s="132">
        <f>' WS SF'!Q8</f>
        <v>420</v>
      </c>
      <c r="M36" s="132">
        <f>' WS SF'!R8</f>
        <v>455</v>
      </c>
    </row>
    <row r="37" spans="2:16" ht="11.4" thickBot="1" x14ac:dyDescent="0.3">
      <c r="B37" s="140"/>
      <c r="C37" s="131"/>
      <c r="D37" s="131"/>
      <c r="E37" s="132"/>
      <c r="F37" s="132"/>
      <c r="G37" s="274"/>
      <c r="H37" s="270"/>
      <c r="I37" s="132"/>
      <c r="J37" s="132"/>
      <c r="K37" s="132"/>
      <c r="L37" s="132"/>
      <c r="M37" s="132"/>
    </row>
    <row r="38" spans="2:16" x14ac:dyDescent="0.25">
      <c r="B38" s="140" t="s">
        <v>77</v>
      </c>
      <c r="C38" s="133">
        <f>' WS SF'!H10</f>
        <v>0.05</v>
      </c>
      <c r="D38" s="125" t="str">
        <f>' WS SF'!I10</f>
        <v>AP</v>
      </c>
      <c r="E38" s="129">
        <f>' WS SF'!J10</f>
        <v>157.5</v>
      </c>
      <c r="F38" s="129">
        <f>' WS SF'!K10</f>
        <v>166.25</v>
      </c>
      <c r="G38" s="274">
        <f>' WS SF'!L10</f>
        <v>175</v>
      </c>
      <c r="H38" s="270">
        <f>' WS SF'!M10</f>
        <v>180.25</v>
      </c>
      <c r="I38" s="132">
        <f>' WS SF'!N10</f>
        <v>189</v>
      </c>
      <c r="J38" s="132">
        <f>' WS SF'!O10</f>
        <v>192.5</v>
      </c>
      <c r="K38" s="132">
        <f>' WS SF'!P10</f>
        <v>201.25</v>
      </c>
      <c r="L38" s="132">
        <f>' WS SF'!Q10</f>
        <v>210</v>
      </c>
      <c r="M38" s="132">
        <f>' WS SF'!R10</f>
        <v>227.5</v>
      </c>
    </row>
    <row r="39" spans="2:16" x14ac:dyDescent="0.25">
      <c r="B39" s="140"/>
      <c r="C39" s="134">
        <f>' WS SF'!H11</f>
        <v>0.1</v>
      </c>
      <c r="D39" s="128" t="str">
        <f>' WS SF'!I11</f>
        <v>Q</v>
      </c>
      <c r="E39" s="129">
        <f>' WS SF'!J11</f>
        <v>315</v>
      </c>
      <c r="F39" s="129">
        <f>' WS SF'!K11</f>
        <v>332.5</v>
      </c>
      <c r="G39" s="274">
        <f>' WS SF'!L11</f>
        <v>350</v>
      </c>
      <c r="H39" s="270">
        <f>' WS SF'!M11</f>
        <v>360.5</v>
      </c>
      <c r="I39" s="132">
        <f>' WS SF'!N11</f>
        <v>378</v>
      </c>
      <c r="J39" s="132">
        <f>' WS SF'!O11</f>
        <v>385</v>
      </c>
      <c r="K39" s="132">
        <f>' WS SF'!P11</f>
        <v>402.5</v>
      </c>
      <c r="L39" s="132">
        <f>' WS SF'!Q11</f>
        <v>420</v>
      </c>
      <c r="M39" s="132">
        <f>' WS SF'!R11</f>
        <v>455</v>
      </c>
    </row>
    <row r="40" spans="2:16" x14ac:dyDescent="0.25">
      <c r="B40" s="140"/>
      <c r="C40" s="134">
        <f>' WS SF'!H12</f>
        <v>0.1</v>
      </c>
      <c r="D40" s="128" t="str">
        <f>' WS SF'!I12</f>
        <v>M</v>
      </c>
      <c r="E40" s="129">
        <f>' WS SF'!J12</f>
        <v>315</v>
      </c>
      <c r="F40" s="129">
        <f>' WS SF'!K12</f>
        <v>332.5</v>
      </c>
      <c r="G40" s="274">
        <f>' WS SF'!L12</f>
        <v>350</v>
      </c>
      <c r="H40" s="270">
        <f>' WS SF'!M12</f>
        <v>360.5</v>
      </c>
      <c r="I40" s="132">
        <f>' WS SF'!N12</f>
        <v>378</v>
      </c>
      <c r="J40" s="132">
        <f>' WS SF'!O12</f>
        <v>385</v>
      </c>
      <c r="K40" s="132">
        <f>' WS SF'!P12</f>
        <v>402.5</v>
      </c>
      <c r="L40" s="132">
        <f>' WS SF'!Q12</f>
        <v>420</v>
      </c>
      <c r="M40" s="132">
        <f>' WS SF'!R12</f>
        <v>455</v>
      </c>
    </row>
    <row r="41" spans="2:16" x14ac:dyDescent="0.25">
      <c r="B41" s="140"/>
      <c r="C41" s="134">
        <f>' WS SF'!H13</f>
        <v>0.1</v>
      </c>
      <c r="D41" s="128" t="str">
        <f>' WS SF'!I13</f>
        <v>NS</v>
      </c>
      <c r="E41" s="129">
        <f>' WS SF'!J13</f>
        <v>315</v>
      </c>
      <c r="F41" s="129">
        <f>' WS SF'!K13</f>
        <v>332.5</v>
      </c>
      <c r="G41" s="274">
        <f>' WS SF'!L13</f>
        <v>350</v>
      </c>
      <c r="H41" s="270">
        <f>' WS SF'!M13</f>
        <v>360.5</v>
      </c>
      <c r="I41" s="132">
        <f>' WS SF'!N13</f>
        <v>378</v>
      </c>
      <c r="J41" s="132">
        <f>' WS SF'!O13</f>
        <v>385</v>
      </c>
      <c r="K41" s="132">
        <f>' WS SF'!P13</f>
        <v>402.5</v>
      </c>
      <c r="L41" s="132">
        <f>' WS SF'!Q13</f>
        <v>420</v>
      </c>
      <c r="M41" s="132">
        <f>' WS SF'!R13</f>
        <v>455</v>
      </c>
    </row>
    <row r="42" spans="2:16" ht="11.4" thickBot="1" x14ac:dyDescent="0.3">
      <c r="B42" s="140"/>
      <c r="C42" s="135">
        <f>' WS SF'!H14</f>
        <v>0</v>
      </c>
      <c r="D42" s="136">
        <f>' WS SF'!I14</f>
        <v>0</v>
      </c>
      <c r="E42" s="129">
        <f>' WS SF'!J14</f>
        <v>0</v>
      </c>
      <c r="F42" s="129">
        <f>' WS SF'!K14</f>
        <v>0</v>
      </c>
      <c r="G42" s="274">
        <f>' WS SF'!L14</f>
        <v>0</v>
      </c>
      <c r="H42" s="270">
        <f>' WS SF'!M14</f>
        <v>0</v>
      </c>
      <c r="I42" s="132">
        <f>' WS SF'!N14</f>
        <v>0</v>
      </c>
      <c r="J42" s="132">
        <f>' WS SF'!O14</f>
        <v>0</v>
      </c>
      <c r="K42" s="132">
        <f>' WS SF'!P14</f>
        <v>0</v>
      </c>
      <c r="L42" s="132">
        <f>' WS SF'!Q14</f>
        <v>0</v>
      </c>
      <c r="M42" s="132">
        <f>' WS SF'!R14</f>
        <v>0</v>
      </c>
    </row>
    <row r="43" spans="2:16" ht="11.4" thickBot="1" x14ac:dyDescent="0.3">
      <c r="B43" s="140"/>
      <c r="C43" s="131"/>
      <c r="D43" s="131"/>
      <c r="E43" s="132"/>
      <c r="F43" s="132"/>
      <c r="G43" s="274"/>
      <c r="H43" s="270"/>
      <c r="I43" s="132"/>
      <c r="J43" s="132"/>
      <c r="K43" s="132"/>
      <c r="L43" s="132"/>
      <c r="M43" s="132"/>
    </row>
    <row r="44" spans="2:16" x14ac:dyDescent="0.25">
      <c r="B44" s="140" t="s">
        <v>78</v>
      </c>
      <c r="C44" s="133">
        <f>' WS SF'!H16</f>
        <v>0.15</v>
      </c>
      <c r="D44" s="125" t="str">
        <f>' WS SF'!I16</f>
        <v>Y</v>
      </c>
      <c r="E44" s="129">
        <f>' WS SF'!J16</f>
        <v>472.5</v>
      </c>
      <c r="F44" s="129">
        <f>' WS SF'!K16</f>
        <v>498.75</v>
      </c>
      <c r="G44" s="274">
        <f>' WS SF'!L16</f>
        <v>525</v>
      </c>
      <c r="H44" s="270">
        <f>' WS SF'!M16</f>
        <v>540.75</v>
      </c>
      <c r="I44" s="132">
        <f>' WS SF'!N16</f>
        <v>567</v>
      </c>
      <c r="J44" s="132">
        <f>' WS SF'!O16</f>
        <v>577.5</v>
      </c>
      <c r="K44" s="132">
        <f>' WS SF'!P16</f>
        <v>603.75</v>
      </c>
      <c r="L44" s="132">
        <f>' WS SF'!Q16</f>
        <v>630</v>
      </c>
      <c r="M44" s="132">
        <f>' WS SF'!R16</f>
        <v>682.5</v>
      </c>
    </row>
    <row r="45" spans="2:16" ht="11.4" thickBot="1" x14ac:dyDescent="0.3">
      <c r="B45" s="140"/>
      <c r="C45" s="137">
        <f>' WS SF'!H17</f>
        <v>0.15</v>
      </c>
      <c r="D45" s="136" t="str">
        <f>' WS SF'!I17</f>
        <v>P</v>
      </c>
      <c r="E45" s="129">
        <f>' WS SF'!J17</f>
        <v>472.5</v>
      </c>
      <c r="F45" s="129">
        <f>' WS SF'!K17</f>
        <v>498.75</v>
      </c>
      <c r="G45" s="274">
        <f>' WS SF'!L17</f>
        <v>525</v>
      </c>
      <c r="H45" s="270">
        <f>' WS SF'!M17</f>
        <v>540.75</v>
      </c>
      <c r="I45" s="132">
        <f>' WS SF'!N17</f>
        <v>567</v>
      </c>
      <c r="J45" s="132">
        <f>' WS SF'!O17</f>
        <v>577.5</v>
      </c>
      <c r="K45" s="132">
        <f>' WS SF'!P17</f>
        <v>603.75</v>
      </c>
      <c r="L45" s="132">
        <f>' WS SF'!Q17</f>
        <v>630</v>
      </c>
      <c r="M45" s="132">
        <f>' WS SF'!R17</f>
        <v>682.5</v>
      </c>
    </row>
    <row r="46" spans="2:16" ht="11.4" thickBot="1" x14ac:dyDescent="0.3">
      <c r="B46" s="140"/>
      <c r="C46" s="131"/>
      <c r="D46" s="131"/>
      <c r="E46" s="132"/>
      <c r="F46" s="132"/>
      <c r="G46" s="274"/>
      <c r="H46" s="270"/>
      <c r="I46" s="132"/>
      <c r="J46" s="132"/>
      <c r="K46" s="132"/>
      <c r="L46" s="132"/>
      <c r="M46" s="132"/>
    </row>
    <row r="47" spans="2:16" x14ac:dyDescent="0.25">
      <c r="B47" s="140" t="s">
        <v>47</v>
      </c>
      <c r="C47" s="133">
        <f>' WS SF'!H19</f>
        <v>0.05</v>
      </c>
      <c r="D47" s="125" t="str">
        <f>' WS SF'!I19</f>
        <v>T</v>
      </c>
      <c r="E47" s="129">
        <f>' WS SF'!J19</f>
        <v>157.5</v>
      </c>
      <c r="F47" s="129">
        <f>' WS SF'!K19</f>
        <v>166.25</v>
      </c>
      <c r="G47" s="274">
        <f>' WS SF'!L19</f>
        <v>175</v>
      </c>
      <c r="H47" s="270">
        <f>' WS SF'!M19</f>
        <v>180.25</v>
      </c>
      <c r="I47" s="132">
        <f>' WS SF'!N19</f>
        <v>189</v>
      </c>
      <c r="J47" s="132">
        <f>' WS SF'!O19</f>
        <v>192.5</v>
      </c>
      <c r="K47" s="132">
        <f>' WS SF'!P19</f>
        <v>201.25</v>
      </c>
      <c r="L47" s="132">
        <f>' WS SF'!Q19</f>
        <v>210</v>
      </c>
      <c r="M47" s="132">
        <f>' WS SF'!R19</f>
        <v>227.5</v>
      </c>
    </row>
    <row r="48" spans="2:16" ht="11.4" thickBot="1" x14ac:dyDescent="0.3">
      <c r="B48" s="161"/>
      <c r="C48" s="163">
        <f>' WS SF'!H20</f>
        <v>0.05</v>
      </c>
      <c r="D48" s="162" t="str">
        <f>' WS SF'!I20</f>
        <v>RK</v>
      </c>
      <c r="E48" s="164">
        <f>' WS SF'!J20</f>
        <v>157.5</v>
      </c>
      <c r="F48" s="164">
        <f>' WS SF'!K20</f>
        <v>166.25</v>
      </c>
      <c r="G48" s="278">
        <f>' WS SF'!L20</f>
        <v>175</v>
      </c>
      <c r="H48" s="276">
        <f>' WS SF'!M20</f>
        <v>180.25</v>
      </c>
      <c r="I48" s="277">
        <f>' WS SF'!N20</f>
        <v>189</v>
      </c>
      <c r="J48" s="277">
        <f>' WS SF'!O20</f>
        <v>192.5</v>
      </c>
      <c r="K48" s="277">
        <f>' WS SF'!P20</f>
        <v>201.25</v>
      </c>
      <c r="L48" s="277">
        <f>' WS SF'!Q20</f>
        <v>210</v>
      </c>
      <c r="M48" s="277">
        <f>' WS SF'!R20</f>
        <v>227.5</v>
      </c>
    </row>
    <row r="49" spans="1:14" ht="11.4" thickBot="1" x14ac:dyDescent="0.3"/>
    <row r="50" spans="1:14" hidden="1" x14ac:dyDescent="0.25"/>
    <row r="51" spans="1:14" hidden="1" x14ac:dyDescent="0.25"/>
    <row r="52" spans="1:14" hidden="1" x14ac:dyDescent="0.25"/>
    <row r="53" spans="1:14" hidden="1" x14ac:dyDescent="0.25"/>
    <row r="54" spans="1:14" hidden="1" x14ac:dyDescent="0.25"/>
    <row r="55" spans="1:14" hidden="1" x14ac:dyDescent="0.25"/>
    <row r="56" spans="1:14" hidden="1" x14ac:dyDescent="0.25"/>
    <row r="57" spans="1:14" hidden="1" x14ac:dyDescent="0.25"/>
    <row r="58" spans="1:14" hidden="1" x14ac:dyDescent="0.25"/>
    <row r="59" spans="1:14" ht="11.4" hidden="1" thickBot="1" x14ac:dyDescent="0.3"/>
    <row r="60" spans="1:14" ht="11.4" thickBot="1" x14ac:dyDescent="0.3">
      <c r="A60" s="138" t="s">
        <v>180</v>
      </c>
      <c r="B60" s="156"/>
      <c r="C60" s="157" t="b">
        <f>C62=SUM(G64:G78)</f>
        <v>1</v>
      </c>
      <c r="D60" s="141"/>
      <c r="E60" s="267">
        <f>'WS WH'!J2</f>
        <v>3150</v>
      </c>
      <c r="F60" s="267">
        <f>'WS WH'!K2</f>
        <v>3325</v>
      </c>
      <c r="G60" s="142">
        <f>'WS WH'!L2</f>
        <v>3500</v>
      </c>
      <c r="H60" s="142">
        <f>'WS WH'!M2</f>
        <v>3605</v>
      </c>
      <c r="I60" s="142">
        <f>'WS WH'!N2</f>
        <v>3780</v>
      </c>
      <c r="J60" s="142">
        <f>'WS WH'!O2</f>
        <v>3850</v>
      </c>
      <c r="K60" s="142">
        <f>'WS WH'!P2</f>
        <v>4025</v>
      </c>
      <c r="L60" s="142">
        <f>'WS WH'!Q2</f>
        <v>4200</v>
      </c>
      <c r="M60" s="143">
        <f>'WS WH'!R2</f>
        <v>4550</v>
      </c>
    </row>
    <row r="61" spans="1:14" x14ac:dyDescent="0.25">
      <c r="B61" s="144"/>
      <c r="C61" s="145"/>
      <c r="D61" s="146" t="s">
        <v>9</v>
      </c>
      <c r="E61" s="147">
        <f>'WS WH'!J3</f>
        <v>-0.1</v>
      </c>
      <c r="F61" s="147">
        <f>'WS WH'!K3</f>
        <v>-0.05</v>
      </c>
      <c r="G61" s="147">
        <f>'WS WH'!L3</f>
        <v>0</v>
      </c>
      <c r="H61" s="148">
        <f>'WS WH'!M3</f>
        <v>0.03</v>
      </c>
      <c r="I61" s="148">
        <f>'WS WH'!N3</f>
        <v>0.08</v>
      </c>
      <c r="J61" s="147">
        <f>'WS WH'!O3</f>
        <v>0.1</v>
      </c>
      <c r="K61" s="149">
        <f>'WS WH'!P3</f>
        <v>0.15</v>
      </c>
      <c r="L61" s="149">
        <f>'WS WH'!Q3</f>
        <v>0.2</v>
      </c>
      <c r="M61" s="150">
        <f>'WS WH'!R3</f>
        <v>0.3</v>
      </c>
    </row>
    <row r="62" spans="1:14" ht="11.4" thickBot="1" x14ac:dyDescent="0.3">
      <c r="B62" s="151" t="s">
        <v>14</v>
      </c>
      <c r="C62" s="152">
        <v>3500</v>
      </c>
      <c r="D62" s="153" t="s">
        <v>15</v>
      </c>
      <c r="E62" s="154">
        <f>'WS WH'!J4</f>
        <v>0.9</v>
      </c>
      <c r="F62" s="154">
        <f>'WS WH'!K4</f>
        <v>0.95</v>
      </c>
      <c r="G62" s="154">
        <f>'WS WH'!L4</f>
        <v>1</v>
      </c>
      <c r="H62" s="154">
        <f>'WS WH'!M4</f>
        <v>1.03</v>
      </c>
      <c r="I62" s="154">
        <f>'WS WH'!N4</f>
        <v>1.06</v>
      </c>
      <c r="J62" s="154">
        <f>'WS WH'!O4</f>
        <v>1.1000000000000001</v>
      </c>
      <c r="K62" s="154">
        <f>'WS WH'!P4</f>
        <v>1.1499999999999999</v>
      </c>
      <c r="L62" s="154">
        <f>'WS WH'!Q4</f>
        <v>1.2</v>
      </c>
      <c r="M62" s="155">
        <f>'WS WH'!R4</f>
        <v>1.3</v>
      </c>
    </row>
    <row r="63" spans="1:14" ht="11.4" thickBot="1" x14ac:dyDescent="0.3">
      <c r="B63" s="140"/>
      <c r="C63" s="131"/>
      <c r="D63" s="131"/>
      <c r="E63" s="168">
        <v>2</v>
      </c>
      <c r="F63" s="168">
        <v>3</v>
      </c>
      <c r="G63" s="168">
        <v>4</v>
      </c>
      <c r="H63" s="168">
        <v>5</v>
      </c>
      <c r="I63" s="168">
        <v>6</v>
      </c>
      <c r="J63" s="168">
        <v>7</v>
      </c>
      <c r="K63" s="168">
        <v>8</v>
      </c>
      <c r="L63" s="168">
        <v>9</v>
      </c>
      <c r="M63" s="168">
        <v>10</v>
      </c>
      <c r="N63" s="169"/>
    </row>
    <row r="64" spans="1:14" x14ac:dyDescent="0.25">
      <c r="B64" s="140" t="s">
        <v>76</v>
      </c>
      <c r="C64" s="124">
        <f>'WS WH'!H6</f>
        <v>0.1</v>
      </c>
      <c r="D64" s="125" t="str">
        <f>'WS WH'!I6</f>
        <v>A</v>
      </c>
      <c r="E64" s="126">
        <f>'WS WH'!J6</f>
        <v>315</v>
      </c>
      <c r="F64" s="126">
        <f>'WS WH'!K6</f>
        <v>332.5</v>
      </c>
      <c r="G64" s="273">
        <f>'WS WH'!L6</f>
        <v>350</v>
      </c>
      <c r="H64" s="268">
        <f>'WS WH'!M6</f>
        <v>360.5</v>
      </c>
      <c r="I64" s="269">
        <f>'WS WH'!N6</f>
        <v>378</v>
      </c>
      <c r="J64" s="269">
        <f>'WS WH'!O6</f>
        <v>385</v>
      </c>
      <c r="K64" s="269">
        <f>'WS WH'!P6</f>
        <v>402.5</v>
      </c>
      <c r="L64" s="269">
        <f>'WS WH'!Q6</f>
        <v>420</v>
      </c>
      <c r="M64" s="269">
        <f>'WS WH'!R6</f>
        <v>455</v>
      </c>
    </row>
    <row r="65" spans="2:13" x14ac:dyDescent="0.25">
      <c r="B65" s="140"/>
      <c r="C65" s="127">
        <f>'WS WH'!H7</f>
        <v>0.15</v>
      </c>
      <c r="D65" s="128" t="str">
        <f>'WS WH'!I7</f>
        <v>R</v>
      </c>
      <c r="E65" s="129">
        <f>'WS WH'!J7</f>
        <v>472.5</v>
      </c>
      <c r="F65" s="129">
        <f>'WS WH'!K7</f>
        <v>498.75</v>
      </c>
      <c r="G65" s="274">
        <f>'WS WH'!L7</f>
        <v>525</v>
      </c>
      <c r="H65" s="270">
        <f>'WS WH'!M7</f>
        <v>540.75</v>
      </c>
      <c r="I65" s="132">
        <f>'WS WH'!N7</f>
        <v>567</v>
      </c>
      <c r="J65" s="132">
        <f>'WS WH'!O7</f>
        <v>577.5</v>
      </c>
      <c r="K65" s="132">
        <f>'WS WH'!P7</f>
        <v>603.75</v>
      </c>
      <c r="L65" s="132">
        <f>'WS WH'!Q7</f>
        <v>630</v>
      </c>
      <c r="M65" s="132">
        <f>'WS WH'!R7</f>
        <v>682.5</v>
      </c>
    </row>
    <row r="66" spans="2:13" ht="11.4" thickBot="1" x14ac:dyDescent="0.3">
      <c r="B66" s="140"/>
      <c r="C66" s="130">
        <f>'WS WH'!H8</f>
        <v>0.25</v>
      </c>
      <c r="D66" s="128" t="str">
        <f>'WS WH'!I8</f>
        <v>B</v>
      </c>
      <c r="E66" s="129">
        <f>'WS WH'!J8</f>
        <v>787.5</v>
      </c>
      <c r="F66" s="129">
        <f>'WS WH'!K8</f>
        <v>831.25</v>
      </c>
      <c r="G66" s="274">
        <f>'WS WH'!L8</f>
        <v>875</v>
      </c>
      <c r="H66" s="270">
        <f>'WS WH'!M8</f>
        <v>901.25</v>
      </c>
      <c r="I66" s="132">
        <f>'WS WH'!N8</f>
        <v>945</v>
      </c>
      <c r="J66" s="132">
        <f>'WS WH'!O8</f>
        <v>962.5</v>
      </c>
      <c r="K66" s="132">
        <f>'WS WH'!P8</f>
        <v>1006.25</v>
      </c>
      <c r="L66" s="132">
        <f>'WS WH'!Q8</f>
        <v>1050</v>
      </c>
      <c r="M66" s="132">
        <f>'WS WH'!R8</f>
        <v>1137.5</v>
      </c>
    </row>
    <row r="67" spans="2:13" ht="11.4" thickBot="1" x14ac:dyDescent="0.3">
      <c r="B67" s="140"/>
      <c r="C67" s="131"/>
      <c r="D67" s="131"/>
      <c r="E67" s="132"/>
      <c r="F67" s="132"/>
      <c r="G67" s="274"/>
      <c r="H67" s="270"/>
      <c r="I67" s="132"/>
      <c r="J67" s="132"/>
      <c r="K67" s="132"/>
      <c r="L67" s="132"/>
      <c r="M67" s="132"/>
    </row>
    <row r="68" spans="2:13" x14ac:dyDescent="0.25">
      <c r="B68" s="140" t="s">
        <v>77</v>
      </c>
      <c r="C68" s="133">
        <f>'WS WH'!H10</f>
        <v>0.05</v>
      </c>
      <c r="D68" s="125" t="str">
        <f>'WS WH'!I10</f>
        <v>AP</v>
      </c>
      <c r="E68" s="129">
        <f>'WS WH'!J10</f>
        <v>157.5</v>
      </c>
      <c r="F68" s="129">
        <f>'WS WH'!K10</f>
        <v>166.25</v>
      </c>
      <c r="G68" s="274">
        <f>'WS WH'!L10</f>
        <v>175</v>
      </c>
      <c r="H68" s="270">
        <f>'WS WH'!M10</f>
        <v>180.25</v>
      </c>
      <c r="I68" s="132">
        <f>'WS WH'!N10</f>
        <v>189</v>
      </c>
      <c r="J68" s="132">
        <f>'WS WH'!O10</f>
        <v>192.5</v>
      </c>
      <c r="K68" s="132">
        <f>'WS WH'!P10</f>
        <v>201.25</v>
      </c>
      <c r="L68" s="132">
        <f>'WS WH'!Q10</f>
        <v>210</v>
      </c>
      <c r="M68" s="132">
        <f>'WS WH'!R10</f>
        <v>227.5</v>
      </c>
    </row>
    <row r="69" spans="2:13" x14ac:dyDescent="0.25">
      <c r="B69" s="140"/>
      <c r="C69" s="134">
        <f>'WS WH'!H11</f>
        <v>0.05</v>
      </c>
      <c r="D69" s="128" t="str">
        <f>'WS WH'!I11</f>
        <v>Q</v>
      </c>
      <c r="E69" s="129">
        <f>'WS WH'!J11</f>
        <v>157.5</v>
      </c>
      <c r="F69" s="129">
        <f>'WS WH'!K11</f>
        <v>166.25</v>
      </c>
      <c r="G69" s="274">
        <f>'WS WH'!L11</f>
        <v>175</v>
      </c>
      <c r="H69" s="270">
        <f>'WS WH'!M11</f>
        <v>180.25</v>
      </c>
      <c r="I69" s="132">
        <f>'WS WH'!N11</f>
        <v>189</v>
      </c>
      <c r="J69" s="132">
        <f>'WS WH'!O11</f>
        <v>192.5</v>
      </c>
      <c r="K69" s="132">
        <f>'WS WH'!P11</f>
        <v>201.25</v>
      </c>
      <c r="L69" s="132">
        <f>'WS WH'!Q11</f>
        <v>210</v>
      </c>
      <c r="M69" s="132">
        <f>'WS WH'!R11</f>
        <v>227.5</v>
      </c>
    </row>
    <row r="70" spans="2:13" x14ac:dyDescent="0.25">
      <c r="B70" s="140"/>
      <c r="C70" s="134">
        <f>'WS WH'!H12</f>
        <v>0.05</v>
      </c>
      <c r="D70" s="128" t="str">
        <f>'WS WH'!I12</f>
        <v>M</v>
      </c>
      <c r="E70" s="129">
        <f>'WS WH'!J12</f>
        <v>157.5</v>
      </c>
      <c r="F70" s="129">
        <f>'WS WH'!K12</f>
        <v>166.25</v>
      </c>
      <c r="G70" s="274">
        <f>'WS WH'!L12</f>
        <v>175</v>
      </c>
      <c r="H70" s="270">
        <f>'WS WH'!M12</f>
        <v>180.25</v>
      </c>
      <c r="I70" s="132">
        <f>'WS WH'!N12</f>
        <v>189</v>
      </c>
      <c r="J70" s="132">
        <f>'WS WH'!O12</f>
        <v>192.5</v>
      </c>
      <c r="K70" s="132">
        <f>'WS WH'!P12</f>
        <v>201.25</v>
      </c>
      <c r="L70" s="132">
        <f>'WS WH'!Q12</f>
        <v>210</v>
      </c>
      <c r="M70" s="132">
        <f>'WS WH'!R12</f>
        <v>227.5</v>
      </c>
    </row>
    <row r="71" spans="2:13" x14ac:dyDescent="0.25">
      <c r="B71" s="140"/>
      <c r="C71" s="134">
        <f>'WS WH'!H13</f>
        <v>0.05</v>
      </c>
      <c r="D71" s="128" t="str">
        <f>'WS WH'!I13</f>
        <v>NS</v>
      </c>
      <c r="E71" s="129">
        <f>'WS WH'!J13</f>
        <v>157.5</v>
      </c>
      <c r="F71" s="129">
        <f>'WS WH'!K13</f>
        <v>166.25</v>
      </c>
      <c r="G71" s="274">
        <f>'WS WH'!L13</f>
        <v>175</v>
      </c>
      <c r="H71" s="270">
        <f>'WS WH'!M13</f>
        <v>180.25</v>
      </c>
      <c r="I71" s="132">
        <f>'WS WH'!N13</f>
        <v>189</v>
      </c>
      <c r="J71" s="132">
        <f>'WS WH'!O13</f>
        <v>192.5</v>
      </c>
      <c r="K71" s="132">
        <f>'WS WH'!P13</f>
        <v>201.25</v>
      </c>
      <c r="L71" s="132">
        <f>'WS WH'!Q13</f>
        <v>210</v>
      </c>
      <c r="M71" s="132">
        <f>'WS WH'!R13</f>
        <v>227.5</v>
      </c>
    </row>
    <row r="72" spans="2:13" ht="11.4" thickBot="1" x14ac:dyDescent="0.3">
      <c r="B72" s="140"/>
      <c r="C72" s="135">
        <f>'WS WH'!H14</f>
        <v>0</v>
      </c>
      <c r="D72" s="136">
        <f>'WS WH'!I14</f>
        <v>0</v>
      </c>
      <c r="E72" s="129">
        <f>'WS WH'!J14</f>
        <v>0</v>
      </c>
      <c r="F72" s="129">
        <f>'WS WH'!K14</f>
        <v>0</v>
      </c>
      <c r="G72" s="274">
        <f>'WS WH'!L14</f>
        <v>0</v>
      </c>
      <c r="H72" s="270">
        <f>'WS WH'!M14</f>
        <v>0</v>
      </c>
      <c r="I72" s="132">
        <f>'WS WH'!N14</f>
        <v>0</v>
      </c>
      <c r="J72" s="132">
        <f>'WS WH'!O14</f>
        <v>0</v>
      </c>
      <c r="K72" s="132">
        <f>'WS WH'!P14</f>
        <v>0</v>
      </c>
      <c r="L72" s="132">
        <f>'WS WH'!Q14</f>
        <v>0</v>
      </c>
      <c r="M72" s="132">
        <f>'WS WH'!R14</f>
        <v>0</v>
      </c>
    </row>
    <row r="73" spans="2:13" ht="11.4" thickBot="1" x14ac:dyDescent="0.3">
      <c r="B73" s="140"/>
      <c r="C73" s="131"/>
      <c r="D73" s="131"/>
      <c r="E73" s="132"/>
      <c r="F73" s="132"/>
      <c r="G73" s="274"/>
      <c r="H73" s="270"/>
      <c r="I73" s="132"/>
      <c r="J73" s="132"/>
      <c r="K73" s="132"/>
      <c r="L73" s="132"/>
      <c r="M73" s="132"/>
    </row>
    <row r="74" spans="2:13" x14ac:dyDescent="0.25">
      <c r="B74" s="140" t="s">
        <v>78</v>
      </c>
      <c r="C74" s="133">
        <f>'WS WH'!H16</f>
        <v>0.1</v>
      </c>
      <c r="D74" s="125" t="str">
        <f>'WS WH'!I16</f>
        <v>Y</v>
      </c>
      <c r="E74" s="129">
        <f>'WS WH'!J16</f>
        <v>315</v>
      </c>
      <c r="F74" s="129">
        <f>'WS WH'!K16</f>
        <v>332.5</v>
      </c>
      <c r="G74" s="274">
        <f>'WS WH'!L16</f>
        <v>350</v>
      </c>
      <c r="H74" s="270">
        <f>'WS WH'!M16</f>
        <v>360.5</v>
      </c>
      <c r="I74" s="132">
        <f>'WS WH'!N16</f>
        <v>378</v>
      </c>
      <c r="J74" s="132">
        <f>'WS WH'!O16</f>
        <v>385</v>
      </c>
      <c r="K74" s="132">
        <f>'WS WH'!P16</f>
        <v>402.5</v>
      </c>
      <c r="L74" s="132">
        <f>'WS WH'!Q16</f>
        <v>420</v>
      </c>
      <c r="M74" s="132">
        <f>'WS WH'!R16</f>
        <v>455</v>
      </c>
    </row>
    <row r="75" spans="2:13" ht="11.4" thickBot="1" x14ac:dyDescent="0.3">
      <c r="B75" s="140"/>
      <c r="C75" s="137">
        <f>'WS WH'!H17</f>
        <v>0.1</v>
      </c>
      <c r="D75" s="136" t="str">
        <f>'WS WH'!I17</f>
        <v>P</v>
      </c>
      <c r="E75" s="129">
        <f>'WS WH'!J17</f>
        <v>315</v>
      </c>
      <c r="F75" s="129">
        <f>'WS WH'!K17</f>
        <v>332.5</v>
      </c>
      <c r="G75" s="274">
        <f>'WS WH'!L17</f>
        <v>350</v>
      </c>
      <c r="H75" s="270">
        <f>'WS WH'!M17</f>
        <v>360.5</v>
      </c>
      <c r="I75" s="132">
        <f>'WS WH'!N17</f>
        <v>378</v>
      </c>
      <c r="J75" s="132">
        <f>'WS WH'!O17</f>
        <v>385</v>
      </c>
      <c r="K75" s="132">
        <f>'WS WH'!P17</f>
        <v>402.5</v>
      </c>
      <c r="L75" s="132">
        <f>'WS WH'!Q17</f>
        <v>420</v>
      </c>
      <c r="M75" s="132">
        <f>'WS WH'!R17</f>
        <v>455</v>
      </c>
    </row>
    <row r="76" spans="2:13" ht="11.4" thickBot="1" x14ac:dyDescent="0.3">
      <c r="B76" s="140"/>
      <c r="C76" s="131"/>
      <c r="D76" s="131"/>
      <c r="E76" s="132"/>
      <c r="F76" s="132"/>
      <c r="G76" s="274"/>
      <c r="H76" s="270"/>
      <c r="I76" s="132"/>
      <c r="J76" s="132"/>
      <c r="K76" s="132"/>
      <c r="L76" s="132"/>
      <c r="M76" s="132"/>
    </row>
    <row r="77" spans="2:13" x14ac:dyDescent="0.25">
      <c r="B77" s="140" t="s">
        <v>47</v>
      </c>
      <c r="C77" s="133">
        <f>'WS WH'!H19</f>
        <v>0.05</v>
      </c>
      <c r="D77" s="125" t="str">
        <f>'WS WH'!I19</f>
        <v>T</v>
      </c>
      <c r="E77" s="129">
        <f>'WS WH'!J19</f>
        <v>157.5</v>
      </c>
      <c r="F77" s="129">
        <f>'WS WH'!K19</f>
        <v>166.25</v>
      </c>
      <c r="G77" s="274">
        <f>'WS WH'!L19</f>
        <v>175</v>
      </c>
      <c r="H77" s="270">
        <f>'WS WH'!M19</f>
        <v>180.25</v>
      </c>
      <c r="I77" s="132">
        <f>'WS WH'!N19</f>
        <v>189</v>
      </c>
      <c r="J77" s="132">
        <f>'WS WH'!O19</f>
        <v>192.5</v>
      </c>
      <c r="K77" s="132">
        <f>'WS WH'!P19</f>
        <v>201.25</v>
      </c>
      <c r="L77" s="132">
        <f>'WS WH'!Q19</f>
        <v>210</v>
      </c>
      <c r="M77" s="132">
        <f>'WS WH'!R19</f>
        <v>227.5</v>
      </c>
    </row>
    <row r="78" spans="2:13" ht="11.4" thickBot="1" x14ac:dyDescent="0.3">
      <c r="B78" s="161"/>
      <c r="C78" s="137">
        <f>'WS WH'!H20</f>
        <v>0.05</v>
      </c>
      <c r="D78" s="136" t="str">
        <f>'WS WH'!I20</f>
        <v>RK</v>
      </c>
      <c r="E78" s="165">
        <f>'WS WH'!J20</f>
        <v>157.5</v>
      </c>
      <c r="F78" s="165">
        <f>'WS WH'!K20</f>
        <v>166.25</v>
      </c>
      <c r="G78" s="275">
        <f>'WS WH'!L20</f>
        <v>175</v>
      </c>
      <c r="H78" s="271">
        <f>'WS WH'!M20</f>
        <v>180.25</v>
      </c>
      <c r="I78" s="272">
        <f>'WS WH'!N20</f>
        <v>189</v>
      </c>
      <c r="J78" s="272">
        <f>'WS WH'!O20</f>
        <v>192.5</v>
      </c>
      <c r="K78" s="272">
        <f>'WS WH'!P20</f>
        <v>201.25</v>
      </c>
      <c r="L78" s="272">
        <f>'WS WH'!Q20</f>
        <v>210</v>
      </c>
      <c r="M78" s="272">
        <f>'WS WH'!R20</f>
        <v>227.5</v>
      </c>
    </row>
    <row r="79" spans="2:13" ht="11.4" thickBot="1" x14ac:dyDescent="0.3"/>
    <row r="80" spans="2:13" hidden="1" x14ac:dyDescent="0.25"/>
    <row r="81" spans="1:13" hidden="1" x14ac:dyDescent="0.25"/>
    <row r="82" spans="1:13" hidden="1" x14ac:dyDescent="0.25"/>
    <row r="83" spans="1:13" hidden="1" x14ac:dyDescent="0.25"/>
    <row r="84" spans="1:13" hidden="1" x14ac:dyDescent="0.25"/>
    <row r="85" spans="1:13" hidden="1" x14ac:dyDescent="0.25"/>
    <row r="86" spans="1:13" hidden="1" x14ac:dyDescent="0.25"/>
    <row r="87" spans="1:13" hidden="1" x14ac:dyDescent="0.25"/>
    <row r="88" spans="1:13" hidden="1" x14ac:dyDescent="0.25"/>
    <row r="89" spans="1:13" ht="11.4" hidden="1" thickBot="1" x14ac:dyDescent="0.3"/>
    <row r="90" spans="1:13" ht="11.4" thickBot="1" x14ac:dyDescent="0.3">
      <c r="A90" s="138" t="s">
        <v>257</v>
      </c>
      <c r="B90" s="156"/>
      <c r="C90" s="157" t="b">
        <f>C92=SUM(G94:G108)</f>
        <v>1</v>
      </c>
      <c r="D90" s="141"/>
      <c r="E90" s="267">
        <f>'SF WH'!J2</f>
        <v>3150</v>
      </c>
      <c r="F90" s="267">
        <f>'SF WH'!K2</f>
        <v>3325</v>
      </c>
      <c r="G90" s="142">
        <f>'SF WH'!L2</f>
        <v>3500</v>
      </c>
      <c r="H90" s="142">
        <f>'SF WH'!M2</f>
        <v>3605</v>
      </c>
      <c r="I90" s="142">
        <f>'SF WH'!N2</f>
        <v>3780</v>
      </c>
      <c r="J90" s="142">
        <f>'SF WH'!O2</f>
        <v>3850</v>
      </c>
      <c r="K90" s="142">
        <f>'SF WH'!P2</f>
        <v>4025</v>
      </c>
      <c r="L90" s="142">
        <f>'SF WH'!Q2</f>
        <v>4200</v>
      </c>
      <c r="M90" s="142">
        <f>'SF WH'!R2</f>
        <v>4550</v>
      </c>
    </row>
    <row r="91" spans="1:13" x14ac:dyDescent="0.25">
      <c r="B91" s="144"/>
      <c r="C91" s="145"/>
      <c r="D91" s="146" t="s">
        <v>9</v>
      </c>
      <c r="E91" s="147">
        <f>'SF WH'!J3</f>
        <v>-0.1</v>
      </c>
      <c r="F91" s="147">
        <f>'SF WH'!K3</f>
        <v>-0.05</v>
      </c>
      <c r="G91" s="147">
        <f>'SF WH'!L3</f>
        <v>0</v>
      </c>
      <c r="H91" s="147">
        <f>'SF WH'!M3</f>
        <v>0.03</v>
      </c>
      <c r="I91" s="147">
        <f>'SF WH'!N3</f>
        <v>0.08</v>
      </c>
      <c r="J91" s="147">
        <f>'SF WH'!O3</f>
        <v>0.1</v>
      </c>
      <c r="K91" s="147">
        <f>'SF WH'!P3</f>
        <v>0.15</v>
      </c>
      <c r="L91" s="147">
        <f>'SF WH'!Q3</f>
        <v>0.2</v>
      </c>
      <c r="M91" s="147">
        <f>'SF WH'!R3</f>
        <v>0.3</v>
      </c>
    </row>
    <row r="92" spans="1:13" ht="11.4" thickBot="1" x14ac:dyDescent="0.3">
      <c r="B92" s="151" t="s">
        <v>14</v>
      </c>
      <c r="C92" s="152">
        <v>3500</v>
      </c>
      <c r="D92" s="153" t="s">
        <v>15</v>
      </c>
      <c r="E92" s="154">
        <f>'SF WH'!J4</f>
        <v>0.9</v>
      </c>
      <c r="F92" s="154">
        <f>'SF WH'!K4</f>
        <v>0.95</v>
      </c>
      <c r="G92" s="154">
        <f>'SF WH'!L4</f>
        <v>1</v>
      </c>
      <c r="H92" s="154">
        <f>'SF WH'!M4</f>
        <v>1.03</v>
      </c>
      <c r="I92" s="154">
        <f>'SF WH'!N4</f>
        <v>1.06</v>
      </c>
      <c r="J92" s="154">
        <f>'SF WH'!O4</f>
        <v>1.1000000000000001</v>
      </c>
      <c r="K92" s="154">
        <f>'SF WH'!P4</f>
        <v>1.1499999999999999</v>
      </c>
      <c r="L92" s="154">
        <f>'SF WH'!Q4</f>
        <v>1.2</v>
      </c>
      <c r="M92" s="154">
        <f>'SF WH'!R4</f>
        <v>1.3</v>
      </c>
    </row>
    <row r="93" spans="1:13" ht="11.4" thickBot="1" x14ac:dyDescent="0.3">
      <c r="B93" s="140"/>
      <c r="C93" s="131"/>
      <c r="D93" s="131"/>
      <c r="E93" s="168">
        <v>2</v>
      </c>
      <c r="F93" s="168">
        <v>3</v>
      </c>
      <c r="G93" s="168">
        <v>4</v>
      </c>
      <c r="H93" s="168">
        <v>5</v>
      </c>
      <c r="I93" s="168">
        <v>6</v>
      </c>
      <c r="J93" s="168">
        <v>7</v>
      </c>
      <c r="K93" s="168">
        <v>8</v>
      </c>
      <c r="L93" s="168">
        <v>9</v>
      </c>
      <c r="M93" s="168">
        <v>10</v>
      </c>
    </row>
    <row r="94" spans="1:13" x14ac:dyDescent="0.25">
      <c r="B94" s="140" t="s">
        <v>76</v>
      </c>
      <c r="C94" s="124">
        <f>'SF WH'!H6</f>
        <v>0.08</v>
      </c>
      <c r="D94" s="125" t="str">
        <f>'SF WH'!I6</f>
        <v>A</v>
      </c>
      <c r="E94" s="126">
        <f>'SF WH'!J6</f>
        <v>252</v>
      </c>
      <c r="F94" s="126">
        <f>'SF WH'!K6</f>
        <v>266</v>
      </c>
      <c r="G94" s="273">
        <f>'SF WH'!L6</f>
        <v>280</v>
      </c>
      <c r="H94" s="268">
        <f>'SF WH'!M6</f>
        <v>288.40000000000003</v>
      </c>
      <c r="I94" s="269">
        <f>'SF WH'!N6</f>
        <v>302.40000000000003</v>
      </c>
      <c r="J94" s="269">
        <f>'SF WH'!O6</f>
        <v>308</v>
      </c>
      <c r="K94" s="269">
        <f>'SF WH'!P6</f>
        <v>322</v>
      </c>
      <c r="L94" s="269">
        <f>'SF WH'!Q6</f>
        <v>336</v>
      </c>
      <c r="M94" s="269">
        <f>'SF WH'!R6</f>
        <v>364</v>
      </c>
    </row>
    <row r="95" spans="1:13" x14ac:dyDescent="0.25">
      <c r="B95" s="140"/>
      <c r="C95" s="127">
        <f>'SF WH'!H7</f>
        <v>0.13</v>
      </c>
      <c r="D95" s="128" t="str">
        <f>'SF WH'!I7</f>
        <v>R</v>
      </c>
      <c r="E95" s="129">
        <f>'SF WH'!J7</f>
        <v>409.5</v>
      </c>
      <c r="F95" s="129">
        <f>'SF WH'!K7</f>
        <v>432.25</v>
      </c>
      <c r="G95" s="274">
        <f>'SF WH'!L7</f>
        <v>455</v>
      </c>
      <c r="H95" s="270">
        <f>'SF WH'!M7</f>
        <v>468.65000000000003</v>
      </c>
      <c r="I95" s="132">
        <f>'SF WH'!N7</f>
        <v>491.40000000000003</v>
      </c>
      <c r="J95" s="132">
        <f>'SF WH'!O7</f>
        <v>500.5</v>
      </c>
      <c r="K95" s="132">
        <f>'SF WH'!P7</f>
        <v>523.25</v>
      </c>
      <c r="L95" s="132">
        <f>'SF WH'!Q7</f>
        <v>546</v>
      </c>
      <c r="M95" s="132">
        <f>'SF WH'!R7</f>
        <v>591.5</v>
      </c>
    </row>
    <row r="96" spans="1:13" ht="11.4" thickBot="1" x14ac:dyDescent="0.3">
      <c r="B96" s="140"/>
      <c r="C96" s="130">
        <f>'SF WH'!H8</f>
        <v>0.18</v>
      </c>
      <c r="D96" s="128" t="str">
        <f>'SF WH'!I8</f>
        <v>B</v>
      </c>
      <c r="E96" s="129">
        <f>'SF WH'!J8</f>
        <v>567</v>
      </c>
      <c r="F96" s="129">
        <f>'SF WH'!K8</f>
        <v>598.5</v>
      </c>
      <c r="G96" s="274">
        <f>'SF WH'!L8</f>
        <v>630</v>
      </c>
      <c r="H96" s="270">
        <f>'SF WH'!M8</f>
        <v>648.9</v>
      </c>
      <c r="I96" s="132">
        <f>'SF WH'!N8</f>
        <v>680.4</v>
      </c>
      <c r="J96" s="132">
        <f>'SF WH'!O8</f>
        <v>693</v>
      </c>
      <c r="K96" s="132">
        <f>'SF WH'!P8</f>
        <v>724.5</v>
      </c>
      <c r="L96" s="132">
        <f>'SF WH'!Q8</f>
        <v>756</v>
      </c>
      <c r="M96" s="132">
        <f>'SF WH'!R8</f>
        <v>819</v>
      </c>
    </row>
    <row r="97" spans="2:13" ht="11.4" thickBot="1" x14ac:dyDescent="0.3">
      <c r="B97" s="140"/>
      <c r="C97" s="131">
        <f>'SF WH'!H9</f>
        <v>0</v>
      </c>
      <c r="D97" s="131">
        <f>'SF WH'!I9</f>
        <v>0</v>
      </c>
      <c r="E97" s="132">
        <f>'SF WH'!J9</f>
        <v>0</v>
      </c>
      <c r="F97" s="132">
        <f>'SF WH'!K9</f>
        <v>0</v>
      </c>
      <c r="G97" s="274">
        <f>'SF WH'!L9</f>
        <v>0</v>
      </c>
      <c r="H97" s="270">
        <f>'SF WH'!M9</f>
        <v>0</v>
      </c>
      <c r="I97" s="132">
        <f>'SF WH'!N9</f>
        <v>0</v>
      </c>
      <c r="J97" s="132">
        <f>'SF WH'!O9</f>
        <v>0</v>
      </c>
      <c r="K97" s="132">
        <f>'SF WH'!P9</f>
        <v>0</v>
      </c>
      <c r="L97" s="132">
        <f>'SF WH'!Q9</f>
        <v>0</v>
      </c>
      <c r="M97" s="132">
        <f>'SF WH'!R9</f>
        <v>0</v>
      </c>
    </row>
    <row r="98" spans="2:13" x14ac:dyDescent="0.25">
      <c r="B98" s="140" t="s">
        <v>77</v>
      </c>
      <c r="C98" s="133">
        <f>'SF WH'!H10</f>
        <v>0.05</v>
      </c>
      <c r="D98" s="125" t="str">
        <f>'SF WH'!I10</f>
        <v>AP</v>
      </c>
      <c r="E98" s="129">
        <f>'SF WH'!J10</f>
        <v>157.5</v>
      </c>
      <c r="F98" s="129">
        <f>'SF WH'!K10</f>
        <v>166.25</v>
      </c>
      <c r="G98" s="274">
        <f>'SF WH'!L10</f>
        <v>175</v>
      </c>
      <c r="H98" s="270">
        <f>'SF WH'!M10</f>
        <v>180.25</v>
      </c>
      <c r="I98" s="132">
        <f>'SF WH'!N10</f>
        <v>189</v>
      </c>
      <c r="J98" s="132">
        <f>'SF WH'!O10</f>
        <v>192.5</v>
      </c>
      <c r="K98" s="132">
        <f>'SF WH'!P10</f>
        <v>201.25</v>
      </c>
      <c r="L98" s="132">
        <f>'SF WH'!Q10</f>
        <v>210</v>
      </c>
      <c r="M98" s="132">
        <f>'SF WH'!R10</f>
        <v>227.5</v>
      </c>
    </row>
    <row r="99" spans="2:13" x14ac:dyDescent="0.25">
      <c r="B99" s="140"/>
      <c r="C99" s="134">
        <f>'SF WH'!H11</f>
        <v>0.06</v>
      </c>
      <c r="D99" s="128" t="str">
        <f>'SF WH'!I11</f>
        <v>Q</v>
      </c>
      <c r="E99" s="129">
        <f>'SF WH'!J11</f>
        <v>189</v>
      </c>
      <c r="F99" s="129">
        <f>'SF WH'!K11</f>
        <v>199.5</v>
      </c>
      <c r="G99" s="274">
        <f>'SF WH'!L11</f>
        <v>210</v>
      </c>
      <c r="H99" s="270">
        <f>'SF WH'!M11</f>
        <v>216.29999999999998</v>
      </c>
      <c r="I99" s="132">
        <f>'SF WH'!N11</f>
        <v>226.79999999999998</v>
      </c>
      <c r="J99" s="132">
        <f>'SF WH'!O11</f>
        <v>231</v>
      </c>
      <c r="K99" s="132">
        <f>'SF WH'!P11</f>
        <v>241.5</v>
      </c>
      <c r="L99" s="132">
        <f>'SF WH'!Q11</f>
        <v>252</v>
      </c>
      <c r="M99" s="132">
        <f>'SF WH'!R11</f>
        <v>273</v>
      </c>
    </row>
    <row r="100" spans="2:13" x14ac:dyDescent="0.25">
      <c r="B100" s="140"/>
      <c r="C100" s="134">
        <f>'SF WH'!H12</f>
        <v>7.0000000000000007E-2</v>
      </c>
      <c r="D100" s="128" t="str">
        <f>'SF WH'!I12</f>
        <v>M</v>
      </c>
      <c r="E100" s="129">
        <f>'SF WH'!J12</f>
        <v>220.50000000000003</v>
      </c>
      <c r="F100" s="129">
        <f>'SF WH'!K12</f>
        <v>232.75000000000003</v>
      </c>
      <c r="G100" s="274">
        <f>'SF WH'!L12</f>
        <v>245.00000000000003</v>
      </c>
      <c r="H100" s="270">
        <f>'SF WH'!M12</f>
        <v>252.35000000000002</v>
      </c>
      <c r="I100" s="132">
        <f>'SF WH'!N12</f>
        <v>264.60000000000002</v>
      </c>
      <c r="J100" s="132">
        <f>'SF WH'!O12</f>
        <v>269.5</v>
      </c>
      <c r="K100" s="132">
        <f>'SF WH'!P12</f>
        <v>281.75</v>
      </c>
      <c r="L100" s="132">
        <f>'SF WH'!Q12</f>
        <v>294</v>
      </c>
      <c r="M100" s="132">
        <f>'SF WH'!R12</f>
        <v>318.50000000000006</v>
      </c>
    </row>
    <row r="101" spans="2:13" x14ac:dyDescent="0.25">
      <c r="B101" s="140"/>
      <c r="C101" s="134">
        <f>'SF WH'!H13</f>
        <v>7.0000000000000007E-2</v>
      </c>
      <c r="D101" s="128" t="str">
        <f>'SF WH'!I13</f>
        <v>NS</v>
      </c>
      <c r="E101" s="129">
        <f>'SF WH'!J13</f>
        <v>220.50000000000003</v>
      </c>
      <c r="F101" s="129">
        <f>'SF WH'!K13</f>
        <v>232.75000000000003</v>
      </c>
      <c r="G101" s="274">
        <f>'SF WH'!L13</f>
        <v>245.00000000000003</v>
      </c>
      <c r="H101" s="270">
        <f>'SF WH'!M13</f>
        <v>252.35000000000002</v>
      </c>
      <c r="I101" s="132">
        <f>'SF WH'!N13</f>
        <v>264.60000000000002</v>
      </c>
      <c r="J101" s="132">
        <f>'SF WH'!O13</f>
        <v>269.5</v>
      </c>
      <c r="K101" s="132">
        <f>'SF WH'!P13</f>
        <v>281.75</v>
      </c>
      <c r="L101" s="132">
        <f>'SF WH'!Q13</f>
        <v>294</v>
      </c>
      <c r="M101" s="132">
        <f>'SF WH'!R13</f>
        <v>318.50000000000006</v>
      </c>
    </row>
    <row r="102" spans="2:13" ht="11.4" thickBot="1" x14ac:dyDescent="0.3">
      <c r="B102" s="140"/>
      <c r="C102" s="135">
        <f>'SF WH'!H14</f>
        <v>0</v>
      </c>
      <c r="D102" s="136">
        <f>'SF WH'!I14</f>
        <v>0</v>
      </c>
      <c r="E102" s="129">
        <f>'SF WH'!J14</f>
        <v>0</v>
      </c>
      <c r="F102" s="129">
        <f>'SF WH'!K14</f>
        <v>0</v>
      </c>
      <c r="G102" s="274">
        <f>'SF WH'!L14</f>
        <v>0</v>
      </c>
      <c r="H102" s="270">
        <f>'SF WH'!M14</f>
        <v>0</v>
      </c>
      <c r="I102" s="132">
        <f>'SF WH'!N14</f>
        <v>0</v>
      </c>
      <c r="J102" s="132">
        <f>'SF WH'!O14</f>
        <v>0</v>
      </c>
      <c r="K102" s="132">
        <f>'SF WH'!P14</f>
        <v>0</v>
      </c>
      <c r="L102" s="132">
        <f>'SF WH'!Q14</f>
        <v>0</v>
      </c>
      <c r="M102" s="132">
        <f>'SF WH'!R14</f>
        <v>0</v>
      </c>
    </row>
    <row r="103" spans="2:13" ht="11.4" thickBot="1" x14ac:dyDescent="0.3">
      <c r="B103" s="140"/>
      <c r="C103" s="131">
        <f>'SF WH'!H15</f>
        <v>0</v>
      </c>
      <c r="D103" s="131">
        <f>'SF WH'!I15</f>
        <v>0</v>
      </c>
      <c r="E103" s="132">
        <f>'SF WH'!J15</f>
        <v>0</v>
      </c>
      <c r="F103" s="132">
        <f>'SF WH'!K15</f>
        <v>0</v>
      </c>
      <c r="G103" s="274">
        <f>'SF WH'!L15</f>
        <v>0</v>
      </c>
      <c r="H103" s="270">
        <f>'SF WH'!M15</f>
        <v>0</v>
      </c>
      <c r="I103" s="132">
        <f>'SF WH'!N15</f>
        <v>0</v>
      </c>
      <c r="J103" s="132">
        <f>'SF WH'!O15</f>
        <v>0</v>
      </c>
      <c r="K103" s="132">
        <f>'SF WH'!P15</f>
        <v>0</v>
      </c>
      <c r="L103" s="132">
        <f>'SF WH'!Q15</f>
        <v>0</v>
      </c>
      <c r="M103" s="132">
        <f>'SF WH'!R15</f>
        <v>0</v>
      </c>
    </row>
    <row r="104" spans="2:13" x14ac:dyDescent="0.25">
      <c r="B104" s="140" t="s">
        <v>78</v>
      </c>
      <c r="C104" s="133">
        <f>'SF WH'!H16</f>
        <v>0.13</v>
      </c>
      <c r="D104" s="125" t="str">
        <f>'SF WH'!I16</f>
        <v>Y</v>
      </c>
      <c r="E104" s="129">
        <f>'SF WH'!J16</f>
        <v>409.5</v>
      </c>
      <c r="F104" s="129">
        <f>'SF WH'!K16</f>
        <v>432.25</v>
      </c>
      <c r="G104" s="274">
        <f>'SF WH'!L16</f>
        <v>455</v>
      </c>
      <c r="H104" s="270">
        <f>'SF WH'!M16</f>
        <v>468.65000000000003</v>
      </c>
      <c r="I104" s="132">
        <f>'SF WH'!N16</f>
        <v>491.40000000000003</v>
      </c>
      <c r="J104" s="132">
        <f>'SF WH'!O16</f>
        <v>500.5</v>
      </c>
      <c r="K104" s="132">
        <f>'SF WH'!P16</f>
        <v>523.25</v>
      </c>
      <c r="L104" s="132">
        <f>'SF WH'!Q16</f>
        <v>546</v>
      </c>
      <c r="M104" s="132">
        <f>'SF WH'!R16</f>
        <v>591.5</v>
      </c>
    </row>
    <row r="105" spans="2:13" ht="11.4" thickBot="1" x14ac:dyDescent="0.3">
      <c r="B105" s="140"/>
      <c r="C105" s="137">
        <f>'SF WH'!H17</f>
        <v>0.13</v>
      </c>
      <c r="D105" s="136" t="str">
        <f>'SF WH'!I17</f>
        <v>P</v>
      </c>
      <c r="E105" s="129">
        <f>'SF WH'!J17</f>
        <v>409.5</v>
      </c>
      <c r="F105" s="129">
        <f>'SF WH'!K17</f>
        <v>432.25</v>
      </c>
      <c r="G105" s="274">
        <f>'SF WH'!L17</f>
        <v>455</v>
      </c>
      <c r="H105" s="270">
        <f>'SF WH'!M17</f>
        <v>468.65000000000003</v>
      </c>
      <c r="I105" s="132">
        <f>'SF WH'!N17</f>
        <v>491.40000000000003</v>
      </c>
      <c r="J105" s="132">
        <f>'SF WH'!O17</f>
        <v>500.5</v>
      </c>
      <c r="K105" s="132">
        <f>'SF WH'!P17</f>
        <v>523.25</v>
      </c>
      <c r="L105" s="132">
        <f>'SF WH'!Q17</f>
        <v>546</v>
      </c>
      <c r="M105" s="132">
        <f>'SF WH'!R17</f>
        <v>591.5</v>
      </c>
    </row>
    <row r="106" spans="2:13" ht="11.4" thickBot="1" x14ac:dyDescent="0.3">
      <c r="B106" s="140"/>
      <c r="C106" s="131">
        <f>'SF WH'!H18</f>
        <v>0</v>
      </c>
      <c r="D106" s="131">
        <f>'SF WH'!I18</f>
        <v>0</v>
      </c>
      <c r="E106" s="132">
        <f>'SF WH'!J18</f>
        <v>0</v>
      </c>
      <c r="F106" s="132">
        <f>'SF WH'!K18</f>
        <v>0</v>
      </c>
      <c r="G106" s="274">
        <f>'SF WH'!L18</f>
        <v>0</v>
      </c>
      <c r="H106" s="270">
        <f>'SF WH'!M18</f>
        <v>0</v>
      </c>
      <c r="I106" s="132">
        <f>'SF WH'!N18</f>
        <v>0</v>
      </c>
      <c r="J106" s="132">
        <f>'SF WH'!O18</f>
        <v>0</v>
      </c>
      <c r="K106" s="132">
        <f>'SF WH'!P18</f>
        <v>0</v>
      </c>
      <c r="L106" s="132">
        <f>'SF WH'!Q18</f>
        <v>0</v>
      </c>
      <c r="M106" s="132">
        <f>'SF WH'!R18</f>
        <v>0</v>
      </c>
    </row>
    <row r="107" spans="2:13" x14ac:dyDescent="0.25">
      <c r="B107" s="140" t="s">
        <v>47</v>
      </c>
      <c r="C107" s="133">
        <f>'SF WH'!H19</f>
        <v>0.05</v>
      </c>
      <c r="D107" s="125" t="str">
        <f>'SF WH'!I19</f>
        <v>T</v>
      </c>
      <c r="E107" s="129">
        <f>'SF WH'!J19</f>
        <v>157.5</v>
      </c>
      <c r="F107" s="129">
        <f>'SF WH'!K19</f>
        <v>166.25</v>
      </c>
      <c r="G107" s="274">
        <f>'SF WH'!L19</f>
        <v>175</v>
      </c>
      <c r="H107" s="270">
        <f>'SF WH'!M19</f>
        <v>180.25</v>
      </c>
      <c r="I107" s="132">
        <f>'SF WH'!N19</f>
        <v>189</v>
      </c>
      <c r="J107" s="132">
        <f>'SF WH'!O19</f>
        <v>192.5</v>
      </c>
      <c r="K107" s="132">
        <f>'SF WH'!P19</f>
        <v>201.25</v>
      </c>
      <c r="L107" s="132">
        <f>'SF WH'!Q19</f>
        <v>210</v>
      </c>
      <c r="M107" s="132">
        <f>'SF WH'!R19</f>
        <v>227.5</v>
      </c>
    </row>
    <row r="108" spans="2:13" ht="11.4" thickBot="1" x14ac:dyDescent="0.3">
      <c r="B108" s="161"/>
      <c r="C108" s="137">
        <f>'SF WH'!H20</f>
        <v>0.05</v>
      </c>
      <c r="D108" s="136" t="str">
        <f>'SF WH'!I20</f>
        <v>RK</v>
      </c>
      <c r="E108" s="165">
        <f>'SF WH'!J20</f>
        <v>157.5</v>
      </c>
      <c r="F108" s="165">
        <f>'SF WH'!K20</f>
        <v>166.25</v>
      </c>
      <c r="G108" s="275">
        <f>'SF WH'!L20</f>
        <v>175</v>
      </c>
      <c r="H108" s="271">
        <f>'SF WH'!M20</f>
        <v>180.25</v>
      </c>
      <c r="I108" s="272">
        <f>'SF WH'!N20</f>
        <v>189</v>
      </c>
      <c r="J108" s="272">
        <f>'SF WH'!O20</f>
        <v>192.5</v>
      </c>
      <c r="K108" s="272">
        <f>'SF WH'!P20</f>
        <v>201.25</v>
      </c>
      <c r="L108" s="272">
        <f>'SF WH'!Q20</f>
        <v>210</v>
      </c>
      <c r="M108" s="272">
        <f>'SF WH'!R20</f>
        <v>227.5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279D-F71F-423D-AE12-843149B1119C}">
  <sheetPr>
    <tabColor rgb="FF00B050"/>
  </sheetPr>
  <dimension ref="A1:BN158"/>
  <sheetViews>
    <sheetView zoomScale="140" zoomScaleNormal="140" workbookViewId="0">
      <pane xSplit="3" ySplit="3" topLeftCell="AP76" activePane="bottomRight" state="frozen"/>
      <selection activeCell="AH12" sqref="AH12"/>
      <selection pane="topRight" activeCell="AH12" sqref="AH12"/>
      <selection pane="bottomLeft" activeCell="AH12" sqref="AH12"/>
      <selection pane="bottomRight" activeCell="B80" sqref="B80:B96"/>
    </sheetView>
  </sheetViews>
  <sheetFormatPr defaultColWidth="6.8984375" defaultRowHeight="11.4" x14ac:dyDescent="0.25"/>
  <cols>
    <col min="1" max="1" width="14.19921875" style="117" bestFit="1" customWidth="1"/>
    <col min="2" max="2" width="11.09765625" style="117" bestFit="1" customWidth="1"/>
    <col min="3" max="3" width="8.09765625" style="117" bestFit="1" customWidth="1"/>
    <col min="4" max="14" width="10.09765625" style="118" bestFit="1" customWidth="1"/>
    <col min="15" max="15" width="10.8984375" style="118" bestFit="1" customWidth="1"/>
    <col min="16" max="27" width="6.8984375" style="117" customWidth="1"/>
    <col min="28" max="28" width="9.59765625" style="117" customWidth="1"/>
    <col min="29" max="48" width="6.8984375" style="117" customWidth="1"/>
    <col min="49" max="49" width="9" style="117" bestFit="1" customWidth="1"/>
    <col min="50" max="50" width="9.19921875" style="117" bestFit="1" customWidth="1"/>
    <col min="51" max="51" width="9.3984375" style="117" bestFit="1" customWidth="1"/>
    <col min="52" max="52" width="9.09765625" style="117" bestFit="1" customWidth="1"/>
    <col min="53" max="53" width="9.5" style="117" bestFit="1" customWidth="1"/>
    <col min="54" max="54" width="9.09765625" style="117" bestFit="1" customWidth="1"/>
    <col min="55" max="55" width="8.59765625" style="117" bestFit="1" customWidth="1"/>
    <col min="56" max="56" width="9.5" style="117" bestFit="1" customWidth="1"/>
    <col min="57" max="57" width="9.19921875" style="117" bestFit="1" customWidth="1"/>
    <col min="58" max="58" width="9.09765625" style="117" bestFit="1" customWidth="1"/>
    <col min="59" max="59" width="9.3984375" style="117" bestFit="1" customWidth="1"/>
    <col min="60" max="60" width="9.19921875" style="117" bestFit="1" customWidth="1"/>
    <col min="61" max="61" width="9" style="117" bestFit="1" customWidth="1"/>
    <col min="62" max="62" width="9.19921875" style="117" bestFit="1" customWidth="1"/>
    <col min="63" max="63" width="9.3984375" style="117" bestFit="1" customWidth="1"/>
    <col min="64" max="64" width="2.8984375" style="176" customWidth="1"/>
    <col min="65" max="65" width="13.59765625" style="119" bestFit="1" customWidth="1"/>
    <col min="66" max="66" width="12" style="196" bestFit="1" customWidth="1"/>
    <col min="67" max="16384" width="6.8984375" style="117"/>
  </cols>
  <sheetData>
    <row r="1" spans="1:66" ht="13.65" customHeight="1" x14ac:dyDescent="0.25">
      <c r="B1" s="281" t="s">
        <v>291</v>
      </c>
      <c r="D1" s="372" t="s">
        <v>128</v>
      </c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3" t="s">
        <v>129</v>
      </c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4" t="s">
        <v>397</v>
      </c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  <c r="AN1" s="376" t="s">
        <v>398</v>
      </c>
      <c r="AO1" s="376"/>
      <c r="AP1" s="376"/>
      <c r="AQ1" s="376"/>
      <c r="AR1" s="376"/>
      <c r="AS1" s="376"/>
      <c r="AT1" s="376"/>
      <c r="AU1" s="376"/>
      <c r="AV1" s="376"/>
      <c r="AW1" s="376"/>
      <c r="AX1" s="376"/>
      <c r="AY1" s="376"/>
      <c r="AZ1" s="375" t="s">
        <v>42</v>
      </c>
      <c r="BA1" s="375"/>
      <c r="BB1" s="375"/>
      <c r="BC1" s="375"/>
      <c r="BD1" s="375"/>
      <c r="BE1" s="375"/>
      <c r="BF1" s="375"/>
      <c r="BG1" s="375"/>
      <c r="BH1" s="375"/>
      <c r="BI1" s="375"/>
      <c r="BJ1" s="375"/>
      <c r="BK1" s="375"/>
      <c r="BM1" s="178" t="s">
        <v>232</v>
      </c>
      <c r="BN1" s="194"/>
    </row>
    <row r="2" spans="1:66" ht="6" customHeight="1" x14ac:dyDescent="0.25">
      <c r="D2" s="243">
        <v>2</v>
      </c>
      <c r="E2" s="243">
        <v>3</v>
      </c>
      <c r="F2" s="243">
        <v>4</v>
      </c>
      <c r="G2" s="243">
        <v>5</v>
      </c>
      <c r="H2" s="243">
        <v>6</v>
      </c>
      <c r="I2" s="243">
        <v>7</v>
      </c>
      <c r="J2" s="243">
        <v>8</v>
      </c>
      <c r="K2" s="243">
        <v>9</v>
      </c>
      <c r="L2" s="243">
        <v>10</v>
      </c>
      <c r="M2" s="243">
        <v>11</v>
      </c>
      <c r="N2" s="243">
        <v>12</v>
      </c>
      <c r="O2" s="243">
        <v>13</v>
      </c>
      <c r="P2" s="247">
        <v>2</v>
      </c>
      <c r="Q2" s="247">
        <v>3</v>
      </c>
      <c r="R2" s="247">
        <v>4</v>
      </c>
      <c r="S2" s="247">
        <v>5</v>
      </c>
      <c r="T2" s="247">
        <v>6</v>
      </c>
      <c r="U2" s="247">
        <v>7</v>
      </c>
      <c r="V2" s="247">
        <v>8</v>
      </c>
      <c r="W2" s="247">
        <v>9</v>
      </c>
      <c r="X2" s="247">
        <v>10</v>
      </c>
      <c r="Y2" s="247">
        <v>11</v>
      </c>
      <c r="Z2" s="247">
        <v>12</v>
      </c>
      <c r="AA2" s="247">
        <v>13</v>
      </c>
      <c r="AB2" s="246">
        <v>2</v>
      </c>
      <c r="AC2" s="246">
        <v>3</v>
      </c>
      <c r="AD2" s="246">
        <v>4</v>
      </c>
      <c r="AE2" s="246">
        <v>5</v>
      </c>
      <c r="AF2" s="246">
        <v>6</v>
      </c>
      <c r="AG2" s="246">
        <v>7</v>
      </c>
      <c r="AH2" s="246">
        <v>8</v>
      </c>
      <c r="AI2" s="246">
        <v>9</v>
      </c>
      <c r="AJ2" s="246">
        <v>10</v>
      </c>
      <c r="AK2" s="246">
        <v>11</v>
      </c>
      <c r="AL2" s="246">
        <v>12</v>
      </c>
      <c r="AM2" s="246">
        <v>13</v>
      </c>
      <c r="AN2" s="245">
        <v>2</v>
      </c>
      <c r="AO2" s="245">
        <v>3</v>
      </c>
      <c r="AP2" s="245">
        <v>4</v>
      </c>
      <c r="AQ2" s="245">
        <v>5</v>
      </c>
      <c r="AR2" s="245">
        <v>6</v>
      </c>
      <c r="AS2" s="245">
        <v>7</v>
      </c>
      <c r="AT2" s="245">
        <v>8</v>
      </c>
      <c r="AU2" s="245">
        <v>9</v>
      </c>
      <c r="AV2" s="245">
        <v>10</v>
      </c>
      <c r="AW2" s="245">
        <v>11</v>
      </c>
      <c r="AX2" s="245">
        <v>12</v>
      </c>
      <c r="AY2" s="245">
        <v>13</v>
      </c>
      <c r="AZ2" s="244">
        <v>2</v>
      </c>
      <c r="BA2" s="244">
        <v>3</v>
      </c>
      <c r="BB2" s="244">
        <v>4</v>
      </c>
      <c r="BC2" s="244">
        <v>5</v>
      </c>
      <c r="BD2" s="244">
        <v>6</v>
      </c>
      <c r="BE2" s="244">
        <v>7</v>
      </c>
      <c r="BF2" s="244">
        <v>8</v>
      </c>
      <c r="BG2" s="244">
        <v>9</v>
      </c>
      <c r="BH2" s="244">
        <v>10</v>
      </c>
      <c r="BI2" s="244">
        <v>11</v>
      </c>
      <c r="BJ2" s="244">
        <v>12</v>
      </c>
      <c r="BK2" s="244">
        <v>13</v>
      </c>
      <c r="BM2" s="178"/>
      <c r="BN2" s="194"/>
    </row>
    <row r="3" spans="1:66" s="119" customFormat="1" x14ac:dyDescent="0.25">
      <c r="A3" s="353" t="s">
        <v>126</v>
      </c>
      <c r="B3" s="353" t="s">
        <v>127</v>
      </c>
      <c r="C3" s="119" t="s">
        <v>181</v>
      </c>
      <c r="D3" s="381" t="s">
        <v>130</v>
      </c>
      <c r="E3" s="381" t="s">
        <v>131</v>
      </c>
      <c r="F3" s="120" t="s">
        <v>132</v>
      </c>
      <c r="G3" s="120" t="s">
        <v>133</v>
      </c>
      <c r="H3" s="120" t="s">
        <v>134</v>
      </c>
      <c r="I3" s="120" t="s">
        <v>135</v>
      </c>
      <c r="J3" s="120" t="s">
        <v>136</v>
      </c>
      <c r="K3" s="120" t="s">
        <v>137</v>
      </c>
      <c r="L3" s="120" t="s">
        <v>138</v>
      </c>
      <c r="M3" s="120" t="s">
        <v>139</v>
      </c>
      <c r="N3" s="120" t="s">
        <v>140</v>
      </c>
      <c r="O3" s="120" t="s">
        <v>141</v>
      </c>
      <c r="P3" s="380" t="s">
        <v>142</v>
      </c>
      <c r="Q3" s="380" t="s">
        <v>143</v>
      </c>
      <c r="R3" s="121" t="s">
        <v>144</v>
      </c>
      <c r="S3" s="121" t="s">
        <v>145</v>
      </c>
      <c r="T3" s="121" t="s">
        <v>146</v>
      </c>
      <c r="U3" s="121" t="s">
        <v>147</v>
      </c>
      <c r="V3" s="121" t="s">
        <v>148</v>
      </c>
      <c r="W3" s="121" t="s">
        <v>149</v>
      </c>
      <c r="X3" s="121" t="s">
        <v>150</v>
      </c>
      <c r="Y3" s="121" t="s">
        <v>151</v>
      </c>
      <c r="Z3" s="121" t="s">
        <v>152</v>
      </c>
      <c r="AA3" s="121" t="s">
        <v>153</v>
      </c>
      <c r="AB3" s="122" t="s">
        <v>154</v>
      </c>
      <c r="AC3" s="122" t="s">
        <v>155</v>
      </c>
      <c r="AD3" s="122" t="s">
        <v>156</v>
      </c>
      <c r="AE3" s="122" t="s">
        <v>157</v>
      </c>
      <c r="AF3" s="122" t="s">
        <v>158</v>
      </c>
      <c r="AG3" s="122" t="s">
        <v>159</v>
      </c>
      <c r="AH3" s="122" t="s">
        <v>160</v>
      </c>
      <c r="AI3" s="122" t="s">
        <v>161</v>
      </c>
      <c r="AJ3" s="122" t="s">
        <v>162</v>
      </c>
      <c r="AK3" s="122" t="s">
        <v>163</v>
      </c>
      <c r="AL3" s="122" t="s">
        <v>164</v>
      </c>
      <c r="AM3" s="122" t="s">
        <v>165</v>
      </c>
      <c r="AN3" s="231" t="s">
        <v>166</v>
      </c>
      <c r="AO3" s="231" t="s">
        <v>167</v>
      </c>
      <c r="AP3" s="231" t="s">
        <v>168</v>
      </c>
      <c r="AQ3" s="231" t="s">
        <v>169</v>
      </c>
      <c r="AR3" s="231" t="s">
        <v>170</v>
      </c>
      <c r="AS3" s="231" t="s">
        <v>171</v>
      </c>
      <c r="AT3" s="231" t="s">
        <v>172</v>
      </c>
      <c r="AU3" s="231" t="s">
        <v>173</v>
      </c>
      <c r="AV3" s="231" t="s">
        <v>174</v>
      </c>
      <c r="AW3" s="231" t="s">
        <v>175</v>
      </c>
      <c r="AX3" s="231" t="s">
        <v>176</v>
      </c>
      <c r="AY3" s="231" t="s">
        <v>177</v>
      </c>
      <c r="AZ3" s="166" t="s">
        <v>166</v>
      </c>
      <c r="BA3" s="166" t="s">
        <v>167</v>
      </c>
      <c r="BB3" s="166" t="s">
        <v>168</v>
      </c>
      <c r="BC3" s="166" t="s">
        <v>169</v>
      </c>
      <c r="BD3" s="166" t="s">
        <v>170</v>
      </c>
      <c r="BE3" s="166" t="s">
        <v>171</v>
      </c>
      <c r="BF3" s="166" t="s">
        <v>172</v>
      </c>
      <c r="BG3" s="166" t="s">
        <v>173</v>
      </c>
      <c r="BH3" s="166" t="s">
        <v>174</v>
      </c>
      <c r="BI3" s="166" t="s">
        <v>175</v>
      </c>
      <c r="BJ3" s="166" t="s">
        <v>176</v>
      </c>
      <c r="BK3" s="166" t="s">
        <v>177</v>
      </c>
      <c r="BL3" s="177"/>
      <c r="BM3" s="179" t="s">
        <v>231</v>
      </c>
      <c r="BN3" s="195" t="s">
        <v>243</v>
      </c>
    </row>
    <row r="4" spans="1:66" x14ac:dyDescent="0.25">
      <c r="A4" s="117">
        <v>160001</v>
      </c>
      <c r="B4" s="117" t="s">
        <v>388</v>
      </c>
      <c r="C4" s="117" t="s">
        <v>178</v>
      </c>
      <c r="D4" s="118">
        <v>90687</v>
      </c>
      <c r="E4" s="118">
        <v>101927</v>
      </c>
      <c r="F4" s="118">
        <v>100406</v>
      </c>
      <c r="G4" s="118">
        <v>93939</v>
      </c>
      <c r="H4" s="118">
        <v>100815</v>
      </c>
      <c r="I4" s="118">
        <v>102575</v>
      </c>
      <c r="J4" s="118">
        <v>100207</v>
      </c>
      <c r="K4" s="118">
        <v>106364</v>
      </c>
      <c r="L4" s="118">
        <v>104231</v>
      </c>
      <c r="M4" s="118">
        <v>116350</v>
      </c>
      <c r="N4" s="118">
        <v>101753</v>
      </c>
      <c r="O4" s="118">
        <v>101755</v>
      </c>
      <c r="P4" s="117">
        <f>SUMIFS(Actual!C:C,Actual!$A:$A,'3)Target &amp; Cal'!$A4,Actual!$B:$B,'3)Target &amp; Cal'!$B4)</f>
        <v>104164.1</v>
      </c>
      <c r="Q4" s="117">
        <f>SUMIFS(Actual!D:D,Actual!$A:$A,'3)Target &amp; Cal'!$A4,Actual!$B:$B,'3)Target &amp; Cal'!$B4)</f>
        <v>87693.1</v>
      </c>
      <c r="R4" s="117">
        <f>SUMIFS(Actual!E:E,Actual!$A:$A,'3)Target &amp; Cal'!$A4,Actual!$B:$B,'3)Target &amp; Cal'!$B4)</f>
        <v>0</v>
      </c>
      <c r="S4" s="117">
        <f>SUMIFS(Actual!F:F,Actual!$A:$A,'3)Target &amp; Cal'!$A4,Actual!$B:$B,'3)Target &amp; Cal'!$B4)</f>
        <v>0</v>
      </c>
      <c r="T4" s="117">
        <f>SUMIFS(Actual!G:G,Actual!$A:$A,'3)Target &amp; Cal'!$A4,Actual!$B:$B,'3)Target &amp; Cal'!$B4)</f>
        <v>0</v>
      </c>
      <c r="U4" s="117">
        <f>SUMIFS(Actual!H:H,Actual!$A:$A,'3)Target &amp; Cal'!$A4,Actual!$B:$B,'3)Target &amp; Cal'!$B4)</f>
        <v>0</v>
      </c>
      <c r="V4" s="117">
        <f>SUMIFS(Actual!I:I,Actual!$A:$A,'3)Target &amp; Cal'!$A4,Actual!$B:$B,'3)Target &amp; Cal'!$B4)</f>
        <v>0</v>
      </c>
      <c r="W4" s="117">
        <f>SUMIFS(Actual!J:J,Actual!$A:$A,'3)Target &amp; Cal'!$A4,Actual!$B:$B,'3)Target &amp; Cal'!$B4)</f>
        <v>0</v>
      </c>
      <c r="X4" s="117">
        <f>SUMIFS(Actual!K:K,Actual!$A:$A,'3)Target &amp; Cal'!$A4,Actual!$B:$B,'3)Target &amp; Cal'!$B4)</f>
        <v>0</v>
      </c>
      <c r="Y4" s="117">
        <f>SUMIFS(Actual!L:L,Actual!$A:$A,'3)Target &amp; Cal'!$A4,Actual!$B:$B,'3)Target &amp; Cal'!$B4)</f>
        <v>0</v>
      </c>
      <c r="Z4" s="117">
        <f>SUMIFS(Actual!M:M,Actual!$A:$A,'3)Target &amp; Cal'!$A4,Actual!$B:$B,'3)Target &amp; Cal'!$B4)</f>
        <v>0</v>
      </c>
      <c r="AA4" s="117">
        <f>SUMIFS(Actual!N:N,Actual!$A:$A,'3)Target &amp; Cal'!$A4,Actual!$B:$B,'3)Target &amp; Cal'!$B4)</f>
        <v>0</v>
      </c>
      <c r="AB4" s="123">
        <f>IFERROR(IF(VLOOKUP($B4,Shortage!$A:$M,AB$2,FALSE)="Shortage",1,IFERROR(ROUND(P4/D4,4),0)),IFERROR(ROUND(P4/D4,4),0))</f>
        <v>1</v>
      </c>
      <c r="AC4" s="123">
        <f>IFERROR(IF(VLOOKUP($B4,Shortage!$A:$M,AC$2,FALSE)="Shortage",1,IFERROR(ROUND(Q4/E4,4),0)),IFERROR(ROUND(Q4/E4,4),0))</f>
        <v>0.86040000000000005</v>
      </c>
      <c r="AD4" s="123">
        <f>IFERROR(IF(VLOOKUP($B4,Shortage!$A:$M,AD$2,FALSE)="Shortage",1,IFERROR(ROUND(R4/F4,4),0)),IFERROR(ROUND(R4/F4,4),0))</f>
        <v>0</v>
      </c>
      <c r="AE4" s="123">
        <f>IFERROR(IF(VLOOKUP($B4,Shortage!$A:$M,AE$2,FALSE)="Shortage",1,IFERROR(ROUND(S4/G4,4),0)),IFERROR(ROUND(S4/G4,4),0))</f>
        <v>0</v>
      </c>
      <c r="AF4" s="123">
        <f>IFERROR(IF(VLOOKUP($B4,Shortage!$A:$M,AF$2,FALSE)="Shortage",1,IFERROR(ROUND(T4/H4,4),0)),IFERROR(ROUND(T4/H4,4),0))</f>
        <v>0</v>
      </c>
      <c r="AG4" s="123">
        <f>IFERROR(IF(VLOOKUP($B4,Shortage!$A:$M,AG$2,FALSE)="Shortage",1,IFERROR(ROUND(U4/I4,4),0)),IFERROR(ROUND(U4/I4,4),0))</f>
        <v>0</v>
      </c>
      <c r="AH4" s="123">
        <f>IFERROR(IF(VLOOKUP($B4,Shortage!$A:$M,AH$2,FALSE)="Shortage",1,IFERROR(ROUND(V4/J4,4),0)),IFERROR(ROUND(V4/J4,4),0))</f>
        <v>0</v>
      </c>
      <c r="AI4" s="123">
        <f>IFERROR(IF(VLOOKUP($B4,Shortage!$A:$M,AI$2,FALSE)="Shortage",1,IFERROR(ROUND(W4/K4,4),0)),IFERROR(ROUND(W4/K4,4),0))</f>
        <v>0</v>
      </c>
      <c r="AJ4" s="123">
        <f>IFERROR(IF(VLOOKUP($B4,Shortage!$A:$M,AP$2,FALSE)="Shortage",1,IFERROR(ROUND(X4/L4,4),0)),IFERROR(ROUND(X4/L4,4),0))</f>
        <v>0</v>
      </c>
      <c r="AK4" s="123">
        <f>IFERROR(IF(VLOOKUP($B4,Shortage!$A:$M,AK$2,FALSE)="Shortage",1,IFERROR(ROUND(Y4/M4,4),0)),IFERROR(ROUND(Y4/M4,4),0))</f>
        <v>0</v>
      </c>
      <c r="AL4" s="123">
        <f>IFERROR(IF(VLOOKUP($B4,Shortage!$A:$M,AL$2,FALSE)="Shortage",1,IFERROR(ROUND(Z4/N4,4),0)),IFERROR(ROUND(Z4/N4,4),0))</f>
        <v>0</v>
      </c>
      <c r="AM4" s="123">
        <f>IFERROR(IF(VLOOKUP($B4,Shortage!$A:$M,AM$2,FALSE)="Shortage",1,IFERROR(ROUND(AA4/O4,4),0)),IFERROR(ROUND(AA4/O4,4),0))</f>
        <v>0</v>
      </c>
      <c r="AN4" s="337">
        <f>IFERROR(IF($C4="Top WS",VLOOKUP("GOAL",'2) หลักการคำนวน Table'!$D$4:$M$4,HLOOKUP(AB4,'2) หลักการคำนวน Table'!$D$1:$M$5,5,TRUE),0),
IF($C4="WS SF",VLOOKUP("GOAL",'2) หลักการคำนวน Table'!$D$32:$M$32,HLOOKUP(AB4,'2) หลักการคำนวน Table'!$D$1:$M$5,5,TRUE),0),
IF($C4="WS WH",VLOOKUP("GOAL",'2) หลักการคำนวน Table'!$D$62:$M$62,HLOOKUP(AB4,'2) หลักการคำนวน Table'!$D$1:$M$5,5,TRUE),0),
IF($C4="SF WH",VLOOKUP("GOAL",'2) หลักการคำนวน Table'!$D$92:$M$92,HLOOKUP(AB4,'2) หลักการคำนวน Table'!$D$1:$M$5,5,TRUE),0))))),0)</f>
        <v>1</v>
      </c>
      <c r="AO4" s="232">
        <f>IFERROR(IF($C4="Top WS",VLOOKUP("GOAL",'2) หลักการคำนวน Table'!$D$4:$M$4,HLOOKUP(AC4,'2) หลักการคำนวน Table'!$D$1:$M$5,5,TRUE),0),
IF($C4="WS SF",VLOOKUP("GOAL",'2) หลักการคำนวน Table'!$D$32:$M$32,HLOOKUP(AC4,'2) หลักการคำนวน Table'!$D$1:$M$5,5,TRUE),0),
IF($C4="WS WH",VLOOKUP("GOAL",'2) หลักการคำนวน Table'!$D$62:$M$62,HLOOKUP(AC4,'2) หลักการคำนวน Table'!$D$1:$M$5,5,TRUE),0),
IF($C4="SF WH",VLOOKUP("GOAL",'2) หลักการคำนวน Table'!$D$92:$M$92,HLOOKUP(AC4,'2) หลักการคำนวน Table'!$D$1:$M$5,5,TRUE),0))))),0)</f>
        <v>0.9</v>
      </c>
      <c r="AP4" s="232">
        <f>IFERROR(IF($C4="Top WS",VLOOKUP("GOAL",'2) หลักการคำนวน Table'!$D$4:$M$4,HLOOKUP(AD4,'2) หลักการคำนวน Table'!$D$1:$M$5,5,TRUE),0),
IF($C4="WS SF",VLOOKUP("GOAL",'2) หลักการคำนวน Table'!$D$32:$M$32,HLOOKUP(AD4,'2) หลักการคำนวน Table'!$D$1:$M$5,5,TRUE),0),
IF($C4="WS WH",VLOOKUP("GOAL",'2) หลักการคำนวน Table'!$D$62:$M$62,HLOOKUP(AD4,'2) หลักการคำนวน Table'!$D$1:$M$5,5,TRUE),0),
IF($C4="SF WH",VLOOKUP("GOAL",'2) หลักการคำนวน Table'!$D$92:$M$92,HLOOKUP(AD4,'2) หลักการคำนวน Table'!$D$1:$M$5,5,TRUE),0))))),0)</f>
        <v>0.9</v>
      </c>
      <c r="AQ4" s="232">
        <f>IFERROR(IF($C4="Top WS",VLOOKUP("GOAL",'2) หลักการคำนวน Table'!$D$4:$M$4,HLOOKUP(AE4,'2) หลักการคำนวน Table'!$D$1:$M$5,5,TRUE),0),
IF($C4="WS SF",VLOOKUP("GOAL",'2) หลักการคำนวน Table'!$D$32:$M$32,HLOOKUP(AE4,'2) หลักการคำนวน Table'!$D$1:$M$5,5,TRUE),0),
IF($C4="WS WH",VLOOKUP("GOAL",'2) หลักการคำนวน Table'!$D$62:$M$62,HLOOKUP(AE4,'2) หลักการคำนวน Table'!$D$1:$M$5,5,TRUE),0),
IF($C4="SF WH",VLOOKUP("GOAL",'2) หลักการคำนวน Table'!$D$92:$M$92,HLOOKUP(AE4,'2) หลักการคำนวน Table'!$D$1:$M$5,5,TRUE),0))))),0)</f>
        <v>0.9</v>
      </c>
      <c r="AR4" s="232">
        <f>IFERROR(IF($C4="Top WS",VLOOKUP("GOAL",'2) หลักการคำนวน Table'!$D$4:$M$4,HLOOKUP(AF4,'2) หลักการคำนวน Table'!$D$1:$M$5,5,TRUE),0),
IF($C4="WS SF",VLOOKUP("GOAL",'2) หลักการคำนวน Table'!$D$32:$M$32,HLOOKUP(AF4,'2) หลักการคำนวน Table'!$D$1:$M$5,5,TRUE),0),
IF($C4="WS WH",VLOOKUP("GOAL",'2) หลักการคำนวน Table'!$D$62:$M$62,HLOOKUP(AF4,'2) หลักการคำนวน Table'!$D$1:$M$5,5,TRUE),0),
IF($C4="SF WH",VLOOKUP("GOAL",'2) หลักการคำนวน Table'!$D$92:$M$92,HLOOKUP(AF4,'2) หลักการคำนวน Table'!$D$1:$M$5,5,TRUE),0))))),0)</f>
        <v>0.9</v>
      </c>
      <c r="AS4" s="232">
        <f>IFERROR(IF($C4="Top WS",VLOOKUP("GOAL",'2) หลักการคำนวน Table'!$D$4:$M$4,HLOOKUP(AG4,'2) หลักการคำนวน Table'!$D$1:$M$5,5,TRUE),0),
IF($C4="WS SF",VLOOKUP("GOAL",'2) หลักการคำนวน Table'!$D$32:$M$32,HLOOKUP(AG4,'2) หลักการคำนวน Table'!$D$1:$M$5,5,TRUE),0),
IF($C4="WS WH",VLOOKUP("GOAL",'2) หลักการคำนวน Table'!$D$62:$M$62,HLOOKUP(AG4,'2) หลักการคำนวน Table'!$D$1:$M$5,5,TRUE),0),
IF($C4="SF WH",VLOOKUP("GOAL",'2) หลักการคำนวน Table'!$D$92:$M$92,HLOOKUP(AG4,'2) หลักการคำนวน Table'!$D$1:$M$5,5,TRUE),0))))),0)</f>
        <v>0.9</v>
      </c>
      <c r="AT4" s="232">
        <f>IFERROR(IF($C4="Top WS",VLOOKUP("GOAL",'2) หลักการคำนวน Table'!$D$4:$M$4,HLOOKUP(AH4,'2) หลักการคำนวน Table'!$D$1:$M$5,5,TRUE),0),
IF($C4="WS SF",VLOOKUP("GOAL",'2) หลักการคำนวน Table'!$D$32:$M$32,HLOOKUP(AH4,'2) หลักการคำนวน Table'!$D$1:$M$5,5,TRUE),0),
IF($C4="WS WH",VLOOKUP("GOAL",'2) หลักการคำนวน Table'!$D$62:$M$62,HLOOKUP(AH4,'2) หลักการคำนวน Table'!$D$1:$M$5,5,TRUE),0),
IF($C4="SF WH",VLOOKUP("GOAL",'2) หลักการคำนวน Table'!$D$92:$M$92,HLOOKUP(AH4,'2) หลักการคำนวน Table'!$D$1:$M$5,5,TRUE),0))))),0)</f>
        <v>0.9</v>
      </c>
      <c r="AU4" s="232">
        <f>IFERROR(IF($C4="Top WS",VLOOKUP("GOAL",'2) หลักการคำนวน Table'!$D$4:$M$4,HLOOKUP(AI4,'2) หลักการคำนวน Table'!$D$1:$M$5,5,TRUE),0),
IF($C4="WS SF",VLOOKUP("GOAL",'2) หลักการคำนวน Table'!$D$32:$M$32,HLOOKUP(AI4,'2) หลักการคำนวน Table'!$D$1:$M$5,5,TRUE),0),
IF($C4="WS WH",VLOOKUP("GOAL",'2) หลักการคำนวน Table'!$D$62:$M$62,HLOOKUP(AI4,'2) หลักการคำนวน Table'!$D$1:$M$5,5,TRUE),0),
IF($C4="SF WH",VLOOKUP("GOAL",'2) หลักการคำนวน Table'!$D$92:$M$92,HLOOKUP(AI4,'2) หลักการคำนวน Table'!$D$1:$M$5,5,TRUE),0))))),0)</f>
        <v>0.9</v>
      </c>
      <c r="AV4" s="232">
        <f>IFERROR(IF($C4="Top WS",VLOOKUP("GOAL",'2) หลักการคำนวน Table'!$D$4:$M$4,HLOOKUP(AP4,'2) หลักการคำนวน Table'!$D$1:$M$5,5,TRUE),0),
IF($C4="WS SF",VLOOKUP("GOAL",'2) หลักการคำนวน Table'!$D$32:$M$32,HLOOKUP(AP4,'2) หลักการคำนวน Table'!$D$1:$M$5,5,TRUE),0),
IF($C4="WS WH",VLOOKUP("GOAL",'2) หลักการคำนวน Table'!$D$62:$M$62,HLOOKUP(AP4,'2) หลักการคำนวน Table'!$D$1:$M$5,5,TRUE),0),
IF($C4="SF WH",VLOOKUP("GOAL",'2) หลักการคำนวน Table'!$D$92:$M$92,HLOOKUP(AP4,'2) หลักการคำนวน Table'!$D$1:$M$5,5,TRUE),0))))),0)</f>
        <v>0.9</v>
      </c>
      <c r="AW4" s="232">
        <f>IFERROR(IF($C4="Top WS",VLOOKUP("GOAL",'2) หลักการคำนวน Table'!$D$4:$M$4,HLOOKUP(AK4,'2) หลักการคำนวน Table'!$D$1:$M$5,5,TRUE),0),
IF($C4="WS SF",VLOOKUP("GOAL",'2) หลักการคำนวน Table'!$D$32:$M$32,HLOOKUP(AK4,'2) หลักการคำนวน Table'!$D$1:$M$5,5,TRUE),0),
IF($C4="WS WH",VLOOKUP("GOAL",'2) หลักการคำนวน Table'!$D$62:$M$62,HLOOKUP(AK4,'2) หลักการคำนวน Table'!$D$1:$M$5,5,TRUE),0),
IF($C4="SF WH",VLOOKUP("GOAL",'2) หลักการคำนวน Table'!$D$92:$M$92,HLOOKUP(AK4,'2) หลักการคำนวน Table'!$D$1:$M$5,5,TRUE),0))))),0)</f>
        <v>0.9</v>
      </c>
      <c r="AX4" s="232">
        <f>IFERROR(IF($C4="Top WS",VLOOKUP("GOAL",'2) หลักการคำนวน Table'!$D$4:$M$4,HLOOKUP(AL4,'2) หลักการคำนวน Table'!$D$1:$M$5,5,TRUE),0),
IF($C4="WS SF",VLOOKUP("GOAL",'2) หลักการคำนวน Table'!$D$32:$M$32,HLOOKUP(AL4,'2) หลักการคำนวน Table'!$D$1:$M$5,5,TRUE),0),
IF($C4="WS WH",VLOOKUP("GOAL",'2) หลักการคำนวน Table'!$D$62:$M$62,HLOOKUP(AL4,'2) หลักการคำนวน Table'!$D$1:$M$5,5,TRUE),0),
IF($C4="SF WH",VLOOKUP("GOAL",'2) หลักการคำนวน Table'!$D$92:$M$92,HLOOKUP(AL4,'2) หลักการคำนวน Table'!$D$1:$M$5,5,TRUE),0))))),0)</f>
        <v>0.9</v>
      </c>
      <c r="AY4" s="232">
        <f>IFERROR(IF($C4="Top WS",VLOOKUP("GOAL",'2) หลักการคำนวน Table'!$D$4:$M$4,HLOOKUP(AM4,'2) หลักการคำนวน Table'!$D$1:$M$5,5,TRUE),0),
IF($C4="WS SF",VLOOKUP("GOAL",'2) หลักการคำนวน Table'!$D$32:$M$32,HLOOKUP(AM4,'2) หลักการคำนวน Table'!$D$1:$M$5,5,TRUE),0),
IF($C4="WS WH",VLOOKUP("GOAL",'2) หลักการคำนวน Table'!$D$62:$M$62,HLOOKUP(AM4,'2) หลักการคำนวน Table'!$D$1:$M$5,5,TRUE),0),
IF($C4="SF WH",VLOOKUP("GOAL",'2) หลักการคำนวน Table'!$D$92:$M$92,HLOOKUP(AM4,'2) หลักการคำนวน Table'!$D$1:$M$5,5,TRUE),0))))),0)</f>
        <v>0.9</v>
      </c>
      <c r="AZ4" s="167">
        <f>IFERROR(IF($C4="Top WS",VLOOKUP($B4,'2) หลักการคำนวน Table'!$D$5:$M$20,HLOOKUP(AB4,'2) หลักการคำนวน Table'!$D$1:$M$5,5,TRUE),0),
IF($C4="WS SF",VLOOKUP($B4,'2) หลักการคำนวน Table'!$D$33:$M$48,HLOOKUP(AB4,'2) หลักการคำนวน Table'!$D$1:$M$5,5,TRUE),0),
IF($C4="WS WH",VLOOKUP($B4,'2) หลักการคำนวน Table'!$D$63:$M$78,HLOOKUP(AB4,'2) หลักการคำนวน Table'!$D$1:$M$5,5,TRUE),0),
IF($C4="SF WH",VLOOKUP($B4,'2) หลักการคำนวน Table'!$D$93:$M$108,HLOOKUP(AB4,'2) หลักการคำนวน Table'!$D$1:$M$5,5,TRUE),0))))),0)</f>
        <v>200</v>
      </c>
      <c r="BA4" s="167">
        <f>IFERROR(IF($C4="Top WS",VLOOKUP($B4,'2) หลักการคำนวน Table'!$D$5:$M$20,HLOOKUP(AC4,'2) หลักการคำนวน Table'!$D$1:$M$5,5,TRUE),0),
IF($C4="WS SF",VLOOKUP($B4,'2) หลักการคำนวน Table'!$D$33:$M$48,HLOOKUP(AC4,'2) หลักการคำนวน Table'!$D$1:$M$5,5,TRUE),0),
IF($C4="WS WH",VLOOKUP($B4,'2) หลักการคำนวน Table'!$D$63:$M$78,HLOOKUP(AC4,'2) หลักการคำนวน Table'!$D$1:$M$5,5,TRUE),0),
IF($C4="SF WH",VLOOKUP($B4,'2) หลักการคำนวน Table'!$D$93:$M$108,HLOOKUP(AC4,'2) หลักการคำนวน Table'!$D$1:$M$5,5,TRUE),0))))),0)</f>
        <v>180</v>
      </c>
      <c r="BB4" s="167">
        <f>IFERROR(IF($C4="Top WS",VLOOKUP($B4,'2) หลักการคำนวน Table'!$D$5:$M$20,HLOOKUP(AD4,'2) หลักการคำนวน Table'!$D$1:$M$5,5,TRUE),0),
IF($C4="WS SF",VLOOKUP($B4,'2) หลักการคำนวน Table'!$D$33:$M$48,HLOOKUP(AD4,'2) หลักการคำนวน Table'!$D$1:$M$5,5,TRUE),0),
IF($C4="WS WH",VLOOKUP($B4,'2) หลักการคำนวน Table'!$D$63:$M$78,HLOOKUP(AD4,'2) หลักการคำนวน Table'!$D$1:$M$5,5,TRUE),0),
IF($C4="SF WH",VLOOKUP($B4,'2) หลักการคำนวน Table'!$D$93:$M$108,HLOOKUP(AD4,'2) หลักการคำนวน Table'!$D$1:$M$5,5,TRUE),0))))),0)</f>
        <v>180</v>
      </c>
      <c r="BC4" s="167">
        <f>IFERROR(IF($C4="Top WS",VLOOKUP($B4,'2) หลักการคำนวน Table'!$D$5:$M$20,HLOOKUP(AE4,'2) หลักการคำนวน Table'!$D$1:$M$5,5,TRUE),0),
IF($C4="WS SF",VLOOKUP($B4,'2) หลักการคำนวน Table'!$D$33:$M$48,HLOOKUP(AE4,'2) หลักการคำนวน Table'!$D$1:$M$5,5,TRUE),0),
IF($C4="WS WH",VLOOKUP($B4,'2) หลักการคำนวน Table'!$D$63:$M$78,HLOOKUP(AE4,'2) หลักการคำนวน Table'!$D$1:$M$5,5,TRUE),0),
IF($C4="SF WH",VLOOKUP($B4,'2) หลักการคำนวน Table'!$D$93:$M$108,HLOOKUP(AE4,'2) หลักการคำนวน Table'!$D$1:$M$5,5,TRUE),0))))),0)</f>
        <v>180</v>
      </c>
      <c r="BD4" s="167">
        <f>IFERROR(IF($C4="Top WS",VLOOKUP($B4,'2) หลักการคำนวน Table'!$D$5:$M$20,HLOOKUP(AF4,'2) หลักการคำนวน Table'!$D$1:$M$5,5,TRUE),0),
IF($C4="WS SF",VLOOKUP($B4,'2) หลักการคำนวน Table'!$D$33:$M$48,HLOOKUP(AF4,'2) หลักการคำนวน Table'!$D$1:$M$5,5,TRUE),0),
IF($C4="WS WH",VLOOKUP($B4,'2) หลักการคำนวน Table'!$D$63:$M$78,HLOOKUP(AF4,'2) หลักการคำนวน Table'!$D$1:$M$5,5,TRUE),0),
IF($C4="SF WH",VLOOKUP($B4,'2) หลักการคำนวน Table'!$D$93:$M$108,HLOOKUP(AF4,'2) หลักการคำนวน Table'!$D$1:$M$5,5,TRUE),0))))),0)</f>
        <v>180</v>
      </c>
      <c r="BE4" s="167">
        <f>IFERROR(IF($C4="Top WS",VLOOKUP($B4,'2) หลักการคำนวน Table'!$D$5:$M$20,HLOOKUP(AG4,'2) หลักการคำนวน Table'!$D$1:$M$5,5,TRUE),0),
IF($C4="WS SF",VLOOKUP($B4,'2) หลักการคำนวน Table'!$D$33:$M$48,HLOOKUP(AG4,'2) หลักการคำนวน Table'!$D$1:$M$5,5,TRUE),0),
IF($C4="WS WH",VLOOKUP($B4,'2) หลักการคำนวน Table'!$D$63:$M$78,HLOOKUP(AG4,'2) หลักการคำนวน Table'!$D$1:$M$5,5,TRUE),0),
IF($C4="SF WH",VLOOKUP($B4,'2) หลักการคำนวน Table'!$D$93:$M$108,HLOOKUP(AG4,'2) หลักการคำนวน Table'!$D$1:$M$5,5,TRUE),0))))),0)</f>
        <v>180</v>
      </c>
      <c r="BF4" s="167">
        <f>IFERROR(IF($C4="Top WS",VLOOKUP($B4,'2) หลักการคำนวน Table'!$D$5:$M$20,HLOOKUP(AH4,'2) หลักการคำนวน Table'!$D$1:$M$5,5,TRUE),0),
IF($C4="WS SF",VLOOKUP($B4,'2) หลักการคำนวน Table'!$D$33:$M$48,HLOOKUP(AH4,'2) หลักการคำนวน Table'!$D$1:$M$5,5,TRUE),0),
IF($C4="WS WH",VLOOKUP($B4,'2) หลักการคำนวน Table'!$D$63:$M$78,HLOOKUP(AH4,'2) หลักการคำนวน Table'!$D$1:$M$5,5,TRUE),0),
IF($C4="SF WH",VLOOKUP($B4,'2) หลักการคำนวน Table'!$D$93:$M$108,HLOOKUP(AH4,'2) หลักการคำนวน Table'!$D$1:$M$5,5,TRUE),0))))),0)</f>
        <v>180</v>
      </c>
      <c r="BG4" s="167">
        <f>IFERROR(IF($C4="Top WS",VLOOKUP($B4,'2) หลักการคำนวน Table'!$D$5:$M$20,HLOOKUP(AI4,'2) หลักการคำนวน Table'!$D$1:$M$5,5,TRUE),0),
IF($C4="WS SF",VLOOKUP($B4,'2) หลักการคำนวน Table'!$D$33:$M$48,HLOOKUP(AI4,'2) หลักการคำนวน Table'!$D$1:$M$5,5,TRUE),0),
IF($C4="WS WH",VLOOKUP($B4,'2) หลักการคำนวน Table'!$D$63:$M$78,HLOOKUP(AI4,'2) หลักการคำนวน Table'!$D$1:$M$5,5,TRUE),0),
IF($C4="SF WH",VLOOKUP($B4,'2) หลักการคำนวน Table'!$D$93:$M$108,HLOOKUP(AI4,'2) หลักการคำนวน Table'!$D$1:$M$5,5,TRUE),0))))),0)</f>
        <v>180</v>
      </c>
      <c r="BH4" s="167">
        <f>IFERROR(IF($C4="Top WS",VLOOKUP($B4,'2) หลักการคำนวน Table'!$D$5:$M$20,HLOOKUP(AP4,'2) หลักการคำนวน Table'!$D$1:$M$5,5,TRUE),0),
IF($C4="WS SF",VLOOKUP($B4,'2) หลักการคำนวน Table'!$D$33:$M$48,HLOOKUP(AP4,'2) หลักการคำนวน Table'!$D$1:$M$5,5,TRUE),0),
IF($C4="WS WH",VLOOKUP($B4,'2) หลักการคำนวน Table'!$D$63:$M$78,HLOOKUP(AP4,'2) หลักการคำนวน Table'!$D$1:$M$5,5,TRUE),0),
IF($C4="SF WH",VLOOKUP($B4,'2) หลักการคำนวน Table'!$D$93:$M$108,HLOOKUP(AP4,'2) หลักการคำนวน Table'!$D$1:$M$5,5,TRUE),0))))),0)</f>
        <v>180</v>
      </c>
      <c r="BI4" s="167">
        <f>IFERROR(IF($C4="Top WS",VLOOKUP($B4,'2) หลักการคำนวน Table'!$D$5:$M$20,HLOOKUP(AK4,'2) หลักการคำนวน Table'!$D$1:$M$5,5,TRUE),0),
IF($C4="WS SF",VLOOKUP($B4,'2) หลักการคำนวน Table'!$D$33:$M$48,HLOOKUP(AK4,'2) หลักการคำนวน Table'!$D$1:$M$5,5,TRUE),0),
IF($C4="WS WH",VLOOKUP($B4,'2) หลักการคำนวน Table'!$D$63:$M$78,HLOOKUP(AK4,'2) หลักการคำนวน Table'!$D$1:$M$5,5,TRUE),0),
IF($C4="SF WH",VLOOKUP($B4,'2) หลักการคำนวน Table'!$D$93:$M$108,HLOOKUP(AK4,'2) หลักการคำนวน Table'!$D$1:$M$5,5,TRUE),0))))),0)</f>
        <v>180</v>
      </c>
      <c r="BJ4" s="167">
        <f>IFERROR(IF($C4="Top WS",VLOOKUP($B4,'2) หลักการคำนวน Table'!$D$5:$M$20,HLOOKUP(AL4,'2) หลักการคำนวน Table'!$D$1:$M$5,5,TRUE),0),
IF($C4="WS SF",VLOOKUP($B4,'2) หลักการคำนวน Table'!$D$33:$M$48,HLOOKUP(AL4,'2) หลักการคำนวน Table'!$D$1:$M$5,5,TRUE),0),
IF($C4="WS WH",VLOOKUP($B4,'2) หลักการคำนวน Table'!$D$63:$M$78,HLOOKUP(AL4,'2) หลักการคำนวน Table'!$D$1:$M$5,5,TRUE),0),
IF($C4="SF WH",VLOOKUP($B4,'2) หลักการคำนวน Table'!$D$93:$M$108,HLOOKUP(AL4,'2) หลักการคำนวน Table'!$D$1:$M$5,5,TRUE),0))))),0)</f>
        <v>180</v>
      </c>
      <c r="BK4" s="167">
        <f>IFERROR(IF($C4="Top WS",VLOOKUP($B4,'2) หลักการคำนวน Table'!$D$5:$M$20,HLOOKUP(AM4,'2) หลักการคำนวน Table'!$D$1:$M$5,5,TRUE),0),
IF($C4="WS SF",VLOOKUP($B4,'2) หลักการคำนวน Table'!$D$33:$M$48,HLOOKUP(AM4,'2) หลักการคำนวน Table'!$D$1:$M$5,5,TRUE),0),
IF($C4="WS WH",VLOOKUP($B4,'2) หลักการคำนวน Table'!$D$63:$M$78,HLOOKUP(AM4,'2) หลักการคำนวน Table'!$D$1:$M$5,5,TRUE),0),
IF($C4="SF WH",VLOOKUP($B4,'2) หลักการคำนวน Table'!$D$93:$M$108,HLOOKUP(AM4,'2) หลักการคำนวน Table'!$D$1:$M$5,5,TRUE),0))))),0)</f>
        <v>180</v>
      </c>
      <c r="BM4" s="119">
        <f>VLOOKUP(VLOOKUP(A4,ASTBase!E:S,13,FALSE),ASTBase!F:P,11,FALSE)</f>
        <v>160000</v>
      </c>
      <c r="BN4" s="196" cm="1">
        <f t="array" ref="BN4">INDEX(AN4:AY4,,Period!$D$2)</f>
        <v>0.9</v>
      </c>
    </row>
    <row r="5" spans="1:66" x14ac:dyDescent="0.25">
      <c r="A5" s="117">
        <v>160001</v>
      </c>
      <c r="B5" s="117" t="s">
        <v>389</v>
      </c>
      <c r="C5" s="117" t="s">
        <v>178</v>
      </c>
      <c r="D5" s="118">
        <v>53051</v>
      </c>
      <c r="E5" s="118">
        <v>50068</v>
      </c>
      <c r="F5" s="118">
        <v>57851</v>
      </c>
      <c r="G5" s="118">
        <v>47433</v>
      </c>
      <c r="H5" s="118">
        <v>39743</v>
      </c>
      <c r="I5" s="118">
        <v>50357</v>
      </c>
      <c r="J5" s="118">
        <v>46264</v>
      </c>
      <c r="K5" s="118">
        <v>52554</v>
      </c>
      <c r="L5" s="118">
        <v>52712</v>
      </c>
      <c r="M5" s="118">
        <v>58614</v>
      </c>
      <c r="N5" s="118">
        <v>47446</v>
      </c>
      <c r="O5" s="118">
        <v>47440</v>
      </c>
      <c r="P5" s="117">
        <f>SUMIFS(Actual!C:C,Actual!$A:$A,'3)Target &amp; Cal'!$A5,Actual!$B:$B,'3)Target &amp; Cal'!$B5)</f>
        <v>56606.600000000006</v>
      </c>
      <c r="Q5" s="117">
        <f>SUMIFS(Actual!D:D,Actual!$A:$A,'3)Target &amp; Cal'!$A5,Actual!$B:$B,'3)Target &amp; Cal'!$B5)</f>
        <v>39516.500000000007</v>
      </c>
      <c r="R5" s="117">
        <f>SUMIFS(Actual!E:E,Actual!$A:$A,'3)Target &amp; Cal'!$A5,Actual!$B:$B,'3)Target &amp; Cal'!$B5)</f>
        <v>0</v>
      </c>
      <c r="S5" s="117">
        <f>SUMIFS(Actual!F:F,Actual!$A:$A,'3)Target &amp; Cal'!$A5,Actual!$B:$B,'3)Target &amp; Cal'!$B5)</f>
        <v>0</v>
      </c>
      <c r="T5" s="117">
        <f>SUMIFS(Actual!G:G,Actual!$A:$A,'3)Target &amp; Cal'!$A5,Actual!$B:$B,'3)Target &amp; Cal'!$B5)</f>
        <v>0</v>
      </c>
      <c r="U5" s="117">
        <f>SUMIFS(Actual!H:H,Actual!$A:$A,'3)Target &amp; Cal'!$A5,Actual!$B:$B,'3)Target &amp; Cal'!$B5)</f>
        <v>0</v>
      </c>
      <c r="V5" s="117">
        <f>SUMIFS(Actual!I:I,Actual!$A:$A,'3)Target &amp; Cal'!$A5,Actual!$B:$B,'3)Target &amp; Cal'!$B5)</f>
        <v>0</v>
      </c>
      <c r="W5" s="117">
        <f>SUMIFS(Actual!J:J,Actual!$A:$A,'3)Target &amp; Cal'!$A5,Actual!$B:$B,'3)Target &amp; Cal'!$B5)</f>
        <v>0</v>
      </c>
      <c r="X5" s="117">
        <f>SUMIFS(Actual!K:K,Actual!$A:$A,'3)Target &amp; Cal'!$A5,Actual!$B:$B,'3)Target &amp; Cal'!$B5)</f>
        <v>0</v>
      </c>
      <c r="Y5" s="117">
        <f>SUMIFS(Actual!L:L,Actual!$A:$A,'3)Target &amp; Cal'!$A5,Actual!$B:$B,'3)Target &amp; Cal'!$B5)</f>
        <v>0</v>
      </c>
      <c r="Z5" s="117">
        <f>SUMIFS(Actual!M:M,Actual!$A:$A,'3)Target &amp; Cal'!$A5,Actual!$B:$B,'3)Target &amp; Cal'!$B5)</f>
        <v>0</v>
      </c>
      <c r="AA5" s="117">
        <f>SUMIFS(Actual!N:N,Actual!$A:$A,'3)Target &amp; Cal'!$A5,Actual!$B:$B,'3)Target &amp; Cal'!$B5)</f>
        <v>0</v>
      </c>
      <c r="AB5" s="123">
        <f>IFERROR(IF(VLOOKUP($B5,Shortage!$A:$M,AB$2,FALSE)="Shortage",1,IFERROR(ROUND(P5/D5,4),0)),IFERROR(ROUND(P5/D5,4),0))</f>
        <v>1</v>
      </c>
      <c r="AC5" s="123">
        <f>IFERROR(IF(VLOOKUP($B5,Shortage!$A:$M,AC$2,FALSE)="Shortage",1,IFERROR(ROUND(Q5/E5,4),0)),IFERROR(ROUND(Q5/E5,4),0))</f>
        <v>1</v>
      </c>
      <c r="AD5" s="123">
        <f>IFERROR(IF(VLOOKUP($B5,Shortage!$A:$M,AD$2,FALSE)="Shortage",1,IFERROR(ROUND(R5/F5,4),0)),IFERROR(ROUND(R5/F5,4),0))</f>
        <v>0</v>
      </c>
      <c r="AE5" s="123">
        <f>IFERROR(IF(VLOOKUP($B5,Shortage!$A:$M,AE$2,FALSE)="Shortage",1,IFERROR(ROUND(S5/G5,4),0)),IFERROR(ROUND(S5/G5,4),0))</f>
        <v>0</v>
      </c>
      <c r="AF5" s="123">
        <f>IFERROR(IF(VLOOKUP($B5,Shortage!$A:$M,AF$2,FALSE)="Shortage",1,IFERROR(ROUND(T5/H5,4),0)),IFERROR(ROUND(T5/H5,4),0))</f>
        <v>0</v>
      </c>
      <c r="AG5" s="123">
        <f>IFERROR(IF(VLOOKUP($B5,Shortage!$A:$M,AG$2,FALSE)="Shortage",1,IFERROR(ROUND(U5/I5,4),0)),IFERROR(ROUND(U5/I5,4),0))</f>
        <v>0</v>
      </c>
      <c r="AH5" s="123">
        <f>IFERROR(IF(VLOOKUP($B5,Shortage!$A:$M,AH$2,FALSE)="Shortage",1,IFERROR(ROUND(V5/J5,4),0)),IFERROR(ROUND(V5/J5,4),0))</f>
        <v>0</v>
      </c>
      <c r="AI5" s="123">
        <f>IFERROR(IF(VLOOKUP($B5,Shortage!$A:$M,AI$2,FALSE)="Shortage",1,IFERROR(ROUND(W5/K5,4),0)),IFERROR(ROUND(W5/K5,4),0))</f>
        <v>0</v>
      </c>
      <c r="AJ5" s="123">
        <f>IFERROR(IF(VLOOKUP($B5,Shortage!$A:$M,AP$2,FALSE)="Shortage",1,IFERROR(ROUND(X5/L5,4),0)),IFERROR(ROUND(X5/L5,4),0))</f>
        <v>0</v>
      </c>
      <c r="AK5" s="123">
        <f>IFERROR(IF(VLOOKUP($B5,Shortage!$A:$M,AK$2,FALSE)="Shortage",1,IFERROR(ROUND(Y5/M5,4),0)),IFERROR(ROUND(Y5/M5,4),0))</f>
        <v>0</v>
      </c>
      <c r="AL5" s="123">
        <f>IFERROR(IF(VLOOKUP($B5,Shortage!$A:$M,AL$2,FALSE)="Shortage",1,IFERROR(ROUND(Z5/N5,4),0)),IFERROR(ROUND(Z5/N5,4),0))</f>
        <v>0</v>
      </c>
      <c r="AM5" s="123">
        <f>IFERROR(IF(VLOOKUP($B5,Shortage!$A:$M,AM$2,FALSE)="Shortage",1,IFERROR(ROUND(AA5/O5,4),0)),IFERROR(ROUND(AA5/O5,4),0))</f>
        <v>0</v>
      </c>
      <c r="AN5" s="337">
        <f>IFERROR(IF($C5="Top WS",VLOOKUP("GOAL",'2) หลักการคำนวน Table'!$D$4:$M$4,HLOOKUP(AB5,'2) หลักการคำนวน Table'!$D$1:$M$5,5,TRUE),0),
IF($C5="WS SF",VLOOKUP("GOAL",'2) หลักการคำนวน Table'!$D$32:$M$32,HLOOKUP(AB5,'2) หลักการคำนวน Table'!$D$1:$M$5,5,TRUE),0),
IF($C5="WS WH",VLOOKUP("GOAL",'2) หลักการคำนวน Table'!$D$62:$M$62,HLOOKUP(AB5,'2) หลักการคำนวน Table'!$D$1:$M$5,5,TRUE),0),
IF($C5="SF WH",VLOOKUP("GOAL",'2) หลักการคำนวน Table'!$D$92:$M$92,HLOOKUP(AB5,'2) หลักการคำนวน Table'!$D$1:$M$5,5,TRUE),0))))),0)</f>
        <v>1</v>
      </c>
      <c r="AO5" s="232">
        <f>IFERROR(IF($C5="Top WS",VLOOKUP("GOAL",'2) หลักการคำนวน Table'!$D$4:$M$4,HLOOKUP(AC5,'2) หลักการคำนวน Table'!$D$1:$M$5,5,TRUE),0),
IF($C5="WS SF",VLOOKUP("GOAL",'2) หลักการคำนวน Table'!$D$32:$M$32,HLOOKUP(AC5,'2) หลักการคำนวน Table'!$D$1:$M$5,5,TRUE),0),
IF($C5="WS WH",VLOOKUP("GOAL",'2) หลักการคำนวน Table'!$D$62:$M$62,HLOOKUP(AC5,'2) หลักการคำนวน Table'!$D$1:$M$5,5,TRUE),0),
IF($C5="SF WH",VLOOKUP("GOAL",'2) หลักการคำนวน Table'!$D$92:$M$92,HLOOKUP(AC5,'2) หลักการคำนวน Table'!$D$1:$M$5,5,TRUE),0))))),0)</f>
        <v>1</v>
      </c>
      <c r="AP5" s="232">
        <f>IFERROR(IF($C5="Top WS",VLOOKUP("GOAL",'2) หลักการคำนวน Table'!$D$4:$M$4,HLOOKUP(AD5,'2) หลักการคำนวน Table'!$D$1:$M$5,5,TRUE),0),
IF($C5="WS SF",VLOOKUP("GOAL",'2) หลักการคำนวน Table'!$D$32:$M$32,HLOOKUP(AD5,'2) หลักการคำนวน Table'!$D$1:$M$5,5,TRUE),0),
IF($C5="WS WH",VLOOKUP("GOAL",'2) หลักการคำนวน Table'!$D$62:$M$62,HLOOKUP(AD5,'2) หลักการคำนวน Table'!$D$1:$M$5,5,TRUE),0),
IF($C5="SF WH",VLOOKUP("GOAL",'2) หลักการคำนวน Table'!$D$92:$M$92,HLOOKUP(AD5,'2) หลักการคำนวน Table'!$D$1:$M$5,5,TRUE),0))))),0)</f>
        <v>0.9</v>
      </c>
      <c r="AQ5" s="232">
        <f>IFERROR(IF($C5="Top WS",VLOOKUP("GOAL",'2) หลักการคำนวน Table'!$D$4:$M$4,HLOOKUP(AE5,'2) หลักการคำนวน Table'!$D$1:$M$5,5,TRUE),0),
IF($C5="WS SF",VLOOKUP("GOAL",'2) หลักการคำนวน Table'!$D$32:$M$32,HLOOKUP(AE5,'2) หลักการคำนวน Table'!$D$1:$M$5,5,TRUE),0),
IF($C5="WS WH",VLOOKUP("GOAL",'2) หลักการคำนวน Table'!$D$62:$M$62,HLOOKUP(AE5,'2) หลักการคำนวน Table'!$D$1:$M$5,5,TRUE),0),
IF($C5="SF WH",VLOOKUP("GOAL",'2) หลักการคำนวน Table'!$D$92:$M$92,HLOOKUP(AE5,'2) หลักการคำนวน Table'!$D$1:$M$5,5,TRUE),0))))),0)</f>
        <v>0.9</v>
      </c>
      <c r="AR5" s="232">
        <f>IFERROR(IF($C5="Top WS",VLOOKUP("GOAL",'2) หลักการคำนวน Table'!$D$4:$M$4,HLOOKUP(AF5,'2) หลักการคำนวน Table'!$D$1:$M$5,5,TRUE),0),
IF($C5="WS SF",VLOOKUP("GOAL",'2) หลักการคำนวน Table'!$D$32:$M$32,HLOOKUP(AF5,'2) หลักการคำนวน Table'!$D$1:$M$5,5,TRUE),0),
IF($C5="WS WH",VLOOKUP("GOAL",'2) หลักการคำนวน Table'!$D$62:$M$62,HLOOKUP(AF5,'2) หลักการคำนวน Table'!$D$1:$M$5,5,TRUE),0),
IF($C5="SF WH",VLOOKUP("GOAL",'2) หลักการคำนวน Table'!$D$92:$M$92,HLOOKUP(AF5,'2) หลักการคำนวน Table'!$D$1:$M$5,5,TRUE),0))))),0)</f>
        <v>0.9</v>
      </c>
      <c r="AS5" s="232">
        <f>IFERROR(IF($C5="Top WS",VLOOKUP("GOAL",'2) หลักการคำนวน Table'!$D$4:$M$4,HLOOKUP(AG5,'2) หลักการคำนวน Table'!$D$1:$M$5,5,TRUE),0),
IF($C5="WS SF",VLOOKUP("GOAL",'2) หลักการคำนวน Table'!$D$32:$M$32,HLOOKUP(AG5,'2) หลักการคำนวน Table'!$D$1:$M$5,5,TRUE),0),
IF($C5="WS WH",VLOOKUP("GOAL",'2) หลักการคำนวน Table'!$D$62:$M$62,HLOOKUP(AG5,'2) หลักการคำนวน Table'!$D$1:$M$5,5,TRUE),0),
IF($C5="SF WH",VLOOKUP("GOAL",'2) หลักการคำนวน Table'!$D$92:$M$92,HLOOKUP(AG5,'2) หลักการคำนวน Table'!$D$1:$M$5,5,TRUE),0))))),0)</f>
        <v>0.9</v>
      </c>
      <c r="AT5" s="232">
        <f>IFERROR(IF($C5="Top WS",VLOOKUP("GOAL",'2) หลักการคำนวน Table'!$D$4:$M$4,HLOOKUP(AH5,'2) หลักการคำนวน Table'!$D$1:$M$5,5,TRUE),0),
IF($C5="WS SF",VLOOKUP("GOAL",'2) หลักการคำนวน Table'!$D$32:$M$32,HLOOKUP(AH5,'2) หลักการคำนวน Table'!$D$1:$M$5,5,TRUE),0),
IF($C5="WS WH",VLOOKUP("GOAL",'2) หลักการคำนวน Table'!$D$62:$M$62,HLOOKUP(AH5,'2) หลักการคำนวน Table'!$D$1:$M$5,5,TRUE),0),
IF($C5="SF WH",VLOOKUP("GOAL",'2) หลักการคำนวน Table'!$D$92:$M$92,HLOOKUP(AH5,'2) หลักการคำนวน Table'!$D$1:$M$5,5,TRUE),0))))),0)</f>
        <v>0.9</v>
      </c>
      <c r="AU5" s="232">
        <f>IFERROR(IF($C5="Top WS",VLOOKUP("GOAL",'2) หลักการคำนวน Table'!$D$4:$M$4,HLOOKUP(AI5,'2) หลักการคำนวน Table'!$D$1:$M$5,5,TRUE),0),
IF($C5="WS SF",VLOOKUP("GOAL",'2) หลักการคำนวน Table'!$D$32:$M$32,HLOOKUP(AI5,'2) หลักการคำนวน Table'!$D$1:$M$5,5,TRUE),0),
IF($C5="WS WH",VLOOKUP("GOAL",'2) หลักการคำนวน Table'!$D$62:$M$62,HLOOKUP(AI5,'2) หลักการคำนวน Table'!$D$1:$M$5,5,TRUE),0),
IF($C5="SF WH",VLOOKUP("GOAL",'2) หลักการคำนวน Table'!$D$92:$M$92,HLOOKUP(AI5,'2) หลักการคำนวน Table'!$D$1:$M$5,5,TRUE),0))))),0)</f>
        <v>0.9</v>
      </c>
      <c r="AV5" s="232">
        <f>IFERROR(IF($C5="Top WS",VLOOKUP("GOAL",'2) หลักการคำนวน Table'!$D$4:$M$4,HLOOKUP(AP5,'2) หลักการคำนวน Table'!$D$1:$M$5,5,TRUE),0),
IF($C5="WS SF",VLOOKUP("GOAL",'2) หลักการคำนวน Table'!$D$32:$M$32,HLOOKUP(AP5,'2) หลักการคำนวน Table'!$D$1:$M$5,5,TRUE),0),
IF($C5="WS WH",VLOOKUP("GOAL",'2) หลักการคำนวน Table'!$D$62:$M$62,HLOOKUP(AP5,'2) หลักการคำนวน Table'!$D$1:$M$5,5,TRUE),0),
IF($C5="SF WH",VLOOKUP("GOAL",'2) หลักการคำนวน Table'!$D$92:$M$92,HLOOKUP(AP5,'2) หลักการคำนวน Table'!$D$1:$M$5,5,TRUE),0))))),0)</f>
        <v>0.9</v>
      </c>
      <c r="AW5" s="232">
        <f>IFERROR(IF($C5="Top WS",VLOOKUP("GOAL",'2) หลักการคำนวน Table'!$D$4:$M$4,HLOOKUP(AK5,'2) หลักการคำนวน Table'!$D$1:$M$5,5,TRUE),0),
IF($C5="WS SF",VLOOKUP("GOAL",'2) หลักการคำนวน Table'!$D$32:$M$32,HLOOKUP(AK5,'2) หลักการคำนวน Table'!$D$1:$M$5,5,TRUE),0),
IF($C5="WS WH",VLOOKUP("GOAL",'2) หลักการคำนวน Table'!$D$62:$M$62,HLOOKUP(AK5,'2) หลักการคำนวน Table'!$D$1:$M$5,5,TRUE),0),
IF($C5="SF WH",VLOOKUP("GOAL",'2) หลักการคำนวน Table'!$D$92:$M$92,HLOOKUP(AK5,'2) หลักการคำนวน Table'!$D$1:$M$5,5,TRUE),0))))),0)</f>
        <v>0.9</v>
      </c>
      <c r="AX5" s="232">
        <f>IFERROR(IF($C5="Top WS",VLOOKUP("GOAL",'2) หลักการคำนวน Table'!$D$4:$M$4,HLOOKUP(AL5,'2) หลักการคำนวน Table'!$D$1:$M$5,5,TRUE),0),
IF($C5="WS SF",VLOOKUP("GOAL",'2) หลักการคำนวน Table'!$D$32:$M$32,HLOOKUP(AL5,'2) หลักการคำนวน Table'!$D$1:$M$5,5,TRUE),0),
IF($C5="WS WH",VLOOKUP("GOAL",'2) หลักการคำนวน Table'!$D$62:$M$62,HLOOKUP(AL5,'2) หลักการคำนวน Table'!$D$1:$M$5,5,TRUE),0),
IF($C5="SF WH",VLOOKUP("GOAL",'2) หลักการคำนวน Table'!$D$92:$M$92,HLOOKUP(AL5,'2) หลักการคำนวน Table'!$D$1:$M$5,5,TRUE),0))))),0)</f>
        <v>0.9</v>
      </c>
      <c r="AY5" s="232">
        <f>IFERROR(IF($C5="Top WS",VLOOKUP("GOAL",'2) หลักการคำนวน Table'!$D$4:$M$4,HLOOKUP(AM5,'2) หลักการคำนวน Table'!$D$1:$M$5,5,TRUE),0),
IF($C5="WS SF",VLOOKUP("GOAL",'2) หลักการคำนวน Table'!$D$32:$M$32,HLOOKUP(AM5,'2) หลักการคำนวน Table'!$D$1:$M$5,5,TRUE),0),
IF($C5="WS WH",VLOOKUP("GOAL",'2) หลักการคำนวน Table'!$D$62:$M$62,HLOOKUP(AM5,'2) หลักการคำนวน Table'!$D$1:$M$5,5,TRUE),0),
IF($C5="SF WH",VLOOKUP("GOAL",'2) หลักการคำนวน Table'!$D$92:$M$92,HLOOKUP(AM5,'2) หลักการคำนวน Table'!$D$1:$M$5,5,TRUE),0))))),0)</f>
        <v>0.9</v>
      </c>
      <c r="AZ5" s="167">
        <f>IFERROR(IF($C5="Top WS",VLOOKUP($B5,'2) หลักการคำนวน Table'!$D$5:$M$20,HLOOKUP(AB5,'2) หลักการคำนวน Table'!$D$1:$M$5,5,TRUE),0),
IF($C5="WS SF",VLOOKUP($B5,'2) หลักการคำนวน Table'!$D$33:$M$48,HLOOKUP(AB5,'2) หลักการคำนวน Table'!$D$1:$M$5,5,TRUE),0),
IF($C5="WS WH",VLOOKUP($B5,'2) หลักการคำนวน Table'!$D$63:$M$78,HLOOKUP(AB5,'2) หลักการคำนวน Table'!$D$1:$M$5,5,TRUE),0),
IF($C5="SF WH",VLOOKUP($B5,'2) หลักการคำนวน Table'!$D$93:$M$108,HLOOKUP(AB5,'2) หลักการคำนวน Table'!$D$1:$M$5,5,TRUE),0))))),0)</f>
        <v>400</v>
      </c>
      <c r="BA5" s="167">
        <f>IFERROR(IF($C5="Top WS",VLOOKUP($B5,'2) หลักการคำนวน Table'!$D$5:$M$20,HLOOKUP(AC5,'2) หลักการคำนวน Table'!$D$1:$M$5,5,TRUE),0),
IF($C5="WS SF",VLOOKUP($B5,'2) หลักการคำนวน Table'!$D$33:$M$48,HLOOKUP(AC5,'2) หลักการคำนวน Table'!$D$1:$M$5,5,TRUE),0),
IF($C5="WS WH",VLOOKUP($B5,'2) หลักการคำนวน Table'!$D$63:$M$78,HLOOKUP(AC5,'2) หลักการคำนวน Table'!$D$1:$M$5,5,TRUE),0),
IF($C5="SF WH",VLOOKUP($B5,'2) หลักการคำนวน Table'!$D$93:$M$108,HLOOKUP(AC5,'2) หลักการคำนวน Table'!$D$1:$M$5,5,TRUE),0))))),0)</f>
        <v>400</v>
      </c>
      <c r="BB5" s="167">
        <f>IFERROR(IF($C5="Top WS",VLOOKUP($B5,'2) หลักการคำนวน Table'!$D$5:$M$20,HLOOKUP(AD5,'2) หลักการคำนวน Table'!$D$1:$M$5,5,TRUE),0),
IF($C5="WS SF",VLOOKUP($B5,'2) หลักการคำนวน Table'!$D$33:$M$48,HLOOKUP(AD5,'2) หลักการคำนวน Table'!$D$1:$M$5,5,TRUE),0),
IF($C5="WS WH",VLOOKUP($B5,'2) หลักการคำนวน Table'!$D$63:$M$78,HLOOKUP(AD5,'2) หลักการคำนวน Table'!$D$1:$M$5,5,TRUE),0),
IF($C5="SF WH",VLOOKUP($B5,'2) หลักการคำนวน Table'!$D$93:$M$108,HLOOKUP(AD5,'2) หลักการคำนวน Table'!$D$1:$M$5,5,TRUE),0))))),0)</f>
        <v>360</v>
      </c>
      <c r="BC5" s="167">
        <f>IFERROR(IF($C5="Top WS",VLOOKUP($B5,'2) หลักการคำนวน Table'!$D$5:$M$20,HLOOKUP(AE5,'2) หลักการคำนวน Table'!$D$1:$M$5,5,TRUE),0),
IF($C5="WS SF",VLOOKUP($B5,'2) หลักการคำนวน Table'!$D$33:$M$48,HLOOKUP(AE5,'2) หลักการคำนวน Table'!$D$1:$M$5,5,TRUE),0),
IF($C5="WS WH",VLOOKUP($B5,'2) หลักการคำนวน Table'!$D$63:$M$78,HLOOKUP(AE5,'2) หลักการคำนวน Table'!$D$1:$M$5,5,TRUE),0),
IF($C5="SF WH",VLOOKUP($B5,'2) หลักการคำนวน Table'!$D$93:$M$108,HLOOKUP(AE5,'2) หลักการคำนวน Table'!$D$1:$M$5,5,TRUE),0))))),0)</f>
        <v>360</v>
      </c>
      <c r="BD5" s="167">
        <f>IFERROR(IF($C5="Top WS",VLOOKUP($B5,'2) หลักการคำนวน Table'!$D$5:$M$20,HLOOKUP(AF5,'2) หลักการคำนวน Table'!$D$1:$M$5,5,TRUE),0),
IF($C5="WS SF",VLOOKUP($B5,'2) หลักการคำนวน Table'!$D$33:$M$48,HLOOKUP(AF5,'2) หลักการคำนวน Table'!$D$1:$M$5,5,TRUE),0),
IF($C5="WS WH",VLOOKUP($B5,'2) หลักการคำนวน Table'!$D$63:$M$78,HLOOKUP(AF5,'2) หลักการคำนวน Table'!$D$1:$M$5,5,TRUE),0),
IF($C5="SF WH",VLOOKUP($B5,'2) หลักการคำนวน Table'!$D$93:$M$108,HLOOKUP(AF5,'2) หลักการคำนวน Table'!$D$1:$M$5,5,TRUE),0))))),0)</f>
        <v>360</v>
      </c>
      <c r="BE5" s="167">
        <f>IFERROR(IF($C5="Top WS",VLOOKUP($B5,'2) หลักการคำนวน Table'!$D$5:$M$20,HLOOKUP(AG5,'2) หลักการคำนวน Table'!$D$1:$M$5,5,TRUE),0),
IF($C5="WS SF",VLOOKUP($B5,'2) หลักการคำนวน Table'!$D$33:$M$48,HLOOKUP(AG5,'2) หลักการคำนวน Table'!$D$1:$M$5,5,TRUE),0),
IF($C5="WS WH",VLOOKUP($B5,'2) หลักการคำนวน Table'!$D$63:$M$78,HLOOKUP(AG5,'2) หลักการคำนวน Table'!$D$1:$M$5,5,TRUE),0),
IF($C5="SF WH",VLOOKUP($B5,'2) หลักการคำนวน Table'!$D$93:$M$108,HLOOKUP(AG5,'2) หลักการคำนวน Table'!$D$1:$M$5,5,TRUE),0))))),0)</f>
        <v>360</v>
      </c>
      <c r="BF5" s="167">
        <f>IFERROR(IF($C5="Top WS",VLOOKUP($B5,'2) หลักการคำนวน Table'!$D$5:$M$20,HLOOKUP(AH5,'2) หลักการคำนวน Table'!$D$1:$M$5,5,TRUE),0),
IF($C5="WS SF",VLOOKUP($B5,'2) หลักการคำนวน Table'!$D$33:$M$48,HLOOKUP(AH5,'2) หลักการคำนวน Table'!$D$1:$M$5,5,TRUE),0),
IF($C5="WS WH",VLOOKUP($B5,'2) หลักการคำนวน Table'!$D$63:$M$78,HLOOKUP(AH5,'2) หลักการคำนวน Table'!$D$1:$M$5,5,TRUE),0),
IF($C5="SF WH",VLOOKUP($B5,'2) หลักการคำนวน Table'!$D$93:$M$108,HLOOKUP(AH5,'2) หลักการคำนวน Table'!$D$1:$M$5,5,TRUE),0))))),0)</f>
        <v>360</v>
      </c>
      <c r="BG5" s="167">
        <f>IFERROR(IF($C5="Top WS",VLOOKUP($B5,'2) หลักการคำนวน Table'!$D$5:$M$20,HLOOKUP(AI5,'2) หลักการคำนวน Table'!$D$1:$M$5,5,TRUE),0),
IF($C5="WS SF",VLOOKUP($B5,'2) หลักการคำนวน Table'!$D$33:$M$48,HLOOKUP(AI5,'2) หลักการคำนวน Table'!$D$1:$M$5,5,TRUE),0),
IF($C5="WS WH",VLOOKUP($B5,'2) หลักการคำนวน Table'!$D$63:$M$78,HLOOKUP(AI5,'2) หลักการคำนวน Table'!$D$1:$M$5,5,TRUE),0),
IF($C5="SF WH",VLOOKUP($B5,'2) หลักการคำนวน Table'!$D$93:$M$108,HLOOKUP(AI5,'2) หลักการคำนวน Table'!$D$1:$M$5,5,TRUE),0))))),0)</f>
        <v>360</v>
      </c>
      <c r="BH5" s="167">
        <f>IFERROR(IF($C5="Top WS",VLOOKUP($B5,'2) หลักการคำนวน Table'!$D$5:$M$20,HLOOKUP(AP5,'2) หลักการคำนวน Table'!$D$1:$M$5,5,TRUE),0),
IF($C5="WS SF",VLOOKUP($B5,'2) หลักการคำนวน Table'!$D$33:$M$48,HLOOKUP(AP5,'2) หลักการคำนวน Table'!$D$1:$M$5,5,TRUE),0),
IF($C5="WS WH",VLOOKUP($B5,'2) หลักการคำนวน Table'!$D$63:$M$78,HLOOKUP(AP5,'2) หลักการคำนวน Table'!$D$1:$M$5,5,TRUE),0),
IF($C5="SF WH",VLOOKUP($B5,'2) หลักการคำนวน Table'!$D$93:$M$108,HLOOKUP(AP5,'2) หลักการคำนวน Table'!$D$1:$M$5,5,TRUE),0))))),0)</f>
        <v>360</v>
      </c>
      <c r="BI5" s="167">
        <f>IFERROR(IF($C5="Top WS",VLOOKUP($B5,'2) หลักการคำนวน Table'!$D$5:$M$20,HLOOKUP(AK5,'2) หลักการคำนวน Table'!$D$1:$M$5,5,TRUE),0),
IF($C5="WS SF",VLOOKUP($B5,'2) หลักการคำนวน Table'!$D$33:$M$48,HLOOKUP(AK5,'2) หลักการคำนวน Table'!$D$1:$M$5,5,TRUE),0),
IF($C5="WS WH",VLOOKUP($B5,'2) หลักการคำนวน Table'!$D$63:$M$78,HLOOKUP(AK5,'2) หลักการคำนวน Table'!$D$1:$M$5,5,TRUE),0),
IF($C5="SF WH",VLOOKUP($B5,'2) หลักการคำนวน Table'!$D$93:$M$108,HLOOKUP(AK5,'2) หลักการคำนวน Table'!$D$1:$M$5,5,TRUE),0))))),0)</f>
        <v>360</v>
      </c>
      <c r="BJ5" s="167">
        <f>IFERROR(IF($C5="Top WS",VLOOKUP($B5,'2) หลักการคำนวน Table'!$D$5:$M$20,HLOOKUP(AL5,'2) หลักการคำนวน Table'!$D$1:$M$5,5,TRUE),0),
IF($C5="WS SF",VLOOKUP($B5,'2) หลักการคำนวน Table'!$D$33:$M$48,HLOOKUP(AL5,'2) หลักการคำนวน Table'!$D$1:$M$5,5,TRUE),0),
IF($C5="WS WH",VLOOKUP($B5,'2) หลักการคำนวน Table'!$D$63:$M$78,HLOOKUP(AL5,'2) หลักการคำนวน Table'!$D$1:$M$5,5,TRUE),0),
IF($C5="SF WH",VLOOKUP($B5,'2) หลักการคำนวน Table'!$D$93:$M$108,HLOOKUP(AL5,'2) หลักการคำนวน Table'!$D$1:$M$5,5,TRUE),0))))),0)</f>
        <v>360</v>
      </c>
      <c r="BK5" s="167">
        <f>IFERROR(IF($C5="Top WS",VLOOKUP($B5,'2) หลักการคำนวน Table'!$D$5:$M$20,HLOOKUP(AM5,'2) หลักการคำนวน Table'!$D$1:$M$5,5,TRUE),0),
IF($C5="WS SF",VLOOKUP($B5,'2) หลักการคำนวน Table'!$D$33:$M$48,HLOOKUP(AM5,'2) หลักการคำนวน Table'!$D$1:$M$5,5,TRUE),0),
IF($C5="WS WH",VLOOKUP($B5,'2) หลักการคำนวน Table'!$D$63:$M$78,HLOOKUP(AM5,'2) หลักการคำนวน Table'!$D$1:$M$5,5,TRUE),0),
IF($C5="SF WH",VLOOKUP($B5,'2) หลักการคำนวน Table'!$D$93:$M$108,HLOOKUP(AM5,'2) หลักการคำนวน Table'!$D$1:$M$5,5,TRUE),0))))),0)</f>
        <v>360</v>
      </c>
      <c r="BM5" s="119">
        <f>VLOOKUP(VLOOKUP(A5,ASTBase!E:S,13,FALSE),ASTBase!F:P,11,FALSE)</f>
        <v>160000</v>
      </c>
      <c r="BN5" s="196" cm="1">
        <f t="array" ref="BN5">INDEX(AN5:AY5,,Period!$D$2)</f>
        <v>1</v>
      </c>
    </row>
    <row r="6" spans="1:66" x14ac:dyDescent="0.25">
      <c r="A6" s="117">
        <v>160001</v>
      </c>
      <c r="B6" s="117" t="s">
        <v>390</v>
      </c>
      <c r="C6" s="117" t="s">
        <v>178</v>
      </c>
      <c r="D6" s="118">
        <v>3973</v>
      </c>
      <c r="E6" s="118">
        <v>2237</v>
      </c>
      <c r="F6" s="118">
        <v>2502</v>
      </c>
      <c r="G6" s="118">
        <v>3675</v>
      </c>
      <c r="H6" s="118">
        <v>3406</v>
      </c>
      <c r="I6" s="118">
        <v>3974</v>
      </c>
      <c r="J6" s="118">
        <v>3642</v>
      </c>
      <c r="K6" s="118">
        <v>3797</v>
      </c>
      <c r="L6" s="118">
        <v>3584</v>
      </c>
      <c r="M6" s="118">
        <v>3512</v>
      </c>
      <c r="N6" s="118">
        <v>3584</v>
      </c>
      <c r="O6" s="118">
        <v>3639</v>
      </c>
      <c r="P6" s="117">
        <f>SUMIFS(Actual!C:C,Actual!$A:$A,'3)Target &amp; Cal'!$A6,Actual!$B:$B,'3)Target &amp; Cal'!$B6)</f>
        <v>465.99999999534009</v>
      </c>
      <c r="Q6" s="117">
        <f>SUMIFS(Actual!D:D,Actual!$A:$A,'3)Target &amp; Cal'!$A6,Actual!$B:$B,'3)Target &amp; Cal'!$B6)</f>
        <v>3007.9999999699203</v>
      </c>
      <c r="R6" s="117">
        <f>SUMIFS(Actual!E:E,Actual!$A:$A,'3)Target &amp; Cal'!$A6,Actual!$B:$B,'3)Target &amp; Cal'!$B6)</f>
        <v>0</v>
      </c>
      <c r="S6" s="117">
        <f>SUMIFS(Actual!F:F,Actual!$A:$A,'3)Target &amp; Cal'!$A6,Actual!$B:$B,'3)Target &amp; Cal'!$B6)</f>
        <v>0</v>
      </c>
      <c r="T6" s="117">
        <f>SUMIFS(Actual!G:G,Actual!$A:$A,'3)Target &amp; Cal'!$A6,Actual!$B:$B,'3)Target &amp; Cal'!$B6)</f>
        <v>0</v>
      </c>
      <c r="U6" s="117">
        <f>SUMIFS(Actual!H:H,Actual!$A:$A,'3)Target &amp; Cal'!$A6,Actual!$B:$B,'3)Target &amp; Cal'!$B6)</f>
        <v>0</v>
      </c>
      <c r="V6" s="117">
        <f>SUMIFS(Actual!I:I,Actual!$A:$A,'3)Target &amp; Cal'!$A6,Actual!$B:$B,'3)Target &amp; Cal'!$B6)</f>
        <v>0</v>
      </c>
      <c r="W6" s="117">
        <f>SUMIFS(Actual!J:J,Actual!$A:$A,'3)Target &amp; Cal'!$A6,Actual!$B:$B,'3)Target &amp; Cal'!$B6)</f>
        <v>0</v>
      </c>
      <c r="X6" s="117">
        <f>SUMIFS(Actual!K:K,Actual!$A:$A,'3)Target &amp; Cal'!$A6,Actual!$B:$B,'3)Target &amp; Cal'!$B6)</f>
        <v>0</v>
      </c>
      <c r="Y6" s="117">
        <f>SUMIFS(Actual!L:L,Actual!$A:$A,'3)Target &amp; Cal'!$A6,Actual!$B:$B,'3)Target &amp; Cal'!$B6)</f>
        <v>0</v>
      </c>
      <c r="Z6" s="117">
        <f>SUMIFS(Actual!M:M,Actual!$A:$A,'3)Target &amp; Cal'!$A6,Actual!$B:$B,'3)Target &amp; Cal'!$B6)</f>
        <v>0</v>
      </c>
      <c r="AA6" s="117">
        <f>SUMIFS(Actual!N:N,Actual!$A:$A,'3)Target &amp; Cal'!$A6,Actual!$B:$B,'3)Target &amp; Cal'!$B6)</f>
        <v>0</v>
      </c>
      <c r="AB6" s="123">
        <f>IFERROR(IF(VLOOKUP($B6,Shortage!$A:$M,AB$2,FALSE)="Shortage",1,IFERROR(ROUND(P6/D6,4),0)),IFERROR(ROUND(P6/D6,4),0))</f>
        <v>0.1173</v>
      </c>
      <c r="AC6" s="123">
        <f>IFERROR(IF(VLOOKUP($B6,Shortage!$A:$M,AC$2,FALSE)="Shortage",1,IFERROR(ROUND(Q6/E6,4),0)),IFERROR(ROUND(Q6/E6,4),0))</f>
        <v>1.3447</v>
      </c>
      <c r="AD6" s="123">
        <f>IFERROR(IF(VLOOKUP($B6,Shortage!$A:$M,AD$2,FALSE)="Shortage",1,IFERROR(ROUND(R6/F6,4),0)),IFERROR(ROUND(R6/F6,4),0))</f>
        <v>0</v>
      </c>
      <c r="AE6" s="123">
        <f>IFERROR(IF(VLOOKUP($B6,Shortage!$A:$M,AE$2,FALSE)="Shortage",1,IFERROR(ROUND(S6/G6,4),0)),IFERROR(ROUND(S6/G6,4),0))</f>
        <v>0</v>
      </c>
      <c r="AF6" s="123">
        <f>IFERROR(IF(VLOOKUP($B6,Shortage!$A:$M,AF$2,FALSE)="Shortage",1,IFERROR(ROUND(T6/H6,4),0)),IFERROR(ROUND(T6/H6,4),0))</f>
        <v>0</v>
      </c>
      <c r="AG6" s="123">
        <f>IFERROR(IF(VLOOKUP($B6,Shortage!$A:$M,AG$2,FALSE)="Shortage",1,IFERROR(ROUND(U6/I6,4),0)),IFERROR(ROUND(U6/I6,4),0))</f>
        <v>0</v>
      </c>
      <c r="AH6" s="123">
        <f>IFERROR(IF(VLOOKUP($B6,Shortage!$A:$M,AH$2,FALSE)="Shortage",1,IFERROR(ROUND(V6/J6,4),0)),IFERROR(ROUND(V6/J6,4),0))</f>
        <v>0</v>
      </c>
      <c r="AI6" s="123">
        <f>IFERROR(IF(VLOOKUP($B6,Shortage!$A:$M,AI$2,FALSE)="Shortage",1,IFERROR(ROUND(W6/K6,4),0)),IFERROR(ROUND(W6/K6,4),0))</f>
        <v>0</v>
      </c>
      <c r="AJ6" s="123">
        <f>IFERROR(IF(VLOOKUP($B6,Shortage!$A:$M,AP$2,FALSE)="Shortage",1,IFERROR(ROUND(X6/L6,4),0)),IFERROR(ROUND(X6/L6,4),0))</f>
        <v>0</v>
      </c>
      <c r="AK6" s="123">
        <f>IFERROR(IF(VLOOKUP($B6,Shortage!$A:$M,AK$2,FALSE)="Shortage",1,IFERROR(ROUND(Y6/M6,4),0)),IFERROR(ROUND(Y6/M6,4),0))</f>
        <v>0</v>
      </c>
      <c r="AL6" s="123">
        <f>IFERROR(IF(VLOOKUP($B6,Shortage!$A:$M,AL$2,FALSE)="Shortage",1,IFERROR(ROUND(Z6/N6,4),0)),IFERROR(ROUND(Z6/N6,4),0))</f>
        <v>0</v>
      </c>
      <c r="AM6" s="123">
        <f>IFERROR(IF(VLOOKUP($B6,Shortage!$A:$M,AM$2,FALSE)="Shortage",1,IFERROR(ROUND(AA6/O6,4),0)),IFERROR(ROUND(AA6/O6,4),0))</f>
        <v>0</v>
      </c>
      <c r="AN6" s="337">
        <f>IFERROR(IF($C6="Top WS",VLOOKUP("GOAL",'2) หลักการคำนวน Table'!$D$4:$M$4,HLOOKUP(AB6,'2) หลักการคำนวน Table'!$D$1:$M$5,5,TRUE),0),
IF($C6="WS SF",VLOOKUP("GOAL",'2) หลักการคำนวน Table'!$D$32:$M$32,HLOOKUP(AB6,'2) หลักการคำนวน Table'!$D$1:$M$5,5,TRUE),0),
IF($C6="WS WH",VLOOKUP("GOAL",'2) หลักการคำนวน Table'!$D$62:$M$62,HLOOKUP(AB6,'2) หลักการคำนวน Table'!$D$1:$M$5,5,TRUE),0),
IF($C6="SF WH",VLOOKUP("GOAL",'2) หลักการคำนวน Table'!$D$92:$M$92,HLOOKUP(AB6,'2) หลักการคำนวน Table'!$D$1:$M$5,5,TRUE),0))))),0)</f>
        <v>0.9</v>
      </c>
      <c r="AO6" s="232">
        <f>IFERROR(IF($C6="Top WS",VLOOKUP("GOAL",'2) หลักการคำนวน Table'!$D$4:$M$4,HLOOKUP(AC6,'2) หลักการคำนวน Table'!$D$1:$M$5,5,TRUE),0),
IF($C6="WS SF",VLOOKUP("GOAL",'2) หลักการคำนวน Table'!$D$32:$M$32,HLOOKUP(AC6,'2) หลักการคำนวน Table'!$D$1:$M$5,5,TRUE),0),
IF($C6="WS WH",VLOOKUP("GOAL",'2) หลักการคำนวน Table'!$D$62:$M$62,HLOOKUP(AC6,'2) หลักการคำนวน Table'!$D$1:$M$5,5,TRUE),0),
IF($C6="SF WH",VLOOKUP("GOAL",'2) หลักการคำนวน Table'!$D$92:$M$92,HLOOKUP(AC6,'2) หลักการคำนวน Table'!$D$1:$M$5,5,TRUE),0))))),0)</f>
        <v>1.3</v>
      </c>
      <c r="AP6" s="232">
        <f>IFERROR(IF($C6="Top WS",VLOOKUP("GOAL",'2) หลักการคำนวน Table'!$D$4:$M$4,HLOOKUP(AD6,'2) หลักการคำนวน Table'!$D$1:$M$5,5,TRUE),0),
IF($C6="WS SF",VLOOKUP("GOAL",'2) หลักการคำนวน Table'!$D$32:$M$32,HLOOKUP(AD6,'2) หลักการคำนวน Table'!$D$1:$M$5,5,TRUE),0),
IF($C6="WS WH",VLOOKUP("GOAL",'2) หลักการคำนวน Table'!$D$62:$M$62,HLOOKUP(AD6,'2) หลักการคำนวน Table'!$D$1:$M$5,5,TRUE),0),
IF($C6="SF WH",VLOOKUP("GOAL",'2) หลักการคำนวน Table'!$D$92:$M$92,HLOOKUP(AD6,'2) หลักการคำนวน Table'!$D$1:$M$5,5,TRUE),0))))),0)</f>
        <v>0.9</v>
      </c>
      <c r="AQ6" s="232">
        <f>IFERROR(IF($C6="Top WS",VLOOKUP("GOAL",'2) หลักการคำนวน Table'!$D$4:$M$4,HLOOKUP(AE6,'2) หลักการคำนวน Table'!$D$1:$M$5,5,TRUE),0),
IF($C6="WS SF",VLOOKUP("GOAL",'2) หลักการคำนวน Table'!$D$32:$M$32,HLOOKUP(AE6,'2) หลักการคำนวน Table'!$D$1:$M$5,5,TRUE),0),
IF($C6="WS WH",VLOOKUP("GOAL",'2) หลักการคำนวน Table'!$D$62:$M$62,HLOOKUP(AE6,'2) หลักการคำนวน Table'!$D$1:$M$5,5,TRUE),0),
IF($C6="SF WH",VLOOKUP("GOAL",'2) หลักการคำนวน Table'!$D$92:$M$92,HLOOKUP(AE6,'2) หลักการคำนวน Table'!$D$1:$M$5,5,TRUE),0))))),0)</f>
        <v>0.9</v>
      </c>
      <c r="AR6" s="232">
        <f>IFERROR(IF($C6="Top WS",VLOOKUP("GOAL",'2) หลักการคำนวน Table'!$D$4:$M$4,HLOOKUP(AF6,'2) หลักการคำนวน Table'!$D$1:$M$5,5,TRUE),0),
IF($C6="WS SF",VLOOKUP("GOAL",'2) หลักการคำนวน Table'!$D$32:$M$32,HLOOKUP(AF6,'2) หลักการคำนวน Table'!$D$1:$M$5,5,TRUE),0),
IF($C6="WS WH",VLOOKUP("GOAL",'2) หลักการคำนวน Table'!$D$62:$M$62,HLOOKUP(AF6,'2) หลักการคำนวน Table'!$D$1:$M$5,5,TRUE),0),
IF($C6="SF WH",VLOOKUP("GOAL",'2) หลักการคำนวน Table'!$D$92:$M$92,HLOOKUP(AF6,'2) หลักการคำนวน Table'!$D$1:$M$5,5,TRUE),0))))),0)</f>
        <v>0.9</v>
      </c>
      <c r="AS6" s="232">
        <f>IFERROR(IF($C6="Top WS",VLOOKUP("GOAL",'2) หลักการคำนวน Table'!$D$4:$M$4,HLOOKUP(AG6,'2) หลักการคำนวน Table'!$D$1:$M$5,5,TRUE),0),
IF($C6="WS SF",VLOOKUP("GOAL",'2) หลักการคำนวน Table'!$D$32:$M$32,HLOOKUP(AG6,'2) หลักการคำนวน Table'!$D$1:$M$5,5,TRUE),0),
IF($C6="WS WH",VLOOKUP("GOAL",'2) หลักการคำนวน Table'!$D$62:$M$62,HLOOKUP(AG6,'2) หลักการคำนวน Table'!$D$1:$M$5,5,TRUE),0),
IF($C6="SF WH",VLOOKUP("GOAL",'2) หลักการคำนวน Table'!$D$92:$M$92,HLOOKUP(AG6,'2) หลักการคำนวน Table'!$D$1:$M$5,5,TRUE),0))))),0)</f>
        <v>0.9</v>
      </c>
      <c r="AT6" s="232">
        <f>IFERROR(IF($C6="Top WS",VLOOKUP("GOAL",'2) หลักการคำนวน Table'!$D$4:$M$4,HLOOKUP(AH6,'2) หลักการคำนวน Table'!$D$1:$M$5,5,TRUE),0),
IF($C6="WS SF",VLOOKUP("GOAL",'2) หลักการคำนวน Table'!$D$32:$M$32,HLOOKUP(AH6,'2) หลักการคำนวน Table'!$D$1:$M$5,5,TRUE),0),
IF($C6="WS WH",VLOOKUP("GOAL",'2) หลักการคำนวน Table'!$D$62:$M$62,HLOOKUP(AH6,'2) หลักการคำนวน Table'!$D$1:$M$5,5,TRUE),0),
IF($C6="SF WH",VLOOKUP("GOAL",'2) หลักการคำนวน Table'!$D$92:$M$92,HLOOKUP(AH6,'2) หลักการคำนวน Table'!$D$1:$M$5,5,TRUE),0))))),0)</f>
        <v>0.9</v>
      </c>
      <c r="AU6" s="232">
        <f>IFERROR(IF($C6="Top WS",VLOOKUP("GOAL",'2) หลักการคำนวน Table'!$D$4:$M$4,HLOOKUP(AI6,'2) หลักการคำนวน Table'!$D$1:$M$5,5,TRUE),0),
IF($C6="WS SF",VLOOKUP("GOAL",'2) หลักการคำนวน Table'!$D$32:$M$32,HLOOKUP(AI6,'2) หลักการคำนวน Table'!$D$1:$M$5,5,TRUE),0),
IF($C6="WS WH",VLOOKUP("GOAL",'2) หลักการคำนวน Table'!$D$62:$M$62,HLOOKUP(AI6,'2) หลักการคำนวน Table'!$D$1:$M$5,5,TRUE),0),
IF($C6="SF WH",VLOOKUP("GOAL",'2) หลักการคำนวน Table'!$D$92:$M$92,HLOOKUP(AI6,'2) หลักการคำนวน Table'!$D$1:$M$5,5,TRUE),0))))),0)</f>
        <v>0.9</v>
      </c>
      <c r="AV6" s="232">
        <f>IFERROR(IF($C6="Top WS",VLOOKUP("GOAL",'2) หลักการคำนวน Table'!$D$4:$M$4,HLOOKUP(AP6,'2) หลักการคำนวน Table'!$D$1:$M$5,5,TRUE),0),
IF($C6="WS SF",VLOOKUP("GOAL",'2) หลักการคำนวน Table'!$D$32:$M$32,HLOOKUP(AP6,'2) หลักการคำนวน Table'!$D$1:$M$5,5,TRUE),0),
IF($C6="WS WH",VLOOKUP("GOAL",'2) หลักการคำนวน Table'!$D$62:$M$62,HLOOKUP(AP6,'2) หลักการคำนวน Table'!$D$1:$M$5,5,TRUE),0),
IF($C6="SF WH",VLOOKUP("GOAL",'2) หลักการคำนวน Table'!$D$92:$M$92,HLOOKUP(AP6,'2) หลักการคำนวน Table'!$D$1:$M$5,5,TRUE),0))))),0)</f>
        <v>0.9</v>
      </c>
      <c r="AW6" s="232">
        <f>IFERROR(IF($C6="Top WS",VLOOKUP("GOAL",'2) หลักการคำนวน Table'!$D$4:$M$4,HLOOKUP(AK6,'2) หลักการคำนวน Table'!$D$1:$M$5,5,TRUE),0),
IF($C6="WS SF",VLOOKUP("GOAL",'2) หลักการคำนวน Table'!$D$32:$M$32,HLOOKUP(AK6,'2) หลักการคำนวน Table'!$D$1:$M$5,5,TRUE),0),
IF($C6="WS WH",VLOOKUP("GOAL",'2) หลักการคำนวน Table'!$D$62:$M$62,HLOOKUP(AK6,'2) หลักการคำนวน Table'!$D$1:$M$5,5,TRUE),0),
IF($C6="SF WH",VLOOKUP("GOAL",'2) หลักการคำนวน Table'!$D$92:$M$92,HLOOKUP(AK6,'2) หลักการคำนวน Table'!$D$1:$M$5,5,TRUE),0))))),0)</f>
        <v>0.9</v>
      </c>
      <c r="AX6" s="232">
        <f>IFERROR(IF($C6="Top WS",VLOOKUP("GOAL",'2) หลักการคำนวน Table'!$D$4:$M$4,HLOOKUP(AL6,'2) หลักการคำนวน Table'!$D$1:$M$5,5,TRUE),0),
IF($C6="WS SF",VLOOKUP("GOAL",'2) หลักการคำนวน Table'!$D$32:$M$32,HLOOKUP(AL6,'2) หลักการคำนวน Table'!$D$1:$M$5,5,TRUE),0),
IF($C6="WS WH",VLOOKUP("GOAL",'2) หลักการคำนวน Table'!$D$62:$M$62,HLOOKUP(AL6,'2) หลักการคำนวน Table'!$D$1:$M$5,5,TRUE),0),
IF($C6="SF WH",VLOOKUP("GOAL",'2) หลักการคำนวน Table'!$D$92:$M$92,HLOOKUP(AL6,'2) หลักการคำนวน Table'!$D$1:$M$5,5,TRUE),0))))),0)</f>
        <v>0.9</v>
      </c>
      <c r="AY6" s="232">
        <f>IFERROR(IF($C6="Top WS",VLOOKUP("GOAL",'2) หลักการคำนวน Table'!$D$4:$M$4,HLOOKUP(AM6,'2) หลักการคำนวน Table'!$D$1:$M$5,5,TRUE),0),
IF($C6="WS SF",VLOOKUP("GOAL",'2) หลักการคำนวน Table'!$D$32:$M$32,HLOOKUP(AM6,'2) หลักการคำนวน Table'!$D$1:$M$5,5,TRUE),0),
IF($C6="WS WH",VLOOKUP("GOAL",'2) หลักการคำนวน Table'!$D$62:$M$62,HLOOKUP(AM6,'2) หลักการคำนวน Table'!$D$1:$M$5,5,TRUE),0),
IF($C6="SF WH",VLOOKUP("GOAL",'2) หลักการคำนวน Table'!$D$92:$M$92,HLOOKUP(AM6,'2) หลักการคำนวน Table'!$D$1:$M$5,5,TRUE),0))))),0)</f>
        <v>0.9</v>
      </c>
      <c r="AZ6" s="167">
        <f>IFERROR(IF($C6="Top WS",VLOOKUP($B6,'2) หลักการคำนวน Table'!$D$5:$M$20,HLOOKUP(AB6,'2) หลักการคำนวน Table'!$D$1:$M$5,5,TRUE),0),
IF($C6="WS SF",VLOOKUP($B6,'2) หลักการคำนวน Table'!$D$33:$M$48,HLOOKUP(AB6,'2) หลักการคำนวน Table'!$D$1:$M$5,5,TRUE),0),
IF($C6="WS WH",VLOOKUP($B6,'2) หลักการคำนวน Table'!$D$63:$M$78,HLOOKUP(AB6,'2) หลักการคำนวน Table'!$D$1:$M$5,5,TRUE),0),
IF($C6="SF WH",VLOOKUP($B6,'2) หลักการคำนวน Table'!$D$93:$M$108,HLOOKUP(AB6,'2) หลักการคำนวน Table'!$D$1:$M$5,5,TRUE),0))))),0)</f>
        <v>720</v>
      </c>
      <c r="BA6" s="167">
        <f>IFERROR(IF($C6="Top WS",VLOOKUP($B6,'2) หลักการคำนวน Table'!$D$5:$M$20,HLOOKUP(AC6,'2) หลักการคำนวน Table'!$D$1:$M$5,5,TRUE),0),
IF($C6="WS SF",VLOOKUP($B6,'2) หลักการคำนวน Table'!$D$33:$M$48,HLOOKUP(AC6,'2) หลักการคำนวน Table'!$D$1:$M$5,5,TRUE),0),
IF($C6="WS WH",VLOOKUP($B6,'2) หลักการคำนวน Table'!$D$63:$M$78,HLOOKUP(AC6,'2) หลักการคำนวน Table'!$D$1:$M$5,5,TRUE),0),
IF($C6="SF WH",VLOOKUP($B6,'2) หลักการคำนวน Table'!$D$93:$M$108,HLOOKUP(AC6,'2) หลักการคำนวน Table'!$D$1:$M$5,5,TRUE),0))))),0)</f>
        <v>1040</v>
      </c>
      <c r="BB6" s="167">
        <f>IFERROR(IF($C6="Top WS",VLOOKUP($B6,'2) หลักการคำนวน Table'!$D$5:$M$20,HLOOKUP(AD6,'2) หลักการคำนวน Table'!$D$1:$M$5,5,TRUE),0),
IF($C6="WS SF",VLOOKUP($B6,'2) หลักการคำนวน Table'!$D$33:$M$48,HLOOKUP(AD6,'2) หลักการคำนวน Table'!$D$1:$M$5,5,TRUE),0),
IF($C6="WS WH",VLOOKUP($B6,'2) หลักการคำนวน Table'!$D$63:$M$78,HLOOKUP(AD6,'2) หลักการคำนวน Table'!$D$1:$M$5,5,TRUE),0),
IF($C6="SF WH",VLOOKUP($B6,'2) หลักการคำนวน Table'!$D$93:$M$108,HLOOKUP(AD6,'2) หลักการคำนวน Table'!$D$1:$M$5,5,TRUE),0))))),0)</f>
        <v>720</v>
      </c>
      <c r="BC6" s="167">
        <f>IFERROR(IF($C6="Top WS",VLOOKUP($B6,'2) หลักการคำนวน Table'!$D$5:$M$20,HLOOKUP(AE6,'2) หลักการคำนวน Table'!$D$1:$M$5,5,TRUE),0),
IF($C6="WS SF",VLOOKUP($B6,'2) หลักการคำนวน Table'!$D$33:$M$48,HLOOKUP(AE6,'2) หลักการคำนวน Table'!$D$1:$M$5,5,TRUE),0),
IF($C6="WS WH",VLOOKUP($B6,'2) หลักการคำนวน Table'!$D$63:$M$78,HLOOKUP(AE6,'2) หลักการคำนวน Table'!$D$1:$M$5,5,TRUE),0),
IF($C6="SF WH",VLOOKUP($B6,'2) หลักการคำนวน Table'!$D$93:$M$108,HLOOKUP(AE6,'2) หลักการคำนวน Table'!$D$1:$M$5,5,TRUE),0))))),0)</f>
        <v>720</v>
      </c>
      <c r="BD6" s="167">
        <f>IFERROR(IF($C6="Top WS",VLOOKUP($B6,'2) หลักการคำนวน Table'!$D$5:$M$20,HLOOKUP(AF6,'2) หลักการคำนวน Table'!$D$1:$M$5,5,TRUE),0),
IF($C6="WS SF",VLOOKUP($B6,'2) หลักการคำนวน Table'!$D$33:$M$48,HLOOKUP(AF6,'2) หลักการคำนวน Table'!$D$1:$M$5,5,TRUE),0),
IF($C6="WS WH",VLOOKUP($B6,'2) หลักการคำนวน Table'!$D$63:$M$78,HLOOKUP(AF6,'2) หลักการคำนวน Table'!$D$1:$M$5,5,TRUE),0),
IF($C6="SF WH",VLOOKUP($B6,'2) หลักการคำนวน Table'!$D$93:$M$108,HLOOKUP(AF6,'2) หลักการคำนวน Table'!$D$1:$M$5,5,TRUE),0))))),0)</f>
        <v>720</v>
      </c>
      <c r="BE6" s="167">
        <f>IFERROR(IF($C6="Top WS",VLOOKUP($B6,'2) หลักการคำนวน Table'!$D$5:$M$20,HLOOKUP(AG6,'2) หลักการคำนวน Table'!$D$1:$M$5,5,TRUE),0),
IF($C6="WS SF",VLOOKUP($B6,'2) หลักการคำนวน Table'!$D$33:$M$48,HLOOKUP(AG6,'2) หลักการคำนวน Table'!$D$1:$M$5,5,TRUE),0),
IF($C6="WS WH",VLOOKUP($B6,'2) หลักการคำนวน Table'!$D$63:$M$78,HLOOKUP(AG6,'2) หลักการคำนวน Table'!$D$1:$M$5,5,TRUE),0),
IF($C6="SF WH",VLOOKUP($B6,'2) หลักการคำนวน Table'!$D$93:$M$108,HLOOKUP(AG6,'2) หลักการคำนวน Table'!$D$1:$M$5,5,TRUE),0))))),0)</f>
        <v>720</v>
      </c>
      <c r="BF6" s="167">
        <f>IFERROR(IF($C6="Top WS",VLOOKUP($B6,'2) หลักการคำนวน Table'!$D$5:$M$20,HLOOKUP(AH6,'2) หลักการคำนวน Table'!$D$1:$M$5,5,TRUE),0),
IF($C6="WS SF",VLOOKUP($B6,'2) หลักการคำนวน Table'!$D$33:$M$48,HLOOKUP(AH6,'2) หลักการคำนวน Table'!$D$1:$M$5,5,TRUE),0),
IF($C6="WS WH",VLOOKUP($B6,'2) หลักการคำนวน Table'!$D$63:$M$78,HLOOKUP(AH6,'2) หลักการคำนวน Table'!$D$1:$M$5,5,TRUE),0),
IF($C6="SF WH",VLOOKUP($B6,'2) หลักการคำนวน Table'!$D$93:$M$108,HLOOKUP(AH6,'2) หลักการคำนวน Table'!$D$1:$M$5,5,TRUE),0))))),0)</f>
        <v>720</v>
      </c>
      <c r="BG6" s="167">
        <f>IFERROR(IF($C6="Top WS",VLOOKUP($B6,'2) หลักการคำนวน Table'!$D$5:$M$20,HLOOKUP(AI6,'2) หลักการคำนวน Table'!$D$1:$M$5,5,TRUE),0),
IF($C6="WS SF",VLOOKUP($B6,'2) หลักการคำนวน Table'!$D$33:$M$48,HLOOKUP(AI6,'2) หลักการคำนวน Table'!$D$1:$M$5,5,TRUE),0),
IF($C6="WS WH",VLOOKUP($B6,'2) หลักการคำนวน Table'!$D$63:$M$78,HLOOKUP(AI6,'2) หลักการคำนวน Table'!$D$1:$M$5,5,TRUE),0),
IF($C6="SF WH",VLOOKUP($B6,'2) หลักการคำนวน Table'!$D$93:$M$108,HLOOKUP(AI6,'2) หลักการคำนวน Table'!$D$1:$M$5,5,TRUE),0))))),0)</f>
        <v>720</v>
      </c>
      <c r="BH6" s="167">
        <f>IFERROR(IF($C6="Top WS",VLOOKUP($B6,'2) หลักการคำนวน Table'!$D$5:$M$20,HLOOKUP(AP6,'2) หลักการคำนวน Table'!$D$1:$M$5,5,TRUE),0),
IF($C6="WS SF",VLOOKUP($B6,'2) หลักการคำนวน Table'!$D$33:$M$48,HLOOKUP(AP6,'2) หลักการคำนวน Table'!$D$1:$M$5,5,TRUE),0),
IF($C6="WS WH",VLOOKUP($B6,'2) หลักการคำนวน Table'!$D$63:$M$78,HLOOKUP(AP6,'2) หลักการคำนวน Table'!$D$1:$M$5,5,TRUE),0),
IF($C6="SF WH",VLOOKUP($B6,'2) หลักการคำนวน Table'!$D$93:$M$108,HLOOKUP(AP6,'2) หลักการคำนวน Table'!$D$1:$M$5,5,TRUE),0))))),0)</f>
        <v>720</v>
      </c>
      <c r="BI6" s="167">
        <f>IFERROR(IF($C6="Top WS",VLOOKUP($B6,'2) หลักการคำนวน Table'!$D$5:$M$20,HLOOKUP(AK6,'2) หลักการคำนวน Table'!$D$1:$M$5,5,TRUE),0),
IF($C6="WS SF",VLOOKUP($B6,'2) หลักการคำนวน Table'!$D$33:$M$48,HLOOKUP(AK6,'2) หลักการคำนวน Table'!$D$1:$M$5,5,TRUE),0),
IF($C6="WS WH",VLOOKUP($B6,'2) หลักการคำนวน Table'!$D$63:$M$78,HLOOKUP(AK6,'2) หลักการคำนวน Table'!$D$1:$M$5,5,TRUE),0),
IF($C6="SF WH",VLOOKUP($B6,'2) หลักการคำนวน Table'!$D$93:$M$108,HLOOKUP(AK6,'2) หลักการคำนวน Table'!$D$1:$M$5,5,TRUE),0))))),0)</f>
        <v>720</v>
      </c>
      <c r="BJ6" s="167">
        <f>IFERROR(IF($C6="Top WS",VLOOKUP($B6,'2) หลักการคำนวน Table'!$D$5:$M$20,HLOOKUP(AL6,'2) หลักการคำนวน Table'!$D$1:$M$5,5,TRUE),0),
IF($C6="WS SF",VLOOKUP($B6,'2) หลักการคำนวน Table'!$D$33:$M$48,HLOOKUP(AL6,'2) หลักการคำนวน Table'!$D$1:$M$5,5,TRUE),0),
IF($C6="WS WH",VLOOKUP($B6,'2) หลักการคำนวน Table'!$D$63:$M$78,HLOOKUP(AL6,'2) หลักการคำนวน Table'!$D$1:$M$5,5,TRUE),0),
IF($C6="SF WH",VLOOKUP($B6,'2) หลักการคำนวน Table'!$D$93:$M$108,HLOOKUP(AL6,'2) หลักการคำนวน Table'!$D$1:$M$5,5,TRUE),0))))),0)</f>
        <v>720</v>
      </c>
      <c r="BK6" s="167">
        <f>IFERROR(IF($C6="Top WS",VLOOKUP($B6,'2) หลักการคำนวน Table'!$D$5:$M$20,HLOOKUP(AM6,'2) หลักการคำนวน Table'!$D$1:$M$5,5,TRUE),0),
IF($C6="WS SF",VLOOKUP($B6,'2) หลักการคำนวน Table'!$D$33:$M$48,HLOOKUP(AM6,'2) หลักการคำนวน Table'!$D$1:$M$5,5,TRUE),0),
IF($C6="WS WH",VLOOKUP($B6,'2) หลักการคำนวน Table'!$D$63:$M$78,HLOOKUP(AM6,'2) หลักการคำนวน Table'!$D$1:$M$5,5,TRUE),0),
IF($C6="SF WH",VLOOKUP($B6,'2) หลักการคำนวน Table'!$D$93:$M$108,HLOOKUP(AM6,'2) หลักการคำนวน Table'!$D$1:$M$5,5,TRUE),0))))),0)</f>
        <v>720</v>
      </c>
      <c r="BM6" s="119">
        <f>VLOOKUP(VLOOKUP(A6,ASTBase!E:S,13,FALSE),ASTBase!F:P,11,FALSE)</f>
        <v>160000</v>
      </c>
      <c r="BN6" s="196" cm="1">
        <f t="array" ref="BN6">INDEX(AN6:AY6,,Period!$D$2)</f>
        <v>1.3</v>
      </c>
    </row>
    <row r="7" spans="1:66" x14ac:dyDescent="0.25">
      <c r="A7" s="117">
        <v>160001</v>
      </c>
      <c r="B7" s="117" t="s">
        <v>392</v>
      </c>
      <c r="C7" s="117" t="s">
        <v>178</v>
      </c>
      <c r="D7" s="118">
        <v>483</v>
      </c>
      <c r="E7" s="118">
        <v>217</v>
      </c>
      <c r="F7" s="118">
        <v>217</v>
      </c>
      <c r="G7" s="118">
        <v>358</v>
      </c>
      <c r="H7" s="118">
        <v>297</v>
      </c>
      <c r="I7" s="118">
        <v>183</v>
      </c>
      <c r="J7" s="118">
        <v>467</v>
      </c>
      <c r="K7" s="118">
        <v>265</v>
      </c>
      <c r="L7" s="118">
        <v>304</v>
      </c>
      <c r="M7" s="118">
        <v>398</v>
      </c>
      <c r="N7" s="118">
        <v>416</v>
      </c>
      <c r="O7" s="118">
        <v>411</v>
      </c>
      <c r="P7" s="117">
        <f>SUMIFS(Actual!C:C,Actual!$A:$A,'3)Target &amp; Cal'!$A7,Actual!$B:$B,'3)Target &amp; Cal'!$B7)</f>
        <v>973.36079999999993</v>
      </c>
      <c r="Q7" s="117">
        <f>SUMIFS(Actual!D:D,Actual!$A:$A,'3)Target &amp; Cal'!$A7,Actual!$B:$B,'3)Target &amp; Cal'!$B7)</f>
        <v>136.65959999999998</v>
      </c>
      <c r="R7" s="117">
        <f>SUMIFS(Actual!E:E,Actual!$A:$A,'3)Target &amp; Cal'!$A7,Actual!$B:$B,'3)Target &amp; Cal'!$B7)</f>
        <v>0</v>
      </c>
      <c r="S7" s="117">
        <f>SUMIFS(Actual!F:F,Actual!$A:$A,'3)Target &amp; Cal'!$A7,Actual!$B:$B,'3)Target &amp; Cal'!$B7)</f>
        <v>0</v>
      </c>
      <c r="T7" s="117">
        <f>SUMIFS(Actual!G:G,Actual!$A:$A,'3)Target &amp; Cal'!$A7,Actual!$B:$B,'3)Target &amp; Cal'!$B7)</f>
        <v>0</v>
      </c>
      <c r="U7" s="117">
        <f>SUMIFS(Actual!H:H,Actual!$A:$A,'3)Target &amp; Cal'!$A7,Actual!$B:$B,'3)Target &amp; Cal'!$B7)</f>
        <v>0</v>
      </c>
      <c r="V7" s="117">
        <f>SUMIFS(Actual!I:I,Actual!$A:$A,'3)Target &amp; Cal'!$A7,Actual!$B:$B,'3)Target &amp; Cal'!$B7)</f>
        <v>0</v>
      </c>
      <c r="W7" s="117">
        <f>SUMIFS(Actual!J:J,Actual!$A:$A,'3)Target &amp; Cal'!$A7,Actual!$B:$B,'3)Target &amp; Cal'!$B7)</f>
        <v>0</v>
      </c>
      <c r="X7" s="117">
        <f>SUMIFS(Actual!K:K,Actual!$A:$A,'3)Target &amp; Cal'!$A7,Actual!$B:$B,'3)Target &amp; Cal'!$B7)</f>
        <v>0</v>
      </c>
      <c r="Y7" s="117">
        <f>SUMIFS(Actual!L:L,Actual!$A:$A,'3)Target &amp; Cal'!$A7,Actual!$B:$B,'3)Target &amp; Cal'!$B7)</f>
        <v>0</v>
      </c>
      <c r="Z7" s="117">
        <f>SUMIFS(Actual!M:M,Actual!$A:$A,'3)Target &amp; Cal'!$A7,Actual!$B:$B,'3)Target &amp; Cal'!$B7)</f>
        <v>0</v>
      </c>
      <c r="AA7" s="117">
        <f>SUMIFS(Actual!N:N,Actual!$A:$A,'3)Target &amp; Cal'!$A7,Actual!$B:$B,'3)Target &amp; Cal'!$B7)</f>
        <v>0</v>
      </c>
      <c r="AB7" s="123">
        <f>IFERROR(IF(VLOOKUP($B7,Shortage!$A:$M,AB$2,FALSE)="Shortage",1,IFERROR(ROUND(P7/D7,4),0)),IFERROR(ROUND(P7/D7,4),0))</f>
        <v>2.0152000000000001</v>
      </c>
      <c r="AC7" s="123">
        <f>IFERROR(IF(VLOOKUP($B7,Shortage!$A:$M,AC$2,FALSE)="Shortage",1,IFERROR(ROUND(Q7/E7,4),0)),IFERROR(ROUND(Q7/E7,4),0))</f>
        <v>0.62980000000000003</v>
      </c>
      <c r="AD7" s="123">
        <f>IFERROR(IF(VLOOKUP($B7,Shortage!$A:$M,AD$2,FALSE)="Shortage",1,IFERROR(ROUND(R7/F7,4),0)),IFERROR(ROUND(R7/F7,4),0))</f>
        <v>0</v>
      </c>
      <c r="AE7" s="123">
        <f>IFERROR(IF(VLOOKUP($B7,Shortage!$A:$M,AE$2,FALSE)="Shortage",1,IFERROR(ROUND(S7/G7,4),0)),IFERROR(ROUND(S7/G7,4),0))</f>
        <v>0</v>
      </c>
      <c r="AF7" s="123">
        <f>IFERROR(IF(VLOOKUP($B7,Shortage!$A:$M,AF$2,FALSE)="Shortage",1,IFERROR(ROUND(T7/H7,4),0)),IFERROR(ROUND(T7/H7,4),0))</f>
        <v>0</v>
      </c>
      <c r="AG7" s="123">
        <f>IFERROR(IF(VLOOKUP($B7,Shortage!$A:$M,AG$2,FALSE)="Shortage",1,IFERROR(ROUND(U7/I7,4),0)),IFERROR(ROUND(U7/I7,4),0))</f>
        <v>0</v>
      </c>
      <c r="AH7" s="123">
        <f>IFERROR(IF(VLOOKUP($B7,Shortage!$A:$M,AH$2,FALSE)="Shortage",1,IFERROR(ROUND(V7/J7,4),0)),IFERROR(ROUND(V7/J7,4),0))</f>
        <v>0</v>
      </c>
      <c r="AI7" s="123">
        <f>IFERROR(IF(VLOOKUP($B7,Shortage!$A:$M,AI$2,FALSE)="Shortage",1,IFERROR(ROUND(W7/K7,4),0)),IFERROR(ROUND(W7/K7,4),0))</f>
        <v>0</v>
      </c>
      <c r="AJ7" s="123">
        <f>IFERROR(IF(VLOOKUP($B7,Shortage!$A:$M,AP$2,FALSE)="Shortage",1,IFERROR(ROUND(X7/L7,4),0)),IFERROR(ROUND(X7/L7,4),0))</f>
        <v>0</v>
      </c>
      <c r="AK7" s="123">
        <f>IFERROR(IF(VLOOKUP($B7,Shortage!$A:$M,AK$2,FALSE)="Shortage",1,IFERROR(ROUND(Y7/M7,4),0)),IFERROR(ROUND(Y7/M7,4),0))</f>
        <v>0</v>
      </c>
      <c r="AL7" s="123">
        <f>IFERROR(IF(VLOOKUP($B7,Shortage!$A:$M,AL$2,FALSE)="Shortage",1,IFERROR(ROUND(Z7/N7,4),0)),IFERROR(ROUND(Z7/N7,4),0))</f>
        <v>0</v>
      </c>
      <c r="AM7" s="123">
        <f>IFERROR(IF(VLOOKUP($B7,Shortage!$A:$M,AM$2,FALSE)="Shortage",1,IFERROR(ROUND(AA7/O7,4),0)),IFERROR(ROUND(AA7/O7,4),0))</f>
        <v>0</v>
      </c>
      <c r="AN7" s="337">
        <f>IFERROR(IF($C7="Top WS",VLOOKUP("GOAL",'2) หลักการคำนวน Table'!$D$4:$M$4,HLOOKUP(AB7,'2) หลักการคำนวน Table'!$D$1:$M$5,5,TRUE),0),
IF($C7="WS SF",VLOOKUP("GOAL",'2) หลักการคำนวน Table'!$D$32:$M$32,HLOOKUP(AB7,'2) หลักการคำนวน Table'!$D$1:$M$5,5,TRUE),0),
IF($C7="WS WH",VLOOKUP("GOAL",'2) หลักการคำนวน Table'!$D$62:$M$62,HLOOKUP(AB7,'2) หลักการคำนวน Table'!$D$1:$M$5,5,TRUE),0),
IF($C7="SF WH",VLOOKUP("GOAL",'2) หลักการคำนวน Table'!$D$92:$M$92,HLOOKUP(AB7,'2) หลักการคำนวน Table'!$D$1:$M$5,5,TRUE),0))))),0)</f>
        <v>1.3</v>
      </c>
      <c r="AO7" s="232">
        <f>IFERROR(IF($C7="Top WS",VLOOKUP("GOAL",'2) หลักการคำนวน Table'!$D$4:$M$4,HLOOKUP(AC7,'2) หลักการคำนวน Table'!$D$1:$M$5,5,TRUE),0),
IF($C7="WS SF",VLOOKUP("GOAL",'2) หลักการคำนวน Table'!$D$32:$M$32,HLOOKUP(AC7,'2) หลักการคำนวน Table'!$D$1:$M$5,5,TRUE),0),
IF($C7="WS WH",VLOOKUP("GOAL",'2) หลักการคำนวน Table'!$D$62:$M$62,HLOOKUP(AC7,'2) หลักการคำนวน Table'!$D$1:$M$5,5,TRUE),0),
IF($C7="SF WH",VLOOKUP("GOAL",'2) หลักการคำนวน Table'!$D$92:$M$92,HLOOKUP(AC7,'2) หลักการคำนวน Table'!$D$1:$M$5,5,TRUE),0))))),0)</f>
        <v>0.9</v>
      </c>
      <c r="AP7" s="232">
        <f>IFERROR(IF($C7="Top WS",VLOOKUP("GOAL",'2) หลักการคำนวน Table'!$D$4:$M$4,HLOOKUP(AD7,'2) หลักการคำนวน Table'!$D$1:$M$5,5,TRUE),0),
IF($C7="WS SF",VLOOKUP("GOAL",'2) หลักการคำนวน Table'!$D$32:$M$32,HLOOKUP(AD7,'2) หลักการคำนวน Table'!$D$1:$M$5,5,TRUE),0),
IF($C7="WS WH",VLOOKUP("GOAL",'2) หลักการคำนวน Table'!$D$62:$M$62,HLOOKUP(AD7,'2) หลักการคำนวน Table'!$D$1:$M$5,5,TRUE),0),
IF($C7="SF WH",VLOOKUP("GOAL",'2) หลักการคำนวน Table'!$D$92:$M$92,HLOOKUP(AD7,'2) หลักการคำนวน Table'!$D$1:$M$5,5,TRUE),0))))),0)</f>
        <v>0.9</v>
      </c>
      <c r="AQ7" s="232">
        <f>IFERROR(IF($C7="Top WS",VLOOKUP("GOAL",'2) หลักการคำนวน Table'!$D$4:$M$4,HLOOKUP(AE7,'2) หลักการคำนวน Table'!$D$1:$M$5,5,TRUE),0),
IF($C7="WS SF",VLOOKUP("GOAL",'2) หลักการคำนวน Table'!$D$32:$M$32,HLOOKUP(AE7,'2) หลักการคำนวน Table'!$D$1:$M$5,5,TRUE),0),
IF($C7="WS WH",VLOOKUP("GOAL",'2) หลักการคำนวน Table'!$D$62:$M$62,HLOOKUP(AE7,'2) หลักการคำนวน Table'!$D$1:$M$5,5,TRUE),0),
IF($C7="SF WH",VLOOKUP("GOAL",'2) หลักการคำนวน Table'!$D$92:$M$92,HLOOKUP(AE7,'2) หลักการคำนวน Table'!$D$1:$M$5,5,TRUE),0))))),0)</f>
        <v>0.9</v>
      </c>
      <c r="AR7" s="232">
        <f>IFERROR(IF($C7="Top WS",VLOOKUP("GOAL",'2) หลักการคำนวน Table'!$D$4:$M$4,HLOOKUP(AF7,'2) หลักการคำนวน Table'!$D$1:$M$5,5,TRUE),0),
IF($C7="WS SF",VLOOKUP("GOAL",'2) หลักการคำนวน Table'!$D$32:$M$32,HLOOKUP(AF7,'2) หลักการคำนวน Table'!$D$1:$M$5,5,TRUE),0),
IF($C7="WS WH",VLOOKUP("GOAL",'2) หลักการคำนวน Table'!$D$62:$M$62,HLOOKUP(AF7,'2) หลักการคำนวน Table'!$D$1:$M$5,5,TRUE),0),
IF($C7="SF WH",VLOOKUP("GOAL",'2) หลักการคำนวน Table'!$D$92:$M$92,HLOOKUP(AF7,'2) หลักการคำนวน Table'!$D$1:$M$5,5,TRUE),0))))),0)</f>
        <v>0.9</v>
      </c>
      <c r="AS7" s="232">
        <f>IFERROR(IF($C7="Top WS",VLOOKUP("GOAL",'2) หลักการคำนวน Table'!$D$4:$M$4,HLOOKUP(AG7,'2) หลักการคำนวน Table'!$D$1:$M$5,5,TRUE),0),
IF($C7="WS SF",VLOOKUP("GOAL",'2) หลักการคำนวน Table'!$D$32:$M$32,HLOOKUP(AG7,'2) หลักการคำนวน Table'!$D$1:$M$5,5,TRUE),0),
IF($C7="WS WH",VLOOKUP("GOAL",'2) หลักการคำนวน Table'!$D$62:$M$62,HLOOKUP(AG7,'2) หลักการคำนวน Table'!$D$1:$M$5,5,TRUE),0),
IF($C7="SF WH",VLOOKUP("GOAL",'2) หลักการคำนวน Table'!$D$92:$M$92,HLOOKUP(AG7,'2) หลักการคำนวน Table'!$D$1:$M$5,5,TRUE),0))))),0)</f>
        <v>0.9</v>
      </c>
      <c r="AT7" s="232">
        <f>IFERROR(IF($C7="Top WS",VLOOKUP("GOAL",'2) หลักการคำนวน Table'!$D$4:$M$4,HLOOKUP(AH7,'2) หลักการคำนวน Table'!$D$1:$M$5,5,TRUE),0),
IF($C7="WS SF",VLOOKUP("GOAL",'2) หลักการคำนวน Table'!$D$32:$M$32,HLOOKUP(AH7,'2) หลักการคำนวน Table'!$D$1:$M$5,5,TRUE),0),
IF($C7="WS WH",VLOOKUP("GOAL",'2) หลักการคำนวน Table'!$D$62:$M$62,HLOOKUP(AH7,'2) หลักการคำนวน Table'!$D$1:$M$5,5,TRUE),0),
IF($C7="SF WH",VLOOKUP("GOAL",'2) หลักการคำนวน Table'!$D$92:$M$92,HLOOKUP(AH7,'2) หลักการคำนวน Table'!$D$1:$M$5,5,TRUE),0))))),0)</f>
        <v>0.9</v>
      </c>
      <c r="AU7" s="232">
        <f>IFERROR(IF($C7="Top WS",VLOOKUP("GOAL",'2) หลักการคำนวน Table'!$D$4:$M$4,HLOOKUP(AI7,'2) หลักการคำนวน Table'!$D$1:$M$5,5,TRUE),0),
IF($C7="WS SF",VLOOKUP("GOAL",'2) หลักการคำนวน Table'!$D$32:$M$32,HLOOKUP(AI7,'2) หลักการคำนวน Table'!$D$1:$M$5,5,TRUE),0),
IF($C7="WS WH",VLOOKUP("GOAL",'2) หลักการคำนวน Table'!$D$62:$M$62,HLOOKUP(AI7,'2) หลักการคำนวน Table'!$D$1:$M$5,5,TRUE),0),
IF($C7="SF WH",VLOOKUP("GOAL",'2) หลักการคำนวน Table'!$D$92:$M$92,HLOOKUP(AI7,'2) หลักการคำนวน Table'!$D$1:$M$5,5,TRUE),0))))),0)</f>
        <v>0.9</v>
      </c>
      <c r="AV7" s="232">
        <f>IFERROR(IF($C7="Top WS",VLOOKUP("GOAL",'2) หลักการคำนวน Table'!$D$4:$M$4,HLOOKUP(AP7,'2) หลักการคำนวน Table'!$D$1:$M$5,5,TRUE),0),
IF($C7="WS SF",VLOOKUP("GOAL",'2) หลักการคำนวน Table'!$D$32:$M$32,HLOOKUP(AP7,'2) หลักการคำนวน Table'!$D$1:$M$5,5,TRUE),0),
IF($C7="WS WH",VLOOKUP("GOAL",'2) หลักการคำนวน Table'!$D$62:$M$62,HLOOKUP(AP7,'2) หลักการคำนวน Table'!$D$1:$M$5,5,TRUE),0),
IF($C7="SF WH",VLOOKUP("GOAL",'2) หลักการคำนวน Table'!$D$92:$M$92,HLOOKUP(AP7,'2) หลักการคำนวน Table'!$D$1:$M$5,5,TRUE),0))))),0)</f>
        <v>0.9</v>
      </c>
      <c r="AW7" s="232">
        <f>IFERROR(IF($C7="Top WS",VLOOKUP("GOAL",'2) หลักการคำนวน Table'!$D$4:$M$4,HLOOKUP(AK7,'2) หลักการคำนวน Table'!$D$1:$M$5,5,TRUE),0),
IF($C7="WS SF",VLOOKUP("GOAL",'2) หลักการคำนวน Table'!$D$32:$M$32,HLOOKUP(AK7,'2) หลักการคำนวน Table'!$D$1:$M$5,5,TRUE),0),
IF($C7="WS WH",VLOOKUP("GOAL",'2) หลักการคำนวน Table'!$D$62:$M$62,HLOOKUP(AK7,'2) หลักการคำนวน Table'!$D$1:$M$5,5,TRUE),0),
IF($C7="SF WH",VLOOKUP("GOAL",'2) หลักการคำนวน Table'!$D$92:$M$92,HLOOKUP(AK7,'2) หลักการคำนวน Table'!$D$1:$M$5,5,TRUE),0))))),0)</f>
        <v>0.9</v>
      </c>
      <c r="AX7" s="232">
        <f>IFERROR(IF($C7="Top WS",VLOOKUP("GOAL",'2) หลักการคำนวน Table'!$D$4:$M$4,HLOOKUP(AL7,'2) หลักการคำนวน Table'!$D$1:$M$5,5,TRUE),0),
IF($C7="WS SF",VLOOKUP("GOAL",'2) หลักการคำนวน Table'!$D$32:$M$32,HLOOKUP(AL7,'2) หลักการคำนวน Table'!$D$1:$M$5,5,TRUE),0),
IF($C7="WS WH",VLOOKUP("GOAL",'2) หลักการคำนวน Table'!$D$62:$M$62,HLOOKUP(AL7,'2) หลักการคำนวน Table'!$D$1:$M$5,5,TRUE),0),
IF($C7="SF WH",VLOOKUP("GOAL",'2) หลักการคำนวน Table'!$D$92:$M$92,HLOOKUP(AL7,'2) หลักการคำนวน Table'!$D$1:$M$5,5,TRUE),0))))),0)</f>
        <v>0.9</v>
      </c>
      <c r="AY7" s="232">
        <f>IFERROR(IF($C7="Top WS",VLOOKUP("GOAL",'2) หลักการคำนวน Table'!$D$4:$M$4,HLOOKUP(AM7,'2) หลักการคำนวน Table'!$D$1:$M$5,5,TRUE),0),
IF($C7="WS SF",VLOOKUP("GOAL",'2) หลักการคำนวน Table'!$D$32:$M$32,HLOOKUP(AM7,'2) หลักการคำนวน Table'!$D$1:$M$5,5,TRUE),0),
IF($C7="WS WH",VLOOKUP("GOAL",'2) หลักการคำนวน Table'!$D$62:$M$62,HLOOKUP(AM7,'2) หลักการคำนวน Table'!$D$1:$M$5,5,TRUE),0),
IF($C7="SF WH",VLOOKUP("GOAL",'2) หลักการคำนวน Table'!$D$92:$M$92,HLOOKUP(AM7,'2) หลักการคำนวน Table'!$D$1:$M$5,5,TRUE),0))))),0)</f>
        <v>0.9</v>
      </c>
      <c r="AZ7" s="167">
        <f>IFERROR(IF($C7="Top WS",VLOOKUP($B7,'2) หลักการคำนวน Table'!$D$5:$M$20,HLOOKUP(AB7,'2) หลักการคำนวน Table'!$D$1:$M$5,5,TRUE),0),
IF($C7="WS SF",VLOOKUP($B7,'2) หลักการคำนวน Table'!$D$33:$M$48,HLOOKUP(AB7,'2) หลักการคำนวน Table'!$D$1:$M$5,5,TRUE),0),
IF($C7="WS WH",VLOOKUP($B7,'2) หลักการคำนวน Table'!$D$63:$M$78,HLOOKUP(AB7,'2) หลักการคำนวน Table'!$D$1:$M$5,5,TRUE),0),
IF($C7="SF WH",VLOOKUP($B7,'2) หลักการคำนวน Table'!$D$93:$M$108,HLOOKUP(AB7,'2) หลักการคำนวน Table'!$D$1:$M$5,5,TRUE),0))))),0)</f>
        <v>520</v>
      </c>
      <c r="BA7" s="167">
        <f>IFERROR(IF($C7="Top WS",VLOOKUP($B7,'2) หลักการคำนวน Table'!$D$5:$M$20,HLOOKUP(AC7,'2) หลักการคำนวน Table'!$D$1:$M$5,5,TRUE),0),
IF($C7="WS SF",VLOOKUP($B7,'2) หลักการคำนวน Table'!$D$33:$M$48,HLOOKUP(AC7,'2) หลักการคำนวน Table'!$D$1:$M$5,5,TRUE),0),
IF($C7="WS WH",VLOOKUP($B7,'2) หลักการคำนวน Table'!$D$63:$M$78,HLOOKUP(AC7,'2) หลักการคำนวน Table'!$D$1:$M$5,5,TRUE),0),
IF($C7="SF WH",VLOOKUP($B7,'2) หลักการคำนวน Table'!$D$93:$M$108,HLOOKUP(AC7,'2) หลักการคำนวน Table'!$D$1:$M$5,5,TRUE),0))))),0)</f>
        <v>360</v>
      </c>
      <c r="BB7" s="167">
        <f>IFERROR(IF($C7="Top WS",VLOOKUP($B7,'2) หลักการคำนวน Table'!$D$5:$M$20,HLOOKUP(AD7,'2) หลักการคำนวน Table'!$D$1:$M$5,5,TRUE),0),
IF($C7="WS SF",VLOOKUP($B7,'2) หลักการคำนวน Table'!$D$33:$M$48,HLOOKUP(AD7,'2) หลักการคำนวน Table'!$D$1:$M$5,5,TRUE),0),
IF($C7="WS WH",VLOOKUP($B7,'2) หลักการคำนวน Table'!$D$63:$M$78,HLOOKUP(AD7,'2) หลักการคำนวน Table'!$D$1:$M$5,5,TRUE),0),
IF($C7="SF WH",VLOOKUP($B7,'2) หลักการคำนวน Table'!$D$93:$M$108,HLOOKUP(AD7,'2) หลักการคำนวน Table'!$D$1:$M$5,5,TRUE),0))))),0)</f>
        <v>360</v>
      </c>
      <c r="BC7" s="167">
        <f>IFERROR(IF($C7="Top WS",VLOOKUP($B7,'2) หลักการคำนวน Table'!$D$5:$M$20,HLOOKUP(AE7,'2) หลักการคำนวน Table'!$D$1:$M$5,5,TRUE),0),
IF($C7="WS SF",VLOOKUP($B7,'2) หลักการคำนวน Table'!$D$33:$M$48,HLOOKUP(AE7,'2) หลักการคำนวน Table'!$D$1:$M$5,5,TRUE),0),
IF($C7="WS WH",VLOOKUP($B7,'2) หลักการคำนวน Table'!$D$63:$M$78,HLOOKUP(AE7,'2) หลักการคำนวน Table'!$D$1:$M$5,5,TRUE),0),
IF($C7="SF WH",VLOOKUP($B7,'2) หลักการคำนวน Table'!$D$93:$M$108,HLOOKUP(AE7,'2) หลักการคำนวน Table'!$D$1:$M$5,5,TRUE),0))))),0)</f>
        <v>360</v>
      </c>
      <c r="BD7" s="167">
        <f>IFERROR(IF($C7="Top WS",VLOOKUP($B7,'2) หลักการคำนวน Table'!$D$5:$M$20,HLOOKUP(AF7,'2) หลักการคำนวน Table'!$D$1:$M$5,5,TRUE),0),
IF($C7="WS SF",VLOOKUP($B7,'2) หลักการคำนวน Table'!$D$33:$M$48,HLOOKUP(AF7,'2) หลักการคำนวน Table'!$D$1:$M$5,5,TRUE),0),
IF($C7="WS WH",VLOOKUP($B7,'2) หลักการคำนวน Table'!$D$63:$M$78,HLOOKUP(AF7,'2) หลักการคำนวน Table'!$D$1:$M$5,5,TRUE),0),
IF($C7="SF WH",VLOOKUP($B7,'2) หลักการคำนวน Table'!$D$93:$M$108,HLOOKUP(AF7,'2) หลักการคำนวน Table'!$D$1:$M$5,5,TRUE),0))))),0)</f>
        <v>360</v>
      </c>
      <c r="BE7" s="167">
        <f>IFERROR(IF($C7="Top WS",VLOOKUP($B7,'2) หลักการคำนวน Table'!$D$5:$M$20,HLOOKUP(AG7,'2) หลักการคำนวน Table'!$D$1:$M$5,5,TRUE),0),
IF($C7="WS SF",VLOOKUP($B7,'2) หลักการคำนวน Table'!$D$33:$M$48,HLOOKUP(AG7,'2) หลักการคำนวน Table'!$D$1:$M$5,5,TRUE),0),
IF($C7="WS WH",VLOOKUP($B7,'2) หลักการคำนวน Table'!$D$63:$M$78,HLOOKUP(AG7,'2) หลักการคำนวน Table'!$D$1:$M$5,5,TRUE),0),
IF($C7="SF WH",VLOOKUP($B7,'2) หลักการคำนวน Table'!$D$93:$M$108,HLOOKUP(AG7,'2) หลักการคำนวน Table'!$D$1:$M$5,5,TRUE),0))))),0)</f>
        <v>360</v>
      </c>
      <c r="BF7" s="167">
        <f>IFERROR(IF($C7="Top WS",VLOOKUP($B7,'2) หลักการคำนวน Table'!$D$5:$M$20,HLOOKUP(AH7,'2) หลักการคำนวน Table'!$D$1:$M$5,5,TRUE),0),
IF($C7="WS SF",VLOOKUP($B7,'2) หลักการคำนวน Table'!$D$33:$M$48,HLOOKUP(AH7,'2) หลักการคำนวน Table'!$D$1:$M$5,5,TRUE),0),
IF($C7="WS WH",VLOOKUP($B7,'2) หลักการคำนวน Table'!$D$63:$M$78,HLOOKUP(AH7,'2) หลักการคำนวน Table'!$D$1:$M$5,5,TRUE),0),
IF($C7="SF WH",VLOOKUP($B7,'2) หลักการคำนวน Table'!$D$93:$M$108,HLOOKUP(AH7,'2) หลักการคำนวน Table'!$D$1:$M$5,5,TRUE),0))))),0)</f>
        <v>360</v>
      </c>
      <c r="BG7" s="167">
        <f>IFERROR(IF($C7="Top WS",VLOOKUP($B7,'2) หลักการคำนวน Table'!$D$5:$M$20,HLOOKUP(AI7,'2) หลักการคำนวน Table'!$D$1:$M$5,5,TRUE),0),
IF($C7="WS SF",VLOOKUP($B7,'2) หลักการคำนวน Table'!$D$33:$M$48,HLOOKUP(AI7,'2) หลักการคำนวน Table'!$D$1:$M$5,5,TRUE),0),
IF($C7="WS WH",VLOOKUP($B7,'2) หลักการคำนวน Table'!$D$63:$M$78,HLOOKUP(AI7,'2) หลักการคำนวน Table'!$D$1:$M$5,5,TRUE),0),
IF($C7="SF WH",VLOOKUP($B7,'2) หลักการคำนวน Table'!$D$93:$M$108,HLOOKUP(AI7,'2) หลักการคำนวน Table'!$D$1:$M$5,5,TRUE),0))))),0)</f>
        <v>360</v>
      </c>
      <c r="BH7" s="167">
        <f>IFERROR(IF($C7="Top WS",VLOOKUP($B7,'2) หลักการคำนวน Table'!$D$5:$M$20,HLOOKUP(AP7,'2) หลักการคำนวน Table'!$D$1:$M$5,5,TRUE),0),
IF($C7="WS SF",VLOOKUP($B7,'2) หลักการคำนวน Table'!$D$33:$M$48,HLOOKUP(AP7,'2) หลักการคำนวน Table'!$D$1:$M$5,5,TRUE),0),
IF($C7="WS WH",VLOOKUP($B7,'2) หลักการคำนวน Table'!$D$63:$M$78,HLOOKUP(AP7,'2) หลักการคำนวน Table'!$D$1:$M$5,5,TRUE),0),
IF($C7="SF WH",VLOOKUP($B7,'2) หลักการคำนวน Table'!$D$93:$M$108,HLOOKUP(AP7,'2) หลักการคำนวน Table'!$D$1:$M$5,5,TRUE),0))))),0)</f>
        <v>360</v>
      </c>
      <c r="BI7" s="167">
        <f>IFERROR(IF($C7="Top WS",VLOOKUP($B7,'2) หลักการคำนวน Table'!$D$5:$M$20,HLOOKUP(AK7,'2) หลักการคำนวน Table'!$D$1:$M$5,5,TRUE),0),
IF($C7="WS SF",VLOOKUP($B7,'2) หลักการคำนวน Table'!$D$33:$M$48,HLOOKUP(AK7,'2) หลักการคำนวน Table'!$D$1:$M$5,5,TRUE),0),
IF($C7="WS WH",VLOOKUP($B7,'2) หลักการคำนวน Table'!$D$63:$M$78,HLOOKUP(AK7,'2) หลักการคำนวน Table'!$D$1:$M$5,5,TRUE),0),
IF($C7="SF WH",VLOOKUP($B7,'2) หลักการคำนวน Table'!$D$93:$M$108,HLOOKUP(AK7,'2) หลักการคำนวน Table'!$D$1:$M$5,5,TRUE),0))))),0)</f>
        <v>360</v>
      </c>
      <c r="BJ7" s="167">
        <f>IFERROR(IF($C7="Top WS",VLOOKUP($B7,'2) หลักการคำนวน Table'!$D$5:$M$20,HLOOKUP(AL7,'2) หลักการคำนวน Table'!$D$1:$M$5,5,TRUE),0),
IF($C7="WS SF",VLOOKUP($B7,'2) หลักการคำนวน Table'!$D$33:$M$48,HLOOKUP(AL7,'2) หลักการคำนวน Table'!$D$1:$M$5,5,TRUE),0),
IF($C7="WS WH",VLOOKUP($B7,'2) หลักการคำนวน Table'!$D$63:$M$78,HLOOKUP(AL7,'2) หลักการคำนวน Table'!$D$1:$M$5,5,TRUE),0),
IF($C7="SF WH",VLOOKUP($B7,'2) หลักการคำนวน Table'!$D$93:$M$108,HLOOKUP(AL7,'2) หลักการคำนวน Table'!$D$1:$M$5,5,TRUE),0))))),0)</f>
        <v>360</v>
      </c>
      <c r="BK7" s="167">
        <f>IFERROR(IF($C7="Top WS",VLOOKUP($B7,'2) หลักการคำนวน Table'!$D$5:$M$20,HLOOKUP(AM7,'2) หลักการคำนวน Table'!$D$1:$M$5,5,TRUE),0),
IF($C7="WS SF",VLOOKUP($B7,'2) หลักการคำนวน Table'!$D$33:$M$48,HLOOKUP(AM7,'2) หลักการคำนวน Table'!$D$1:$M$5,5,TRUE),0),
IF($C7="WS WH",VLOOKUP($B7,'2) หลักการคำนวน Table'!$D$63:$M$78,HLOOKUP(AM7,'2) หลักการคำนวน Table'!$D$1:$M$5,5,TRUE),0),
IF($C7="SF WH",VLOOKUP($B7,'2) หลักการคำนวน Table'!$D$93:$M$108,HLOOKUP(AM7,'2) หลักการคำนวน Table'!$D$1:$M$5,5,TRUE),0))))),0)</f>
        <v>360</v>
      </c>
      <c r="BM7" s="119">
        <f>VLOOKUP(VLOOKUP(A7,ASTBase!E:S,13,FALSE),ASTBase!F:P,11,FALSE)</f>
        <v>160000</v>
      </c>
      <c r="BN7" s="196" cm="1">
        <f t="array" ref="BN7">INDEX(AN7:AY7,,Period!$D$2)</f>
        <v>0.9</v>
      </c>
    </row>
    <row r="8" spans="1:66" x14ac:dyDescent="0.25">
      <c r="A8" s="117">
        <v>160001</v>
      </c>
      <c r="B8" s="117" t="s">
        <v>391</v>
      </c>
      <c r="C8" s="117" t="s">
        <v>178</v>
      </c>
      <c r="D8" s="118">
        <v>5682</v>
      </c>
      <c r="E8" s="118">
        <v>6691</v>
      </c>
      <c r="F8" s="118">
        <v>7231</v>
      </c>
      <c r="G8" s="118">
        <v>8126</v>
      </c>
      <c r="H8" s="118">
        <v>7484</v>
      </c>
      <c r="I8" s="118">
        <v>7390</v>
      </c>
      <c r="J8" s="118">
        <v>8236</v>
      </c>
      <c r="K8" s="118">
        <v>8532</v>
      </c>
      <c r="L8" s="118">
        <v>9782</v>
      </c>
      <c r="M8" s="118">
        <v>7320</v>
      </c>
      <c r="N8" s="118">
        <v>6149</v>
      </c>
      <c r="O8" s="118">
        <v>6151</v>
      </c>
      <c r="P8" s="117">
        <f>SUMIFS(Actual!C:C,Actual!$A:$A,'3)Target &amp; Cal'!$A8,Actual!$B:$B,'3)Target &amp; Cal'!$B8)</f>
        <v>5189.9999998428639</v>
      </c>
      <c r="Q8" s="117">
        <f>SUMIFS(Actual!D:D,Actual!$A:$A,'3)Target &amp; Cal'!$A8,Actual!$B:$B,'3)Target &amp; Cal'!$B8)</f>
        <v>4877.9999998599824</v>
      </c>
      <c r="R8" s="117">
        <f>SUMIFS(Actual!E:E,Actual!$A:$A,'3)Target &amp; Cal'!$A8,Actual!$B:$B,'3)Target &amp; Cal'!$B8)</f>
        <v>0</v>
      </c>
      <c r="S8" s="117">
        <f>SUMIFS(Actual!F:F,Actual!$A:$A,'3)Target &amp; Cal'!$A8,Actual!$B:$B,'3)Target &amp; Cal'!$B8)</f>
        <v>0</v>
      </c>
      <c r="T8" s="117">
        <f>SUMIFS(Actual!G:G,Actual!$A:$A,'3)Target &amp; Cal'!$A8,Actual!$B:$B,'3)Target &amp; Cal'!$B8)</f>
        <v>0</v>
      </c>
      <c r="U8" s="117">
        <f>SUMIFS(Actual!H:H,Actual!$A:$A,'3)Target &amp; Cal'!$A8,Actual!$B:$B,'3)Target &amp; Cal'!$B8)</f>
        <v>0</v>
      </c>
      <c r="V8" s="117">
        <f>SUMIFS(Actual!I:I,Actual!$A:$A,'3)Target &amp; Cal'!$A8,Actual!$B:$B,'3)Target &amp; Cal'!$B8)</f>
        <v>0</v>
      </c>
      <c r="W8" s="117">
        <f>SUMIFS(Actual!J:J,Actual!$A:$A,'3)Target &amp; Cal'!$A8,Actual!$B:$B,'3)Target &amp; Cal'!$B8)</f>
        <v>0</v>
      </c>
      <c r="X8" s="117">
        <f>SUMIFS(Actual!K:K,Actual!$A:$A,'3)Target &amp; Cal'!$A8,Actual!$B:$B,'3)Target &amp; Cal'!$B8)</f>
        <v>0</v>
      </c>
      <c r="Y8" s="117">
        <f>SUMIFS(Actual!L:L,Actual!$A:$A,'3)Target &amp; Cal'!$A8,Actual!$B:$B,'3)Target &amp; Cal'!$B8)</f>
        <v>0</v>
      </c>
      <c r="Z8" s="117">
        <f>SUMIFS(Actual!M:M,Actual!$A:$A,'3)Target &amp; Cal'!$A8,Actual!$B:$B,'3)Target &amp; Cal'!$B8)</f>
        <v>0</v>
      </c>
      <c r="AA8" s="117">
        <f>SUMIFS(Actual!N:N,Actual!$A:$A,'3)Target &amp; Cal'!$A8,Actual!$B:$B,'3)Target &amp; Cal'!$B8)</f>
        <v>0</v>
      </c>
      <c r="AB8" s="123">
        <f>IFERROR(IF(VLOOKUP($B8,Shortage!$A:$M,AB$2,FALSE)="Shortage",1,IFERROR(ROUND(P8/D8,4),0)),IFERROR(ROUND(P8/D8,4),0))</f>
        <v>1</v>
      </c>
      <c r="AC8" s="123">
        <f>IFERROR(IF(VLOOKUP($B8,Shortage!$A:$M,AC$2,FALSE)="Shortage",1,IFERROR(ROUND(Q8/E8,4),0)),IFERROR(ROUND(Q8/E8,4),0))</f>
        <v>1</v>
      </c>
      <c r="AD8" s="123">
        <f>IFERROR(IF(VLOOKUP($B8,Shortage!$A:$M,AD$2,FALSE)="Shortage",1,IFERROR(ROUND(R8/F8,4),0)),IFERROR(ROUND(R8/F8,4),0))</f>
        <v>0</v>
      </c>
      <c r="AE8" s="123">
        <f>IFERROR(IF(VLOOKUP($B8,Shortage!$A:$M,AE$2,FALSE)="Shortage",1,IFERROR(ROUND(S8/G8,4),0)),IFERROR(ROUND(S8/G8,4),0))</f>
        <v>0</v>
      </c>
      <c r="AF8" s="123">
        <f>IFERROR(IF(VLOOKUP($B8,Shortage!$A:$M,AF$2,FALSE)="Shortage",1,IFERROR(ROUND(T8/H8,4),0)),IFERROR(ROUND(T8/H8,4),0))</f>
        <v>0</v>
      </c>
      <c r="AG8" s="123">
        <f>IFERROR(IF(VLOOKUP($B8,Shortage!$A:$M,AG$2,FALSE)="Shortage",1,IFERROR(ROUND(U8/I8,4),0)),IFERROR(ROUND(U8/I8,4),0))</f>
        <v>0</v>
      </c>
      <c r="AH8" s="123">
        <f>IFERROR(IF(VLOOKUP($B8,Shortage!$A:$M,AH$2,FALSE)="Shortage",1,IFERROR(ROUND(V8/J8,4),0)),IFERROR(ROUND(V8/J8,4),0))</f>
        <v>0</v>
      </c>
      <c r="AI8" s="123">
        <f>IFERROR(IF(VLOOKUP($B8,Shortage!$A:$M,AI$2,FALSE)="Shortage",1,IFERROR(ROUND(W8/K8,4),0)),IFERROR(ROUND(W8/K8,4),0))</f>
        <v>0</v>
      </c>
      <c r="AJ8" s="123">
        <f>IFERROR(IF(VLOOKUP($B8,Shortage!$A:$M,AP$2,FALSE)="Shortage",1,IFERROR(ROUND(X8/L8,4),0)),IFERROR(ROUND(X8/L8,4),0))</f>
        <v>0</v>
      </c>
      <c r="AK8" s="123">
        <f>IFERROR(IF(VLOOKUP($B8,Shortage!$A:$M,AK$2,FALSE)="Shortage",1,IFERROR(ROUND(Y8/M8,4),0)),IFERROR(ROUND(Y8/M8,4),0))</f>
        <v>0</v>
      </c>
      <c r="AL8" s="123">
        <f>IFERROR(IF(VLOOKUP($B8,Shortage!$A:$M,AL$2,FALSE)="Shortage",1,IFERROR(ROUND(Z8/N8,4),0)),IFERROR(ROUND(Z8/N8,4),0))</f>
        <v>0</v>
      </c>
      <c r="AM8" s="123">
        <f>IFERROR(IF(VLOOKUP($B8,Shortage!$A:$M,AM$2,FALSE)="Shortage",1,IFERROR(ROUND(AA8/O8,4),0)),IFERROR(ROUND(AA8/O8,4),0))</f>
        <v>0</v>
      </c>
      <c r="AN8" s="337">
        <f>IFERROR(IF($C8="Top WS",VLOOKUP("GOAL",'2) หลักการคำนวน Table'!$D$4:$M$4,HLOOKUP(AB8,'2) หลักการคำนวน Table'!$D$1:$M$5,5,TRUE),0),
IF($C8="WS SF",VLOOKUP("GOAL",'2) หลักการคำนวน Table'!$D$32:$M$32,HLOOKUP(AB8,'2) หลักการคำนวน Table'!$D$1:$M$5,5,TRUE),0),
IF($C8="WS WH",VLOOKUP("GOAL",'2) หลักการคำนวน Table'!$D$62:$M$62,HLOOKUP(AB8,'2) หลักการคำนวน Table'!$D$1:$M$5,5,TRUE),0),
IF($C8="SF WH",VLOOKUP("GOAL",'2) หลักการคำนวน Table'!$D$92:$M$92,HLOOKUP(AB8,'2) หลักการคำนวน Table'!$D$1:$M$5,5,TRUE),0))))),0)</f>
        <v>1</v>
      </c>
      <c r="AO8" s="232">
        <f>IFERROR(IF($C8="Top WS",VLOOKUP("GOAL",'2) หลักการคำนวน Table'!$D$4:$M$4,HLOOKUP(AC8,'2) หลักการคำนวน Table'!$D$1:$M$5,5,TRUE),0),
IF($C8="WS SF",VLOOKUP("GOAL",'2) หลักการคำนวน Table'!$D$32:$M$32,HLOOKUP(AC8,'2) หลักการคำนวน Table'!$D$1:$M$5,5,TRUE),0),
IF($C8="WS WH",VLOOKUP("GOAL",'2) หลักการคำนวน Table'!$D$62:$M$62,HLOOKUP(AC8,'2) หลักการคำนวน Table'!$D$1:$M$5,5,TRUE),0),
IF($C8="SF WH",VLOOKUP("GOAL",'2) หลักการคำนวน Table'!$D$92:$M$92,HLOOKUP(AC8,'2) หลักการคำนวน Table'!$D$1:$M$5,5,TRUE),0))))),0)</f>
        <v>1</v>
      </c>
      <c r="AP8" s="232">
        <f>IFERROR(IF($C8="Top WS",VLOOKUP("GOAL",'2) หลักการคำนวน Table'!$D$4:$M$4,HLOOKUP(AD8,'2) หลักการคำนวน Table'!$D$1:$M$5,5,TRUE),0),
IF($C8="WS SF",VLOOKUP("GOAL",'2) หลักการคำนวน Table'!$D$32:$M$32,HLOOKUP(AD8,'2) หลักการคำนวน Table'!$D$1:$M$5,5,TRUE),0),
IF($C8="WS WH",VLOOKUP("GOAL",'2) หลักการคำนวน Table'!$D$62:$M$62,HLOOKUP(AD8,'2) หลักการคำนวน Table'!$D$1:$M$5,5,TRUE),0),
IF($C8="SF WH",VLOOKUP("GOAL",'2) หลักการคำนวน Table'!$D$92:$M$92,HLOOKUP(AD8,'2) หลักการคำนวน Table'!$D$1:$M$5,5,TRUE),0))))),0)</f>
        <v>0.9</v>
      </c>
      <c r="AQ8" s="232">
        <f>IFERROR(IF($C8="Top WS",VLOOKUP("GOAL",'2) หลักการคำนวน Table'!$D$4:$M$4,HLOOKUP(AE8,'2) หลักการคำนวน Table'!$D$1:$M$5,5,TRUE),0),
IF($C8="WS SF",VLOOKUP("GOAL",'2) หลักการคำนวน Table'!$D$32:$M$32,HLOOKUP(AE8,'2) หลักการคำนวน Table'!$D$1:$M$5,5,TRUE),0),
IF($C8="WS WH",VLOOKUP("GOAL",'2) หลักการคำนวน Table'!$D$62:$M$62,HLOOKUP(AE8,'2) หลักการคำนวน Table'!$D$1:$M$5,5,TRUE),0),
IF($C8="SF WH",VLOOKUP("GOAL",'2) หลักการคำนวน Table'!$D$92:$M$92,HLOOKUP(AE8,'2) หลักการคำนวน Table'!$D$1:$M$5,5,TRUE),0))))),0)</f>
        <v>0.9</v>
      </c>
      <c r="AR8" s="232">
        <f>IFERROR(IF($C8="Top WS",VLOOKUP("GOAL",'2) หลักการคำนวน Table'!$D$4:$M$4,HLOOKUP(AF8,'2) หลักการคำนวน Table'!$D$1:$M$5,5,TRUE),0),
IF($C8="WS SF",VLOOKUP("GOAL",'2) หลักการคำนวน Table'!$D$32:$M$32,HLOOKUP(AF8,'2) หลักการคำนวน Table'!$D$1:$M$5,5,TRUE),0),
IF($C8="WS WH",VLOOKUP("GOAL",'2) หลักการคำนวน Table'!$D$62:$M$62,HLOOKUP(AF8,'2) หลักการคำนวน Table'!$D$1:$M$5,5,TRUE),0),
IF($C8="SF WH",VLOOKUP("GOAL",'2) หลักการคำนวน Table'!$D$92:$M$92,HLOOKUP(AF8,'2) หลักการคำนวน Table'!$D$1:$M$5,5,TRUE),0))))),0)</f>
        <v>0.9</v>
      </c>
      <c r="AS8" s="232">
        <f>IFERROR(IF($C8="Top WS",VLOOKUP("GOAL",'2) หลักการคำนวน Table'!$D$4:$M$4,HLOOKUP(AG8,'2) หลักการคำนวน Table'!$D$1:$M$5,5,TRUE),0),
IF($C8="WS SF",VLOOKUP("GOAL",'2) หลักการคำนวน Table'!$D$32:$M$32,HLOOKUP(AG8,'2) หลักการคำนวน Table'!$D$1:$M$5,5,TRUE),0),
IF($C8="WS WH",VLOOKUP("GOAL",'2) หลักการคำนวน Table'!$D$62:$M$62,HLOOKUP(AG8,'2) หลักการคำนวน Table'!$D$1:$M$5,5,TRUE),0),
IF($C8="SF WH",VLOOKUP("GOAL",'2) หลักการคำนวน Table'!$D$92:$M$92,HLOOKUP(AG8,'2) หลักการคำนวน Table'!$D$1:$M$5,5,TRUE),0))))),0)</f>
        <v>0.9</v>
      </c>
      <c r="AT8" s="232">
        <f>IFERROR(IF($C8="Top WS",VLOOKUP("GOAL",'2) หลักการคำนวน Table'!$D$4:$M$4,HLOOKUP(AH8,'2) หลักการคำนวน Table'!$D$1:$M$5,5,TRUE),0),
IF($C8="WS SF",VLOOKUP("GOAL",'2) หลักการคำนวน Table'!$D$32:$M$32,HLOOKUP(AH8,'2) หลักการคำนวน Table'!$D$1:$M$5,5,TRUE),0),
IF($C8="WS WH",VLOOKUP("GOAL",'2) หลักการคำนวน Table'!$D$62:$M$62,HLOOKUP(AH8,'2) หลักการคำนวน Table'!$D$1:$M$5,5,TRUE),0),
IF($C8="SF WH",VLOOKUP("GOAL",'2) หลักการคำนวน Table'!$D$92:$M$92,HLOOKUP(AH8,'2) หลักการคำนวน Table'!$D$1:$M$5,5,TRUE),0))))),0)</f>
        <v>0.9</v>
      </c>
      <c r="AU8" s="232">
        <f>IFERROR(IF($C8="Top WS",VLOOKUP("GOAL",'2) หลักการคำนวน Table'!$D$4:$M$4,HLOOKUP(AI8,'2) หลักการคำนวน Table'!$D$1:$M$5,5,TRUE),0),
IF($C8="WS SF",VLOOKUP("GOAL",'2) หลักการคำนวน Table'!$D$32:$M$32,HLOOKUP(AI8,'2) หลักการคำนวน Table'!$D$1:$M$5,5,TRUE),0),
IF($C8="WS WH",VLOOKUP("GOAL",'2) หลักการคำนวน Table'!$D$62:$M$62,HLOOKUP(AI8,'2) หลักการคำนวน Table'!$D$1:$M$5,5,TRUE),0),
IF($C8="SF WH",VLOOKUP("GOAL",'2) หลักการคำนวน Table'!$D$92:$M$92,HLOOKUP(AI8,'2) หลักการคำนวน Table'!$D$1:$M$5,5,TRUE),0))))),0)</f>
        <v>0.9</v>
      </c>
      <c r="AV8" s="232">
        <f>IFERROR(IF($C8="Top WS",VLOOKUP("GOAL",'2) หลักการคำนวน Table'!$D$4:$M$4,HLOOKUP(AP8,'2) หลักการคำนวน Table'!$D$1:$M$5,5,TRUE),0),
IF($C8="WS SF",VLOOKUP("GOAL",'2) หลักการคำนวน Table'!$D$32:$M$32,HLOOKUP(AP8,'2) หลักการคำนวน Table'!$D$1:$M$5,5,TRUE),0),
IF($C8="WS WH",VLOOKUP("GOAL",'2) หลักการคำนวน Table'!$D$62:$M$62,HLOOKUP(AP8,'2) หลักการคำนวน Table'!$D$1:$M$5,5,TRUE),0),
IF($C8="SF WH",VLOOKUP("GOAL",'2) หลักการคำนวน Table'!$D$92:$M$92,HLOOKUP(AP8,'2) หลักการคำนวน Table'!$D$1:$M$5,5,TRUE),0))))),0)</f>
        <v>0.9</v>
      </c>
      <c r="AW8" s="232">
        <f>IFERROR(IF($C8="Top WS",VLOOKUP("GOAL",'2) หลักการคำนวน Table'!$D$4:$M$4,HLOOKUP(AK8,'2) หลักการคำนวน Table'!$D$1:$M$5,5,TRUE),0),
IF($C8="WS SF",VLOOKUP("GOAL",'2) หลักการคำนวน Table'!$D$32:$M$32,HLOOKUP(AK8,'2) หลักการคำนวน Table'!$D$1:$M$5,5,TRUE),0),
IF($C8="WS WH",VLOOKUP("GOAL",'2) หลักการคำนวน Table'!$D$62:$M$62,HLOOKUP(AK8,'2) หลักการคำนวน Table'!$D$1:$M$5,5,TRUE),0),
IF($C8="SF WH",VLOOKUP("GOAL",'2) หลักการคำนวน Table'!$D$92:$M$92,HLOOKUP(AK8,'2) หลักการคำนวน Table'!$D$1:$M$5,5,TRUE),0))))),0)</f>
        <v>0.9</v>
      </c>
      <c r="AX8" s="232">
        <f>IFERROR(IF($C8="Top WS",VLOOKUP("GOAL",'2) หลักการคำนวน Table'!$D$4:$M$4,HLOOKUP(AL8,'2) หลักการคำนวน Table'!$D$1:$M$5,5,TRUE),0),
IF($C8="WS SF",VLOOKUP("GOAL",'2) หลักการคำนวน Table'!$D$32:$M$32,HLOOKUP(AL8,'2) หลักการคำนวน Table'!$D$1:$M$5,5,TRUE),0),
IF($C8="WS WH",VLOOKUP("GOAL",'2) หลักการคำนวน Table'!$D$62:$M$62,HLOOKUP(AL8,'2) หลักการคำนวน Table'!$D$1:$M$5,5,TRUE),0),
IF($C8="SF WH",VLOOKUP("GOAL",'2) หลักการคำนวน Table'!$D$92:$M$92,HLOOKUP(AL8,'2) หลักการคำนวน Table'!$D$1:$M$5,5,TRUE),0))))),0)</f>
        <v>0.9</v>
      </c>
      <c r="AY8" s="232">
        <f>IFERROR(IF($C8="Top WS",VLOOKUP("GOAL",'2) หลักการคำนวน Table'!$D$4:$M$4,HLOOKUP(AM8,'2) หลักการคำนวน Table'!$D$1:$M$5,5,TRUE),0),
IF($C8="WS SF",VLOOKUP("GOAL",'2) หลักการคำนวน Table'!$D$32:$M$32,HLOOKUP(AM8,'2) หลักการคำนวน Table'!$D$1:$M$5,5,TRUE),0),
IF($C8="WS WH",VLOOKUP("GOAL",'2) หลักการคำนวน Table'!$D$62:$M$62,HLOOKUP(AM8,'2) หลักการคำนวน Table'!$D$1:$M$5,5,TRUE),0),
IF($C8="SF WH",VLOOKUP("GOAL",'2) หลักการคำนวน Table'!$D$92:$M$92,HLOOKUP(AM8,'2) หลักการคำนวน Table'!$D$1:$M$5,5,TRUE),0))))),0)</f>
        <v>0.9</v>
      </c>
      <c r="AZ8" s="167">
        <f>IFERROR(IF($C8="Top WS",VLOOKUP($B8,'2) หลักการคำนวน Table'!$D$5:$M$20,HLOOKUP(AB8,'2) หลักการคำนวน Table'!$D$1:$M$5,5,TRUE),0),
IF($C8="WS SF",VLOOKUP($B8,'2) หลักการคำนวน Table'!$D$33:$M$48,HLOOKUP(AB8,'2) หลักการคำนวน Table'!$D$1:$M$5,5,TRUE),0),
IF($C8="WS WH",VLOOKUP($B8,'2) หลักการคำนวน Table'!$D$63:$M$78,HLOOKUP(AB8,'2) หลักการคำนวน Table'!$D$1:$M$5,5,TRUE),0),
IF($C8="SF WH",VLOOKUP($B8,'2) หลักการคำนวน Table'!$D$93:$M$108,HLOOKUP(AB8,'2) หลักการคำนวน Table'!$D$1:$M$5,5,TRUE),0))))),0)</f>
        <v>600</v>
      </c>
      <c r="BA8" s="167">
        <f>IFERROR(IF($C8="Top WS",VLOOKUP($B8,'2) หลักการคำนวน Table'!$D$5:$M$20,HLOOKUP(AC8,'2) หลักการคำนวน Table'!$D$1:$M$5,5,TRUE),0),
IF($C8="WS SF",VLOOKUP($B8,'2) หลักการคำนวน Table'!$D$33:$M$48,HLOOKUP(AC8,'2) หลักการคำนวน Table'!$D$1:$M$5,5,TRUE),0),
IF($C8="WS WH",VLOOKUP($B8,'2) หลักการคำนวน Table'!$D$63:$M$78,HLOOKUP(AC8,'2) หลักการคำนวน Table'!$D$1:$M$5,5,TRUE),0),
IF($C8="SF WH",VLOOKUP($B8,'2) หลักการคำนวน Table'!$D$93:$M$108,HLOOKUP(AC8,'2) หลักการคำนวน Table'!$D$1:$M$5,5,TRUE),0))))),0)</f>
        <v>600</v>
      </c>
      <c r="BB8" s="167">
        <f>IFERROR(IF($C8="Top WS",VLOOKUP($B8,'2) หลักการคำนวน Table'!$D$5:$M$20,HLOOKUP(AD8,'2) หลักการคำนวน Table'!$D$1:$M$5,5,TRUE),0),
IF($C8="WS SF",VLOOKUP($B8,'2) หลักการคำนวน Table'!$D$33:$M$48,HLOOKUP(AD8,'2) หลักการคำนวน Table'!$D$1:$M$5,5,TRUE),0),
IF($C8="WS WH",VLOOKUP($B8,'2) หลักการคำนวน Table'!$D$63:$M$78,HLOOKUP(AD8,'2) หลักการคำนวน Table'!$D$1:$M$5,5,TRUE),0),
IF($C8="SF WH",VLOOKUP($B8,'2) หลักการคำนวน Table'!$D$93:$M$108,HLOOKUP(AD8,'2) หลักการคำนวน Table'!$D$1:$M$5,5,TRUE),0))))),0)</f>
        <v>540</v>
      </c>
      <c r="BC8" s="167">
        <f>IFERROR(IF($C8="Top WS",VLOOKUP($B8,'2) หลักการคำนวน Table'!$D$5:$M$20,HLOOKUP(AE8,'2) หลักการคำนวน Table'!$D$1:$M$5,5,TRUE),0),
IF($C8="WS SF",VLOOKUP($B8,'2) หลักการคำนวน Table'!$D$33:$M$48,HLOOKUP(AE8,'2) หลักการคำนวน Table'!$D$1:$M$5,5,TRUE),0),
IF($C8="WS WH",VLOOKUP($B8,'2) หลักการคำนวน Table'!$D$63:$M$78,HLOOKUP(AE8,'2) หลักการคำนวน Table'!$D$1:$M$5,5,TRUE),0),
IF($C8="SF WH",VLOOKUP($B8,'2) หลักการคำนวน Table'!$D$93:$M$108,HLOOKUP(AE8,'2) หลักการคำนวน Table'!$D$1:$M$5,5,TRUE),0))))),0)</f>
        <v>540</v>
      </c>
      <c r="BD8" s="167">
        <f>IFERROR(IF($C8="Top WS",VLOOKUP($B8,'2) หลักการคำนวน Table'!$D$5:$M$20,HLOOKUP(AF8,'2) หลักการคำนวน Table'!$D$1:$M$5,5,TRUE),0),
IF($C8="WS SF",VLOOKUP($B8,'2) หลักการคำนวน Table'!$D$33:$M$48,HLOOKUP(AF8,'2) หลักการคำนวน Table'!$D$1:$M$5,5,TRUE),0),
IF($C8="WS WH",VLOOKUP($B8,'2) หลักการคำนวน Table'!$D$63:$M$78,HLOOKUP(AF8,'2) หลักการคำนวน Table'!$D$1:$M$5,5,TRUE),0),
IF($C8="SF WH",VLOOKUP($B8,'2) หลักการคำนวน Table'!$D$93:$M$108,HLOOKUP(AF8,'2) หลักการคำนวน Table'!$D$1:$M$5,5,TRUE),0))))),0)</f>
        <v>540</v>
      </c>
      <c r="BE8" s="167">
        <f>IFERROR(IF($C8="Top WS",VLOOKUP($B8,'2) หลักการคำนวน Table'!$D$5:$M$20,HLOOKUP(AG8,'2) หลักการคำนวน Table'!$D$1:$M$5,5,TRUE),0),
IF($C8="WS SF",VLOOKUP($B8,'2) หลักการคำนวน Table'!$D$33:$M$48,HLOOKUP(AG8,'2) หลักการคำนวน Table'!$D$1:$M$5,5,TRUE),0),
IF($C8="WS WH",VLOOKUP($B8,'2) หลักการคำนวน Table'!$D$63:$M$78,HLOOKUP(AG8,'2) หลักการคำนวน Table'!$D$1:$M$5,5,TRUE),0),
IF($C8="SF WH",VLOOKUP($B8,'2) หลักการคำนวน Table'!$D$93:$M$108,HLOOKUP(AG8,'2) หลักการคำนวน Table'!$D$1:$M$5,5,TRUE),0))))),0)</f>
        <v>540</v>
      </c>
      <c r="BF8" s="167">
        <f>IFERROR(IF($C8="Top WS",VLOOKUP($B8,'2) หลักการคำนวน Table'!$D$5:$M$20,HLOOKUP(AH8,'2) หลักการคำนวน Table'!$D$1:$M$5,5,TRUE),0),
IF($C8="WS SF",VLOOKUP($B8,'2) หลักการคำนวน Table'!$D$33:$M$48,HLOOKUP(AH8,'2) หลักการคำนวน Table'!$D$1:$M$5,5,TRUE),0),
IF($C8="WS WH",VLOOKUP($B8,'2) หลักการคำนวน Table'!$D$63:$M$78,HLOOKUP(AH8,'2) หลักการคำนวน Table'!$D$1:$M$5,5,TRUE),0),
IF($C8="SF WH",VLOOKUP($B8,'2) หลักการคำนวน Table'!$D$93:$M$108,HLOOKUP(AH8,'2) หลักการคำนวน Table'!$D$1:$M$5,5,TRUE),0))))),0)</f>
        <v>540</v>
      </c>
      <c r="BG8" s="167">
        <f>IFERROR(IF($C8="Top WS",VLOOKUP($B8,'2) หลักการคำนวน Table'!$D$5:$M$20,HLOOKUP(AI8,'2) หลักการคำนวน Table'!$D$1:$M$5,5,TRUE),0),
IF($C8="WS SF",VLOOKUP($B8,'2) หลักการคำนวน Table'!$D$33:$M$48,HLOOKUP(AI8,'2) หลักการคำนวน Table'!$D$1:$M$5,5,TRUE),0),
IF($C8="WS WH",VLOOKUP($B8,'2) หลักการคำนวน Table'!$D$63:$M$78,HLOOKUP(AI8,'2) หลักการคำนวน Table'!$D$1:$M$5,5,TRUE),0),
IF($C8="SF WH",VLOOKUP($B8,'2) หลักการคำนวน Table'!$D$93:$M$108,HLOOKUP(AI8,'2) หลักการคำนวน Table'!$D$1:$M$5,5,TRUE),0))))),0)</f>
        <v>540</v>
      </c>
      <c r="BH8" s="167">
        <f>IFERROR(IF($C8="Top WS",VLOOKUP($B8,'2) หลักการคำนวน Table'!$D$5:$M$20,HLOOKUP(AP8,'2) หลักการคำนวน Table'!$D$1:$M$5,5,TRUE),0),
IF($C8="WS SF",VLOOKUP($B8,'2) หลักการคำนวน Table'!$D$33:$M$48,HLOOKUP(AP8,'2) หลักการคำนวน Table'!$D$1:$M$5,5,TRUE),0),
IF($C8="WS WH",VLOOKUP($B8,'2) หลักการคำนวน Table'!$D$63:$M$78,HLOOKUP(AP8,'2) หลักการคำนวน Table'!$D$1:$M$5,5,TRUE),0),
IF($C8="SF WH",VLOOKUP($B8,'2) หลักการคำนวน Table'!$D$93:$M$108,HLOOKUP(AP8,'2) หลักการคำนวน Table'!$D$1:$M$5,5,TRUE),0))))),0)</f>
        <v>540</v>
      </c>
      <c r="BI8" s="167">
        <f>IFERROR(IF($C8="Top WS",VLOOKUP($B8,'2) หลักการคำนวน Table'!$D$5:$M$20,HLOOKUP(AK8,'2) หลักการคำนวน Table'!$D$1:$M$5,5,TRUE),0),
IF($C8="WS SF",VLOOKUP($B8,'2) หลักการคำนวน Table'!$D$33:$M$48,HLOOKUP(AK8,'2) หลักการคำนวน Table'!$D$1:$M$5,5,TRUE),0),
IF($C8="WS WH",VLOOKUP($B8,'2) หลักการคำนวน Table'!$D$63:$M$78,HLOOKUP(AK8,'2) หลักการคำนวน Table'!$D$1:$M$5,5,TRUE),0),
IF($C8="SF WH",VLOOKUP($B8,'2) หลักการคำนวน Table'!$D$93:$M$108,HLOOKUP(AK8,'2) หลักการคำนวน Table'!$D$1:$M$5,5,TRUE),0))))),0)</f>
        <v>540</v>
      </c>
      <c r="BJ8" s="167">
        <f>IFERROR(IF($C8="Top WS",VLOOKUP($B8,'2) หลักการคำนวน Table'!$D$5:$M$20,HLOOKUP(AL8,'2) หลักการคำนวน Table'!$D$1:$M$5,5,TRUE),0),
IF($C8="WS SF",VLOOKUP($B8,'2) หลักการคำนวน Table'!$D$33:$M$48,HLOOKUP(AL8,'2) หลักการคำนวน Table'!$D$1:$M$5,5,TRUE),0),
IF($C8="WS WH",VLOOKUP($B8,'2) หลักการคำนวน Table'!$D$63:$M$78,HLOOKUP(AL8,'2) หลักการคำนวน Table'!$D$1:$M$5,5,TRUE),0),
IF($C8="SF WH",VLOOKUP($B8,'2) หลักการคำนวน Table'!$D$93:$M$108,HLOOKUP(AL8,'2) หลักการคำนวน Table'!$D$1:$M$5,5,TRUE),0))))),0)</f>
        <v>540</v>
      </c>
      <c r="BK8" s="167">
        <f>IFERROR(IF($C8="Top WS",VLOOKUP($B8,'2) หลักการคำนวน Table'!$D$5:$M$20,HLOOKUP(AM8,'2) หลักการคำนวน Table'!$D$1:$M$5,5,TRUE),0),
IF($C8="WS SF",VLOOKUP($B8,'2) หลักการคำนวน Table'!$D$33:$M$48,HLOOKUP(AM8,'2) หลักการคำนวน Table'!$D$1:$M$5,5,TRUE),0),
IF($C8="WS WH",VLOOKUP($B8,'2) หลักการคำนวน Table'!$D$63:$M$78,HLOOKUP(AM8,'2) หลักการคำนวน Table'!$D$1:$M$5,5,TRUE),0),
IF($C8="SF WH",VLOOKUP($B8,'2) หลักการคำนวน Table'!$D$93:$M$108,HLOOKUP(AM8,'2) หลักการคำนวน Table'!$D$1:$M$5,5,TRUE),0))))),0)</f>
        <v>540</v>
      </c>
      <c r="BM8" s="119">
        <f>VLOOKUP(VLOOKUP(A8,ASTBase!E:S,13,FALSE),ASTBase!F:P,11,FALSE)</f>
        <v>160000</v>
      </c>
      <c r="BN8" s="196" cm="1">
        <f t="array" ref="BN8">INDEX(AN8:AY8,,Period!$D$2)</f>
        <v>1</v>
      </c>
    </row>
    <row r="9" spans="1:66" x14ac:dyDescent="0.25">
      <c r="A9" s="117">
        <v>160001</v>
      </c>
      <c r="B9" s="117" t="s">
        <v>395</v>
      </c>
      <c r="C9" s="117" t="s">
        <v>178</v>
      </c>
      <c r="D9" s="118">
        <v>10225</v>
      </c>
      <c r="E9" s="118">
        <v>11183</v>
      </c>
      <c r="F9" s="118">
        <v>12287</v>
      </c>
      <c r="G9" s="118">
        <v>14016</v>
      </c>
      <c r="H9" s="118">
        <v>11521</v>
      </c>
      <c r="I9" s="118">
        <v>10061</v>
      </c>
      <c r="J9" s="118">
        <v>14380</v>
      </c>
      <c r="K9" s="118">
        <v>15061</v>
      </c>
      <c r="L9" s="118">
        <v>12126</v>
      </c>
      <c r="M9" s="118">
        <v>12866</v>
      </c>
      <c r="N9" s="118">
        <v>10848</v>
      </c>
      <c r="O9" s="118">
        <v>10853</v>
      </c>
      <c r="P9" s="117">
        <f>SUMIFS(Actual!C:C,Actual!$A:$A,'3)Target &amp; Cal'!$A9,Actual!$B:$B,'3)Target &amp; Cal'!$B9)</f>
        <v>11538.059999999996</v>
      </c>
      <c r="Q9" s="117">
        <f>SUMIFS(Actual!D:D,Actual!$A:$A,'3)Target &amp; Cal'!$A9,Actual!$B:$B,'3)Target &amp; Cal'!$B9)</f>
        <v>9514.9599999999973</v>
      </c>
      <c r="R9" s="117">
        <f>SUMIFS(Actual!E:E,Actual!$A:$A,'3)Target &amp; Cal'!$A9,Actual!$B:$B,'3)Target &amp; Cal'!$B9)</f>
        <v>0</v>
      </c>
      <c r="S9" s="117">
        <f>SUMIFS(Actual!F:F,Actual!$A:$A,'3)Target &amp; Cal'!$A9,Actual!$B:$B,'3)Target &amp; Cal'!$B9)</f>
        <v>0</v>
      </c>
      <c r="T9" s="117">
        <f>SUMIFS(Actual!G:G,Actual!$A:$A,'3)Target &amp; Cal'!$A9,Actual!$B:$B,'3)Target &amp; Cal'!$B9)</f>
        <v>0</v>
      </c>
      <c r="U9" s="117">
        <f>SUMIFS(Actual!H:H,Actual!$A:$A,'3)Target &amp; Cal'!$A9,Actual!$B:$B,'3)Target &amp; Cal'!$B9)</f>
        <v>0</v>
      </c>
      <c r="V9" s="117">
        <f>SUMIFS(Actual!I:I,Actual!$A:$A,'3)Target &amp; Cal'!$A9,Actual!$B:$B,'3)Target &amp; Cal'!$B9)</f>
        <v>0</v>
      </c>
      <c r="W9" s="117">
        <f>SUMIFS(Actual!J:J,Actual!$A:$A,'3)Target &amp; Cal'!$A9,Actual!$B:$B,'3)Target &amp; Cal'!$B9)</f>
        <v>0</v>
      </c>
      <c r="X9" s="117">
        <f>SUMIFS(Actual!K:K,Actual!$A:$A,'3)Target &amp; Cal'!$A9,Actual!$B:$B,'3)Target &amp; Cal'!$B9)</f>
        <v>0</v>
      </c>
      <c r="Y9" s="117">
        <f>SUMIFS(Actual!L:L,Actual!$A:$A,'3)Target &amp; Cal'!$A9,Actual!$B:$B,'3)Target &amp; Cal'!$B9)</f>
        <v>0</v>
      </c>
      <c r="Z9" s="117">
        <f>SUMIFS(Actual!M:M,Actual!$A:$A,'3)Target &amp; Cal'!$A9,Actual!$B:$B,'3)Target &amp; Cal'!$B9)</f>
        <v>0</v>
      </c>
      <c r="AA9" s="117">
        <f>SUMIFS(Actual!N:N,Actual!$A:$A,'3)Target &amp; Cal'!$A9,Actual!$B:$B,'3)Target &amp; Cal'!$B9)</f>
        <v>0</v>
      </c>
      <c r="AB9" s="123">
        <f>IFERROR(IF(VLOOKUP($B9,Shortage!$A:$M,AB$2,FALSE)="Shortage",1,IFERROR(ROUND(P9/D9,4),0)),IFERROR(ROUND(P9/D9,4),0))</f>
        <v>1.1284000000000001</v>
      </c>
      <c r="AC9" s="123">
        <f>IFERROR(IF(VLOOKUP($B9,Shortage!$A:$M,AC$2,FALSE)="Shortage",1,IFERROR(ROUND(Q9/E9,4),0)),IFERROR(ROUND(Q9/E9,4),0))</f>
        <v>0.8508</v>
      </c>
      <c r="AD9" s="123">
        <f>IFERROR(IF(VLOOKUP($B9,Shortage!$A:$M,AD$2,FALSE)="Shortage",1,IFERROR(ROUND(R9/F9,4),0)),IFERROR(ROUND(R9/F9,4),0))</f>
        <v>0</v>
      </c>
      <c r="AE9" s="123">
        <f>IFERROR(IF(VLOOKUP($B9,Shortage!$A:$M,AE$2,FALSE)="Shortage",1,IFERROR(ROUND(S9/G9,4),0)),IFERROR(ROUND(S9/G9,4),0))</f>
        <v>0</v>
      </c>
      <c r="AF9" s="123">
        <f>IFERROR(IF(VLOOKUP($B9,Shortage!$A:$M,AF$2,FALSE)="Shortage",1,IFERROR(ROUND(T9/H9,4),0)),IFERROR(ROUND(T9/H9,4),0))</f>
        <v>0</v>
      </c>
      <c r="AG9" s="123">
        <f>IFERROR(IF(VLOOKUP($B9,Shortage!$A:$M,AG$2,FALSE)="Shortage",1,IFERROR(ROUND(U9/I9,4),0)),IFERROR(ROUND(U9/I9,4),0))</f>
        <v>0</v>
      </c>
      <c r="AH9" s="123">
        <f>IFERROR(IF(VLOOKUP($B9,Shortage!$A:$M,AH$2,FALSE)="Shortage",1,IFERROR(ROUND(V9/J9,4),0)),IFERROR(ROUND(V9/J9,4),0))</f>
        <v>0</v>
      </c>
      <c r="AI9" s="123">
        <f>IFERROR(IF(VLOOKUP($B9,Shortage!$A:$M,AI$2,FALSE)="Shortage",1,IFERROR(ROUND(W9/K9,4),0)),IFERROR(ROUND(W9/K9,4),0))</f>
        <v>0</v>
      </c>
      <c r="AJ9" s="123">
        <f>IFERROR(IF(VLOOKUP($B9,Shortage!$A:$M,AP$2,FALSE)="Shortage",1,IFERROR(ROUND(X9/L9,4),0)),IFERROR(ROUND(X9/L9,4),0))</f>
        <v>0</v>
      </c>
      <c r="AK9" s="123">
        <f>IFERROR(IF(VLOOKUP($B9,Shortage!$A:$M,AK$2,FALSE)="Shortage",1,IFERROR(ROUND(Y9/M9,4),0)),IFERROR(ROUND(Y9/M9,4),0))</f>
        <v>0</v>
      </c>
      <c r="AL9" s="123">
        <f>IFERROR(IF(VLOOKUP($B9,Shortage!$A:$M,AL$2,FALSE)="Shortage",1,IFERROR(ROUND(Z9/N9,4),0)),IFERROR(ROUND(Z9/N9,4),0))</f>
        <v>0</v>
      </c>
      <c r="AM9" s="123">
        <f>IFERROR(IF(VLOOKUP($B9,Shortage!$A:$M,AM$2,FALSE)="Shortage",1,IFERROR(ROUND(AA9/O9,4),0)),IFERROR(ROUND(AA9/O9,4),0))</f>
        <v>0</v>
      </c>
      <c r="AN9" s="337">
        <f>IFERROR(IF($C9="Top WS",VLOOKUP("GOAL",'2) หลักการคำนวน Table'!$D$4:$M$4,HLOOKUP(AB9,'2) หลักการคำนวน Table'!$D$1:$M$5,5,TRUE),0),
IF($C9="WS SF",VLOOKUP("GOAL",'2) หลักการคำนวน Table'!$D$32:$M$32,HLOOKUP(AB9,'2) หลักการคำนวน Table'!$D$1:$M$5,5,TRUE),0),
IF($C9="WS WH",VLOOKUP("GOAL",'2) หลักการคำนวน Table'!$D$62:$M$62,HLOOKUP(AB9,'2) หลักการคำนวน Table'!$D$1:$M$5,5,TRUE),0),
IF($C9="SF WH",VLOOKUP("GOAL",'2) หลักการคำนวน Table'!$D$92:$M$92,HLOOKUP(AB9,'2) หลักการคำนวน Table'!$D$1:$M$5,5,TRUE),0))))),0)</f>
        <v>1.1499999999999999</v>
      </c>
      <c r="AO9" s="232">
        <f>IFERROR(IF($C9="Top WS",VLOOKUP("GOAL",'2) หลักการคำนวน Table'!$D$4:$M$4,HLOOKUP(AC9,'2) หลักการคำนวน Table'!$D$1:$M$5,5,TRUE),0),
IF($C9="WS SF",VLOOKUP("GOAL",'2) หลักการคำนวน Table'!$D$32:$M$32,HLOOKUP(AC9,'2) หลักการคำนวน Table'!$D$1:$M$5,5,TRUE),0),
IF($C9="WS WH",VLOOKUP("GOAL",'2) หลักการคำนวน Table'!$D$62:$M$62,HLOOKUP(AC9,'2) หลักการคำนวน Table'!$D$1:$M$5,5,TRUE),0),
IF($C9="SF WH",VLOOKUP("GOAL",'2) หลักการคำนวน Table'!$D$92:$M$92,HLOOKUP(AC9,'2) หลักการคำนวน Table'!$D$1:$M$5,5,TRUE),0))))),0)</f>
        <v>0.9</v>
      </c>
      <c r="AP9" s="232">
        <f>IFERROR(IF($C9="Top WS",VLOOKUP("GOAL",'2) หลักการคำนวน Table'!$D$4:$M$4,HLOOKUP(AD9,'2) หลักการคำนวน Table'!$D$1:$M$5,5,TRUE),0),
IF($C9="WS SF",VLOOKUP("GOAL",'2) หลักการคำนวน Table'!$D$32:$M$32,HLOOKUP(AD9,'2) หลักการคำนวน Table'!$D$1:$M$5,5,TRUE),0),
IF($C9="WS WH",VLOOKUP("GOAL",'2) หลักการคำนวน Table'!$D$62:$M$62,HLOOKUP(AD9,'2) หลักการคำนวน Table'!$D$1:$M$5,5,TRUE),0),
IF($C9="SF WH",VLOOKUP("GOAL",'2) หลักการคำนวน Table'!$D$92:$M$92,HLOOKUP(AD9,'2) หลักการคำนวน Table'!$D$1:$M$5,5,TRUE),0))))),0)</f>
        <v>0.9</v>
      </c>
      <c r="AQ9" s="232">
        <f>IFERROR(IF($C9="Top WS",VLOOKUP("GOAL",'2) หลักการคำนวน Table'!$D$4:$M$4,HLOOKUP(AE9,'2) หลักการคำนวน Table'!$D$1:$M$5,5,TRUE),0),
IF($C9="WS SF",VLOOKUP("GOAL",'2) หลักการคำนวน Table'!$D$32:$M$32,HLOOKUP(AE9,'2) หลักการคำนวน Table'!$D$1:$M$5,5,TRUE),0),
IF($C9="WS WH",VLOOKUP("GOAL",'2) หลักการคำนวน Table'!$D$62:$M$62,HLOOKUP(AE9,'2) หลักการคำนวน Table'!$D$1:$M$5,5,TRUE),0),
IF($C9="SF WH",VLOOKUP("GOAL",'2) หลักการคำนวน Table'!$D$92:$M$92,HLOOKUP(AE9,'2) หลักการคำนวน Table'!$D$1:$M$5,5,TRUE),0))))),0)</f>
        <v>0.9</v>
      </c>
      <c r="AR9" s="232">
        <f>IFERROR(IF($C9="Top WS",VLOOKUP("GOAL",'2) หลักการคำนวน Table'!$D$4:$M$4,HLOOKUP(AF9,'2) หลักการคำนวน Table'!$D$1:$M$5,5,TRUE),0),
IF($C9="WS SF",VLOOKUP("GOAL",'2) หลักการคำนวน Table'!$D$32:$M$32,HLOOKUP(AF9,'2) หลักการคำนวน Table'!$D$1:$M$5,5,TRUE),0),
IF($C9="WS WH",VLOOKUP("GOAL",'2) หลักการคำนวน Table'!$D$62:$M$62,HLOOKUP(AF9,'2) หลักการคำนวน Table'!$D$1:$M$5,5,TRUE),0),
IF($C9="SF WH",VLOOKUP("GOAL",'2) หลักการคำนวน Table'!$D$92:$M$92,HLOOKUP(AF9,'2) หลักการคำนวน Table'!$D$1:$M$5,5,TRUE),0))))),0)</f>
        <v>0.9</v>
      </c>
      <c r="AS9" s="232">
        <f>IFERROR(IF($C9="Top WS",VLOOKUP("GOAL",'2) หลักการคำนวน Table'!$D$4:$M$4,HLOOKUP(AG9,'2) หลักการคำนวน Table'!$D$1:$M$5,5,TRUE),0),
IF($C9="WS SF",VLOOKUP("GOAL",'2) หลักการคำนวน Table'!$D$32:$M$32,HLOOKUP(AG9,'2) หลักการคำนวน Table'!$D$1:$M$5,5,TRUE),0),
IF($C9="WS WH",VLOOKUP("GOAL",'2) หลักการคำนวน Table'!$D$62:$M$62,HLOOKUP(AG9,'2) หลักการคำนวน Table'!$D$1:$M$5,5,TRUE),0),
IF($C9="SF WH",VLOOKUP("GOAL",'2) หลักการคำนวน Table'!$D$92:$M$92,HLOOKUP(AG9,'2) หลักการคำนวน Table'!$D$1:$M$5,5,TRUE),0))))),0)</f>
        <v>0.9</v>
      </c>
      <c r="AT9" s="232">
        <f>IFERROR(IF($C9="Top WS",VLOOKUP("GOAL",'2) หลักการคำนวน Table'!$D$4:$M$4,HLOOKUP(AH9,'2) หลักการคำนวน Table'!$D$1:$M$5,5,TRUE),0),
IF($C9="WS SF",VLOOKUP("GOAL",'2) หลักการคำนวน Table'!$D$32:$M$32,HLOOKUP(AH9,'2) หลักการคำนวน Table'!$D$1:$M$5,5,TRUE),0),
IF($C9="WS WH",VLOOKUP("GOAL",'2) หลักการคำนวน Table'!$D$62:$M$62,HLOOKUP(AH9,'2) หลักการคำนวน Table'!$D$1:$M$5,5,TRUE),0),
IF($C9="SF WH",VLOOKUP("GOAL",'2) หลักการคำนวน Table'!$D$92:$M$92,HLOOKUP(AH9,'2) หลักการคำนวน Table'!$D$1:$M$5,5,TRUE),0))))),0)</f>
        <v>0.9</v>
      </c>
      <c r="AU9" s="232">
        <f>IFERROR(IF($C9="Top WS",VLOOKUP("GOAL",'2) หลักการคำนวน Table'!$D$4:$M$4,HLOOKUP(AI9,'2) หลักการคำนวน Table'!$D$1:$M$5,5,TRUE),0),
IF($C9="WS SF",VLOOKUP("GOAL",'2) หลักการคำนวน Table'!$D$32:$M$32,HLOOKUP(AI9,'2) หลักการคำนวน Table'!$D$1:$M$5,5,TRUE),0),
IF($C9="WS WH",VLOOKUP("GOAL",'2) หลักการคำนวน Table'!$D$62:$M$62,HLOOKUP(AI9,'2) หลักการคำนวน Table'!$D$1:$M$5,5,TRUE),0),
IF($C9="SF WH",VLOOKUP("GOAL",'2) หลักการคำนวน Table'!$D$92:$M$92,HLOOKUP(AI9,'2) หลักการคำนวน Table'!$D$1:$M$5,5,TRUE),0))))),0)</f>
        <v>0.9</v>
      </c>
      <c r="AV9" s="232">
        <f>IFERROR(IF($C9="Top WS",VLOOKUP("GOAL",'2) หลักการคำนวน Table'!$D$4:$M$4,HLOOKUP(AP9,'2) หลักการคำนวน Table'!$D$1:$M$5,5,TRUE),0),
IF($C9="WS SF",VLOOKUP("GOAL",'2) หลักการคำนวน Table'!$D$32:$M$32,HLOOKUP(AP9,'2) หลักการคำนวน Table'!$D$1:$M$5,5,TRUE),0),
IF($C9="WS WH",VLOOKUP("GOAL",'2) หลักการคำนวน Table'!$D$62:$M$62,HLOOKUP(AP9,'2) หลักการคำนวน Table'!$D$1:$M$5,5,TRUE),0),
IF($C9="SF WH",VLOOKUP("GOAL",'2) หลักการคำนวน Table'!$D$92:$M$92,HLOOKUP(AP9,'2) หลักการคำนวน Table'!$D$1:$M$5,5,TRUE),0))))),0)</f>
        <v>0.9</v>
      </c>
      <c r="AW9" s="232">
        <f>IFERROR(IF($C9="Top WS",VLOOKUP("GOAL",'2) หลักการคำนวน Table'!$D$4:$M$4,HLOOKUP(AK9,'2) หลักการคำนวน Table'!$D$1:$M$5,5,TRUE),0),
IF($C9="WS SF",VLOOKUP("GOAL",'2) หลักการคำนวน Table'!$D$32:$M$32,HLOOKUP(AK9,'2) หลักการคำนวน Table'!$D$1:$M$5,5,TRUE),0),
IF($C9="WS WH",VLOOKUP("GOAL",'2) หลักการคำนวน Table'!$D$62:$M$62,HLOOKUP(AK9,'2) หลักการคำนวน Table'!$D$1:$M$5,5,TRUE),0),
IF($C9="SF WH",VLOOKUP("GOAL",'2) หลักการคำนวน Table'!$D$92:$M$92,HLOOKUP(AK9,'2) หลักการคำนวน Table'!$D$1:$M$5,5,TRUE),0))))),0)</f>
        <v>0.9</v>
      </c>
      <c r="AX9" s="232">
        <f>IFERROR(IF($C9="Top WS",VLOOKUP("GOAL",'2) หลักการคำนวน Table'!$D$4:$M$4,HLOOKUP(AL9,'2) หลักการคำนวน Table'!$D$1:$M$5,5,TRUE),0),
IF($C9="WS SF",VLOOKUP("GOAL",'2) หลักการคำนวน Table'!$D$32:$M$32,HLOOKUP(AL9,'2) หลักการคำนวน Table'!$D$1:$M$5,5,TRUE),0),
IF($C9="WS WH",VLOOKUP("GOAL",'2) หลักการคำนวน Table'!$D$62:$M$62,HLOOKUP(AL9,'2) หลักการคำนวน Table'!$D$1:$M$5,5,TRUE),0),
IF($C9="SF WH",VLOOKUP("GOAL",'2) หลักการคำนวน Table'!$D$92:$M$92,HLOOKUP(AL9,'2) หลักการคำนวน Table'!$D$1:$M$5,5,TRUE),0))))),0)</f>
        <v>0.9</v>
      </c>
      <c r="AY9" s="232">
        <f>IFERROR(IF($C9="Top WS",VLOOKUP("GOAL",'2) หลักการคำนวน Table'!$D$4:$M$4,HLOOKUP(AM9,'2) หลักการคำนวน Table'!$D$1:$M$5,5,TRUE),0),
IF($C9="WS SF",VLOOKUP("GOAL",'2) หลักการคำนวน Table'!$D$32:$M$32,HLOOKUP(AM9,'2) หลักการคำนวน Table'!$D$1:$M$5,5,TRUE),0),
IF($C9="WS WH",VLOOKUP("GOAL",'2) หลักการคำนวน Table'!$D$62:$M$62,HLOOKUP(AM9,'2) หลักการคำนวน Table'!$D$1:$M$5,5,TRUE),0),
IF($C9="SF WH",VLOOKUP("GOAL",'2) หลักการคำนวน Table'!$D$92:$M$92,HLOOKUP(AM9,'2) หลักการคำนวน Table'!$D$1:$M$5,5,TRUE),0))))),0)</f>
        <v>0.9</v>
      </c>
      <c r="AZ9" s="167">
        <f>IFERROR(IF($C9="Top WS",VLOOKUP($B9,'2) หลักการคำนวน Table'!$D$5:$M$20,HLOOKUP(AB9,'2) หลักการคำนวน Table'!$D$1:$M$5,5,TRUE),0),
IF($C9="WS SF",VLOOKUP($B9,'2) หลักการคำนวน Table'!$D$33:$M$48,HLOOKUP(AB9,'2) หลักการคำนวน Table'!$D$1:$M$5,5,TRUE),0),
IF($C9="WS WH",VLOOKUP($B9,'2) หลักการคำนวน Table'!$D$63:$M$78,HLOOKUP(AB9,'2) หลักการคำนวน Table'!$D$1:$M$5,5,TRUE),0),
IF($C9="SF WH",VLOOKUP($B9,'2) หลักการคำนวน Table'!$D$93:$M$108,HLOOKUP(AB9,'2) หลักการคำนวน Table'!$D$1:$M$5,5,TRUE),0))))),0)</f>
        <v>230</v>
      </c>
      <c r="BA9" s="167">
        <f>IFERROR(IF($C9="Top WS",VLOOKUP($B9,'2) หลักการคำนวน Table'!$D$5:$M$20,HLOOKUP(AC9,'2) หลักการคำนวน Table'!$D$1:$M$5,5,TRUE),0),
IF($C9="WS SF",VLOOKUP($B9,'2) หลักการคำนวน Table'!$D$33:$M$48,HLOOKUP(AC9,'2) หลักการคำนวน Table'!$D$1:$M$5,5,TRUE),0),
IF($C9="WS WH",VLOOKUP($B9,'2) หลักการคำนวน Table'!$D$63:$M$78,HLOOKUP(AC9,'2) หลักการคำนวน Table'!$D$1:$M$5,5,TRUE),0),
IF($C9="SF WH",VLOOKUP($B9,'2) หลักการคำนวน Table'!$D$93:$M$108,HLOOKUP(AC9,'2) หลักการคำนวน Table'!$D$1:$M$5,5,TRUE),0))))),0)</f>
        <v>180</v>
      </c>
      <c r="BB9" s="167">
        <f>IFERROR(IF($C9="Top WS",VLOOKUP($B9,'2) หลักการคำนวน Table'!$D$5:$M$20,HLOOKUP(AD9,'2) หลักการคำนวน Table'!$D$1:$M$5,5,TRUE),0),
IF($C9="WS SF",VLOOKUP($B9,'2) หลักการคำนวน Table'!$D$33:$M$48,HLOOKUP(AD9,'2) หลักการคำนวน Table'!$D$1:$M$5,5,TRUE),0),
IF($C9="WS WH",VLOOKUP($B9,'2) หลักการคำนวน Table'!$D$63:$M$78,HLOOKUP(AD9,'2) หลักการคำนวน Table'!$D$1:$M$5,5,TRUE),0),
IF($C9="SF WH",VLOOKUP($B9,'2) หลักการคำนวน Table'!$D$93:$M$108,HLOOKUP(AD9,'2) หลักการคำนวน Table'!$D$1:$M$5,5,TRUE),0))))),0)</f>
        <v>180</v>
      </c>
      <c r="BC9" s="167">
        <f>IFERROR(IF($C9="Top WS",VLOOKUP($B9,'2) หลักการคำนวน Table'!$D$5:$M$20,HLOOKUP(AE9,'2) หลักการคำนวน Table'!$D$1:$M$5,5,TRUE),0),
IF($C9="WS SF",VLOOKUP($B9,'2) หลักการคำนวน Table'!$D$33:$M$48,HLOOKUP(AE9,'2) หลักการคำนวน Table'!$D$1:$M$5,5,TRUE),0),
IF($C9="WS WH",VLOOKUP($B9,'2) หลักการคำนวน Table'!$D$63:$M$78,HLOOKUP(AE9,'2) หลักการคำนวน Table'!$D$1:$M$5,5,TRUE),0),
IF($C9="SF WH",VLOOKUP($B9,'2) หลักการคำนวน Table'!$D$93:$M$108,HLOOKUP(AE9,'2) หลักการคำนวน Table'!$D$1:$M$5,5,TRUE),0))))),0)</f>
        <v>180</v>
      </c>
      <c r="BD9" s="167">
        <f>IFERROR(IF($C9="Top WS",VLOOKUP($B9,'2) หลักการคำนวน Table'!$D$5:$M$20,HLOOKUP(AF9,'2) หลักการคำนวน Table'!$D$1:$M$5,5,TRUE),0),
IF($C9="WS SF",VLOOKUP($B9,'2) หลักการคำนวน Table'!$D$33:$M$48,HLOOKUP(AF9,'2) หลักการคำนวน Table'!$D$1:$M$5,5,TRUE),0),
IF($C9="WS WH",VLOOKUP($B9,'2) หลักการคำนวน Table'!$D$63:$M$78,HLOOKUP(AF9,'2) หลักการคำนวน Table'!$D$1:$M$5,5,TRUE),0),
IF($C9="SF WH",VLOOKUP($B9,'2) หลักการคำนวน Table'!$D$93:$M$108,HLOOKUP(AF9,'2) หลักการคำนวน Table'!$D$1:$M$5,5,TRUE),0))))),0)</f>
        <v>180</v>
      </c>
      <c r="BE9" s="167">
        <f>IFERROR(IF($C9="Top WS",VLOOKUP($B9,'2) หลักการคำนวน Table'!$D$5:$M$20,HLOOKUP(AG9,'2) หลักการคำนวน Table'!$D$1:$M$5,5,TRUE),0),
IF($C9="WS SF",VLOOKUP($B9,'2) หลักการคำนวน Table'!$D$33:$M$48,HLOOKUP(AG9,'2) หลักการคำนวน Table'!$D$1:$M$5,5,TRUE),0),
IF($C9="WS WH",VLOOKUP($B9,'2) หลักการคำนวน Table'!$D$63:$M$78,HLOOKUP(AG9,'2) หลักการคำนวน Table'!$D$1:$M$5,5,TRUE),0),
IF($C9="SF WH",VLOOKUP($B9,'2) หลักการคำนวน Table'!$D$93:$M$108,HLOOKUP(AG9,'2) หลักการคำนวน Table'!$D$1:$M$5,5,TRUE),0))))),0)</f>
        <v>180</v>
      </c>
      <c r="BF9" s="167">
        <f>IFERROR(IF($C9="Top WS",VLOOKUP($B9,'2) หลักการคำนวน Table'!$D$5:$M$20,HLOOKUP(AH9,'2) หลักการคำนวน Table'!$D$1:$M$5,5,TRUE),0),
IF($C9="WS SF",VLOOKUP($B9,'2) หลักการคำนวน Table'!$D$33:$M$48,HLOOKUP(AH9,'2) หลักการคำนวน Table'!$D$1:$M$5,5,TRUE),0),
IF($C9="WS WH",VLOOKUP($B9,'2) หลักการคำนวน Table'!$D$63:$M$78,HLOOKUP(AH9,'2) หลักการคำนวน Table'!$D$1:$M$5,5,TRUE),0),
IF($C9="SF WH",VLOOKUP($B9,'2) หลักการคำนวน Table'!$D$93:$M$108,HLOOKUP(AH9,'2) หลักการคำนวน Table'!$D$1:$M$5,5,TRUE),0))))),0)</f>
        <v>180</v>
      </c>
      <c r="BG9" s="167">
        <f>IFERROR(IF($C9="Top WS",VLOOKUP($B9,'2) หลักการคำนวน Table'!$D$5:$M$20,HLOOKUP(AI9,'2) หลักการคำนวน Table'!$D$1:$M$5,5,TRUE),0),
IF($C9="WS SF",VLOOKUP($B9,'2) หลักการคำนวน Table'!$D$33:$M$48,HLOOKUP(AI9,'2) หลักการคำนวน Table'!$D$1:$M$5,5,TRUE),0),
IF($C9="WS WH",VLOOKUP($B9,'2) หลักการคำนวน Table'!$D$63:$M$78,HLOOKUP(AI9,'2) หลักการคำนวน Table'!$D$1:$M$5,5,TRUE),0),
IF($C9="SF WH",VLOOKUP($B9,'2) หลักการคำนวน Table'!$D$93:$M$108,HLOOKUP(AI9,'2) หลักการคำนวน Table'!$D$1:$M$5,5,TRUE),0))))),0)</f>
        <v>180</v>
      </c>
      <c r="BH9" s="167">
        <f>IFERROR(IF($C9="Top WS",VLOOKUP($B9,'2) หลักการคำนวน Table'!$D$5:$M$20,HLOOKUP(AP9,'2) หลักการคำนวน Table'!$D$1:$M$5,5,TRUE),0),
IF($C9="WS SF",VLOOKUP($B9,'2) หลักการคำนวน Table'!$D$33:$M$48,HLOOKUP(AP9,'2) หลักการคำนวน Table'!$D$1:$M$5,5,TRUE),0),
IF($C9="WS WH",VLOOKUP($B9,'2) หลักการคำนวน Table'!$D$63:$M$78,HLOOKUP(AP9,'2) หลักการคำนวน Table'!$D$1:$M$5,5,TRUE),0),
IF($C9="SF WH",VLOOKUP($B9,'2) หลักการคำนวน Table'!$D$93:$M$108,HLOOKUP(AP9,'2) หลักการคำนวน Table'!$D$1:$M$5,5,TRUE),0))))),0)</f>
        <v>180</v>
      </c>
      <c r="BI9" s="167">
        <f>IFERROR(IF($C9="Top WS",VLOOKUP($B9,'2) หลักการคำนวน Table'!$D$5:$M$20,HLOOKUP(AK9,'2) หลักการคำนวน Table'!$D$1:$M$5,5,TRUE),0),
IF($C9="WS SF",VLOOKUP($B9,'2) หลักการคำนวน Table'!$D$33:$M$48,HLOOKUP(AK9,'2) หลักการคำนวน Table'!$D$1:$M$5,5,TRUE),0),
IF($C9="WS WH",VLOOKUP($B9,'2) หลักการคำนวน Table'!$D$63:$M$78,HLOOKUP(AK9,'2) หลักการคำนวน Table'!$D$1:$M$5,5,TRUE),0),
IF($C9="SF WH",VLOOKUP($B9,'2) หลักการคำนวน Table'!$D$93:$M$108,HLOOKUP(AK9,'2) หลักการคำนวน Table'!$D$1:$M$5,5,TRUE),0))))),0)</f>
        <v>180</v>
      </c>
      <c r="BJ9" s="167">
        <f>IFERROR(IF($C9="Top WS",VLOOKUP($B9,'2) หลักการคำนวน Table'!$D$5:$M$20,HLOOKUP(AL9,'2) หลักการคำนวน Table'!$D$1:$M$5,5,TRUE),0),
IF($C9="WS SF",VLOOKUP($B9,'2) หลักการคำนวน Table'!$D$33:$M$48,HLOOKUP(AL9,'2) หลักการคำนวน Table'!$D$1:$M$5,5,TRUE),0),
IF($C9="WS WH",VLOOKUP($B9,'2) หลักการคำนวน Table'!$D$63:$M$78,HLOOKUP(AL9,'2) หลักการคำนวน Table'!$D$1:$M$5,5,TRUE),0),
IF($C9="SF WH",VLOOKUP($B9,'2) หลักการคำนวน Table'!$D$93:$M$108,HLOOKUP(AL9,'2) หลักการคำนวน Table'!$D$1:$M$5,5,TRUE),0))))),0)</f>
        <v>180</v>
      </c>
      <c r="BK9" s="167">
        <f>IFERROR(IF($C9="Top WS",VLOOKUP($B9,'2) หลักการคำนวน Table'!$D$5:$M$20,HLOOKUP(AM9,'2) หลักการคำนวน Table'!$D$1:$M$5,5,TRUE),0),
IF($C9="WS SF",VLOOKUP($B9,'2) หลักการคำนวน Table'!$D$33:$M$48,HLOOKUP(AM9,'2) หลักการคำนวน Table'!$D$1:$M$5,5,TRUE),0),
IF($C9="WS WH",VLOOKUP($B9,'2) หลักการคำนวน Table'!$D$63:$M$78,HLOOKUP(AM9,'2) หลักการคำนวน Table'!$D$1:$M$5,5,TRUE),0),
IF($C9="SF WH",VLOOKUP($B9,'2) หลักการคำนวน Table'!$D$93:$M$108,HLOOKUP(AM9,'2) หลักการคำนวน Table'!$D$1:$M$5,5,TRUE),0))))),0)</f>
        <v>180</v>
      </c>
      <c r="BM9" s="119">
        <f>VLOOKUP(VLOOKUP(A9,ASTBase!E:S,13,FALSE),ASTBase!F:P,11,FALSE)</f>
        <v>160000</v>
      </c>
      <c r="BN9" s="196" cm="1">
        <f t="array" ref="BN9">INDEX(AN9:AY9,,Period!$D$2)</f>
        <v>0.9</v>
      </c>
    </row>
    <row r="10" spans="1:66" x14ac:dyDescent="0.25">
      <c r="A10" s="117">
        <v>160001</v>
      </c>
      <c r="B10" s="117" t="s">
        <v>402</v>
      </c>
      <c r="C10" s="117" t="s">
        <v>178</v>
      </c>
      <c r="D10" s="118">
        <v>1332</v>
      </c>
      <c r="E10" s="118">
        <v>1505</v>
      </c>
      <c r="F10" s="118">
        <v>1220</v>
      </c>
      <c r="G10" s="118">
        <v>1298</v>
      </c>
      <c r="H10" s="118">
        <v>1319</v>
      </c>
      <c r="I10" s="118">
        <v>1364</v>
      </c>
      <c r="J10" s="118">
        <v>1528</v>
      </c>
      <c r="K10" s="118">
        <v>2274</v>
      </c>
      <c r="L10" s="118">
        <v>1490</v>
      </c>
      <c r="M10" s="118">
        <v>1352</v>
      </c>
      <c r="N10" s="118">
        <v>1708</v>
      </c>
      <c r="O10" s="118">
        <v>1705</v>
      </c>
      <c r="P10" s="117">
        <f>SUMIFS(Actual!C:C,Actual!$A:$A,'3)Target &amp; Cal'!$A10,Actual!$B:$B,'3)Target &amp; Cal'!$B10)</f>
        <v>1224</v>
      </c>
      <c r="Q10" s="117">
        <f>SUMIFS(Actual!D:D,Actual!$A:$A,'3)Target &amp; Cal'!$A10,Actual!$B:$B,'3)Target &amp; Cal'!$B10)</f>
        <v>834.5</v>
      </c>
      <c r="R10" s="117">
        <f>SUMIFS(Actual!E:E,Actual!$A:$A,'3)Target &amp; Cal'!$A10,Actual!$B:$B,'3)Target &amp; Cal'!$B10)</f>
        <v>0</v>
      </c>
      <c r="S10" s="117">
        <f>SUMIFS(Actual!F:F,Actual!$A:$A,'3)Target &amp; Cal'!$A10,Actual!$B:$B,'3)Target &amp; Cal'!$B10)</f>
        <v>0</v>
      </c>
      <c r="T10" s="117">
        <f>SUMIFS(Actual!G:G,Actual!$A:$A,'3)Target &amp; Cal'!$A10,Actual!$B:$B,'3)Target &amp; Cal'!$B10)</f>
        <v>0</v>
      </c>
      <c r="U10" s="117">
        <f>SUMIFS(Actual!H:H,Actual!$A:$A,'3)Target &amp; Cal'!$A10,Actual!$B:$B,'3)Target &amp; Cal'!$B10)</f>
        <v>0</v>
      </c>
      <c r="V10" s="117">
        <f>SUMIFS(Actual!I:I,Actual!$A:$A,'3)Target &amp; Cal'!$A10,Actual!$B:$B,'3)Target &amp; Cal'!$B10)</f>
        <v>0</v>
      </c>
      <c r="W10" s="117">
        <f>SUMIFS(Actual!J:J,Actual!$A:$A,'3)Target &amp; Cal'!$A10,Actual!$B:$B,'3)Target &amp; Cal'!$B10)</f>
        <v>0</v>
      </c>
      <c r="X10" s="117">
        <f>SUMIFS(Actual!K:K,Actual!$A:$A,'3)Target &amp; Cal'!$A10,Actual!$B:$B,'3)Target &amp; Cal'!$B10)</f>
        <v>0</v>
      </c>
      <c r="Y10" s="117">
        <f>SUMIFS(Actual!L:L,Actual!$A:$A,'3)Target &amp; Cal'!$A10,Actual!$B:$B,'3)Target &amp; Cal'!$B10)</f>
        <v>0</v>
      </c>
      <c r="Z10" s="117">
        <f>SUMIFS(Actual!M:M,Actual!$A:$A,'3)Target &amp; Cal'!$A10,Actual!$B:$B,'3)Target &amp; Cal'!$B10)</f>
        <v>0</v>
      </c>
      <c r="AA10" s="117">
        <f>SUMIFS(Actual!N:N,Actual!$A:$A,'3)Target &amp; Cal'!$A10,Actual!$B:$B,'3)Target &amp; Cal'!$B10)</f>
        <v>0</v>
      </c>
      <c r="AB10" s="123">
        <f>IFERROR(IF(VLOOKUP($B10,Shortage!$A:$M,AB$2,FALSE)="Shortage",1,IFERROR(ROUND(P10/D10,4),0)),IFERROR(ROUND(P10/D10,4),0))</f>
        <v>0.91890000000000005</v>
      </c>
      <c r="AC10" s="123">
        <f>IFERROR(IF(VLOOKUP($B10,Shortage!$A:$M,AC$2,FALSE)="Shortage",1,IFERROR(ROUND(Q10/E10,4),0)),IFERROR(ROUND(Q10/E10,4),0))</f>
        <v>0.55449999999999999</v>
      </c>
      <c r="AD10" s="123">
        <f>IFERROR(IF(VLOOKUP($B10,Shortage!$A:$M,AD$2,FALSE)="Shortage",1,IFERROR(ROUND(R10/F10,4),0)),IFERROR(ROUND(R10/F10,4),0))</f>
        <v>0</v>
      </c>
      <c r="AE10" s="123">
        <f>IFERROR(IF(VLOOKUP($B10,Shortage!$A:$M,AE$2,FALSE)="Shortage",1,IFERROR(ROUND(S10/G10,4),0)),IFERROR(ROUND(S10/G10,4),0))</f>
        <v>0</v>
      </c>
      <c r="AF10" s="123">
        <f>IFERROR(IF(VLOOKUP($B10,Shortage!$A:$M,AF$2,FALSE)="Shortage",1,IFERROR(ROUND(T10/H10,4),0)),IFERROR(ROUND(T10/H10,4),0))</f>
        <v>0</v>
      </c>
      <c r="AG10" s="123">
        <f>IFERROR(IF(VLOOKUP($B10,Shortage!$A:$M,AG$2,FALSE)="Shortage",1,IFERROR(ROUND(U10/I10,4),0)),IFERROR(ROUND(U10/I10,4),0))</f>
        <v>0</v>
      </c>
      <c r="AH10" s="123">
        <f>IFERROR(IF(VLOOKUP($B10,Shortage!$A:$M,AH$2,FALSE)="Shortage",1,IFERROR(ROUND(V10/J10,4),0)),IFERROR(ROUND(V10/J10,4),0))</f>
        <v>0</v>
      </c>
      <c r="AI10" s="123">
        <f>IFERROR(IF(VLOOKUP($B10,Shortage!$A:$M,AI$2,FALSE)="Shortage",1,IFERROR(ROUND(W10/K10,4),0)),IFERROR(ROUND(W10/K10,4),0))</f>
        <v>0</v>
      </c>
      <c r="AJ10" s="123">
        <f>IFERROR(IF(VLOOKUP($B10,Shortage!$A:$M,AP$2,FALSE)="Shortage",1,IFERROR(ROUND(X10/L10,4),0)),IFERROR(ROUND(X10/L10,4),0))</f>
        <v>0</v>
      </c>
      <c r="AK10" s="123">
        <f>IFERROR(IF(VLOOKUP($B10,Shortage!$A:$M,AK$2,FALSE)="Shortage",1,IFERROR(ROUND(Y10/M10,4),0)),IFERROR(ROUND(Y10/M10,4),0))</f>
        <v>0</v>
      </c>
      <c r="AL10" s="123">
        <f>IFERROR(IF(VLOOKUP($B10,Shortage!$A:$M,AL$2,FALSE)="Shortage",1,IFERROR(ROUND(Z10/N10,4),0)),IFERROR(ROUND(Z10/N10,4),0))</f>
        <v>0</v>
      </c>
      <c r="AM10" s="123">
        <f>IFERROR(IF(VLOOKUP($B10,Shortage!$A:$M,AM$2,FALSE)="Shortage",1,IFERROR(ROUND(AA10/O10,4),0)),IFERROR(ROUND(AA10/O10,4),0))</f>
        <v>0</v>
      </c>
      <c r="AN10" s="337">
        <f>IFERROR(IF($C10="Top WS",VLOOKUP("GOAL",'2) หลักการคำนวน Table'!$D$4:$M$4,HLOOKUP(AB10,'2) หลักการคำนวน Table'!$D$1:$M$5,5,TRUE),0),
IF($C10="WS SF",VLOOKUP("GOAL",'2) หลักการคำนวน Table'!$D$32:$M$32,HLOOKUP(AB10,'2) หลักการคำนวน Table'!$D$1:$M$5,5,TRUE),0),
IF($C10="WS WH",VLOOKUP("GOAL",'2) หลักการคำนวน Table'!$D$62:$M$62,HLOOKUP(AB10,'2) หลักการคำนวน Table'!$D$1:$M$5,5,TRUE),0),
IF($C10="SF WH",VLOOKUP("GOAL",'2) หลักการคำนวน Table'!$D$92:$M$92,HLOOKUP(AB10,'2) หลักการคำนวน Table'!$D$1:$M$5,5,TRUE),0))))),0)</f>
        <v>0.95</v>
      </c>
      <c r="AO10" s="232">
        <f>IFERROR(IF($C10="Top WS",VLOOKUP("GOAL",'2) หลักการคำนวน Table'!$D$4:$M$4,HLOOKUP(AC10,'2) หลักการคำนวน Table'!$D$1:$M$5,5,TRUE),0),
IF($C10="WS SF",VLOOKUP("GOAL",'2) หลักการคำนวน Table'!$D$32:$M$32,HLOOKUP(AC10,'2) หลักการคำนวน Table'!$D$1:$M$5,5,TRUE),0),
IF($C10="WS WH",VLOOKUP("GOAL",'2) หลักการคำนวน Table'!$D$62:$M$62,HLOOKUP(AC10,'2) หลักการคำนวน Table'!$D$1:$M$5,5,TRUE),0),
IF($C10="SF WH",VLOOKUP("GOAL",'2) หลักการคำนวน Table'!$D$92:$M$92,HLOOKUP(AC10,'2) หลักการคำนวน Table'!$D$1:$M$5,5,TRUE),0))))),0)</f>
        <v>0.9</v>
      </c>
      <c r="AP10" s="232">
        <f>IFERROR(IF($C10="Top WS",VLOOKUP("GOAL",'2) หลักการคำนวน Table'!$D$4:$M$4,HLOOKUP(AD10,'2) หลักการคำนวน Table'!$D$1:$M$5,5,TRUE),0),
IF($C10="WS SF",VLOOKUP("GOAL",'2) หลักการคำนวน Table'!$D$32:$M$32,HLOOKUP(AD10,'2) หลักการคำนวน Table'!$D$1:$M$5,5,TRUE),0),
IF($C10="WS WH",VLOOKUP("GOAL",'2) หลักการคำนวน Table'!$D$62:$M$62,HLOOKUP(AD10,'2) หลักการคำนวน Table'!$D$1:$M$5,5,TRUE),0),
IF($C10="SF WH",VLOOKUP("GOAL",'2) หลักการคำนวน Table'!$D$92:$M$92,HLOOKUP(AD10,'2) หลักการคำนวน Table'!$D$1:$M$5,5,TRUE),0))))),0)</f>
        <v>0.9</v>
      </c>
      <c r="AQ10" s="232">
        <f>IFERROR(IF($C10="Top WS",VLOOKUP("GOAL",'2) หลักการคำนวน Table'!$D$4:$M$4,HLOOKUP(AE10,'2) หลักการคำนวน Table'!$D$1:$M$5,5,TRUE),0),
IF($C10="WS SF",VLOOKUP("GOAL",'2) หลักการคำนวน Table'!$D$32:$M$32,HLOOKUP(AE10,'2) หลักการคำนวน Table'!$D$1:$M$5,5,TRUE),0),
IF($C10="WS WH",VLOOKUP("GOAL",'2) หลักการคำนวน Table'!$D$62:$M$62,HLOOKUP(AE10,'2) หลักการคำนวน Table'!$D$1:$M$5,5,TRUE),0),
IF($C10="SF WH",VLOOKUP("GOAL",'2) หลักการคำนวน Table'!$D$92:$M$92,HLOOKUP(AE10,'2) หลักการคำนวน Table'!$D$1:$M$5,5,TRUE),0))))),0)</f>
        <v>0.9</v>
      </c>
      <c r="AR10" s="232">
        <f>IFERROR(IF($C10="Top WS",VLOOKUP("GOAL",'2) หลักการคำนวน Table'!$D$4:$M$4,HLOOKUP(AF10,'2) หลักการคำนวน Table'!$D$1:$M$5,5,TRUE),0),
IF($C10="WS SF",VLOOKUP("GOAL",'2) หลักการคำนวน Table'!$D$32:$M$32,HLOOKUP(AF10,'2) หลักการคำนวน Table'!$D$1:$M$5,5,TRUE),0),
IF($C10="WS WH",VLOOKUP("GOAL",'2) หลักการคำนวน Table'!$D$62:$M$62,HLOOKUP(AF10,'2) หลักการคำนวน Table'!$D$1:$M$5,5,TRUE),0),
IF($C10="SF WH",VLOOKUP("GOAL",'2) หลักการคำนวน Table'!$D$92:$M$92,HLOOKUP(AF10,'2) หลักการคำนวน Table'!$D$1:$M$5,5,TRUE),0))))),0)</f>
        <v>0.9</v>
      </c>
      <c r="AS10" s="232">
        <f>IFERROR(IF($C10="Top WS",VLOOKUP("GOAL",'2) หลักการคำนวน Table'!$D$4:$M$4,HLOOKUP(AG10,'2) หลักการคำนวน Table'!$D$1:$M$5,5,TRUE),0),
IF($C10="WS SF",VLOOKUP("GOAL",'2) หลักการคำนวน Table'!$D$32:$M$32,HLOOKUP(AG10,'2) หลักการคำนวน Table'!$D$1:$M$5,5,TRUE),0),
IF($C10="WS WH",VLOOKUP("GOAL",'2) หลักการคำนวน Table'!$D$62:$M$62,HLOOKUP(AG10,'2) หลักการคำนวน Table'!$D$1:$M$5,5,TRUE),0),
IF($C10="SF WH",VLOOKUP("GOAL",'2) หลักการคำนวน Table'!$D$92:$M$92,HLOOKUP(AG10,'2) หลักการคำนวน Table'!$D$1:$M$5,5,TRUE),0))))),0)</f>
        <v>0.9</v>
      </c>
      <c r="AT10" s="232">
        <f>IFERROR(IF($C10="Top WS",VLOOKUP("GOAL",'2) หลักการคำนวน Table'!$D$4:$M$4,HLOOKUP(AH10,'2) หลักการคำนวน Table'!$D$1:$M$5,5,TRUE),0),
IF($C10="WS SF",VLOOKUP("GOAL",'2) หลักการคำนวน Table'!$D$32:$M$32,HLOOKUP(AH10,'2) หลักการคำนวน Table'!$D$1:$M$5,5,TRUE),0),
IF($C10="WS WH",VLOOKUP("GOAL",'2) หลักการคำนวน Table'!$D$62:$M$62,HLOOKUP(AH10,'2) หลักการคำนวน Table'!$D$1:$M$5,5,TRUE),0),
IF($C10="SF WH",VLOOKUP("GOAL",'2) หลักการคำนวน Table'!$D$92:$M$92,HLOOKUP(AH10,'2) หลักการคำนวน Table'!$D$1:$M$5,5,TRUE),0))))),0)</f>
        <v>0.9</v>
      </c>
      <c r="AU10" s="232">
        <f>IFERROR(IF($C10="Top WS",VLOOKUP("GOAL",'2) หลักการคำนวน Table'!$D$4:$M$4,HLOOKUP(AI10,'2) หลักการคำนวน Table'!$D$1:$M$5,5,TRUE),0),
IF($C10="WS SF",VLOOKUP("GOAL",'2) หลักการคำนวน Table'!$D$32:$M$32,HLOOKUP(AI10,'2) หลักการคำนวน Table'!$D$1:$M$5,5,TRUE),0),
IF($C10="WS WH",VLOOKUP("GOAL",'2) หลักการคำนวน Table'!$D$62:$M$62,HLOOKUP(AI10,'2) หลักการคำนวน Table'!$D$1:$M$5,5,TRUE),0),
IF($C10="SF WH",VLOOKUP("GOAL",'2) หลักการคำนวน Table'!$D$92:$M$92,HLOOKUP(AI10,'2) หลักการคำนวน Table'!$D$1:$M$5,5,TRUE),0))))),0)</f>
        <v>0.9</v>
      </c>
      <c r="AV10" s="232">
        <f>IFERROR(IF($C10="Top WS",VLOOKUP("GOAL",'2) หลักการคำนวน Table'!$D$4:$M$4,HLOOKUP(AP10,'2) หลักการคำนวน Table'!$D$1:$M$5,5,TRUE),0),
IF($C10="WS SF",VLOOKUP("GOAL",'2) หลักการคำนวน Table'!$D$32:$M$32,HLOOKUP(AP10,'2) หลักการคำนวน Table'!$D$1:$M$5,5,TRUE),0),
IF($C10="WS WH",VLOOKUP("GOAL",'2) หลักการคำนวน Table'!$D$62:$M$62,HLOOKUP(AP10,'2) หลักการคำนวน Table'!$D$1:$M$5,5,TRUE),0),
IF($C10="SF WH",VLOOKUP("GOAL",'2) หลักการคำนวน Table'!$D$92:$M$92,HLOOKUP(AP10,'2) หลักการคำนวน Table'!$D$1:$M$5,5,TRUE),0))))),0)</f>
        <v>0.9</v>
      </c>
      <c r="AW10" s="232">
        <f>IFERROR(IF($C10="Top WS",VLOOKUP("GOAL",'2) หลักการคำนวน Table'!$D$4:$M$4,HLOOKUP(AK10,'2) หลักการคำนวน Table'!$D$1:$M$5,5,TRUE),0),
IF($C10="WS SF",VLOOKUP("GOAL",'2) หลักการคำนวน Table'!$D$32:$M$32,HLOOKUP(AK10,'2) หลักการคำนวน Table'!$D$1:$M$5,5,TRUE),0),
IF($C10="WS WH",VLOOKUP("GOAL",'2) หลักการคำนวน Table'!$D$62:$M$62,HLOOKUP(AK10,'2) หลักการคำนวน Table'!$D$1:$M$5,5,TRUE),0),
IF($C10="SF WH",VLOOKUP("GOAL",'2) หลักการคำนวน Table'!$D$92:$M$92,HLOOKUP(AK10,'2) หลักการคำนวน Table'!$D$1:$M$5,5,TRUE),0))))),0)</f>
        <v>0.9</v>
      </c>
      <c r="AX10" s="232">
        <f>IFERROR(IF($C10="Top WS",VLOOKUP("GOAL",'2) หลักการคำนวน Table'!$D$4:$M$4,HLOOKUP(AL10,'2) หลักการคำนวน Table'!$D$1:$M$5,5,TRUE),0),
IF($C10="WS SF",VLOOKUP("GOAL",'2) หลักการคำนวน Table'!$D$32:$M$32,HLOOKUP(AL10,'2) หลักการคำนวน Table'!$D$1:$M$5,5,TRUE),0),
IF($C10="WS WH",VLOOKUP("GOAL",'2) หลักการคำนวน Table'!$D$62:$M$62,HLOOKUP(AL10,'2) หลักการคำนวน Table'!$D$1:$M$5,5,TRUE),0),
IF($C10="SF WH",VLOOKUP("GOAL",'2) หลักการคำนวน Table'!$D$92:$M$92,HLOOKUP(AL10,'2) หลักการคำนวน Table'!$D$1:$M$5,5,TRUE),0))))),0)</f>
        <v>0.9</v>
      </c>
      <c r="AY10" s="232">
        <f>IFERROR(IF($C10="Top WS",VLOOKUP("GOAL",'2) หลักการคำนวน Table'!$D$4:$M$4,HLOOKUP(AM10,'2) หลักการคำนวน Table'!$D$1:$M$5,5,TRUE),0),
IF($C10="WS SF",VLOOKUP("GOAL",'2) หลักการคำนวน Table'!$D$32:$M$32,HLOOKUP(AM10,'2) หลักการคำนวน Table'!$D$1:$M$5,5,TRUE),0),
IF($C10="WS WH",VLOOKUP("GOAL",'2) หลักการคำนวน Table'!$D$62:$M$62,HLOOKUP(AM10,'2) หลักการคำนวน Table'!$D$1:$M$5,5,TRUE),0),
IF($C10="SF WH",VLOOKUP("GOAL",'2) หลักการคำนวน Table'!$D$92:$M$92,HLOOKUP(AM10,'2) หลักการคำนวน Table'!$D$1:$M$5,5,TRUE),0))))),0)</f>
        <v>0.9</v>
      </c>
      <c r="AZ10" s="167">
        <f>IFERROR(IF($C10="Top WS",VLOOKUP($B10,'2) หลักการคำนวน Table'!$D$5:$M$20,HLOOKUP(AB10,'2) หลักการคำนวน Table'!$D$1:$M$5,5,TRUE),0),
IF($C10="WS SF",VLOOKUP($B10,'2) หลักการคำนวน Table'!$D$33:$M$48,HLOOKUP(AB10,'2) หลักการคำนวน Table'!$D$1:$M$5,5,TRUE),0),
IF($C10="WS WH",VLOOKUP($B10,'2) หลักการคำนวน Table'!$D$63:$M$78,HLOOKUP(AB10,'2) หลักการคำนวน Table'!$D$1:$M$5,5,TRUE),0),
IF($C10="SF WH",VLOOKUP($B10,'2) หลักการคำนวน Table'!$D$93:$M$108,HLOOKUP(AB10,'2) หลักการคำนวน Table'!$D$1:$M$5,5,TRUE),0))))),0)</f>
        <v>190</v>
      </c>
      <c r="BA10" s="167">
        <f>IFERROR(IF($C10="Top WS",VLOOKUP($B10,'2) หลักการคำนวน Table'!$D$5:$M$20,HLOOKUP(AC10,'2) หลักการคำนวน Table'!$D$1:$M$5,5,TRUE),0),
IF($C10="WS SF",VLOOKUP($B10,'2) หลักการคำนวน Table'!$D$33:$M$48,HLOOKUP(AC10,'2) หลักการคำนวน Table'!$D$1:$M$5,5,TRUE),0),
IF($C10="WS WH",VLOOKUP($B10,'2) หลักการคำนวน Table'!$D$63:$M$78,HLOOKUP(AC10,'2) หลักการคำนวน Table'!$D$1:$M$5,5,TRUE),0),
IF($C10="SF WH",VLOOKUP($B10,'2) หลักการคำนวน Table'!$D$93:$M$108,HLOOKUP(AC10,'2) หลักการคำนวน Table'!$D$1:$M$5,5,TRUE),0))))),0)</f>
        <v>180</v>
      </c>
      <c r="BB10" s="167">
        <f>IFERROR(IF($C10="Top WS",VLOOKUP($B10,'2) หลักการคำนวน Table'!$D$5:$M$20,HLOOKUP(AD10,'2) หลักการคำนวน Table'!$D$1:$M$5,5,TRUE),0),
IF($C10="WS SF",VLOOKUP($B10,'2) หลักการคำนวน Table'!$D$33:$M$48,HLOOKUP(AD10,'2) หลักการคำนวน Table'!$D$1:$M$5,5,TRUE),0),
IF($C10="WS WH",VLOOKUP($B10,'2) หลักการคำนวน Table'!$D$63:$M$78,HLOOKUP(AD10,'2) หลักการคำนวน Table'!$D$1:$M$5,5,TRUE),0),
IF($C10="SF WH",VLOOKUP($B10,'2) หลักการคำนวน Table'!$D$93:$M$108,HLOOKUP(AD10,'2) หลักการคำนวน Table'!$D$1:$M$5,5,TRUE),0))))),0)</f>
        <v>180</v>
      </c>
      <c r="BC10" s="167">
        <f>IFERROR(IF($C10="Top WS",VLOOKUP($B10,'2) หลักการคำนวน Table'!$D$5:$M$20,HLOOKUP(AE10,'2) หลักการคำนวน Table'!$D$1:$M$5,5,TRUE),0),
IF($C10="WS SF",VLOOKUP($B10,'2) หลักการคำนวน Table'!$D$33:$M$48,HLOOKUP(AE10,'2) หลักการคำนวน Table'!$D$1:$M$5,5,TRUE),0),
IF($C10="WS WH",VLOOKUP($B10,'2) หลักการคำนวน Table'!$D$63:$M$78,HLOOKUP(AE10,'2) หลักการคำนวน Table'!$D$1:$M$5,5,TRUE),0),
IF($C10="SF WH",VLOOKUP($B10,'2) หลักการคำนวน Table'!$D$93:$M$108,HLOOKUP(AE10,'2) หลักการคำนวน Table'!$D$1:$M$5,5,TRUE),0))))),0)</f>
        <v>180</v>
      </c>
      <c r="BD10" s="167">
        <f>IFERROR(IF($C10="Top WS",VLOOKUP($B10,'2) หลักการคำนวน Table'!$D$5:$M$20,HLOOKUP(AF10,'2) หลักการคำนวน Table'!$D$1:$M$5,5,TRUE),0),
IF($C10="WS SF",VLOOKUP($B10,'2) หลักการคำนวน Table'!$D$33:$M$48,HLOOKUP(AF10,'2) หลักการคำนวน Table'!$D$1:$M$5,5,TRUE),0),
IF($C10="WS WH",VLOOKUP($B10,'2) หลักการคำนวน Table'!$D$63:$M$78,HLOOKUP(AF10,'2) หลักการคำนวน Table'!$D$1:$M$5,5,TRUE),0),
IF($C10="SF WH",VLOOKUP($B10,'2) หลักการคำนวน Table'!$D$93:$M$108,HLOOKUP(AF10,'2) หลักการคำนวน Table'!$D$1:$M$5,5,TRUE),0))))),0)</f>
        <v>180</v>
      </c>
      <c r="BE10" s="167">
        <f>IFERROR(IF($C10="Top WS",VLOOKUP($B10,'2) หลักการคำนวน Table'!$D$5:$M$20,HLOOKUP(AG10,'2) หลักการคำนวน Table'!$D$1:$M$5,5,TRUE),0),
IF($C10="WS SF",VLOOKUP($B10,'2) หลักการคำนวน Table'!$D$33:$M$48,HLOOKUP(AG10,'2) หลักการคำนวน Table'!$D$1:$M$5,5,TRUE),0),
IF($C10="WS WH",VLOOKUP($B10,'2) หลักการคำนวน Table'!$D$63:$M$78,HLOOKUP(AG10,'2) หลักการคำนวน Table'!$D$1:$M$5,5,TRUE),0),
IF($C10="SF WH",VLOOKUP($B10,'2) หลักการคำนวน Table'!$D$93:$M$108,HLOOKUP(AG10,'2) หลักการคำนวน Table'!$D$1:$M$5,5,TRUE),0))))),0)</f>
        <v>180</v>
      </c>
      <c r="BF10" s="167">
        <f>IFERROR(IF($C10="Top WS",VLOOKUP($B10,'2) หลักการคำนวน Table'!$D$5:$M$20,HLOOKUP(AH10,'2) หลักการคำนวน Table'!$D$1:$M$5,5,TRUE),0),
IF($C10="WS SF",VLOOKUP($B10,'2) หลักการคำนวน Table'!$D$33:$M$48,HLOOKUP(AH10,'2) หลักการคำนวน Table'!$D$1:$M$5,5,TRUE),0),
IF($C10="WS WH",VLOOKUP($B10,'2) หลักการคำนวน Table'!$D$63:$M$78,HLOOKUP(AH10,'2) หลักการคำนวน Table'!$D$1:$M$5,5,TRUE),0),
IF($C10="SF WH",VLOOKUP($B10,'2) หลักการคำนวน Table'!$D$93:$M$108,HLOOKUP(AH10,'2) หลักการคำนวน Table'!$D$1:$M$5,5,TRUE),0))))),0)</f>
        <v>180</v>
      </c>
      <c r="BG10" s="167">
        <f>IFERROR(IF($C10="Top WS",VLOOKUP($B10,'2) หลักการคำนวน Table'!$D$5:$M$20,HLOOKUP(AI10,'2) หลักการคำนวน Table'!$D$1:$M$5,5,TRUE),0),
IF($C10="WS SF",VLOOKUP($B10,'2) หลักการคำนวน Table'!$D$33:$M$48,HLOOKUP(AI10,'2) หลักการคำนวน Table'!$D$1:$M$5,5,TRUE),0),
IF($C10="WS WH",VLOOKUP($B10,'2) หลักการคำนวน Table'!$D$63:$M$78,HLOOKUP(AI10,'2) หลักการคำนวน Table'!$D$1:$M$5,5,TRUE),0),
IF($C10="SF WH",VLOOKUP($B10,'2) หลักการคำนวน Table'!$D$93:$M$108,HLOOKUP(AI10,'2) หลักการคำนวน Table'!$D$1:$M$5,5,TRUE),0))))),0)</f>
        <v>180</v>
      </c>
      <c r="BH10" s="167">
        <f>IFERROR(IF($C10="Top WS",VLOOKUP($B10,'2) หลักการคำนวน Table'!$D$5:$M$20,HLOOKUP(AP10,'2) หลักการคำนวน Table'!$D$1:$M$5,5,TRUE),0),
IF($C10="WS SF",VLOOKUP($B10,'2) หลักการคำนวน Table'!$D$33:$M$48,HLOOKUP(AP10,'2) หลักการคำนวน Table'!$D$1:$M$5,5,TRUE),0),
IF($C10="WS WH",VLOOKUP($B10,'2) หลักการคำนวน Table'!$D$63:$M$78,HLOOKUP(AP10,'2) หลักการคำนวน Table'!$D$1:$M$5,5,TRUE),0),
IF($C10="SF WH",VLOOKUP($B10,'2) หลักการคำนวน Table'!$D$93:$M$108,HLOOKUP(AP10,'2) หลักการคำนวน Table'!$D$1:$M$5,5,TRUE),0))))),0)</f>
        <v>180</v>
      </c>
      <c r="BI10" s="167">
        <f>IFERROR(IF($C10="Top WS",VLOOKUP($B10,'2) หลักการคำนวน Table'!$D$5:$M$20,HLOOKUP(AK10,'2) หลักการคำนวน Table'!$D$1:$M$5,5,TRUE),0),
IF($C10="WS SF",VLOOKUP($B10,'2) หลักการคำนวน Table'!$D$33:$M$48,HLOOKUP(AK10,'2) หลักการคำนวน Table'!$D$1:$M$5,5,TRUE),0),
IF($C10="WS WH",VLOOKUP($B10,'2) หลักการคำนวน Table'!$D$63:$M$78,HLOOKUP(AK10,'2) หลักการคำนวน Table'!$D$1:$M$5,5,TRUE),0),
IF($C10="SF WH",VLOOKUP($B10,'2) หลักการคำนวน Table'!$D$93:$M$108,HLOOKUP(AK10,'2) หลักการคำนวน Table'!$D$1:$M$5,5,TRUE),0))))),0)</f>
        <v>180</v>
      </c>
      <c r="BJ10" s="167">
        <f>IFERROR(IF($C10="Top WS",VLOOKUP($B10,'2) หลักการคำนวน Table'!$D$5:$M$20,HLOOKUP(AL10,'2) หลักการคำนวน Table'!$D$1:$M$5,5,TRUE),0),
IF($C10="WS SF",VLOOKUP($B10,'2) หลักการคำนวน Table'!$D$33:$M$48,HLOOKUP(AL10,'2) หลักการคำนวน Table'!$D$1:$M$5,5,TRUE),0),
IF($C10="WS WH",VLOOKUP($B10,'2) หลักการคำนวน Table'!$D$63:$M$78,HLOOKUP(AL10,'2) หลักการคำนวน Table'!$D$1:$M$5,5,TRUE),0),
IF($C10="SF WH",VLOOKUP($B10,'2) หลักการคำนวน Table'!$D$93:$M$108,HLOOKUP(AL10,'2) หลักการคำนวน Table'!$D$1:$M$5,5,TRUE),0))))),0)</f>
        <v>180</v>
      </c>
      <c r="BK10" s="167">
        <f>IFERROR(IF($C10="Top WS",VLOOKUP($B10,'2) หลักการคำนวน Table'!$D$5:$M$20,HLOOKUP(AM10,'2) หลักการคำนวน Table'!$D$1:$M$5,5,TRUE),0),
IF($C10="WS SF",VLOOKUP($B10,'2) หลักการคำนวน Table'!$D$33:$M$48,HLOOKUP(AM10,'2) หลักการคำนวน Table'!$D$1:$M$5,5,TRUE),0),
IF($C10="WS WH",VLOOKUP($B10,'2) หลักการคำนวน Table'!$D$63:$M$78,HLOOKUP(AM10,'2) หลักการคำนวน Table'!$D$1:$M$5,5,TRUE),0),
IF($C10="SF WH",VLOOKUP($B10,'2) หลักการคำนวน Table'!$D$93:$M$108,HLOOKUP(AM10,'2) หลักการคำนวน Table'!$D$1:$M$5,5,TRUE),0))))),0)</f>
        <v>180</v>
      </c>
      <c r="BM10" s="119">
        <f>VLOOKUP(VLOOKUP(A10,ASTBase!E:S,13,FALSE),ASTBase!F:P,11,FALSE)</f>
        <v>160000</v>
      </c>
      <c r="BN10" s="196" cm="1">
        <f t="array" ref="BN10">INDEX(AN10:AY10,,Period!$D$2)</f>
        <v>0.9</v>
      </c>
    </row>
    <row r="11" spans="1:66" x14ac:dyDescent="0.25">
      <c r="A11" s="117">
        <v>160001</v>
      </c>
      <c r="B11" s="117" t="s">
        <v>396</v>
      </c>
      <c r="C11" s="117" t="s">
        <v>178</v>
      </c>
      <c r="D11" s="118">
        <v>52</v>
      </c>
      <c r="E11" s="118">
        <v>62</v>
      </c>
      <c r="F11" s="118">
        <v>66</v>
      </c>
      <c r="G11" s="118">
        <v>42</v>
      </c>
      <c r="H11" s="118">
        <v>58</v>
      </c>
      <c r="I11" s="118">
        <v>83</v>
      </c>
      <c r="J11" s="118">
        <v>55</v>
      </c>
      <c r="K11" s="118">
        <v>110</v>
      </c>
      <c r="L11" s="118">
        <v>98</v>
      </c>
      <c r="M11" s="118">
        <v>75</v>
      </c>
      <c r="N11" s="118">
        <v>132</v>
      </c>
      <c r="O11" s="118">
        <v>132</v>
      </c>
      <c r="P11" s="117">
        <f>SUMIFS(Actual!C:C,Actual!$A:$A,'3)Target &amp; Cal'!$A11,Actual!$B:$B,'3)Target &amp; Cal'!$B11)</f>
        <v>83.52</v>
      </c>
      <c r="Q11" s="117">
        <f>SUMIFS(Actual!D:D,Actual!$A:$A,'3)Target &amp; Cal'!$A11,Actual!$B:$B,'3)Target &amp; Cal'!$B11)</f>
        <v>47.231999999999992</v>
      </c>
      <c r="R11" s="117">
        <f>SUMIFS(Actual!E:E,Actual!$A:$A,'3)Target &amp; Cal'!$A11,Actual!$B:$B,'3)Target &amp; Cal'!$B11)</f>
        <v>0</v>
      </c>
      <c r="S11" s="117">
        <f>SUMIFS(Actual!F:F,Actual!$A:$A,'3)Target &amp; Cal'!$A11,Actual!$B:$B,'3)Target &amp; Cal'!$B11)</f>
        <v>0</v>
      </c>
      <c r="T11" s="117">
        <f>SUMIFS(Actual!G:G,Actual!$A:$A,'3)Target &amp; Cal'!$A11,Actual!$B:$B,'3)Target &amp; Cal'!$B11)</f>
        <v>0</v>
      </c>
      <c r="U11" s="117">
        <f>SUMIFS(Actual!H:H,Actual!$A:$A,'3)Target &amp; Cal'!$A11,Actual!$B:$B,'3)Target &amp; Cal'!$B11)</f>
        <v>0</v>
      </c>
      <c r="V11" s="117">
        <f>SUMIFS(Actual!I:I,Actual!$A:$A,'3)Target &amp; Cal'!$A11,Actual!$B:$B,'3)Target &amp; Cal'!$B11)</f>
        <v>0</v>
      </c>
      <c r="W11" s="117">
        <f>SUMIFS(Actual!J:J,Actual!$A:$A,'3)Target &amp; Cal'!$A11,Actual!$B:$B,'3)Target &amp; Cal'!$B11)</f>
        <v>0</v>
      </c>
      <c r="X11" s="117">
        <f>SUMIFS(Actual!K:K,Actual!$A:$A,'3)Target &amp; Cal'!$A11,Actual!$B:$B,'3)Target &amp; Cal'!$B11)</f>
        <v>0</v>
      </c>
      <c r="Y11" s="117">
        <f>SUMIFS(Actual!L:L,Actual!$A:$A,'3)Target &amp; Cal'!$A11,Actual!$B:$B,'3)Target &amp; Cal'!$B11)</f>
        <v>0</v>
      </c>
      <c r="Z11" s="117">
        <f>SUMIFS(Actual!M:M,Actual!$A:$A,'3)Target &amp; Cal'!$A11,Actual!$B:$B,'3)Target &amp; Cal'!$B11)</f>
        <v>0</v>
      </c>
      <c r="AA11" s="117">
        <f>SUMIFS(Actual!N:N,Actual!$A:$A,'3)Target &amp; Cal'!$A11,Actual!$B:$B,'3)Target &amp; Cal'!$B11)</f>
        <v>0</v>
      </c>
      <c r="AB11" s="123">
        <f>IFERROR(IF(VLOOKUP($B11,Shortage!$A:$M,AB$2,FALSE)="Shortage",1,IFERROR(ROUND(P11/D11,4),0)),IFERROR(ROUND(P11/D11,4),0))</f>
        <v>1.6062000000000001</v>
      </c>
      <c r="AC11" s="123">
        <f>IFERROR(IF(VLOOKUP($B11,Shortage!$A:$M,AC$2,FALSE)="Shortage",1,IFERROR(ROUND(Q11/E11,4),0)),IFERROR(ROUND(Q11/E11,4),0))</f>
        <v>0.76180000000000003</v>
      </c>
      <c r="AD11" s="123">
        <f>IFERROR(IF(VLOOKUP($B11,Shortage!$A:$M,AD$2,FALSE)="Shortage",1,IFERROR(ROUND(R11/F11,4),0)),IFERROR(ROUND(R11/F11,4),0))</f>
        <v>0</v>
      </c>
      <c r="AE11" s="123">
        <f>IFERROR(IF(VLOOKUP($B11,Shortage!$A:$M,AE$2,FALSE)="Shortage",1,IFERROR(ROUND(S11/G11,4),0)),IFERROR(ROUND(S11/G11,4),0))</f>
        <v>0</v>
      </c>
      <c r="AF11" s="123">
        <f>IFERROR(IF(VLOOKUP($B11,Shortage!$A:$M,AF$2,FALSE)="Shortage",1,IFERROR(ROUND(T11/H11,4),0)),IFERROR(ROUND(T11/H11,4),0))</f>
        <v>0</v>
      </c>
      <c r="AG11" s="123">
        <f>IFERROR(IF(VLOOKUP($B11,Shortage!$A:$M,AG$2,FALSE)="Shortage",1,IFERROR(ROUND(U11/I11,4),0)),IFERROR(ROUND(U11/I11,4),0))</f>
        <v>0</v>
      </c>
      <c r="AH11" s="123">
        <f>IFERROR(IF(VLOOKUP($B11,Shortage!$A:$M,AH$2,FALSE)="Shortage",1,IFERROR(ROUND(V11/J11,4),0)),IFERROR(ROUND(V11/J11,4),0))</f>
        <v>0</v>
      </c>
      <c r="AI11" s="123">
        <f>IFERROR(IF(VLOOKUP($B11,Shortage!$A:$M,AI$2,FALSE)="Shortage",1,IFERROR(ROUND(W11/K11,4),0)),IFERROR(ROUND(W11/K11,4),0))</f>
        <v>0</v>
      </c>
      <c r="AJ11" s="123">
        <f>IFERROR(IF(VLOOKUP($B11,Shortage!$A:$M,AP$2,FALSE)="Shortage",1,IFERROR(ROUND(X11/L11,4),0)),IFERROR(ROUND(X11/L11,4),0))</f>
        <v>0</v>
      </c>
      <c r="AK11" s="123">
        <f>IFERROR(IF(VLOOKUP($B11,Shortage!$A:$M,AK$2,FALSE)="Shortage",1,IFERROR(ROUND(Y11/M11,4),0)),IFERROR(ROUND(Y11/M11,4),0))</f>
        <v>0</v>
      </c>
      <c r="AL11" s="123">
        <f>IFERROR(IF(VLOOKUP($B11,Shortage!$A:$M,AL$2,FALSE)="Shortage",1,IFERROR(ROUND(Z11/N11,4),0)),IFERROR(ROUND(Z11/N11,4),0))</f>
        <v>0</v>
      </c>
      <c r="AM11" s="123">
        <f>IFERROR(IF(VLOOKUP($B11,Shortage!$A:$M,AM$2,FALSE)="Shortage",1,IFERROR(ROUND(AA11/O11,4),0)),IFERROR(ROUND(AA11/O11,4),0))</f>
        <v>0</v>
      </c>
      <c r="AN11" s="337">
        <f>IFERROR(IF($C11="Top WS",VLOOKUP("GOAL",'2) หลักการคำนวน Table'!$D$4:$M$4,HLOOKUP(AB11,'2) หลักการคำนวน Table'!$D$1:$M$5,5,TRUE),0),
IF($C11="WS SF",VLOOKUP("GOAL",'2) หลักการคำนวน Table'!$D$32:$M$32,HLOOKUP(AB11,'2) หลักการคำนวน Table'!$D$1:$M$5,5,TRUE),0),
IF($C11="WS WH",VLOOKUP("GOAL",'2) หลักการคำนวน Table'!$D$62:$M$62,HLOOKUP(AB11,'2) หลักการคำนวน Table'!$D$1:$M$5,5,TRUE),0),
IF($C11="SF WH",VLOOKUP("GOAL",'2) หลักการคำนวน Table'!$D$92:$M$92,HLOOKUP(AB11,'2) หลักการคำนวน Table'!$D$1:$M$5,5,TRUE),0))))),0)</f>
        <v>1.3</v>
      </c>
      <c r="AO11" s="232">
        <f>IFERROR(IF($C11="Top WS",VLOOKUP("GOAL",'2) หลักการคำนวน Table'!$D$4:$M$4,HLOOKUP(AC11,'2) หลักการคำนวน Table'!$D$1:$M$5,5,TRUE),0),
IF($C11="WS SF",VLOOKUP("GOAL",'2) หลักการคำนวน Table'!$D$32:$M$32,HLOOKUP(AC11,'2) หลักการคำนวน Table'!$D$1:$M$5,5,TRUE),0),
IF($C11="WS WH",VLOOKUP("GOAL",'2) หลักการคำนวน Table'!$D$62:$M$62,HLOOKUP(AC11,'2) หลักการคำนวน Table'!$D$1:$M$5,5,TRUE),0),
IF($C11="SF WH",VLOOKUP("GOAL",'2) หลักการคำนวน Table'!$D$92:$M$92,HLOOKUP(AC11,'2) หลักการคำนวน Table'!$D$1:$M$5,5,TRUE),0))))),0)</f>
        <v>0.9</v>
      </c>
      <c r="AP11" s="232">
        <f>IFERROR(IF($C11="Top WS",VLOOKUP("GOAL",'2) หลักการคำนวน Table'!$D$4:$M$4,HLOOKUP(AD11,'2) หลักการคำนวน Table'!$D$1:$M$5,5,TRUE),0),
IF($C11="WS SF",VLOOKUP("GOAL",'2) หลักการคำนวน Table'!$D$32:$M$32,HLOOKUP(AD11,'2) หลักการคำนวน Table'!$D$1:$M$5,5,TRUE),0),
IF($C11="WS WH",VLOOKUP("GOAL",'2) หลักการคำนวน Table'!$D$62:$M$62,HLOOKUP(AD11,'2) หลักการคำนวน Table'!$D$1:$M$5,5,TRUE),0),
IF($C11="SF WH",VLOOKUP("GOAL",'2) หลักการคำนวน Table'!$D$92:$M$92,HLOOKUP(AD11,'2) หลักการคำนวน Table'!$D$1:$M$5,5,TRUE),0))))),0)</f>
        <v>0.9</v>
      </c>
      <c r="AQ11" s="232">
        <f>IFERROR(IF($C11="Top WS",VLOOKUP("GOAL",'2) หลักการคำนวน Table'!$D$4:$M$4,HLOOKUP(AE11,'2) หลักการคำนวน Table'!$D$1:$M$5,5,TRUE),0),
IF($C11="WS SF",VLOOKUP("GOAL",'2) หลักการคำนวน Table'!$D$32:$M$32,HLOOKUP(AE11,'2) หลักการคำนวน Table'!$D$1:$M$5,5,TRUE),0),
IF($C11="WS WH",VLOOKUP("GOAL",'2) หลักการคำนวน Table'!$D$62:$M$62,HLOOKUP(AE11,'2) หลักการคำนวน Table'!$D$1:$M$5,5,TRUE),0),
IF($C11="SF WH",VLOOKUP("GOAL",'2) หลักการคำนวน Table'!$D$92:$M$92,HLOOKUP(AE11,'2) หลักการคำนวน Table'!$D$1:$M$5,5,TRUE),0))))),0)</f>
        <v>0.9</v>
      </c>
      <c r="AR11" s="232">
        <f>IFERROR(IF($C11="Top WS",VLOOKUP("GOAL",'2) หลักการคำนวน Table'!$D$4:$M$4,HLOOKUP(AF11,'2) หลักการคำนวน Table'!$D$1:$M$5,5,TRUE),0),
IF($C11="WS SF",VLOOKUP("GOAL",'2) หลักการคำนวน Table'!$D$32:$M$32,HLOOKUP(AF11,'2) หลักการคำนวน Table'!$D$1:$M$5,5,TRUE),0),
IF($C11="WS WH",VLOOKUP("GOAL",'2) หลักการคำนวน Table'!$D$62:$M$62,HLOOKUP(AF11,'2) หลักการคำนวน Table'!$D$1:$M$5,5,TRUE),0),
IF($C11="SF WH",VLOOKUP("GOAL",'2) หลักการคำนวน Table'!$D$92:$M$92,HLOOKUP(AF11,'2) หลักการคำนวน Table'!$D$1:$M$5,5,TRUE),0))))),0)</f>
        <v>0.9</v>
      </c>
      <c r="AS11" s="232">
        <f>IFERROR(IF($C11="Top WS",VLOOKUP("GOAL",'2) หลักการคำนวน Table'!$D$4:$M$4,HLOOKUP(AG11,'2) หลักการคำนวน Table'!$D$1:$M$5,5,TRUE),0),
IF($C11="WS SF",VLOOKUP("GOAL",'2) หลักการคำนวน Table'!$D$32:$M$32,HLOOKUP(AG11,'2) หลักการคำนวน Table'!$D$1:$M$5,5,TRUE),0),
IF($C11="WS WH",VLOOKUP("GOAL",'2) หลักการคำนวน Table'!$D$62:$M$62,HLOOKUP(AG11,'2) หลักการคำนวน Table'!$D$1:$M$5,5,TRUE),0),
IF($C11="SF WH",VLOOKUP("GOAL",'2) หลักการคำนวน Table'!$D$92:$M$92,HLOOKUP(AG11,'2) หลักการคำนวน Table'!$D$1:$M$5,5,TRUE),0))))),0)</f>
        <v>0.9</v>
      </c>
      <c r="AT11" s="232">
        <f>IFERROR(IF($C11="Top WS",VLOOKUP("GOAL",'2) หลักการคำนวน Table'!$D$4:$M$4,HLOOKUP(AH11,'2) หลักการคำนวน Table'!$D$1:$M$5,5,TRUE),0),
IF($C11="WS SF",VLOOKUP("GOAL",'2) หลักการคำนวน Table'!$D$32:$M$32,HLOOKUP(AH11,'2) หลักการคำนวน Table'!$D$1:$M$5,5,TRUE),0),
IF($C11="WS WH",VLOOKUP("GOAL",'2) หลักการคำนวน Table'!$D$62:$M$62,HLOOKUP(AH11,'2) หลักการคำนวน Table'!$D$1:$M$5,5,TRUE),0),
IF($C11="SF WH",VLOOKUP("GOAL",'2) หลักการคำนวน Table'!$D$92:$M$92,HLOOKUP(AH11,'2) หลักการคำนวน Table'!$D$1:$M$5,5,TRUE),0))))),0)</f>
        <v>0.9</v>
      </c>
      <c r="AU11" s="232">
        <f>IFERROR(IF($C11="Top WS",VLOOKUP("GOAL",'2) หลักการคำนวน Table'!$D$4:$M$4,HLOOKUP(AI11,'2) หลักการคำนวน Table'!$D$1:$M$5,5,TRUE),0),
IF($C11="WS SF",VLOOKUP("GOAL",'2) หลักการคำนวน Table'!$D$32:$M$32,HLOOKUP(AI11,'2) หลักการคำนวน Table'!$D$1:$M$5,5,TRUE),0),
IF($C11="WS WH",VLOOKUP("GOAL",'2) หลักการคำนวน Table'!$D$62:$M$62,HLOOKUP(AI11,'2) หลักการคำนวน Table'!$D$1:$M$5,5,TRUE),0),
IF($C11="SF WH",VLOOKUP("GOAL",'2) หลักการคำนวน Table'!$D$92:$M$92,HLOOKUP(AI11,'2) หลักการคำนวน Table'!$D$1:$M$5,5,TRUE),0))))),0)</f>
        <v>0.9</v>
      </c>
      <c r="AV11" s="232">
        <f>IFERROR(IF($C11="Top WS",VLOOKUP("GOAL",'2) หลักการคำนวน Table'!$D$4:$M$4,HLOOKUP(AP11,'2) หลักการคำนวน Table'!$D$1:$M$5,5,TRUE),0),
IF($C11="WS SF",VLOOKUP("GOAL",'2) หลักการคำนวน Table'!$D$32:$M$32,HLOOKUP(AP11,'2) หลักการคำนวน Table'!$D$1:$M$5,5,TRUE),0),
IF($C11="WS WH",VLOOKUP("GOAL",'2) หลักการคำนวน Table'!$D$62:$M$62,HLOOKUP(AP11,'2) หลักการคำนวน Table'!$D$1:$M$5,5,TRUE),0),
IF($C11="SF WH",VLOOKUP("GOAL",'2) หลักการคำนวน Table'!$D$92:$M$92,HLOOKUP(AP11,'2) หลักการคำนวน Table'!$D$1:$M$5,5,TRUE),0))))),0)</f>
        <v>0.9</v>
      </c>
      <c r="AW11" s="232">
        <f>IFERROR(IF($C11="Top WS",VLOOKUP("GOAL",'2) หลักการคำนวน Table'!$D$4:$M$4,HLOOKUP(AK11,'2) หลักการคำนวน Table'!$D$1:$M$5,5,TRUE),0),
IF($C11="WS SF",VLOOKUP("GOAL",'2) หลักการคำนวน Table'!$D$32:$M$32,HLOOKUP(AK11,'2) หลักการคำนวน Table'!$D$1:$M$5,5,TRUE),0),
IF($C11="WS WH",VLOOKUP("GOAL",'2) หลักการคำนวน Table'!$D$62:$M$62,HLOOKUP(AK11,'2) หลักการคำนวน Table'!$D$1:$M$5,5,TRUE),0),
IF($C11="SF WH",VLOOKUP("GOAL",'2) หลักการคำนวน Table'!$D$92:$M$92,HLOOKUP(AK11,'2) หลักการคำนวน Table'!$D$1:$M$5,5,TRUE),0))))),0)</f>
        <v>0.9</v>
      </c>
      <c r="AX11" s="232">
        <f>IFERROR(IF($C11="Top WS",VLOOKUP("GOAL",'2) หลักการคำนวน Table'!$D$4:$M$4,HLOOKUP(AL11,'2) หลักการคำนวน Table'!$D$1:$M$5,5,TRUE),0),
IF($C11="WS SF",VLOOKUP("GOAL",'2) หลักการคำนวน Table'!$D$32:$M$32,HLOOKUP(AL11,'2) หลักการคำนวน Table'!$D$1:$M$5,5,TRUE),0),
IF($C11="WS WH",VLOOKUP("GOAL",'2) หลักการคำนวน Table'!$D$62:$M$62,HLOOKUP(AL11,'2) หลักการคำนวน Table'!$D$1:$M$5,5,TRUE),0),
IF($C11="SF WH",VLOOKUP("GOAL",'2) หลักการคำนวน Table'!$D$92:$M$92,HLOOKUP(AL11,'2) หลักการคำนวน Table'!$D$1:$M$5,5,TRUE),0))))),0)</f>
        <v>0.9</v>
      </c>
      <c r="AY11" s="232">
        <f>IFERROR(IF($C11="Top WS",VLOOKUP("GOAL",'2) หลักการคำนวน Table'!$D$4:$M$4,HLOOKUP(AM11,'2) หลักการคำนวน Table'!$D$1:$M$5,5,TRUE),0),
IF($C11="WS SF",VLOOKUP("GOAL",'2) หลักการคำนวน Table'!$D$32:$M$32,HLOOKUP(AM11,'2) หลักการคำนวน Table'!$D$1:$M$5,5,TRUE),0),
IF($C11="WS WH",VLOOKUP("GOAL",'2) หลักการคำนวน Table'!$D$62:$M$62,HLOOKUP(AM11,'2) หลักการคำนวน Table'!$D$1:$M$5,5,TRUE),0),
IF($C11="SF WH",VLOOKUP("GOAL",'2) หลักการคำนวน Table'!$D$92:$M$92,HLOOKUP(AM11,'2) หลักการคำนวน Table'!$D$1:$M$5,5,TRUE),0))))),0)</f>
        <v>0.9</v>
      </c>
      <c r="AZ11" s="167">
        <f>IFERROR(IF($C11="Top WS",VLOOKUP($B11,'2) หลักการคำนวน Table'!$D$5:$M$20,HLOOKUP(AB11,'2) หลักการคำนวน Table'!$D$1:$M$5,5,TRUE),0),
IF($C11="WS SF",VLOOKUP($B11,'2) หลักการคำนวน Table'!$D$33:$M$48,HLOOKUP(AB11,'2) หลักการคำนวน Table'!$D$1:$M$5,5,TRUE),0),
IF($C11="WS WH",VLOOKUP($B11,'2) หลักการคำนวน Table'!$D$63:$M$78,HLOOKUP(AB11,'2) หลักการคำนวน Table'!$D$1:$M$5,5,TRUE),0),
IF($C11="SF WH",VLOOKUP($B11,'2) หลักการคำนวน Table'!$D$93:$M$108,HLOOKUP(AB11,'2) หลักการคำนวน Table'!$D$1:$M$5,5,TRUE),0))))),0)</f>
        <v>520</v>
      </c>
      <c r="BA11" s="167">
        <f>IFERROR(IF($C11="Top WS",VLOOKUP($B11,'2) หลักการคำนวน Table'!$D$5:$M$20,HLOOKUP(AC11,'2) หลักการคำนวน Table'!$D$1:$M$5,5,TRUE),0),
IF($C11="WS SF",VLOOKUP($B11,'2) หลักการคำนวน Table'!$D$33:$M$48,HLOOKUP(AC11,'2) หลักการคำนวน Table'!$D$1:$M$5,5,TRUE),0),
IF($C11="WS WH",VLOOKUP($B11,'2) หลักการคำนวน Table'!$D$63:$M$78,HLOOKUP(AC11,'2) หลักการคำนวน Table'!$D$1:$M$5,5,TRUE),0),
IF($C11="SF WH",VLOOKUP($B11,'2) หลักการคำนวน Table'!$D$93:$M$108,HLOOKUP(AC11,'2) หลักการคำนวน Table'!$D$1:$M$5,5,TRUE),0))))),0)</f>
        <v>360</v>
      </c>
      <c r="BB11" s="167">
        <f>IFERROR(IF($C11="Top WS",VLOOKUP($B11,'2) หลักการคำนวน Table'!$D$5:$M$20,HLOOKUP(AD11,'2) หลักการคำนวน Table'!$D$1:$M$5,5,TRUE),0),
IF($C11="WS SF",VLOOKUP($B11,'2) หลักการคำนวน Table'!$D$33:$M$48,HLOOKUP(AD11,'2) หลักการคำนวน Table'!$D$1:$M$5,5,TRUE),0),
IF($C11="WS WH",VLOOKUP($B11,'2) หลักการคำนวน Table'!$D$63:$M$78,HLOOKUP(AD11,'2) หลักการคำนวน Table'!$D$1:$M$5,5,TRUE),0),
IF($C11="SF WH",VLOOKUP($B11,'2) หลักการคำนวน Table'!$D$93:$M$108,HLOOKUP(AD11,'2) หลักการคำนวน Table'!$D$1:$M$5,5,TRUE),0))))),0)</f>
        <v>360</v>
      </c>
      <c r="BC11" s="167">
        <f>IFERROR(IF($C11="Top WS",VLOOKUP($B11,'2) หลักการคำนวน Table'!$D$5:$M$20,HLOOKUP(AE11,'2) หลักการคำนวน Table'!$D$1:$M$5,5,TRUE),0),
IF($C11="WS SF",VLOOKUP($B11,'2) หลักการคำนวน Table'!$D$33:$M$48,HLOOKUP(AE11,'2) หลักการคำนวน Table'!$D$1:$M$5,5,TRUE),0),
IF($C11="WS WH",VLOOKUP($B11,'2) หลักการคำนวน Table'!$D$63:$M$78,HLOOKUP(AE11,'2) หลักการคำนวน Table'!$D$1:$M$5,5,TRUE),0),
IF($C11="SF WH",VLOOKUP($B11,'2) หลักการคำนวน Table'!$D$93:$M$108,HLOOKUP(AE11,'2) หลักการคำนวน Table'!$D$1:$M$5,5,TRUE),0))))),0)</f>
        <v>360</v>
      </c>
      <c r="BD11" s="167">
        <f>IFERROR(IF($C11="Top WS",VLOOKUP($B11,'2) หลักการคำนวน Table'!$D$5:$M$20,HLOOKUP(AF11,'2) หลักการคำนวน Table'!$D$1:$M$5,5,TRUE),0),
IF($C11="WS SF",VLOOKUP($B11,'2) หลักการคำนวน Table'!$D$33:$M$48,HLOOKUP(AF11,'2) หลักการคำนวน Table'!$D$1:$M$5,5,TRUE),0),
IF($C11="WS WH",VLOOKUP($B11,'2) หลักการคำนวน Table'!$D$63:$M$78,HLOOKUP(AF11,'2) หลักการคำนวน Table'!$D$1:$M$5,5,TRUE),0),
IF($C11="SF WH",VLOOKUP($B11,'2) หลักการคำนวน Table'!$D$93:$M$108,HLOOKUP(AF11,'2) หลักการคำนวน Table'!$D$1:$M$5,5,TRUE),0))))),0)</f>
        <v>360</v>
      </c>
      <c r="BE11" s="167">
        <f>IFERROR(IF($C11="Top WS",VLOOKUP($B11,'2) หลักการคำนวน Table'!$D$5:$M$20,HLOOKUP(AG11,'2) หลักการคำนวน Table'!$D$1:$M$5,5,TRUE),0),
IF($C11="WS SF",VLOOKUP($B11,'2) หลักการคำนวน Table'!$D$33:$M$48,HLOOKUP(AG11,'2) หลักการคำนวน Table'!$D$1:$M$5,5,TRUE),0),
IF($C11="WS WH",VLOOKUP($B11,'2) หลักการคำนวน Table'!$D$63:$M$78,HLOOKUP(AG11,'2) หลักการคำนวน Table'!$D$1:$M$5,5,TRUE),0),
IF($C11="SF WH",VLOOKUP($B11,'2) หลักการคำนวน Table'!$D$93:$M$108,HLOOKUP(AG11,'2) หลักการคำนวน Table'!$D$1:$M$5,5,TRUE),0))))),0)</f>
        <v>360</v>
      </c>
      <c r="BF11" s="167">
        <f>IFERROR(IF($C11="Top WS",VLOOKUP($B11,'2) หลักการคำนวน Table'!$D$5:$M$20,HLOOKUP(AH11,'2) หลักการคำนวน Table'!$D$1:$M$5,5,TRUE),0),
IF($C11="WS SF",VLOOKUP($B11,'2) หลักการคำนวน Table'!$D$33:$M$48,HLOOKUP(AH11,'2) หลักการคำนวน Table'!$D$1:$M$5,5,TRUE),0),
IF($C11="WS WH",VLOOKUP($B11,'2) หลักการคำนวน Table'!$D$63:$M$78,HLOOKUP(AH11,'2) หลักการคำนวน Table'!$D$1:$M$5,5,TRUE),0),
IF($C11="SF WH",VLOOKUP($B11,'2) หลักการคำนวน Table'!$D$93:$M$108,HLOOKUP(AH11,'2) หลักการคำนวน Table'!$D$1:$M$5,5,TRUE),0))))),0)</f>
        <v>360</v>
      </c>
      <c r="BG11" s="167">
        <f>IFERROR(IF($C11="Top WS",VLOOKUP($B11,'2) หลักการคำนวน Table'!$D$5:$M$20,HLOOKUP(AI11,'2) หลักการคำนวน Table'!$D$1:$M$5,5,TRUE),0),
IF($C11="WS SF",VLOOKUP($B11,'2) หลักการคำนวน Table'!$D$33:$M$48,HLOOKUP(AI11,'2) หลักการคำนวน Table'!$D$1:$M$5,5,TRUE),0),
IF($C11="WS WH",VLOOKUP($B11,'2) หลักการคำนวน Table'!$D$63:$M$78,HLOOKUP(AI11,'2) หลักการคำนวน Table'!$D$1:$M$5,5,TRUE),0),
IF($C11="SF WH",VLOOKUP($B11,'2) หลักการคำนวน Table'!$D$93:$M$108,HLOOKUP(AI11,'2) หลักการคำนวน Table'!$D$1:$M$5,5,TRUE),0))))),0)</f>
        <v>360</v>
      </c>
      <c r="BH11" s="167">
        <f>IFERROR(IF($C11="Top WS",VLOOKUP($B11,'2) หลักการคำนวน Table'!$D$5:$M$20,HLOOKUP(AP11,'2) หลักการคำนวน Table'!$D$1:$M$5,5,TRUE),0),
IF($C11="WS SF",VLOOKUP($B11,'2) หลักการคำนวน Table'!$D$33:$M$48,HLOOKUP(AP11,'2) หลักการคำนวน Table'!$D$1:$M$5,5,TRUE),0),
IF($C11="WS WH",VLOOKUP($B11,'2) หลักการคำนวน Table'!$D$63:$M$78,HLOOKUP(AP11,'2) หลักการคำนวน Table'!$D$1:$M$5,5,TRUE),0),
IF($C11="SF WH",VLOOKUP($B11,'2) หลักการคำนวน Table'!$D$93:$M$108,HLOOKUP(AP11,'2) หลักการคำนวน Table'!$D$1:$M$5,5,TRUE),0))))),0)</f>
        <v>360</v>
      </c>
      <c r="BI11" s="167">
        <f>IFERROR(IF($C11="Top WS",VLOOKUP($B11,'2) หลักการคำนวน Table'!$D$5:$M$20,HLOOKUP(AK11,'2) หลักการคำนวน Table'!$D$1:$M$5,5,TRUE),0),
IF($C11="WS SF",VLOOKUP($B11,'2) หลักการคำนวน Table'!$D$33:$M$48,HLOOKUP(AK11,'2) หลักการคำนวน Table'!$D$1:$M$5,5,TRUE),0),
IF($C11="WS WH",VLOOKUP($B11,'2) หลักการคำนวน Table'!$D$63:$M$78,HLOOKUP(AK11,'2) หลักการคำนวน Table'!$D$1:$M$5,5,TRUE),0),
IF($C11="SF WH",VLOOKUP($B11,'2) หลักการคำนวน Table'!$D$93:$M$108,HLOOKUP(AK11,'2) หลักการคำนวน Table'!$D$1:$M$5,5,TRUE),0))))),0)</f>
        <v>360</v>
      </c>
      <c r="BJ11" s="167">
        <f>IFERROR(IF($C11="Top WS",VLOOKUP($B11,'2) หลักการคำนวน Table'!$D$5:$M$20,HLOOKUP(AL11,'2) หลักการคำนวน Table'!$D$1:$M$5,5,TRUE),0),
IF($C11="WS SF",VLOOKUP($B11,'2) หลักการคำนวน Table'!$D$33:$M$48,HLOOKUP(AL11,'2) หลักการคำนวน Table'!$D$1:$M$5,5,TRUE),0),
IF($C11="WS WH",VLOOKUP($B11,'2) หลักการคำนวน Table'!$D$63:$M$78,HLOOKUP(AL11,'2) หลักการคำนวน Table'!$D$1:$M$5,5,TRUE),0),
IF($C11="SF WH",VLOOKUP($B11,'2) หลักการคำนวน Table'!$D$93:$M$108,HLOOKUP(AL11,'2) หลักการคำนวน Table'!$D$1:$M$5,5,TRUE),0))))),0)</f>
        <v>360</v>
      </c>
      <c r="BK11" s="167">
        <f>IFERROR(IF($C11="Top WS",VLOOKUP($B11,'2) หลักการคำนวน Table'!$D$5:$M$20,HLOOKUP(AM11,'2) หลักการคำนวน Table'!$D$1:$M$5,5,TRUE),0),
IF($C11="WS SF",VLOOKUP($B11,'2) หลักการคำนวน Table'!$D$33:$M$48,HLOOKUP(AM11,'2) หลักการคำนวน Table'!$D$1:$M$5,5,TRUE),0),
IF($C11="WS WH",VLOOKUP($B11,'2) หลักการคำนวน Table'!$D$63:$M$78,HLOOKUP(AM11,'2) หลักการคำนวน Table'!$D$1:$M$5,5,TRUE),0),
IF($C11="SF WH",VLOOKUP($B11,'2) หลักการคำนวน Table'!$D$93:$M$108,HLOOKUP(AM11,'2) หลักการคำนวน Table'!$D$1:$M$5,5,TRUE),0))))),0)</f>
        <v>360</v>
      </c>
      <c r="BM11" s="119">
        <f>VLOOKUP(VLOOKUP(A11,ASTBase!E:S,13,FALSE),ASTBase!F:P,11,FALSE)</f>
        <v>160000</v>
      </c>
      <c r="BN11" s="196" cm="1">
        <f t="array" ref="BN11">INDEX(AN11:AY11,,Period!$D$2)</f>
        <v>0.9</v>
      </c>
    </row>
    <row r="12" spans="1:66" x14ac:dyDescent="0.25">
      <c r="A12" s="117">
        <v>160001</v>
      </c>
      <c r="B12" s="117" t="s">
        <v>394</v>
      </c>
      <c r="C12" s="117" t="s">
        <v>178</v>
      </c>
      <c r="D12" s="118">
        <v>574</v>
      </c>
      <c r="E12" s="118">
        <v>853</v>
      </c>
      <c r="F12" s="118">
        <v>464</v>
      </c>
      <c r="G12" s="118">
        <v>159</v>
      </c>
      <c r="H12" s="118">
        <v>11</v>
      </c>
      <c r="I12" s="118">
        <v>753</v>
      </c>
      <c r="J12" s="118">
        <v>676</v>
      </c>
      <c r="K12" s="118">
        <v>1054</v>
      </c>
      <c r="L12" s="118">
        <v>751</v>
      </c>
      <c r="M12" s="118">
        <v>665</v>
      </c>
      <c r="N12" s="118">
        <v>728</v>
      </c>
      <c r="O12" s="118">
        <v>727</v>
      </c>
      <c r="P12" s="117">
        <f>SUMIFS(Actual!C:C,Actual!$A:$A,'3)Target &amp; Cal'!$A12,Actual!$B:$B,'3)Target &amp; Cal'!$B12)</f>
        <v>600</v>
      </c>
      <c r="Q12" s="117">
        <f>SUMIFS(Actual!D:D,Actual!$A:$A,'3)Target &amp; Cal'!$A12,Actual!$B:$B,'3)Target &amp; Cal'!$B12)</f>
        <v>113.4</v>
      </c>
      <c r="R12" s="117">
        <f>SUMIFS(Actual!E:E,Actual!$A:$A,'3)Target &amp; Cal'!$A12,Actual!$B:$B,'3)Target &amp; Cal'!$B12)</f>
        <v>0</v>
      </c>
      <c r="S12" s="117">
        <f>SUMIFS(Actual!F:F,Actual!$A:$A,'3)Target &amp; Cal'!$A12,Actual!$B:$B,'3)Target &amp; Cal'!$B12)</f>
        <v>0</v>
      </c>
      <c r="T12" s="117">
        <f>SUMIFS(Actual!G:G,Actual!$A:$A,'3)Target &amp; Cal'!$A12,Actual!$B:$B,'3)Target &amp; Cal'!$B12)</f>
        <v>0</v>
      </c>
      <c r="U12" s="117">
        <f>SUMIFS(Actual!H:H,Actual!$A:$A,'3)Target &amp; Cal'!$A12,Actual!$B:$B,'3)Target &amp; Cal'!$B12)</f>
        <v>0</v>
      </c>
      <c r="V12" s="117">
        <f>SUMIFS(Actual!I:I,Actual!$A:$A,'3)Target &amp; Cal'!$A12,Actual!$B:$B,'3)Target &amp; Cal'!$B12)</f>
        <v>0</v>
      </c>
      <c r="W12" s="117">
        <f>SUMIFS(Actual!J:J,Actual!$A:$A,'3)Target &amp; Cal'!$A12,Actual!$B:$B,'3)Target &amp; Cal'!$B12)</f>
        <v>0</v>
      </c>
      <c r="X12" s="117">
        <f>SUMIFS(Actual!K:K,Actual!$A:$A,'3)Target &amp; Cal'!$A12,Actual!$B:$B,'3)Target &amp; Cal'!$B12)</f>
        <v>0</v>
      </c>
      <c r="Y12" s="117">
        <f>SUMIFS(Actual!L:L,Actual!$A:$A,'3)Target &amp; Cal'!$A12,Actual!$B:$B,'3)Target &amp; Cal'!$B12)</f>
        <v>0</v>
      </c>
      <c r="Z12" s="117">
        <f>SUMIFS(Actual!M:M,Actual!$A:$A,'3)Target &amp; Cal'!$A12,Actual!$B:$B,'3)Target &amp; Cal'!$B12)</f>
        <v>0</v>
      </c>
      <c r="AA12" s="117">
        <f>SUMIFS(Actual!N:N,Actual!$A:$A,'3)Target &amp; Cal'!$A12,Actual!$B:$B,'3)Target &amp; Cal'!$B12)</f>
        <v>0</v>
      </c>
      <c r="AB12" s="123">
        <f>IFERROR(IF(VLOOKUP($B12,Shortage!$A:$M,AB$2,FALSE)="Shortage",1,IFERROR(ROUND(P12/D12,4),0)),IFERROR(ROUND(P12/D12,4),0))</f>
        <v>1.0452999999999999</v>
      </c>
      <c r="AC12" s="123">
        <f>IFERROR(IF(VLOOKUP($B12,Shortage!$A:$M,AC$2,FALSE)="Shortage",1,IFERROR(ROUND(Q12/E12,4),0)),IFERROR(ROUND(Q12/E12,4),0))</f>
        <v>0.13289999999999999</v>
      </c>
      <c r="AD12" s="123">
        <f>IFERROR(IF(VLOOKUP($B12,Shortage!$A:$M,AD$2,FALSE)="Shortage",1,IFERROR(ROUND(R12/F12,4),0)),IFERROR(ROUND(R12/F12,4),0))</f>
        <v>0</v>
      </c>
      <c r="AE12" s="123">
        <f>IFERROR(IF(VLOOKUP($B12,Shortage!$A:$M,AE$2,FALSE)="Shortage",1,IFERROR(ROUND(S12/G12,4),0)),IFERROR(ROUND(S12/G12,4),0))</f>
        <v>0</v>
      </c>
      <c r="AF12" s="123">
        <f>IFERROR(IF(VLOOKUP($B12,Shortage!$A:$M,AF$2,FALSE)="Shortage",1,IFERROR(ROUND(T12/H12,4),0)),IFERROR(ROUND(T12/H12,4),0))</f>
        <v>0</v>
      </c>
      <c r="AG12" s="123">
        <f>IFERROR(IF(VLOOKUP($B12,Shortage!$A:$M,AG$2,FALSE)="Shortage",1,IFERROR(ROUND(U12/I12,4),0)),IFERROR(ROUND(U12/I12,4),0))</f>
        <v>0</v>
      </c>
      <c r="AH12" s="123">
        <f>IFERROR(IF(VLOOKUP($B12,Shortage!$A:$M,AH$2,FALSE)="Shortage",1,IFERROR(ROUND(V12/J12,4),0)),IFERROR(ROUND(V12/J12,4),0))</f>
        <v>0</v>
      </c>
      <c r="AI12" s="123">
        <f>IFERROR(IF(VLOOKUP($B12,Shortage!$A:$M,AI$2,FALSE)="Shortage",1,IFERROR(ROUND(W12/K12,4),0)),IFERROR(ROUND(W12/K12,4),0))</f>
        <v>0</v>
      </c>
      <c r="AJ12" s="123">
        <f>IFERROR(IF(VLOOKUP($B12,Shortage!$A:$M,AP$2,FALSE)="Shortage",1,IFERROR(ROUND(X12/L12,4),0)),IFERROR(ROUND(X12/L12,4),0))</f>
        <v>0</v>
      </c>
      <c r="AK12" s="123">
        <f>IFERROR(IF(VLOOKUP($B12,Shortage!$A:$M,AK$2,FALSE)="Shortage",1,IFERROR(ROUND(Y12/M12,4),0)),IFERROR(ROUND(Y12/M12,4),0))</f>
        <v>0</v>
      </c>
      <c r="AL12" s="123">
        <f>IFERROR(IF(VLOOKUP($B12,Shortage!$A:$M,AL$2,FALSE)="Shortage",1,IFERROR(ROUND(Z12/N12,4),0)),IFERROR(ROUND(Z12/N12,4),0))</f>
        <v>0</v>
      </c>
      <c r="AM12" s="123">
        <f>IFERROR(IF(VLOOKUP($B12,Shortage!$A:$M,AM$2,FALSE)="Shortage",1,IFERROR(ROUND(AA12/O12,4),0)),IFERROR(ROUND(AA12/O12,4),0))</f>
        <v>0</v>
      </c>
      <c r="AN12" s="337">
        <f>IFERROR(IF($C12="Top WS",VLOOKUP("GOAL",'2) หลักการคำนวน Table'!$D$4:$M$4,HLOOKUP(AB12,'2) หลักการคำนวน Table'!$D$1:$M$5,5,TRUE),0),
IF($C12="WS SF",VLOOKUP("GOAL",'2) หลักการคำนวน Table'!$D$32:$M$32,HLOOKUP(AB12,'2) หลักการคำนวน Table'!$D$1:$M$5,5,TRUE),0),
IF($C12="WS WH",VLOOKUP("GOAL",'2) หลักการคำนวน Table'!$D$62:$M$62,HLOOKUP(AB12,'2) หลักการคำนวน Table'!$D$1:$M$5,5,TRUE),0),
IF($C12="SF WH",VLOOKUP("GOAL",'2) หลักการคำนวน Table'!$D$92:$M$92,HLOOKUP(AB12,'2) หลักการคำนวน Table'!$D$1:$M$5,5,TRUE),0))))),0)</f>
        <v>1.06</v>
      </c>
      <c r="AO12" s="232">
        <f>IFERROR(IF($C12="Top WS",VLOOKUP("GOAL",'2) หลักการคำนวน Table'!$D$4:$M$4,HLOOKUP(AC12,'2) หลักการคำนวน Table'!$D$1:$M$5,5,TRUE),0),
IF($C12="WS SF",VLOOKUP("GOAL",'2) หลักการคำนวน Table'!$D$32:$M$32,HLOOKUP(AC12,'2) หลักการคำนวน Table'!$D$1:$M$5,5,TRUE),0),
IF($C12="WS WH",VLOOKUP("GOAL",'2) หลักการคำนวน Table'!$D$62:$M$62,HLOOKUP(AC12,'2) หลักการคำนวน Table'!$D$1:$M$5,5,TRUE),0),
IF($C12="SF WH",VLOOKUP("GOAL",'2) หลักการคำนวน Table'!$D$92:$M$92,HLOOKUP(AC12,'2) หลักการคำนวน Table'!$D$1:$M$5,5,TRUE),0))))),0)</f>
        <v>0.9</v>
      </c>
      <c r="AP12" s="232">
        <f>IFERROR(IF($C12="Top WS",VLOOKUP("GOAL",'2) หลักการคำนวน Table'!$D$4:$M$4,HLOOKUP(AD12,'2) หลักการคำนวน Table'!$D$1:$M$5,5,TRUE),0),
IF($C12="WS SF",VLOOKUP("GOAL",'2) หลักการคำนวน Table'!$D$32:$M$32,HLOOKUP(AD12,'2) หลักการคำนวน Table'!$D$1:$M$5,5,TRUE),0),
IF($C12="WS WH",VLOOKUP("GOAL",'2) หลักการคำนวน Table'!$D$62:$M$62,HLOOKUP(AD12,'2) หลักการคำนวน Table'!$D$1:$M$5,5,TRUE),0),
IF($C12="SF WH",VLOOKUP("GOAL",'2) หลักการคำนวน Table'!$D$92:$M$92,HLOOKUP(AD12,'2) หลักการคำนวน Table'!$D$1:$M$5,5,TRUE),0))))),0)</f>
        <v>0.9</v>
      </c>
      <c r="AQ12" s="232">
        <f>IFERROR(IF($C12="Top WS",VLOOKUP("GOAL",'2) หลักการคำนวน Table'!$D$4:$M$4,HLOOKUP(AE12,'2) หลักการคำนวน Table'!$D$1:$M$5,5,TRUE),0),
IF($C12="WS SF",VLOOKUP("GOAL",'2) หลักการคำนวน Table'!$D$32:$M$32,HLOOKUP(AE12,'2) หลักการคำนวน Table'!$D$1:$M$5,5,TRUE),0),
IF($C12="WS WH",VLOOKUP("GOAL",'2) หลักการคำนวน Table'!$D$62:$M$62,HLOOKUP(AE12,'2) หลักการคำนวน Table'!$D$1:$M$5,5,TRUE),0),
IF($C12="SF WH",VLOOKUP("GOAL",'2) หลักการคำนวน Table'!$D$92:$M$92,HLOOKUP(AE12,'2) หลักการคำนวน Table'!$D$1:$M$5,5,TRUE),0))))),0)</f>
        <v>0.9</v>
      </c>
      <c r="AR12" s="232">
        <f>IFERROR(IF($C12="Top WS",VLOOKUP("GOAL",'2) หลักการคำนวน Table'!$D$4:$M$4,HLOOKUP(AF12,'2) หลักการคำนวน Table'!$D$1:$M$5,5,TRUE),0),
IF($C12="WS SF",VLOOKUP("GOAL",'2) หลักการคำนวน Table'!$D$32:$M$32,HLOOKUP(AF12,'2) หลักการคำนวน Table'!$D$1:$M$5,5,TRUE),0),
IF($C12="WS WH",VLOOKUP("GOAL",'2) หลักการคำนวน Table'!$D$62:$M$62,HLOOKUP(AF12,'2) หลักการคำนวน Table'!$D$1:$M$5,5,TRUE),0),
IF($C12="SF WH",VLOOKUP("GOAL",'2) หลักการคำนวน Table'!$D$92:$M$92,HLOOKUP(AF12,'2) หลักการคำนวน Table'!$D$1:$M$5,5,TRUE),0))))),0)</f>
        <v>0.9</v>
      </c>
      <c r="AS12" s="232">
        <f>IFERROR(IF($C12="Top WS",VLOOKUP("GOAL",'2) หลักการคำนวน Table'!$D$4:$M$4,HLOOKUP(AG12,'2) หลักการคำนวน Table'!$D$1:$M$5,5,TRUE),0),
IF($C12="WS SF",VLOOKUP("GOAL",'2) หลักการคำนวน Table'!$D$32:$M$32,HLOOKUP(AG12,'2) หลักการคำนวน Table'!$D$1:$M$5,5,TRUE),0),
IF($C12="WS WH",VLOOKUP("GOAL",'2) หลักการคำนวน Table'!$D$62:$M$62,HLOOKUP(AG12,'2) หลักการคำนวน Table'!$D$1:$M$5,5,TRUE),0),
IF($C12="SF WH",VLOOKUP("GOAL",'2) หลักการคำนวน Table'!$D$92:$M$92,HLOOKUP(AG12,'2) หลักการคำนวน Table'!$D$1:$M$5,5,TRUE),0))))),0)</f>
        <v>0.9</v>
      </c>
      <c r="AT12" s="232">
        <f>IFERROR(IF($C12="Top WS",VLOOKUP("GOAL",'2) หลักการคำนวน Table'!$D$4:$M$4,HLOOKUP(AH12,'2) หลักการคำนวน Table'!$D$1:$M$5,5,TRUE),0),
IF($C12="WS SF",VLOOKUP("GOAL",'2) หลักการคำนวน Table'!$D$32:$M$32,HLOOKUP(AH12,'2) หลักการคำนวน Table'!$D$1:$M$5,5,TRUE),0),
IF($C12="WS WH",VLOOKUP("GOAL",'2) หลักการคำนวน Table'!$D$62:$M$62,HLOOKUP(AH12,'2) หลักการคำนวน Table'!$D$1:$M$5,5,TRUE),0),
IF($C12="SF WH",VLOOKUP("GOAL",'2) หลักการคำนวน Table'!$D$92:$M$92,HLOOKUP(AH12,'2) หลักการคำนวน Table'!$D$1:$M$5,5,TRUE),0))))),0)</f>
        <v>0.9</v>
      </c>
      <c r="AU12" s="232">
        <f>IFERROR(IF($C12="Top WS",VLOOKUP("GOAL",'2) หลักการคำนวน Table'!$D$4:$M$4,HLOOKUP(AI12,'2) หลักการคำนวน Table'!$D$1:$M$5,5,TRUE),0),
IF($C12="WS SF",VLOOKUP("GOAL",'2) หลักการคำนวน Table'!$D$32:$M$32,HLOOKUP(AI12,'2) หลักการคำนวน Table'!$D$1:$M$5,5,TRUE),0),
IF($C12="WS WH",VLOOKUP("GOAL",'2) หลักการคำนวน Table'!$D$62:$M$62,HLOOKUP(AI12,'2) หลักการคำนวน Table'!$D$1:$M$5,5,TRUE),0),
IF($C12="SF WH",VLOOKUP("GOAL",'2) หลักการคำนวน Table'!$D$92:$M$92,HLOOKUP(AI12,'2) หลักการคำนวน Table'!$D$1:$M$5,5,TRUE),0))))),0)</f>
        <v>0.9</v>
      </c>
      <c r="AV12" s="232">
        <f>IFERROR(IF($C12="Top WS",VLOOKUP("GOAL",'2) หลักการคำนวน Table'!$D$4:$M$4,HLOOKUP(AP12,'2) หลักการคำนวน Table'!$D$1:$M$5,5,TRUE),0),
IF($C12="WS SF",VLOOKUP("GOAL",'2) หลักการคำนวน Table'!$D$32:$M$32,HLOOKUP(AP12,'2) หลักการคำนวน Table'!$D$1:$M$5,5,TRUE),0),
IF($C12="WS WH",VLOOKUP("GOAL",'2) หลักการคำนวน Table'!$D$62:$M$62,HLOOKUP(AP12,'2) หลักการคำนวน Table'!$D$1:$M$5,5,TRUE),0),
IF($C12="SF WH",VLOOKUP("GOAL",'2) หลักการคำนวน Table'!$D$92:$M$92,HLOOKUP(AP12,'2) หลักการคำนวน Table'!$D$1:$M$5,5,TRUE),0))))),0)</f>
        <v>0.9</v>
      </c>
      <c r="AW12" s="232">
        <f>IFERROR(IF($C12="Top WS",VLOOKUP("GOAL",'2) หลักการคำนวน Table'!$D$4:$M$4,HLOOKUP(AK12,'2) หลักการคำนวน Table'!$D$1:$M$5,5,TRUE),0),
IF($C12="WS SF",VLOOKUP("GOAL",'2) หลักการคำนวน Table'!$D$32:$M$32,HLOOKUP(AK12,'2) หลักการคำนวน Table'!$D$1:$M$5,5,TRUE),0),
IF($C12="WS WH",VLOOKUP("GOAL",'2) หลักการคำนวน Table'!$D$62:$M$62,HLOOKUP(AK12,'2) หลักการคำนวน Table'!$D$1:$M$5,5,TRUE),0),
IF($C12="SF WH",VLOOKUP("GOAL",'2) หลักการคำนวน Table'!$D$92:$M$92,HLOOKUP(AK12,'2) หลักการคำนวน Table'!$D$1:$M$5,5,TRUE),0))))),0)</f>
        <v>0.9</v>
      </c>
      <c r="AX12" s="232">
        <f>IFERROR(IF($C12="Top WS",VLOOKUP("GOAL",'2) หลักการคำนวน Table'!$D$4:$M$4,HLOOKUP(AL12,'2) หลักการคำนวน Table'!$D$1:$M$5,5,TRUE),0),
IF($C12="WS SF",VLOOKUP("GOAL",'2) หลักการคำนวน Table'!$D$32:$M$32,HLOOKUP(AL12,'2) หลักการคำนวน Table'!$D$1:$M$5,5,TRUE),0),
IF($C12="WS WH",VLOOKUP("GOAL",'2) หลักการคำนวน Table'!$D$62:$M$62,HLOOKUP(AL12,'2) หลักการคำนวน Table'!$D$1:$M$5,5,TRUE),0),
IF($C12="SF WH",VLOOKUP("GOAL",'2) หลักการคำนวน Table'!$D$92:$M$92,HLOOKUP(AL12,'2) หลักการคำนวน Table'!$D$1:$M$5,5,TRUE),0))))),0)</f>
        <v>0.9</v>
      </c>
      <c r="AY12" s="232">
        <f>IFERROR(IF($C12="Top WS",VLOOKUP("GOAL",'2) หลักการคำนวน Table'!$D$4:$M$4,HLOOKUP(AM12,'2) หลักการคำนวน Table'!$D$1:$M$5,5,TRUE),0),
IF($C12="WS SF",VLOOKUP("GOAL",'2) หลักการคำนวน Table'!$D$32:$M$32,HLOOKUP(AM12,'2) หลักการคำนวน Table'!$D$1:$M$5,5,TRUE),0),
IF($C12="WS WH",VLOOKUP("GOAL",'2) หลักการคำนวน Table'!$D$62:$M$62,HLOOKUP(AM12,'2) หลักการคำนวน Table'!$D$1:$M$5,5,TRUE),0),
IF($C12="SF WH",VLOOKUP("GOAL",'2) หลักการคำนวน Table'!$D$92:$M$92,HLOOKUP(AM12,'2) หลักการคำนวน Table'!$D$1:$M$5,5,TRUE),0))))),0)</f>
        <v>0.9</v>
      </c>
      <c r="AZ12" s="167">
        <f>IFERROR(IF($C12="Top WS",VLOOKUP($B12,'2) หลักการคำนวน Table'!$D$5:$M$20,HLOOKUP(AB12,'2) หลักการคำนวน Table'!$D$1:$M$5,5,TRUE),0),
IF($C12="WS SF",VLOOKUP($B12,'2) หลักการคำนวน Table'!$D$33:$M$48,HLOOKUP(AB12,'2) หลักการคำนวน Table'!$D$1:$M$5,5,TRUE),0),
IF($C12="WS WH",VLOOKUP($B12,'2) หลักการคำนวน Table'!$D$63:$M$78,HLOOKUP(AB12,'2) หลักการคำนวน Table'!$D$1:$M$5,5,TRUE),0),
IF($C12="SF WH",VLOOKUP($B12,'2) หลักการคำนวน Table'!$D$93:$M$108,HLOOKUP(AB12,'2) หลักการคำนวน Table'!$D$1:$M$5,5,TRUE),0))))),0)</f>
        <v>216</v>
      </c>
      <c r="BA12" s="167">
        <f>IFERROR(IF($C12="Top WS",VLOOKUP($B12,'2) หลักการคำนวน Table'!$D$5:$M$20,HLOOKUP(AC12,'2) หลักการคำนวน Table'!$D$1:$M$5,5,TRUE),0),
IF($C12="WS SF",VLOOKUP($B12,'2) หลักการคำนวน Table'!$D$33:$M$48,HLOOKUP(AC12,'2) หลักการคำนวน Table'!$D$1:$M$5,5,TRUE),0),
IF($C12="WS WH",VLOOKUP($B12,'2) หลักการคำนวน Table'!$D$63:$M$78,HLOOKUP(AC12,'2) หลักการคำนวน Table'!$D$1:$M$5,5,TRUE),0),
IF($C12="SF WH",VLOOKUP($B12,'2) หลักการคำนวน Table'!$D$93:$M$108,HLOOKUP(AC12,'2) หลักการคำนวน Table'!$D$1:$M$5,5,TRUE),0))))),0)</f>
        <v>180</v>
      </c>
      <c r="BB12" s="167">
        <f>IFERROR(IF($C12="Top WS",VLOOKUP($B12,'2) หลักการคำนวน Table'!$D$5:$M$20,HLOOKUP(AD12,'2) หลักการคำนวน Table'!$D$1:$M$5,5,TRUE),0),
IF($C12="WS SF",VLOOKUP($B12,'2) หลักการคำนวน Table'!$D$33:$M$48,HLOOKUP(AD12,'2) หลักการคำนวน Table'!$D$1:$M$5,5,TRUE),0),
IF($C12="WS WH",VLOOKUP($B12,'2) หลักการคำนวน Table'!$D$63:$M$78,HLOOKUP(AD12,'2) หลักการคำนวน Table'!$D$1:$M$5,5,TRUE),0),
IF($C12="SF WH",VLOOKUP($B12,'2) หลักการคำนวน Table'!$D$93:$M$108,HLOOKUP(AD12,'2) หลักการคำนวน Table'!$D$1:$M$5,5,TRUE),0))))),0)</f>
        <v>180</v>
      </c>
      <c r="BC12" s="167">
        <f>IFERROR(IF($C12="Top WS",VLOOKUP($B12,'2) หลักการคำนวน Table'!$D$5:$M$20,HLOOKUP(AE12,'2) หลักการคำนวน Table'!$D$1:$M$5,5,TRUE),0),
IF($C12="WS SF",VLOOKUP($B12,'2) หลักการคำนวน Table'!$D$33:$M$48,HLOOKUP(AE12,'2) หลักการคำนวน Table'!$D$1:$M$5,5,TRUE),0),
IF($C12="WS WH",VLOOKUP($B12,'2) หลักการคำนวน Table'!$D$63:$M$78,HLOOKUP(AE12,'2) หลักการคำนวน Table'!$D$1:$M$5,5,TRUE),0),
IF($C12="SF WH",VLOOKUP($B12,'2) หลักการคำนวน Table'!$D$93:$M$108,HLOOKUP(AE12,'2) หลักการคำนวน Table'!$D$1:$M$5,5,TRUE),0))))),0)</f>
        <v>180</v>
      </c>
      <c r="BD12" s="167">
        <f>IFERROR(IF($C12="Top WS",VLOOKUP($B12,'2) หลักการคำนวน Table'!$D$5:$M$20,HLOOKUP(AF12,'2) หลักการคำนวน Table'!$D$1:$M$5,5,TRUE),0),
IF($C12="WS SF",VLOOKUP($B12,'2) หลักการคำนวน Table'!$D$33:$M$48,HLOOKUP(AF12,'2) หลักการคำนวน Table'!$D$1:$M$5,5,TRUE),0),
IF($C12="WS WH",VLOOKUP($B12,'2) หลักการคำนวน Table'!$D$63:$M$78,HLOOKUP(AF12,'2) หลักการคำนวน Table'!$D$1:$M$5,5,TRUE),0),
IF($C12="SF WH",VLOOKUP($B12,'2) หลักการคำนวน Table'!$D$93:$M$108,HLOOKUP(AF12,'2) หลักการคำนวน Table'!$D$1:$M$5,5,TRUE),0))))),0)</f>
        <v>180</v>
      </c>
      <c r="BE12" s="167">
        <f>IFERROR(IF($C12="Top WS",VLOOKUP($B12,'2) หลักการคำนวน Table'!$D$5:$M$20,HLOOKUP(AG12,'2) หลักการคำนวน Table'!$D$1:$M$5,5,TRUE),0),
IF($C12="WS SF",VLOOKUP($B12,'2) หลักการคำนวน Table'!$D$33:$M$48,HLOOKUP(AG12,'2) หลักการคำนวน Table'!$D$1:$M$5,5,TRUE),0),
IF($C12="WS WH",VLOOKUP($B12,'2) หลักการคำนวน Table'!$D$63:$M$78,HLOOKUP(AG12,'2) หลักการคำนวน Table'!$D$1:$M$5,5,TRUE),0),
IF($C12="SF WH",VLOOKUP($B12,'2) หลักการคำนวน Table'!$D$93:$M$108,HLOOKUP(AG12,'2) หลักการคำนวน Table'!$D$1:$M$5,5,TRUE),0))))),0)</f>
        <v>180</v>
      </c>
      <c r="BF12" s="167">
        <f>IFERROR(IF($C12="Top WS",VLOOKUP($B12,'2) หลักการคำนวน Table'!$D$5:$M$20,HLOOKUP(AH12,'2) หลักการคำนวน Table'!$D$1:$M$5,5,TRUE),0),
IF($C12="WS SF",VLOOKUP($B12,'2) หลักการคำนวน Table'!$D$33:$M$48,HLOOKUP(AH12,'2) หลักการคำนวน Table'!$D$1:$M$5,5,TRUE),0),
IF($C12="WS WH",VLOOKUP($B12,'2) หลักการคำนวน Table'!$D$63:$M$78,HLOOKUP(AH12,'2) หลักการคำนวน Table'!$D$1:$M$5,5,TRUE),0),
IF($C12="SF WH",VLOOKUP($B12,'2) หลักการคำนวน Table'!$D$93:$M$108,HLOOKUP(AH12,'2) หลักการคำนวน Table'!$D$1:$M$5,5,TRUE),0))))),0)</f>
        <v>180</v>
      </c>
      <c r="BG12" s="167">
        <f>IFERROR(IF($C12="Top WS",VLOOKUP($B12,'2) หลักการคำนวน Table'!$D$5:$M$20,HLOOKUP(AI12,'2) หลักการคำนวน Table'!$D$1:$M$5,5,TRUE),0),
IF($C12="WS SF",VLOOKUP($B12,'2) หลักการคำนวน Table'!$D$33:$M$48,HLOOKUP(AI12,'2) หลักการคำนวน Table'!$D$1:$M$5,5,TRUE),0),
IF($C12="WS WH",VLOOKUP($B12,'2) หลักการคำนวน Table'!$D$63:$M$78,HLOOKUP(AI12,'2) หลักการคำนวน Table'!$D$1:$M$5,5,TRUE),0),
IF($C12="SF WH",VLOOKUP($B12,'2) หลักการคำนวน Table'!$D$93:$M$108,HLOOKUP(AI12,'2) หลักการคำนวน Table'!$D$1:$M$5,5,TRUE),0))))),0)</f>
        <v>180</v>
      </c>
      <c r="BH12" s="167">
        <f>IFERROR(IF($C12="Top WS",VLOOKUP($B12,'2) หลักการคำนวน Table'!$D$5:$M$20,HLOOKUP(AP12,'2) หลักการคำนวน Table'!$D$1:$M$5,5,TRUE),0),
IF($C12="WS SF",VLOOKUP($B12,'2) หลักการคำนวน Table'!$D$33:$M$48,HLOOKUP(AP12,'2) หลักการคำนวน Table'!$D$1:$M$5,5,TRUE),0),
IF($C12="WS WH",VLOOKUP($B12,'2) หลักการคำนวน Table'!$D$63:$M$78,HLOOKUP(AP12,'2) หลักการคำนวน Table'!$D$1:$M$5,5,TRUE),0),
IF($C12="SF WH",VLOOKUP($B12,'2) หลักการคำนวน Table'!$D$93:$M$108,HLOOKUP(AP12,'2) หลักการคำนวน Table'!$D$1:$M$5,5,TRUE),0))))),0)</f>
        <v>180</v>
      </c>
      <c r="BI12" s="167">
        <f>IFERROR(IF($C12="Top WS",VLOOKUP($B12,'2) หลักการคำนวน Table'!$D$5:$M$20,HLOOKUP(AK12,'2) หลักการคำนวน Table'!$D$1:$M$5,5,TRUE),0),
IF($C12="WS SF",VLOOKUP($B12,'2) หลักการคำนวน Table'!$D$33:$M$48,HLOOKUP(AK12,'2) หลักการคำนวน Table'!$D$1:$M$5,5,TRUE),0),
IF($C12="WS WH",VLOOKUP($B12,'2) หลักการคำนวน Table'!$D$63:$M$78,HLOOKUP(AK12,'2) หลักการคำนวน Table'!$D$1:$M$5,5,TRUE),0),
IF($C12="SF WH",VLOOKUP($B12,'2) หลักการคำนวน Table'!$D$93:$M$108,HLOOKUP(AK12,'2) หลักการคำนวน Table'!$D$1:$M$5,5,TRUE),0))))),0)</f>
        <v>180</v>
      </c>
      <c r="BJ12" s="167">
        <f>IFERROR(IF($C12="Top WS",VLOOKUP($B12,'2) หลักการคำนวน Table'!$D$5:$M$20,HLOOKUP(AL12,'2) หลักการคำนวน Table'!$D$1:$M$5,5,TRUE),0),
IF($C12="WS SF",VLOOKUP($B12,'2) หลักการคำนวน Table'!$D$33:$M$48,HLOOKUP(AL12,'2) หลักการคำนวน Table'!$D$1:$M$5,5,TRUE),0),
IF($C12="WS WH",VLOOKUP($B12,'2) หลักการคำนวน Table'!$D$63:$M$78,HLOOKUP(AL12,'2) หลักการคำนวน Table'!$D$1:$M$5,5,TRUE),0),
IF($C12="SF WH",VLOOKUP($B12,'2) หลักการคำนวน Table'!$D$93:$M$108,HLOOKUP(AL12,'2) หลักการคำนวน Table'!$D$1:$M$5,5,TRUE),0))))),0)</f>
        <v>180</v>
      </c>
      <c r="BK12" s="167">
        <f>IFERROR(IF($C12="Top WS",VLOOKUP($B12,'2) หลักการคำนวน Table'!$D$5:$M$20,HLOOKUP(AM12,'2) หลักการคำนวน Table'!$D$1:$M$5,5,TRUE),0),
IF($C12="WS SF",VLOOKUP($B12,'2) หลักการคำนวน Table'!$D$33:$M$48,HLOOKUP(AM12,'2) หลักการคำนวน Table'!$D$1:$M$5,5,TRUE),0),
IF($C12="WS WH",VLOOKUP($B12,'2) หลักการคำนวน Table'!$D$63:$M$78,HLOOKUP(AM12,'2) หลักการคำนวน Table'!$D$1:$M$5,5,TRUE),0),
IF($C12="SF WH",VLOOKUP($B12,'2) หลักการคำนวน Table'!$D$93:$M$108,HLOOKUP(AM12,'2) หลักการคำนวน Table'!$D$1:$M$5,5,TRUE),0))))),0)</f>
        <v>180</v>
      </c>
      <c r="BM12" s="119">
        <f>VLOOKUP(VLOOKUP(A12,ASTBase!E:S,13,FALSE),ASTBase!F:P,11,FALSE)</f>
        <v>160000</v>
      </c>
      <c r="BN12" s="196" cm="1">
        <f t="array" ref="BN12">INDEX(AN12:AY12,,Period!$D$2)</f>
        <v>0.9</v>
      </c>
    </row>
    <row r="13" spans="1:66" x14ac:dyDescent="0.25">
      <c r="A13" s="117">
        <v>160001</v>
      </c>
      <c r="B13" s="117" t="s">
        <v>405</v>
      </c>
      <c r="C13" s="117" t="s">
        <v>178</v>
      </c>
      <c r="D13" s="118">
        <v>260</v>
      </c>
      <c r="E13" s="118">
        <v>247</v>
      </c>
      <c r="F13" s="118">
        <v>259</v>
      </c>
      <c r="G13" s="118">
        <v>176</v>
      </c>
      <c r="H13" s="118">
        <v>149</v>
      </c>
      <c r="I13" s="118">
        <v>259</v>
      </c>
      <c r="J13" s="118">
        <v>183</v>
      </c>
      <c r="K13" s="118">
        <v>191</v>
      </c>
      <c r="L13" s="118">
        <v>130</v>
      </c>
      <c r="M13" s="118">
        <v>176</v>
      </c>
      <c r="N13" s="118">
        <v>247</v>
      </c>
      <c r="O13" s="118">
        <v>240</v>
      </c>
      <c r="P13" s="117">
        <f>SUMIFS(Actual!C:C,Actual!$A:$A,'3)Target &amp; Cal'!$A13,Actual!$B:$B,'3)Target &amp; Cal'!$B13)</f>
        <v>29.700000000000003</v>
      </c>
      <c r="Q13" s="117">
        <f>SUMIFS(Actual!D:D,Actual!$A:$A,'3)Target &amp; Cal'!$A13,Actual!$B:$B,'3)Target &amp; Cal'!$B13)</f>
        <v>98.639999999999986</v>
      </c>
      <c r="R13" s="117">
        <f>SUMIFS(Actual!E:E,Actual!$A:$A,'3)Target &amp; Cal'!$A13,Actual!$B:$B,'3)Target &amp; Cal'!$B13)</f>
        <v>0</v>
      </c>
      <c r="S13" s="117">
        <f>SUMIFS(Actual!F:F,Actual!$A:$A,'3)Target &amp; Cal'!$A13,Actual!$B:$B,'3)Target &amp; Cal'!$B13)</f>
        <v>0</v>
      </c>
      <c r="T13" s="117">
        <f>SUMIFS(Actual!G:G,Actual!$A:$A,'3)Target &amp; Cal'!$A13,Actual!$B:$B,'3)Target &amp; Cal'!$B13)</f>
        <v>0</v>
      </c>
      <c r="U13" s="117">
        <f>SUMIFS(Actual!H:H,Actual!$A:$A,'3)Target &amp; Cal'!$A13,Actual!$B:$B,'3)Target &amp; Cal'!$B13)</f>
        <v>0</v>
      </c>
      <c r="V13" s="117">
        <f>SUMIFS(Actual!I:I,Actual!$A:$A,'3)Target &amp; Cal'!$A13,Actual!$B:$B,'3)Target &amp; Cal'!$B13)</f>
        <v>0</v>
      </c>
      <c r="W13" s="117">
        <f>SUMIFS(Actual!J:J,Actual!$A:$A,'3)Target &amp; Cal'!$A13,Actual!$B:$B,'3)Target &amp; Cal'!$B13)</f>
        <v>0</v>
      </c>
      <c r="X13" s="117">
        <f>SUMIFS(Actual!K:K,Actual!$A:$A,'3)Target &amp; Cal'!$A13,Actual!$B:$B,'3)Target &amp; Cal'!$B13)</f>
        <v>0</v>
      </c>
      <c r="Y13" s="117">
        <f>SUMIFS(Actual!L:L,Actual!$A:$A,'3)Target &amp; Cal'!$A13,Actual!$B:$B,'3)Target &amp; Cal'!$B13)</f>
        <v>0</v>
      </c>
      <c r="Z13" s="117">
        <f>SUMIFS(Actual!M:M,Actual!$A:$A,'3)Target &amp; Cal'!$A13,Actual!$B:$B,'3)Target &amp; Cal'!$B13)</f>
        <v>0</v>
      </c>
      <c r="AA13" s="117">
        <f>SUMIFS(Actual!N:N,Actual!$A:$A,'3)Target &amp; Cal'!$A13,Actual!$B:$B,'3)Target &amp; Cal'!$B13)</f>
        <v>0</v>
      </c>
      <c r="AB13" s="123">
        <f>IFERROR(IF(VLOOKUP($B13,Shortage!$A:$M,AB$2,FALSE)="Shortage",1,IFERROR(ROUND(P13/D13,4),0)),IFERROR(ROUND(P13/D13,4),0))</f>
        <v>0.1142</v>
      </c>
      <c r="AC13" s="123">
        <f>IFERROR(IF(VLOOKUP($B13,Shortage!$A:$M,AC$2,FALSE)="Shortage",1,IFERROR(ROUND(Q13/E13,4),0)),IFERROR(ROUND(Q13/E13,4),0))</f>
        <v>0.39939999999999998</v>
      </c>
      <c r="AD13" s="123">
        <f>IFERROR(IF(VLOOKUP($B13,Shortage!$A:$M,AD$2,FALSE)="Shortage",1,IFERROR(ROUND(R13/F13,4),0)),IFERROR(ROUND(R13/F13,4),0))</f>
        <v>0</v>
      </c>
      <c r="AE13" s="123">
        <f>IFERROR(IF(VLOOKUP($B13,Shortage!$A:$M,AE$2,FALSE)="Shortage",1,IFERROR(ROUND(S13/G13,4),0)),IFERROR(ROUND(S13/G13,4),0))</f>
        <v>0</v>
      </c>
      <c r="AF13" s="123">
        <f>IFERROR(IF(VLOOKUP($B13,Shortage!$A:$M,AF$2,FALSE)="Shortage",1,IFERROR(ROUND(T13/H13,4),0)),IFERROR(ROUND(T13/H13,4),0))</f>
        <v>0</v>
      </c>
      <c r="AG13" s="123">
        <f>IFERROR(IF(VLOOKUP($B13,Shortage!$A:$M,AG$2,FALSE)="Shortage",1,IFERROR(ROUND(U13/I13,4),0)),IFERROR(ROUND(U13/I13,4),0))</f>
        <v>0</v>
      </c>
      <c r="AH13" s="123">
        <f>IFERROR(IF(VLOOKUP($B13,Shortage!$A:$M,AH$2,FALSE)="Shortage",1,IFERROR(ROUND(V13/J13,4),0)),IFERROR(ROUND(V13/J13,4),0))</f>
        <v>0</v>
      </c>
      <c r="AI13" s="123">
        <f>IFERROR(IF(VLOOKUP($B13,Shortage!$A:$M,AI$2,FALSE)="Shortage",1,IFERROR(ROUND(W13/K13,4),0)),IFERROR(ROUND(W13/K13,4),0))</f>
        <v>0</v>
      </c>
      <c r="AJ13" s="123">
        <f>IFERROR(IF(VLOOKUP($B13,Shortage!$A:$M,AP$2,FALSE)="Shortage",1,IFERROR(ROUND(X13/L13,4),0)),IFERROR(ROUND(X13/L13,4),0))</f>
        <v>0</v>
      </c>
      <c r="AK13" s="123">
        <f>IFERROR(IF(VLOOKUP($B13,Shortage!$A:$M,AK$2,FALSE)="Shortage",1,IFERROR(ROUND(Y13/M13,4),0)),IFERROR(ROUND(Y13/M13,4),0))</f>
        <v>0</v>
      </c>
      <c r="AL13" s="123">
        <f>IFERROR(IF(VLOOKUP($B13,Shortage!$A:$M,AL$2,FALSE)="Shortage",1,IFERROR(ROUND(Z13/N13,4),0)),IFERROR(ROUND(Z13/N13,4),0))</f>
        <v>0</v>
      </c>
      <c r="AM13" s="123">
        <f>IFERROR(IF(VLOOKUP($B13,Shortage!$A:$M,AM$2,FALSE)="Shortage",1,IFERROR(ROUND(AA13/O13,4),0)),IFERROR(ROUND(AA13/O13,4),0))</f>
        <v>0</v>
      </c>
      <c r="AN13" s="337">
        <f>IFERROR(IF($C13="Top WS",VLOOKUP("GOAL",'2) หลักการคำนวน Table'!$D$4:$M$4,HLOOKUP(AB13,'2) หลักการคำนวน Table'!$D$1:$M$5,5,TRUE),0),
IF($C13="WS SF",VLOOKUP("GOAL",'2) หลักการคำนวน Table'!$D$32:$M$32,HLOOKUP(AB13,'2) หลักการคำนวน Table'!$D$1:$M$5,5,TRUE),0),
IF($C13="WS WH",VLOOKUP("GOAL",'2) หลักการคำนวน Table'!$D$62:$M$62,HLOOKUP(AB13,'2) หลักการคำนวน Table'!$D$1:$M$5,5,TRUE),0),
IF($C13="SF WH",VLOOKUP("GOAL",'2) หลักการคำนวน Table'!$D$92:$M$92,HLOOKUP(AB13,'2) หลักการคำนวน Table'!$D$1:$M$5,5,TRUE),0))))),0)</f>
        <v>0.9</v>
      </c>
      <c r="AO13" s="232">
        <f>IFERROR(IF($C13="Top WS",VLOOKUP("GOAL",'2) หลักการคำนวน Table'!$D$4:$M$4,HLOOKUP(AC13,'2) หลักการคำนวน Table'!$D$1:$M$5,5,TRUE),0),
IF($C13="WS SF",VLOOKUP("GOAL",'2) หลักการคำนวน Table'!$D$32:$M$32,HLOOKUP(AC13,'2) หลักการคำนวน Table'!$D$1:$M$5,5,TRUE),0),
IF($C13="WS WH",VLOOKUP("GOAL",'2) หลักการคำนวน Table'!$D$62:$M$62,HLOOKUP(AC13,'2) หลักการคำนวน Table'!$D$1:$M$5,5,TRUE),0),
IF($C13="SF WH",VLOOKUP("GOAL",'2) หลักการคำนวน Table'!$D$92:$M$92,HLOOKUP(AC13,'2) หลักการคำนวน Table'!$D$1:$M$5,5,TRUE),0))))),0)</f>
        <v>0.9</v>
      </c>
      <c r="AP13" s="232">
        <f>IFERROR(IF($C13="Top WS",VLOOKUP("GOAL",'2) หลักการคำนวน Table'!$D$4:$M$4,HLOOKUP(AD13,'2) หลักการคำนวน Table'!$D$1:$M$5,5,TRUE),0),
IF($C13="WS SF",VLOOKUP("GOAL",'2) หลักการคำนวน Table'!$D$32:$M$32,HLOOKUP(AD13,'2) หลักการคำนวน Table'!$D$1:$M$5,5,TRUE),0),
IF($C13="WS WH",VLOOKUP("GOAL",'2) หลักการคำนวน Table'!$D$62:$M$62,HLOOKUP(AD13,'2) หลักการคำนวน Table'!$D$1:$M$5,5,TRUE),0),
IF($C13="SF WH",VLOOKUP("GOAL",'2) หลักการคำนวน Table'!$D$92:$M$92,HLOOKUP(AD13,'2) หลักการคำนวน Table'!$D$1:$M$5,5,TRUE),0))))),0)</f>
        <v>0.9</v>
      </c>
      <c r="AQ13" s="232">
        <f>IFERROR(IF($C13="Top WS",VLOOKUP("GOAL",'2) หลักการคำนวน Table'!$D$4:$M$4,HLOOKUP(AE13,'2) หลักการคำนวน Table'!$D$1:$M$5,5,TRUE),0),
IF($C13="WS SF",VLOOKUP("GOAL",'2) หลักการคำนวน Table'!$D$32:$M$32,HLOOKUP(AE13,'2) หลักการคำนวน Table'!$D$1:$M$5,5,TRUE),0),
IF($C13="WS WH",VLOOKUP("GOAL",'2) หลักการคำนวน Table'!$D$62:$M$62,HLOOKUP(AE13,'2) หลักการคำนวน Table'!$D$1:$M$5,5,TRUE),0),
IF($C13="SF WH",VLOOKUP("GOAL",'2) หลักการคำนวน Table'!$D$92:$M$92,HLOOKUP(AE13,'2) หลักการคำนวน Table'!$D$1:$M$5,5,TRUE),0))))),0)</f>
        <v>0.9</v>
      </c>
      <c r="AR13" s="232">
        <f>IFERROR(IF($C13="Top WS",VLOOKUP("GOAL",'2) หลักการคำนวน Table'!$D$4:$M$4,HLOOKUP(AF13,'2) หลักการคำนวน Table'!$D$1:$M$5,5,TRUE),0),
IF($C13="WS SF",VLOOKUP("GOAL",'2) หลักการคำนวน Table'!$D$32:$M$32,HLOOKUP(AF13,'2) หลักการคำนวน Table'!$D$1:$M$5,5,TRUE),0),
IF($C13="WS WH",VLOOKUP("GOAL",'2) หลักการคำนวน Table'!$D$62:$M$62,HLOOKUP(AF13,'2) หลักการคำนวน Table'!$D$1:$M$5,5,TRUE),0),
IF($C13="SF WH",VLOOKUP("GOAL",'2) หลักการคำนวน Table'!$D$92:$M$92,HLOOKUP(AF13,'2) หลักการคำนวน Table'!$D$1:$M$5,5,TRUE),0))))),0)</f>
        <v>0.9</v>
      </c>
      <c r="AS13" s="232">
        <f>IFERROR(IF($C13="Top WS",VLOOKUP("GOAL",'2) หลักการคำนวน Table'!$D$4:$M$4,HLOOKUP(AG13,'2) หลักการคำนวน Table'!$D$1:$M$5,5,TRUE),0),
IF($C13="WS SF",VLOOKUP("GOAL",'2) หลักการคำนวน Table'!$D$32:$M$32,HLOOKUP(AG13,'2) หลักการคำนวน Table'!$D$1:$M$5,5,TRUE),0),
IF($C13="WS WH",VLOOKUP("GOAL",'2) หลักการคำนวน Table'!$D$62:$M$62,HLOOKUP(AG13,'2) หลักการคำนวน Table'!$D$1:$M$5,5,TRUE),0),
IF($C13="SF WH",VLOOKUP("GOAL",'2) หลักการคำนวน Table'!$D$92:$M$92,HLOOKUP(AG13,'2) หลักการคำนวน Table'!$D$1:$M$5,5,TRUE),0))))),0)</f>
        <v>0.9</v>
      </c>
      <c r="AT13" s="232">
        <f>IFERROR(IF($C13="Top WS",VLOOKUP("GOAL",'2) หลักการคำนวน Table'!$D$4:$M$4,HLOOKUP(AH13,'2) หลักการคำนวน Table'!$D$1:$M$5,5,TRUE),0),
IF($C13="WS SF",VLOOKUP("GOAL",'2) หลักการคำนวน Table'!$D$32:$M$32,HLOOKUP(AH13,'2) หลักการคำนวน Table'!$D$1:$M$5,5,TRUE),0),
IF($C13="WS WH",VLOOKUP("GOAL",'2) หลักการคำนวน Table'!$D$62:$M$62,HLOOKUP(AH13,'2) หลักการคำนวน Table'!$D$1:$M$5,5,TRUE),0),
IF($C13="SF WH",VLOOKUP("GOAL",'2) หลักการคำนวน Table'!$D$92:$M$92,HLOOKUP(AH13,'2) หลักการคำนวน Table'!$D$1:$M$5,5,TRUE),0))))),0)</f>
        <v>0.9</v>
      </c>
      <c r="AU13" s="232">
        <f>IFERROR(IF($C13="Top WS",VLOOKUP("GOAL",'2) หลักการคำนวน Table'!$D$4:$M$4,HLOOKUP(AI13,'2) หลักการคำนวน Table'!$D$1:$M$5,5,TRUE),0),
IF($C13="WS SF",VLOOKUP("GOAL",'2) หลักการคำนวน Table'!$D$32:$M$32,HLOOKUP(AI13,'2) หลักการคำนวน Table'!$D$1:$M$5,5,TRUE),0),
IF($C13="WS WH",VLOOKUP("GOAL",'2) หลักการคำนวน Table'!$D$62:$M$62,HLOOKUP(AI13,'2) หลักการคำนวน Table'!$D$1:$M$5,5,TRUE),0),
IF($C13="SF WH",VLOOKUP("GOAL",'2) หลักการคำนวน Table'!$D$92:$M$92,HLOOKUP(AI13,'2) หลักการคำนวน Table'!$D$1:$M$5,5,TRUE),0))))),0)</f>
        <v>0.9</v>
      </c>
      <c r="AV13" s="232">
        <f>IFERROR(IF($C13="Top WS",VLOOKUP("GOAL",'2) หลักการคำนวน Table'!$D$4:$M$4,HLOOKUP(AP13,'2) หลักการคำนวน Table'!$D$1:$M$5,5,TRUE),0),
IF($C13="WS SF",VLOOKUP("GOAL",'2) หลักการคำนวน Table'!$D$32:$M$32,HLOOKUP(AP13,'2) หลักการคำนวน Table'!$D$1:$M$5,5,TRUE),0),
IF($C13="WS WH",VLOOKUP("GOAL",'2) หลักการคำนวน Table'!$D$62:$M$62,HLOOKUP(AP13,'2) หลักการคำนวน Table'!$D$1:$M$5,5,TRUE),0),
IF($C13="SF WH",VLOOKUP("GOAL",'2) หลักการคำนวน Table'!$D$92:$M$92,HLOOKUP(AP13,'2) หลักการคำนวน Table'!$D$1:$M$5,5,TRUE),0))))),0)</f>
        <v>0.9</v>
      </c>
      <c r="AW13" s="232">
        <f>IFERROR(IF($C13="Top WS",VLOOKUP("GOAL",'2) หลักการคำนวน Table'!$D$4:$M$4,HLOOKUP(AK13,'2) หลักการคำนวน Table'!$D$1:$M$5,5,TRUE),0),
IF($C13="WS SF",VLOOKUP("GOAL",'2) หลักการคำนวน Table'!$D$32:$M$32,HLOOKUP(AK13,'2) หลักการคำนวน Table'!$D$1:$M$5,5,TRUE),0),
IF($C13="WS WH",VLOOKUP("GOAL",'2) หลักการคำนวน Table'!$D$62:$M$62,HLOOKUP(AK13,'2) หลักการคำนวน Table'!$D$1:$M$5,5,TRUE),0),
IF($C13="SF WH",VLOOKUP("GOAL",'2) หลักการคำนวน Table'!$D$92:$M$92,HLOOKUP(AK13,'2) หลักการคำนวน Table'!$D$1:$M$5,5,TRUE),0))))),0)</f>
        <v>0.9</v>
      </c>
      <c r="AX13" s="232">
        <f>IFERROR(IF($C13="Top WS",VLOOKUP("GOAL",'2) หลักการคำนวน Table'!$D$4:$M$4,HLOOKUP(AL13,'2) หลักการคำนวน Table'!$D$1:$M$5,5,TRUE),0),
IF($C13="WS SF",VLOOKUP("GOAL",'2) หลักการคำนวน Table'!$D$32:$M$32,HLOOKUP(AL13,'2) หลักการคำนวน Table'!$D$1:$M$5,5,TRUE),0),
IF($C13="WS WH",VLOOKUP("GOAL",'2) หลักการคำนวน Table'!$D$62:$M$62,HLOOKUP(AL13,'2) หลักการคำนวน Table'!$D$1:$M$5,5,TRUE),0),
IF($C13="SF WH",VLOOKUP("GOAL",'2) หลักการคำนวน Table'!$D$92:$M$92,HLOOKUP(AL13,'2) หลักการคำนวน Table'!$D$1:$M$5,5,TRUE),0))))),0)</f>
        <v>0.9</v>
      </c>
      <c r="AY13" s="232">
        <f>IFERROR(IF($C13="Top WS",VLOOKUP("GOAL",'2) หลักการคำนวน Table'!$D$4:$M$4,HLOOKUP(AM13,'2) หลักการคำนวน Table'!$D$1:$M$5,5,TRUE),0),
IF($C13="WS SF",VLOOKUP("GOAL",'2) หลักการคำนวน Table'!$D$32:$M$32,HLOOKUP(AM13,'2) หลักการคำนวน Table'!$D$1:$M$5,5,TRUE),0),
IF($C13="WS WH",VLOOKUP("GOAL",'2) หลักการคำนวน Table'!$D$62:$M$62,HLOOKUP(AM13,'2) หลักการคำนวน Table'!$D$1:$M$5,5,TRUE),0),
IF($C13="SF WH",VLOOKUP("GOAL",'2) หลักการคำนวน Table'!$D$92:$M$92,HLOOKUP(AM13,'2) หลักการคำนวน Table'!$D$1:$M$5,5,TRUE),0))))),0)</f>
        <v>0.9</v>
      </c>
      <c r="AZ13" s="167">
        <f>IFERROR(IF($C13="Top WS",VLOOKUP($B13,'2) หลักการคำนวน Table'!$D$5:$M$20,HLOOKUP(AB13,'2) หลักการคำนวน Table'!$D$1:$M$5,5,TRUE),0),
IF($C13="WS SF",VLOOKUP($B13,'2) หลักการคำนวน Table'!$D$33:$M$48,HLOOKUP(AB13,'2) หลักการคำนวน Table'!$D$1:$M$5,5,TRUE),0),
IF($C13="WS WH",VLOOKUP($B13,'2) หลักการคำนวน Table'!$D$63:$M$78,HLOOKUP(AB13,'2) หลักการคำนวน Table'!$D$1:$M$5,5,TRUE),0),
IF($C13="SF WH",VLOOKUP($B13,'2) หลักการคำนวน Table'!$D$93:$M$108,HLOOKUP(AB13,'2) หลักการคำนวน Table'!$D$1:$M$5,5,TRUE),0))))),0)</f>
        <v>360</v>
      </c>
      <c r="BA13" s="167">
        <f>IFERROR(IF($C13="Top WS",VLOOKUP($B13,'2) หลักการคำนวน Table'!$D$5:$M$20,HLOOKUP(AC13,'2) หลักการคำนวน Table'!$D$1:$M$5,5,TRUE),0),
IF($C13="WS SF",VLOOKUP($B13,'2) หลักการคำนวน Table'!$D$33:$M$48,HLOOKUP(AC13,'2) หลักการคำนวน Table'!$D$1:$M$5,5,TRUE),0),
IF($C13="WS WH",VLOOKUP($B13,'2) หลักการคำนวน Table'!$D$63:$M$78,HLOOKUP(AC13,'2) หลักการคำนวน Table'!$D$1:$M$5,5,TRUE),0),
IF($C13="SF WH",VLOOKUP($B13,'2) หลักการคำนวน Table'!$D$93:$M$108,HLOOKUP(AC13,'2) หลักการคำนวน Table'!$D$1:$M$5,5,TRUE),0))))),0)</f>
        <v>360</v>
      </c>
      <c r="BB13" s="167">
        <f>IFERROR(IF($C13="Top WS",VLOOKUP($B13,'2) หลักการคำนวน Table'!$D$5:$M$20,HLOOKUP(AD13,'2) หลักการคำนวน Table'!$D$1:$M$5,5,TRUE),0),
IF($C13="WS SF",VLOOKUP($B13,'2) หลักการคำนวน Table'!$D$33:$M$48,HLOOKUP(AD13,'2) หลักการคำนวน Table'!$D$1:$M$5,5,TRUE),0),
IF($C13="WS WH",VLOOKUP($B13,'2) หลักการคำนวน Table'!$D$63:$M$78,HLOOKUP(AD13,'2) หลักการคำนวน Table'!$D$1:$M$5,5,TRUE),0),
IF($C13="SF WH",VLOOKUP($B13,'2) หลักการคำนวน Table'!$D$93:$M$108,HLOOKUP(AD13,'2) หลักการคำนวน Table'!$D$1:$M$5,5,TRUE),0))))),0)</f>
        <v>360</v>
      </c>
      <c r="BC13" s="167">
        <f>IFERROR(IF($C13="Top WS",VLOOKUP($B13,'2) หลักการคำนวน Table'!$D$5:$M$20,HLOOKUP(AE13,'2) หลักการคำนวน Table'!$D$1:$M$5,5,TRUE),0),
IF($C13="WS SF",VLOOKUP($B13,'2) หลักการคำนวน Table'!$D$33:$M$48,HLOOKUP(AE13,'2) หลักการคำนวน Table'!$D$1:$M$5,5,TRUE),0),
IF($C13="WS WH",VLOOKUP($B13,'2) หลักการคำนวน Table'!$D$63:$M$78,HLOOKUP(AE13,'2) หลักการคำนวน Table'!$D$1:$M$5,5,TRUE),0),
IF($C13="SF WH",VLOOKUP($B13,'2) หลักการคำนวน Table'!$D$93:$M$108,HLOOKUP(AE13,'2) หลักการคำนวน Table'!$D$1:$M$5,5,TRUE),0))))),0)</f>
        <v>360</v>
      </c>
      <c r="BD13" s="167">
        <f>IFERROR(IF($C13="Top WS",VLOOKUP($B13,'2) หลักการคำนวน Table'!$D$5:$M$20,HLOOKUP(AF13,'2) หลักการคำนวน Table'!$D$1:$M$5,5,TRUE),0),
IF($C13="WS SF",VLOOKUP($B13,'2) หลักการคำนวน Table'!$D$33:$M$48,HLOOKUP(AF13,'2) หลักการคำนวน Table'!$D$1:$M$5,5,TRUE),0),
IF($C13="WS WH",VLOOKUP($B13,'2) หลักการคำนวน Table'!$D$63:$M$78,HLOOKUP(AF13,'2) หลักการคำนวน Table'!$D$1:$M$5,5,TRUE),0),
IF($C13="SF WH",VLOOKUP($B13,'2) หลักการคำนวน Table'!$D$93:$M$108,HLOOKUP(AF13,'2) หลักการคำนวน Table'!$D$1:$M$5,5,TRUE),0))))),0)</f>
        <v>360</v>
      </c>
      <c r="BE13" s="167">
        <f>IFERROR(IF($C13="Top WS",VLOOKUP($B13,'2) หลักการคำนวน Table'!$D$5:$M$20,HLOOKUP(AG13,'2) หลักการคำนวน Table'!$D$1:$M$5,5,TRUE),0),
IF($C13="WS SF",VLOOKUP($B13,'2) หลักการคำนวน Table'!$D$33:$M$48,HLOOKUP(AG13,'2) หลักการคำนวน Table'!$D$1:$M$5,5,TRUE),0),
IF($C13="WS WH",VLOOKUP($B13,'2) หลักการคำนวน Table'!$D$63:$M$78,HLOOKUP(AG13,'2) หลักการคำนวน Table'!$D$1:$M$5,5,TRUE),0),
IF($C13="SF WH",VLOOKUP($B13,'2) หลักการคำนวน Table'!$D$93:$M$108,HLOOKUP(AG13,'2) หลักการคำนวน Table'!$D$1:$M$5,5,TRUE),0))))),0)</f>
        <v>360</v>
      </c>
      <c r="BF13" s="167">
        <f>IFERROR(IF($C13="Top WS",VLOOKUP($B13,'2) หลักการคำนวน Table'!$D$5:$M$20,HLOOKUP(AH13,'2) หลักการคำนวน Table'!$D$1:$M$5,5,TRUE),0),
IF($C13="WS SF",VLOOKUP($B13,'2) หลักการคำนวน Table'!$D$33:$M$48,HLOOKUP(AH13,'2) หลักการคำนวน Table'!$D$1:$M$5,5,TRUE),0),
IF($C13="WS WH",VLOOKUP($B13,'2) หลักการคำนวน Table'!$D$63:$M$78,HLOOKUP(AH13,'2) หลักการคำนวน Table'!$D$1:$M$5,5,TRUE),0),
IF($C13="SF WH",VLOOKUP($B13,'2) หลักการคำนวน Table'!$D$93:$M$108,HLOOKUP(AH13,'2) หลักการคำนวน Table'!$D$1:$M$5,5,TRUE),0))))),0)</f>
        <v>360</v>
      </c>
      <c r="BG13" s="167">
        <f>IFERROR(IF($C13="Top WS",VLOOKUP($B13,'2) หลักการคำนวน Table'!$D$5:$M$20,HLOOKUP(AI13,'2) หลักการคำนวน Table'!$D$1:$M$5,5,TRUE),0),
IF($C13="WS SF",VLOOKUP($B13,'2) หลักการคำนวน Table'!$D$33:$M$48,HLOOKUP(AI13,'2) หลักการคำนวน Table'!$D$1:$M$5,5,TRUE),0),
IF($C13="WS WH",VLOOKUP($B13,'2) หลักการคำนวน Table'!$D$63:$M$78,HLOOKUP(AI13,'2) หลักการคำนวน Table'!$D$1:$M$5,5,TRUE),0),
IF($C13="SF WH",VLOOKUP($B13,'2) หลักการคำนวน Table'!$D$93:$M$108,HLOOKUP(AI13,'2) หลักการคำนวน Table'!$D$1:$M$5,5,TRUE),0))))),0)</f>
        <v>360</v>
      </c>
      <c r="BH13" s="167">
        <f>IFERROR(IF($C13="Top WS",VLOOKUP($B13,'2) หลักการคำนวน Table'!$D$5:$M$20,HLOOKUP(AP13,'2) หลักการคำนวน Table'!$D$1:$M$5,5,TRUE),0),
IF($C13="WS SF",VLOOKUP($B13,'2) หลักการคำนวน Table'!$D$33:$M$48,HLOOKUP(AP13,'2) หลักการคำนวน Table'!$D$1:$M$5,5,TRUE),0),
IF($C13="WS WH",VLOOKUP($B13,'2) หลักการคำนวน Table'!$D$63:$M$78,HLOOKUP(AP13,'2) หลักการคำนวน Table'!$D$1:$M$5,5,TRUE),0),
IF($C13="SF WH",VLOOKUP($B13,'2) หลักการคำนวน Table'!$D$93:$M$108,HLOOKUP(AP13,'2) หลักการคำนวน Table'!$D$1:$M$5,5,TRUE),0))))),0)</f>
        <v>360</v>
      </c>
      <c r="BI13" s="167">
        <f>IFERROR(IF($C13="Top WS",VLOOKUP($B13,'2) หลักการคำนวน Table'!$D$5:$M$20,HLOOKUP(AK13,'2) หลักการคำนวน Table'!$D$1:$M$5,5,TRUE),0),
IF($C13="WS SF",VLOOKUP($B13,'2) หลักการคำนวน Table'!$D$33:$M$48,HLOOKUP(AK13,'2) หลักการคำนวน Table'!$D$1:$M$5,5,TRUE),0),
IF($C13="WS WH",VLOOKUP($B13,'2) หลักการคำนวน Table'!$D$63:$M$78,HLOOKUP(AK13,'2) หลักการคำนวน Table'!$D$1:$M$5,5,TRUE),0),
IF($C13="SF WH",VLOOKUP($B13,'2) หลักการคำนวน Table'!$D$93:$M$108,HLOOKUP(AK13,'2) หลักการคำนวน Table'!$D$1:$M$5,5,TRUE),0))))),0)</f>
        <v>360</v>
      </c>
      <c r="BJ13" s="167">
        <f>IFERROR(IF($C13="Top WS",VLOOKUP($B13,'2) หลักการคำนวน Table'!$D$5:$M$20,HLOOKUP(AL13,'2) หลักการคำนวน Table'!$D$1:$M$5,5,TRUE),0),
IF($C13="WS SF",VLOOKUP($B13,'2) หลักการคำนวน Table'!$D$33:$M$48,HLOOKUP(AL13,'2) หลักการคำนวน Table'!$D$1:$M$5,5,TRUE),0),
IF($C13="WS WH",VLOOKUP($B13,'2) หลักการคำนวน Table'!$D$63:$M$78,HLOOKUP(AL13,'2) หลักการคำนวน Table'!$D$1:$M$5,5,TRUE),0),
IF($C13="SF WH",VLOOKUP($B13,'2) หลักการคำนวน Table'!$D$93:$M$108,HLOOKUP(AL13,'2) หลักการคำนวน Table'!$D$1:$M$5,5,TRUE),0))))),0)</f>
        <v>360</v>
      </c>
      <c r="BK13" s="167">
        <f>IFERROR(IF($C13="Top WS",VLOOKUP($B13,'2) หลักการคำนวน Table'!$D$5:$M$20,HLOOKUP(AM13,'2) หลักการคำนวน Table'!$D$1:$M$5,5,TRUE),0),
IF($C13="WS SF",VLOOKUP($B13,'2) หลักการคำนวน Table'!$D$33:$M$48,HLOOKUP(AM13,'2) หลักการคำนวน Table'!$D$1:$M$5,5,TRUE),0),
IF($C13="WS WH",VLOOKUP($B13,'2) หลักการคำนวน Table'!$D$63:$M$78,HLOOKUP(AM13,'2) หลักการคำนวน Table'!$D$1:$M$5,5,TRUE),0),
IF($C13="SF WH",VLOOKUP($B13,'2) หลักการคำนวน Table'!$D$93:$M$108,HLOOKUP(AM13,'2) หลักการคำนวน Table'!$D$1:$M$5,5,TRUE),0))))),0)</f>
        <v>360</v>
      </c>
      <c r="BM13" s="119">
        <f>VLOOKUP(VLOOKUP(A13,ASTBase!E:S,13,FALSE),ASTBase!F:P,11,FALSE)</f>
        <v>160000</v>
      </c>
      <c r="BN13" s="196" cm="1">
        <f t="array" ref="BN13">INDEX(AN13:AY13,,Period!$D$2)</f>
        <v>0.9</v>
      </c>
    </row>
    <row r="14" spans="1:66" x14ac:dyDescent="0.25">
      <c r="A14" s="117">
        <v>160001</v>
      </c>
      <c r="B14" s="117" t="s">
        <v>393</v>
      </c>
      <c r="C14" s="117" t="s">
        <v>178</v>
      </c>
      <c r="D14" s="118">
        <v>608</v>
      </c>
      <c r="E14" s="118">
        <v>435</v>
      </c>
      <c r="F14" s="118">
        <v>462</v>
      </c>
      <c r="G14" s="118">
        <v>473</v>
      </c>
      <c r="H14" s="118">
        <v>384</v>
      </c>
      <c r="I14" s="118">
        <v>450</v>
      </c>
      <c r="J14" s="118">
        <v>574</v>
      </c>
      <c r="K14" s="118">
        <v>593</v>
      </c>
      <c r="L14" s="118">
        <v>566</v>
      </c>
      <c r="M14" s="118">
        <v>586</v>
      </c>
      <c r="N14" s="118">
        <v>452</v>
      </c>
      <c r="O14" s="118">
        <v>450</v>
      </c>
      <c r="P14" s="117">
        <f>SUMIFS(Actual!C:C,Actual!$A:$A,'3)Target &amp; Cal'!$A14,Actual!$B:$B,'3)Target &amp; Cal'!$B14)</f>
        <v>492</v>
      </c>
      <c r="Q14" s="117">
        <f>SUMIFS(Actual!D:D,Actual!$A:$A,'3)Target &amp; Cal'!$A14,Actual!$B:$B,'3)Target &amp; Cal'!$B14)</f>
        <v>542.40000000000009</v>
      </c>
      <c r="R14" s="117">
        <f>SUMIFS(Actual!E:E,Actual!$A:$A,'3)Target &amp; Cal'!$A14,Actual!$B:$B,'3)Target &amp; Cal'!$B14)</f>
        <v>0</v>
      </c>
      <c r="S14" s="117">
        <f>SUMIFS(Actual!F:F,Actual!$A:$A,'3)Target &amp; Cal'!$A14,Actual!$B:$B,'3)Target &amp; Cal'!$B14)</f>
        <v>0</v>
      </c>
      <c r="T14" s="117">
        <f>SUMIFS(Actual!G:G,Actual!$A:$A,'3)Target &amp; Cal'!$A14,Actual!$B:$B,'3)Target &amp; Cal'!$B14)</f>
        <v>0</v>
      </c>
      <c r="U14" s="117">
        <f>SUMIFS(Actual!H:H,Actual!$A:$A,'3)Target &amp; Cal'!$A14,Actual!$B:$B,'3)Target &amp; Cal'!$B14)</f>
        <v>0</v>
      </c>
      <c r="V14" s="117">
        <f>SUMIFS(Actual!I:I,Actual!$A:$A,'3)Target &amp; Cal'!$A14,Actual!$B:$B,'3)Target &amp; Cal'!$B14)</f>
        <v>0</v>
      </c>
      <c r="W14" s="117">
        <f>SUMIFS(Actual!J:J,Actual!$A:$A,'3)Target &amp; Cal'!$A14,Actual!$B:$B,'3)Target &amp; Cal'!$B14)</f>
        <v>0</v>
      </c>
      <c r="X14" s="117">
        <f>SUMIFS(Actual!K:K,Actual!$A:$A,'3)Target &amp; Cal'!$A14,Actual!$B:$B,'3)Target &amp; Cal'!$B14)</f>
        <v>0</v>
      </c>
      <c r="Y14" s="117">
        <f>SUMIFS(Actual!L:L,Actual!$A:$A,'3)Target &amp; Cal'!$A14,Actual!$B:$B,'3)Target &amp; Cal'!$B14)</f>
        <v>0</v>
      </c>
      <c r="Z14" s="117">
        <f>SUMIFS(Actual!M:M,Actual!$A:$A,'3)Target &amp; Cal'!$A14,Actual!$B:$B,'3)Target &amp; Cal'!$B14)</f>
        <v>0</v>
      </c>
      <c r="AA14" s="117">
        <f>SUMIFS(Actual!N:N,Actual!$A:$A,'3)Target &amp; Cal'!$A14,Actual!$B:$B,'3)Target &amp; Cal'!$B14)</f>
        <v>0</v>
      </c>
      <c r="AB14" s="123">
        <f>IFERROR(IF(VLOOKUP($B14,Shortage!$A:$M,AB$2,FALSE)="Shortage",1,IFERROR(ROUND(P14/D14,4),0)),IFERROR(ROUND(P14/D14,4),0))</f>
        <v>0.80920000000000003</v>
      </c>
      <c r="AC14" s="123">
        <f>IFERROR(IF(VLOOKUP($B14,Shortage!$A:$M,AC$2,FALSE)="Shortage",1,IFERROR(ROUND(Q14/E14,4),0)),IFERROR(ROUND(Q14/E14,4),0))</f>
        <v>1.2468999999999999</v>
      </c>
      <c r="AD14" s="123">
        <f>IFERROR(IF(VLOOKUP($B14,Shortage!$A:$M,AD$2,FALSE)="Shortage",1,IFERROR(ROUND(R14/F14,4),0)),IFERROR(ROUND(R14/F14,4),0))</f>
        <v>0</v>
      </c>
      <c r="AE14" s="123">
        <f>IFERROR(IF(VLOOKUP($B14,Shortage!$A:$M,AE$2,FALSE)="Shortage",1,IFERROR(ROUND(S14/G14,4),0)),IFERROR(ROUND(S14/G14,4),0))</f>
        <v>0</v>
      </c>
      <c r="AF14" s="123">
        <f>IFERROR(IF(VLOOKUP($B14,Shortage!$A:$M,AF$2,FALSE)="Shortage",1,IFERROR(ROUND(T14/H14,4),0)),IFERROR(ROUND(T14/H14,4),0))</f>
        <v>0</v>
      </c>
      <c r="AG14" s="123">
        <f>IFERROR(IF(VLOOKUP($B14,Shortage!$A:$M,AG$2,FALSE)="Shortage",1,IFERROR(ROUND(U14/I14,4),0)),IFERROR(ROUND(U14/I14,4),0))</f>
        <v>0</v>
      </c>
      <c r="AH14" s="123">
        <f>IFERROR(IF(VLOOKUP($B14,Shortage!$A:$M,AH$2,FALSE)="Shortage",1,IFERROR(ROUND(V14/J14,4),0)),IFERROR(ROUND(V14/J14,4),0))</f>
        <v>0</v>
      </c>
      <c r="AI14" s="123">
        <f>IFERROR(IF(VLOOKUP($B14,Shortage!$A:$M,AI$2,FALSE)="Shortage",1,IFERROR(ROUND(W14/K14,4),0)),IFERROR(ROUND(W14/K14,4),0))</f>
        <v>0</v>
      </c>
      <c r="AJ14" s="123">
        <f>IFERROR(IF(VLOOKUP($B14,Shortage!$A:$M,AP$2,FALSE)="Shortage",1,IFERROR(ROUND(X14/L14,4),0)),IFERROR(ROUND(X14/L14,4),0))</f>
        <v>0</v>
      </c>
      <c r="AK14" s="123">
        <f>IFERROR(IF(VLOOKUP($B14,Shortage!$A:$M,AK$2,FALSE)="Shortage",1,IFERROR(ROUND(Y14/M14,4),0)),IFERROR(ROUND(Y14/M14,4),0))</f>
        <v>0</v>
      </c>
      <c r="AL14" s="123">
        <f>IFERROR(IF(VLOOKUP($B14,Shortage!$A:$M,AL$2,FALSE)="Shortage",1,IFERROR(ROUND(Z14/N14,4),0)),IFERROR(ROUND(Z14/N14,4),0))</f>
        <v>0</v>
      </c>
      <c r="AM14" s="123">
        <f>IFERROR(IF(VLOOKUP($B14,Shortage!$A:$M,AM$2,FALSE)="Shortage",1,IFERROR(ROUND(AA14/O14,4),0)),IFERROR(ROUND(AA14/O14,4),0))</f>
        <v>0</v>
      </c>
      <c r="AN14" s="337">
        <f>IFERROR(IF($C14="Top WS",VLOOKUP("GOAL",'2) หลักการคำนวน Table'!$D$4:$M$4,HLOOKUP(AB14,'2) หลักการคำนวน Table'!$D$1:$M$5,5,TRUE),0),
IF($C14="WS SF",VLOOKUP("GOAL",'2) หลักการคำนวน Table'!$D$32:$M$32,HLOOKUP(AB14,'2) หลักการคำนวน Table'!$D$1:$M$5,5,TRUE),0),
IF($C14="WS WH",VLOOKUP("GOAL",'2) หลักการคำนวน Table'!$D$62:$M$62,HLOOKUP(AB14,'2) หลักการคำนวน Table'!$D$1:$M$5,5,TRUE),0),
IF($C14="SF WH",VLOOKUP("GOAL",'2) หลักการคำนวน Table'!$D$92:$M$92,HLOOKUP(AB14,'2) หลักการคำนวน Table'!$D$1:$M$5,5,TRUE),0))))),0)</f>
        <v>0.9</v>
      </c>
      <c r="AO14" s="232">
        <f>IFERROR(IF($C14="Top WS",VLOOKUP("GOAL",'2) หลักการคำนวน Table'!$D$4:$M$4,HLOOKUP(AC14,'2) หลักการคำนวน Table'!$D$1:$M$5,5,TRUE),0),
IF($C14="WS SF",VLOOKUP("GOAL",'2) หลักการคำนวน Table'!$D$32:$M$32,HLOOKUP(AC14,'2) หลักการคำนวน Table'!$D$1:$M$5,5,TRUE),0),
IF($C14="WS WH",VLOOKUP("GOAL",'2) หลักการคำนวน Table'!$D$62:$M$62,HLOOKUP(AC14,'2) หลักการคำนวน Table'!$D$1:$M$5,5,TRUE),0),
IF($C14="SF WH",VLOOKUP("GOAL",'2) หลักการคำนวน Table'!$D$92:$M$92,HLOOKUP(AC14,'2) หลักการคำนวน Table'!$D$1:$M$5,5,TRUE),0))))),0)</f>
        <v>1.3</v>
      </c>
      <c r="AP14" s="232">
        <f>IFERROR(IF($C14="Top WS",VLOOKUP("GOAL",'2) หลักการคำนวน Table'!$D$4:$M$4,HLOOKUP(AD14,'2) หลักการคำนวน Table'!$D$1:$M$5,5,TRUE),0),
IF($C14="WS SF",VLOOKUP("GOAL",'2) หลักการคำนวน Table'!$D$32:$M$32,HLOOKUP(AD14,'2) หลักการคำนวน Table'!$D$1:$M$5,5,TRUE),0),
IF($C14="WS WH",VLOOKUP("GOAL",'2) หลักการคำนวน Table'!$D$62:$M$62,HLOOKUP(AD14,'2) หลักการคำนวน Table'!$D$1:$M$5,5,TRUE),0),
IF($C14="SF WH",VLOOKUP("GOAL",'2) หลักการคำนวน Table'!$D$92:$M$92,HLOOKUP(AD14,'2) หลักการคำนวน Table'!$D$1:$M$5,5,TRUE),0))))),0)</f>
        <v>0.9</v>
      </c>
      <c r="AQ14" s="232">
        <f>IFERROR(IF($C14="Top WS",VLOOKUP("GOAL",'2) หลักการคำนวน Table'!$D$4:$M$4,HLOOKUP(AE14,'2) หลักการคำนวน Table'!$D$1:$M$5,5,TRUE),0),
IF($C14="WS SF",VLOOKUP("GOAL",'2) หลักการคำนวน Table'!$D$32:$M$32,HLOOKUP(AE14,'2) หลักการคำนวน Table'!$D$1:$M$5,5,TRUE),0),
IF($C14="WS WH",VLOOKUP("GOAL",'2) หลักการคำนวน Table'!$D$62:$M$62,HLOOKUP(AE14,'2) หลักการคำนวน Table'!$D$1:$M$5,5,TRUE),0),
IF($C14="SF WH",VLOOKUP("GOAL",'2) หลักการคำนวน Table'!$D$92:$M$92,HLOOKUP(AE14,'2) หลักการคำนวน Table'!$D$1:$M$5,5,TRUE),0))))),0)</f>
        <v>0.9</v>
      </c>
      <c r="AR14" s="232">
        <f>IFERROR(IF($C14="Top WS",VLOOKUP("GOAL",'2) หลักการคำนวน Table'!$D$4:$M$4,HLOOKUP(AF14,'2) หลักการคำนวน Table'!$D$1:$M$5,5,TRUE),0),
IF($C14="WS SF",VLOOKUP("GOAL",'2) หลักการคำนวน Table'!$D$32:$M$32,HLOOKUP(AF14,'2) หลักการคำนวน Table'!$D$1:$M$5,5,TRUE),0),
IF($C14="WS WH",VLOOKUP("GOAL",'2) หลักการคำนวน Table'!$D$62:$M$62,HLOOKUP(AF14,'2) หลักการคำนวน Table'!$D$1:$M$5,5,TRUE),0),
IF($C14="SF WH",VLOOKUP("GOAL",'2) หลักการคำนวน Table'!$D$92:$M$92,HLOOKUP(AF14,'2) หลักการคำนวน Table'!$D$1:$M$5,5,TRUE),0))))),0)</f>
        <v>0.9</v>
      </c>
      <c r="AS14" s="232">
        <f>IFERROR(IF($C14="Top WS",VLOOKUP("GOAL",'2) หลักการคำนวน Table'!$D$4:$M$4,HLOOKUP(AG14,'2) หลักการคำนวน Table'!$D$1:$M$5,5,TRUE),0),
IF($C14="WS SF",VLOOKUP("GOAL",'2) หลักการคำนวน Table'!$D$32:$M$32,HLOOKUP(AG14,'2) หลักการคำนวน Table'!$D$1:$M$5,5,TRUE),0),
IF($C14="WS WH",VLOOKUP("GOAL",'2) หลักการคำนวน Table'!$D$62:$M$62,HLOOKUP(AG14,'2) หลักการคำนวน Table'!$D$1:$M$5,5,TRUE),0),
IF($C14="SF WH",VLOOKUP("GOAL",'2) หลักการคำนวน Table'!$D$92:$M$92,HLOOKUP(AG14,'2) หลักการคำนวน Table'!$D$1:$M$5,5,TRUE),0))))),0)</f>
        <v>0.9</v>
      </c>
      <c r="AT14" s="232">
        <f>IFERROR(IF($C14="Top WS",VLOOKUP("GOAL",'2) หลักการคำนวน Table'!$D$4:$M$4,HLOOKUP(AH14,'2) หลักการคำนวน Table'!$D$1:$M$5,5,TRUE),0),
IF($C14="WS SF",VLOOKUP("GOAL",'2) หลักการคำนวน Table'!$D$32:$M$32,HLOOKUP(AH14,'2) หลักการคำนวน Table'!$D$1:$M$5,5,TRUE),0),
IF($C14="WS WH",VLOOKUP("GOAL",'2) หลักการคำนวน Table'!$D$62:$M$62,HLOOKUP(AH14,'2) หลักการคำนวน Table'!$D$1:$M$5,5,TRUE),0),
IF($C14="SF WH",VLOOKUP("GOAL",'2) หลักการคำนวน Table'!$D$92:$M$92,HLOOKUP(AH14,'2) หลักการคำนวน Table'!$D$1:$M$5,5,TRUE),0))))),0)</f>
        <v>0.9</v>
      </c>
      <c r="AU14" s="232">
        <f>IFERROR(IF($C14="Top WS",VLOOKUP("GOAL",'2) หลักการคำนวน Table'!$D$4:$M$4,HLOOKUP(AI14,'2) หลักการคำนวน Table'!$D$1:$M$5,5,TRUE),0),
IF($C14="WS SF",VLOOKUP("GOAL",'2) หลักการคำนวน Table'!$D$32:$M$32,HLOOKUP(AI14,'2) หลักการคำนวน Table'!$D$1:$M$5,5,TRUE),0),
IF($C14="WS WH",VLOOKUP("GOAL",'2) หลักการคำนวน Table'!$D$62:$M$62,HLOOKUP(AI14,'2) หลักการคำนวน Table'!$D$1:$M$5,5,TRUE),0),
IF($C14="SF WH",VLOOKUP("GOAL",'2) หลักการคำนวน Table'!$D$92:$M$92,HLOOKUP(AI14,'2) หลักการคำนวน Table'!$D$1:$M$5,5,TRUE),0))))),0)</f>
        <v>0.9</v>
      </c>
      <c r="AV14" s="232">
        <f>IFERROR(IF($C14="Top WS",VLOOKUP("GOAL",'2) หลักการคำนวน Table'!$D$4:$M$4,HLOOKUP(AP14,'2) หลักการคำนวน Table'!$D$1:$M$5,5,TRUE),0),
IF($C14="WS SF",VLOOKUP("GOAL",'2) หลักการคำนวน Table'!$D$32:$M$32,HLOOKUP(AP14,'2) หลักการคำนวน Table'!$D$1:$M$5,5,TRUE),0),
IF($C14="WS WH",VLOOKUP("GOAL",'2) หลักการคำนวน Table'!$D$62:$M$62,HLOOKUP(AP14,'2) หลักการคำนวน Table'!$D$1:$M$5,5,TRUE),0),
IF($C14="SF WH",VLOOKUP("GOAL",'2) หลักการคำนวน Table'!$D$92:$M$92,HLOOKUP(AP14,'2) หลักการคำนวน Table'!$D$1:$M$5,5,TRUE),0))))),0)</f>
        <v>0.9</v>
      </c>
      <c r="AW14" s="232">
        <f>IFERROR(IF($C14="Top WS",VLOOKUP("GOAL",'2) หลักการคำนวน Table'!$D$4:$M$4,HLOOKUP(AK14,'2) หลักการคำนวน Table'!$D$1:$M$5,5,TRUE),0),
IF($C14="WS SF",VLOOKUP("GOAL",'2) หลักการคำนวน Table'!$D$32:$M$32,HLOOKUP(AK14,'2) หลักการคำนวน Table'!$D$1:$M$5,5,TRUE),0),
IF($C14="WS WH",VLOOKUP("GOAL",'2) หลักการคำนวน Table'!$D$62:$M$62,HLOOKUP(AK14,'2) หลักการคำนวน Table'!$D$1:$M$5,5,TRUE),0),
IF($C14="SF WH",VLOOKUP("GOAL",'2) หลักการคำนวน Table'!$D$92:$M$92,HLOOKUP(AK14,'2) หลักการคำนวน Table'!$D$1:$M$5,5,TRUE),0))))),0)</f>
        <v>0.9</v>
      </c>
      <c r="AX14" s="232">
        <f>IFERROR(IF($C14="Top WS",VLOOKUP("GOAL",'2) หลักการคำนวน Table'!$D$4:$M$4,HLOOKUP(AL14,'2) หลักการคำนวน Table'!$D$1:$M$5,5,TRUE),0),
IF($C14="WS SF",VLOOKUP("GOAL",'2) หลักการคำนวน Table'!$D$32:$M$32,HLOOKUP(AL14,'2) หลักการคำนวน Table'!$D$1:$M$5,5,TRUE),0),
IF($C14="WS WH",VLOOKUP("GOAL",'2) หลักการคำนวน Table'!$D$62:$M$62,HLOOKUP(AL14,'2) หลักการคำนวน Table'!$D$1:$M$5,5,TRUE),0),
IF($C14="SF WH",VLOOKUP("GOAL",'2) หลักการคำนวน Table'!$D$92:$M$92,HLOOKUP(AL14,'2) หลักการคำนวน Table'!$D$1:$M$5,5,TRUE),0))))),0)</f>
        <v>0.9</v>
      </c>
      <c r="AY14" s="232">
        <f>IFERROR(IF($C14="Top WS",VLOOKUP("GOAL",'2) หลักการคำนวน Table'!$D$4:$M$4,HLOOKUP(AM14,'2) หลักการคำนวน Table'!$D$1:$M$5,5,TRUE),0),
IF($C14="WS SF",VLOOKUP("GOAL",'2) หลักการคำนวน Table'!$D$32:$M$32,HLOOKUP(AM14,'2) หลักการคำนวน Table'!$D$1:$M$5,5,TRUE),0),
IF($C14="WS WH",VLOOKUP("GOAL",'2) หลักการคำนวน Table'!$D$62:$M$62,HLOOKUP(AM14,'2) หลักการคำนวน Table'!$D$1:$M$5,5,TRUE),0),
IF($C14="SF WH",VLOOKUP("GOAL",'2) หลักการคำนวน Table'!$D$92:$M$92,HLOOKUP(AM14,'2) หลักการคำนวน Table'!$D$1:$M$5,5,TRUE),0))))),0)</f>
        <v>0.9</v>
      </c>
      <c r="AZ14" s="167">
        <f>IFERROR(IF($C14="Top WS",VLOOKUP($B14,'2) หลักการคำนวน Table'!$D$5:$M$20,HLOOKUP(AB14,'2) หลักการคำนวน Table'!$D$1:$M$5,5,TRUE),0),
IF($C14="WS SF",VLOOKUP($B14,'2) หลักการคำนวน Table'!$D$33:$M$48,HLOOKUP(AB14,'2) หลักการคำนวน Table'!$D$1:$M$5,5,TRUE),0),
IF($C14="WS WH",VLOOKUP($B14,'2) หลักการคำนวน Table'!$D$63:$M$78,HLOOKUP(AB14,'2) หลักการคำนวน Table'!$D$1:$M$5,5,TRUE),0),
IF($C14="SF WH",VLOOKUP($B14,'2) หลักการคำนวน Table'!$D$93:$M$108,HLOOKUP(AB14,'2) หลักการคำนวน Table'!$D$1:$M$5,5,TRUE),0))))),0)</f>
        <v>180</v>
      </c>
      <c r="BA14" s="167">
        <f>IFERROR(IF($C14="Top WS",VLOOKUP($B14,'2) หลักการคำนวน Table'!$D$5:$M$20,HLOOKUP(AC14,'2) หลักการคำนวน Table'!$D$1:$M$5,5,TRUE),0),
IF($C14="WS SF",VLOOKUP($B14,'2) หลักการคำนวน Table'!$D$33:$M$48,HLOOKUP(AC14,'2) หลักการคำนวน Table'!$D$1:$M$5,5,TRUE),0),
IF($C14="WS WH",VLOOKUP($B14,'2) หลักการคำนวน Table'!$D$63:$M$78,HLOOKUP(AC14,'2) หลักการคำนวน Table'!$D$1:$M$5,5,TRUE),0),
IF($C14="SF WH",VLOOKUP($B14,'2) หลักการคำนวน Table'!$D$93:$M$108,HLOOKUP(AC14,'2) หลักการคำนวน Table'!$D$1:$M$5,5,TRUE),0))))),0)</f>
        <v>260</v>
      </c>
      <c r="BB14" s="167">
        <f>IFERROR(IF($C14="Top WS",VLOOKUP($B14,'2) หลักการคำนวน Table'!$D$5:$M$20,HLOOKUP(AD14,'2) หลักการคำนวน Table'!$D$1:$M$5,5,TRUE),0),
IF($C14="WS SF",VLOOKUP($B14,'2) หลักการคำนวน Table'!$D$33:$M$48,HLOOKUP(AD14,'2) หลักการคำนวน Table'!$D$1:$M$5,5,TRUE),0),
IF($C14="WS WH",VLOOKUP($B14,'2) หลักการคำนวน Table'!$D$63:$M$78,HLOOKUP(AD14,'2) หลักการคำนวน Table'!$D$1:$M$5,5,TRUE),0),
IF($C14="SF WH",VLOOKUP($B14,'2) หลักการคำนวน Table'!$D$93:$M$108,HLOOKUP(AD14,'2) หลักการคำนวน Table'!$D$1:$M$5,5,TRUE),0))))),0)</f>
        <v>180</v>
      </c>
      <c r="BC14" s="167">
        <f>IFERROR(IF($C14="Top WS",VLOOKUP($B14,'2) หลักการคำนวน Table'!$D$5:$M$20,HLOOKUP(AE14,'2) หลักการคำนวน Table'!$D$1:$M$5,5,TRUE),0),
IF($C14="WS SF",VLOOKUP($B14,'2) หลักการคำนวน Table'!$D$33:$M$48,HLOOKUP(AE14,'2) หลักการคำนวน Table'!$D$1:$M$5,5,TRUE),0),
IF($C14="WS WH",VLOOKUP($B14,'2) หลักการคำนวน Table'!$D$63:$M$78,HLOOKUP(AE14,'2) หลักการคำนวน Table'!$D$1:$M$5,5,TRUE),0),
IF($C14="SF WH",VLOOKUP($B14,'2) หลักการคำนวน Table'!$D$93:$M$108,HLOOKUP(AE14,'2) หลักการคำนวน Table'!$D$1:$M$5,5,TRUE),0))))),0)</f>
        <v>180</v>
      </c>
      <c r="BD14" s="167">
        <f>IFERROR(IF($C14="Top WS",VLOOKUP($B14,'2) หลักการคำนวน Table'!$D$5:$M$20,HLOOKUP(AF14,'2) หลักการคำนวน Table'!$D$1:$M$5,5,TRUE),0),
IF($C14="WS SF",VLOOKUP($B14,'2) หลักการคำนวน Table'!$D$33:$M$48,HLOOKUP(AF14,'2) หลักการคำนวน Table'!$D$1:$M$5,5,TRUE),0),
IF($C14="WS WH",VLOOKUP($B14,'2) หลักการคำนวน Table'!$D$63:$M$78,HLOOKUP(AF14,'2) หลักการคำนวน Table'!$D$1:$M$5,5,TRUE),0),
IF($C14="SF WH",VLOOKUP($B14,'2) หลักการคำนวน Table'!$D$93:$M$108,HLOOKUP(AF14,'2) หลักการคำนวน Table'!$D$1:$M$5,5,TRUE),0))))),0)</f>
        <v>180</v>
      </c>
      <c r="BE14" s="167">
        <f>IFERROR(IF($C14="Top WS",VLOOKUP($B14,'2) หลักการคำนวน Table'!$D$5:$M$20,HLOOKUP(AG14,'2) หลักการคำนวน Table'!$D$1:$M$5,5,TRUE),0),
IF($C14="WS SF",VLOOKUP($B14,'2) หลักการคำนวน Table'!$D$33:$M$48,HLOOKUP(AG14,'2) หลักการคำนวน Table'!$D$1:$M$5,5,TRUE),0),
IF($C14="WS WH",VLOOKUP($B14,'2) หลักการคำนวน Table'!$D$63:$M$78,HLOOKUP(AG14,'2) หลักการคำนวน Table'!$D$1:$M$5,5,TRUE),0),
IF($C14="SF WH",VLOOKUP($B14,'2) หลักการคำนวน Table'!$D$93:$M$108,HLOOKUP(AG14,'2) หลักการคำนวน Table'!$D$1:$M$5,5,TRUE),0))))),0)</f>
        <v>180</v>
      </c>
      <c r="BF14" s="167">
        <f>IFERROR(IF($C14="Top WS",VLOOKUP($B14,'2) หลักการคำนวน Table'!$D$5:$M$20,HLOOKUP(AH14,'2) หลักการคำนวน Table'!$D$1:$M$5,5,TRUE),0),
IF($C14="WS SF",VLOOKUP($B14,'2) หลักการคำนวน Table'!$D$33:$M$48,HLOOKUP(AH14,'2) หลักการคำนวน Table'!$D$1:$M$5,5,TRUE),0),
IF($C14="WS WH",VLOOKUP($B14,'2) หลักการคำนวน Table'!$D$63:$M$78,HLOOKUP(AH14,'2) หลักการคำนวน Table'!$D$1:$M$5,5,TRUE),0),
IF($C14="SF WH",VLOOKUP($B14,'2) หลักการคำนวน Table'!$D$93:$M$108,HLOOKUP(AH14,'2) หลักการคำนวน Table'!$D$1:$M$5,5,TRUE),0))))),0)</f>
        <v>180</v>
      </c>
      <c r="BG14" s="167">
        <f>IFERROR(IF($C14="Top WS",VLOOKUP($B14,'2) หลักการคำนวน Table'!$D$5:$M$20,HLOOKUP(AI14,'2) หลักการคำนวน Table'!$D$1:$M$5,5,TRUE),0),
IF($C14="WS SF",VLOOKUP($B14,'2) หลักการคำนวน Table'!$D$33:$M$48,HLOOKUP(AI14,'2) หลักการคำนวน Table'!$D$1:$M$5,5,TRUE),0),
IF($C14="WS WH",VLOOKUP($B14,'2) หลักการคำนวน Table'!$D$63:$M$78,HLOOKUP(AI14,'2) หลักการคำนวน Table'!$D$1:$M$5,5,TRUE),0),
IF($C14="SF WH",VLOOKUP($B14,'2) หลักการคำนวน Table'!$D$93:$M$108,HLOOKUP(AI14,'2) หลักการคำนวน Table'!$D$1:$M$5,5,TRUE),0))))),0)</f>
        <v>180</v>
      </c>
      <c r="BH14" s="167">
        <f>IFERROR(IF($C14="Top WS",VLOOKUP($B14,'2) หลักการคำนวน Table'!$D$5:$M$20,HLOOKUP(AP14,'2) หลักการคำนวน Table'!$D$1:$M$5,5,TRUE),0),
IF($C14="WS SF",VLOOKUP($B14,'2) หลักการคำนวน Table'!$D$33:$M$48,HLOOKUP(AP14,'2) หลักการคำนวน Table'!$D$1:$M$5,5,TRUE),0),
IF($C14="WS WH",VLOOKUP($B14,'2) หลักการคำนวน Table'!$D$63:$M$78,HLOOKUP(AP14,'2) หลักการคำนวน Table'!$D$1:$M$5,5,TRUE),0),
IF($C14="SF WH",VLOOKUP($B14,'2) หลักการคำนวน Table'!$D$93:$M$108,HLOOKUP(AP14,'2) หลักการคำนวน Table'!$D$1:$M$5,5,TRUE),0))))),0)</f>
        <v>180</v>
      </c>
      <c r="BI14" s="167">
        <f>IFERROR(IF($C14="Top WS",VLOOKUP($B14,'2) หลักการคำนวน Table'!$D$5:$M$20,HLOOKUP(AK14,'2) หลักการคำนวน Table'!$D$1:$M$5,5,TRUE),0),
IF($C14="WS SF",VLOOKUP($B14,'2) หลักการคำนวน Table'!$D$33:$M$48,HLOOKUP(AK14,'2) หลักการคำนวน Table'!$D$1:$M$5,5,TRUE),0),
IF($C14="WS WH",VLOOKUP($B14,'2) หลักการคำนวน Table'!$D$63:$M$78,HLOOKUP(AK14,'2) หลักการคำนวน Table'!$D$1:$M$5,5,TRUE),0),
IF($C14="SF WH",VLOOKUP($B14,'2) หลักการคำนวน Table'!$D$93:$M$108,HLOOKUP(AK14,'2) หลักการคำนวน Table'!$D$1:$M$5,5,TRUE),0))))),0)</f>
        <v>180</v>
      </c>
      <c r="BJ14" s="167">
        <f>IFERROR(IF($C14="Top WS",VLOOKUP($B14,'2) หลักการคำนวน Table'!$D$5:$M$20,HLOOKUP(AL14,'2) หลักการคำนวน Table'!$D$1:$M$5,5,TRUE),0),
IF($C14="WS SF",VLOOKUP($B14,'2) หลักการคำนวน Table'!$D$33:$M$48,HLOOKUP(AL14,'2) หลักการคำนวน Table'!$D$1:$M$5,5,TRUE),0),
IF($C14="WS WH",VLOOKUP($B14,'2) หลักการคำนวน Table'!$D$63:$M$78,HLOOKUP(AL14,'2) หลักการคำนวน Table'!$D$1:$M$5,5,TRUE),0),
IF($C14="SF WH",VLOOKUP($B14,'2) หลักการคำนวน Table'!$D$93:$M$108,HLOOKUP(AL14,'2) หลักการคำนวน Table'!$D$1:$M$5,5,TRUE),0))))),0)</f>
        <v>180</v>
      </c>
      <c r="BK14" s="167">
        <f>IFERROR(IF($C14="Top WS",VLOOKUP($B14,'2) หลักการคำนวน Table'!$D$5:$M$20,HLOOKUP(AM14,'2) หลักการคำนวน Table'!$D$1:$M$5,5,TRUE),0),
IF($C14="WS SF",VLOOKUP($B14,'2) หลักการคำนวน Table'!$D$33:$M$48,HLOOKUP(AM14,'2) หลักการคำนวน Table'!$D$1:$M$5,5,TRUE),0),
IF($C14="WS WH",VLOOKUP($B14,'2) หลักการคำนวน Table'!$D$63:$M$78,HLOOKUP(AM14,'2) หลักการคำนวน Table'!$D$1:$M$5,5,TRUE),0),
IF($C14="SF WH",VLOOKUP($B14,'2) หลักการคำนวน Table'!$D$93:$M$108,HLOOKUP(AM14,'2) หลักการคำนวน Table'!$D$1:$M$5,5,TRUE),0))))),0)</f>
        <v>180</v>
      </c>
      <c r="BM14" s="119">
        <f>VLOOKUP(VLOOKUP(A14,ASTBase!E:S,13,FALSE),ASTBase!F:P,11,FALSE)</f>
        <v>160000</v>
      </c>
      <c r="BN14" s="196" cm="1">
        <f t="array" ref="BN14">INDEX(AN14:AY14,,Period!$D$2)</f>
        <v>1.3</v>
      </c>
    </row>
    <row r="15" spans="1:66" x14ac:dyDescent="0.25">
      <c r="A15" s="117">
        <v>160002</v>
      </c>
      <c r="B15" s="117" t="s">
        <v>388</v>
      </c>
      <c r="C15" s="117" t="s">
        <v>178</v>
      </c>
      <c r="D15" s="118">
        <v>103078</v>
      </c>
      <c r="E15" s="118">
        <v>115860</v>
      </c>
      <c r="F15" s="118">
        <v>114143</v>
      </c>
      <c r="G15" s="118">
        <v>106776</v>
      </c>
      <c r="H15" s="118">
        <v>114607</v>
      </c>
      <c r="I15" s="118">
        <v>116604</v>
      </c>
      <c r="J15" s="118">
        <v>113910</v>
      </c>
      <c r="K15" s="118">
        <v>120906</v>
      </c>
      <c r="L15" s="118">
        <v>118487</v>
      </c>
      <c r="M15" s="118">
        <v>132256</v>
      </c>
      <c r="N15" s="118">
        <v>115667</v>
      </c>
      <c r="O15" s="118">
        <v>115670</v>
      </c>
      <c r="P15" s="117">
        <f>SUMIFS(Actual!C:C,Actual!$A:$A,'3)Target &amp; Cal'!$A15,Actual!$B:$B,'3)Target &amp; Cal'!$B15)</f>
        <v>63851.1</v>
      </c>
      <c r="Q15" s="117">
        <f>SUMIFS(Actual!D:D,Actual!$A:$A,'3)Target &amp; Cal'!$A15,Actual!$B:$B,'3)Target &amp; Cal'!$B15)</f>
        <v>94766.1</v>
      </c>
      <c r="R15" s="117">
        <f>SUMIFS(Actual!E:E,Actual!$A:$A,'3)Target &amp; Cal'!$A15,Actual!$B:$B,'3)Target &amp; Cal'!$B15)</f>
        <v>0</v>
      </c>
      <c r="S15" s="117">
        <f>SUMIFS(Actual!F:F,Actual!$A:$A,'3)Target &amp; Cal'!$A15,Actual!$B:$B,'3)Target &amp; Cal'!$B15)</f>
        <v>0</v>
      </c>
      <c r="T15" s="117">
        <f>SUMIFS(Actual!G:G,Actual!$A:$A,'3)Target &amp; Cal'!$A15,Actual!$B:$B,'3)Target &amp; Cal'!$B15)</f>
        <v>0</v>
      </c>
      <c r="U15" s="117">
        <f>SUMIFS(Actual!H:H,Actual!$A:$A,'3)Target &amp; Cal'!$A15,Actual!$B:$B,'3)Target &amp; Cal'!$B15)</f>
        <v>0</v>
      </c>
      <c r="V15" s="117">
        <f>SUMIFS(Actual!I:I,Actual!$A:$A,'3)Target &amp; Cal'!$A15,Actual!$B:$B,'3)Target &amp; Cal'!$B15)</f>
        <v>0</v>
      </c>
      <c r="W15" s="117">
        <f>SUMIFS(Actual!J:J,Actual!$A:$A,'3)Target &amp; Cal'!$A15,Actual!$B:$B,'3)Target &amp; Cal'!$B15)</f>
        <v>0</v>
      </c>
      <c r="X15" s="117">
        <f>SUMIFS(Actual!K:K,Actual!$A:$A,'3)Target &amp; Cal'!$A15,Actual!$B:$B,'3)Target &amp; Cal'!$B15)</f>
        <v>0</v>
      </c>
      <c r="Y15" s="117">
        <f>SUMIFS(Actual!L:L,Actual!$A:$A,'3)Target &amp; Cal'!$A15,Actual!$B:$B,'3)Target &amp; Cal'!$B15)</f>
        <v>0</v>
      </c>
      <c r="Z15" s="117">
        <f>SUMIFS(Actual!M:M,Actual!$A:$A,'3)Target &amp; Cal'!$A15,Actual!$B:$B,'3)Target &amp; Cal'!$B15)</f>
        <v>0</v>
      </c>
      <c r="AA15" s="117">
        <f>SUMIFS(Actual!N:N,Actual!$A:$A,'3)Target &amp; Cal'!$A15,Actual!$B:$B,'3)Target &amp; Cal'!$B15)</f>
        <v>0</v>
      </c>
      <c r="AB15" s="123">
        <f>IFERROR(IF(VLOOKUP($B15,Shortage!$A:$M,AB$2,FALSE)="Shortage",1,IFERROR(ROUND(P15/D15,4),0)),IFERROR(ROUND(P15/D15,4),0))</f>
        <v>1</v>
      </c>
      <c r="AC15" s="123">
        <f>IFERROR(IF(VLOOKUP($B15,Shortage!$A:$M,AC$2,FALSE)="Shortage",1,IFERROR(ROUND(Q15/E15,4),0)),IFERROR(ROUND(Q15/E15,4),0))</f>
        <v>0.81789999999999996</v>
      </c>
      <c r="AD15" s="123">
        <f>IFERROR(IF(VLOOKUP($B15,Shortage!$A:$M,AD$2,FALSE)="Shortage",1,IFERROR(ROUND(R15/F15,4),0)),IFERROR(ROUND(R15/F15,4),0))</f>
        <v>0</v>
      </c>
      <c r="AE15" s="123">
        <f>IFERROR(IF(VLOOKUP($B15,Shortage!$A:$M,AE$2,FALSE)="Shortage",1,IFERROR(ROUND(S15/G15,4),0)),IFERROR(ROUND(S15/G15,4),0))</f>
        <v>0</v>
      </c>
      <c r="AF15" s="123">
        <f>IFERROR(IF(VLOOKUP($B15,Shortage!$A:$M,AF$2,FALSE)="Shortage",1,IFERROR(ROUND(T15/H15,4),0)),IFERROR(ROUND(T15/H15,4),0))</f>
        <v>0</v>
      </c>
      <c r="AG15" s="123">
        <f>IFERROR(IF(VLOOKUP($B15,Shortage!$A:$M,AG$2,FALSE)="Shortage",1,IFERROR(ROUND(U15/I15,4),0)),IFERROR(ROUND(U15/I15,4),0))</f>
        <v>0</v>
      </c>
      <c r="AH15" s="123">
        <f>IFERROR(IF(VLOOKUP($B15,Shortage!$A:$M,AH$2,FALSE)="Shortage",1,IFERROR(ROUND(V15/J15,4),0)),IFERROR(ROUND(V15/J15,4),0))</f>
        <v>0</v>
      </c>
      <c r="AI15" s="123">
        <f>IFERROR(IF(VLOOKUP($B15,Shortage!$A:$M,AI$2,FALSE)="Shortage",1,IFERROR(ROUND(W15/K15,4),0)),IFERROR(ROUND(W15/K15,4),0))</f>
        <v>0</v>
      </c>
      <c r="AJ15" s="123">
        <f>IFERROR(IF(VLOOKUP($B15,Shortage!$A:$M,AP$2,FALSE)="Shortage",1,IFERROR(ROUND(X15/L15,4),0)),IFERROR(ROUND(X15/L15,4),0))</f>
        <v>0</v>
      </c>
      <c r="AK15" s="123">
        <f>IFERROR(IF(VLOOKUP($B15,Shortage!$A:$M,AK$2,FALSE)="Shortage",1,IFERROR(ROUND(Y15/M15,4),0)),IFERROR(ROUND(Y15/M15,4),0))</f>
        <v>0</v>
      </c>
      <c r="AL15" s="123">
        <f>IFERROR(IF(VLOOKUP($B15,Shortage!$A:$M,AL$2,FALSE)="Shortage",1,IFERROR(ROUND(Z15/N15,4),0)),IFERROR(ROUND(Z15/N15,4),0))</f>
        <v>0</v>
      </c>
      <c r="AM15" s="123">
        <f>IFERROR(IF(VLOOKUP($B15,Shortage!$A:$M,AM$2,FALSE)="Shortage",1,IFERROR(ROUND(AA15/O15,4),0)),IFERROR(ROUND(AA15/O15,4),0))</f>
        <v>0</v>
      </c>
      <c r="AN15" s="232">
        <f>IFERROR(IF($C15="Top WS",VLOOKUP("GOAL",'2) หลักการคำนวน Table'!$D$4:$M$4,HLOOKUP(AB15,'2) หลักการคำนวน Table'!$D$1:$M$5,5,TRUE),0),
IF($C15="WS SF",VLOOKUP("GOAL",'2) หลักการคำนวน Table'!$D$32:$M$32,HLOOKUP(AB15,'2) หลักการคำนวน Table'!$D$1:$M$5,5,TRUE),0),
IF($C15="WS WH",VLOOKUP("GOAL",'2) หลักการคำนวน Table'!$D$62:$M$62,HLOOKUP(AB15,'2) หลักการคำนวน Table'!$D$1:$M$5,5,TRUE),0),
IF($C15="SF WH",VLOOKUP("GOAL",'2) หลักการคำนวน Table'!$D$92:$M$92,HLOOKUP(AB15,'2) หลักการคำนวน Table'!$D$1:$M$5,5,TRUE),0))))),0)</f>
        <v>1</v>
      </c>
      <c r="AO15" s="232">
        <f>IFERROR(IF($C15="Top WS",VLOOKUP("GOAL",'2) หลักการคำนวน Table'!$D$4:$M$4,HLOOKUP(AC15,'2) หลักการคำนวน Table'!$D$1:$M$5,5,TRUE),0),
IF($C15="WS SF",VLOOKUP("GOAL",'2) หลักการคำนวน Table'!$D$32:$M$32,HLOOKUP(AC15,'2) หลักการคำนวน Table'!$D$1:$M$5,5,TRUE),0),
IF($C15="WS WH",VLOOKUP("GOAL",'2) หลักการคำนวน Table'!$D$62:$M$62,HLOOKUP(AC15,'2) หลักการคำนวน Table'!$D$1:$M$5,5,TRUE),0),
IF($C15="SF WH",VLOOKUP("GOAL",'2) หลักการคำนวน Table'!$D$92:$M$92,HLOOKUP(AC15,'2) หลักการคำนวน Table'!$D$1:$M$5,5,TRUE),0))))),0)</f>
        <v>0.9</v>
      </c>
      <c r="AP15" s="232">
        <f>IFERROR(IF($C15="Top WS",VLOOKUP("GOAL",'2) หลักการคำนวน Table'!$D$4:$M$4,HLOOKUP(AD15,'2) หลักการคำนวน Table'!$D$1:$M$5,5,TRUE),0),
IF($C15="WS SF",VLOOKUP("GOAL",'2) หลักการคำนวน Table'!$D$32:$M$32,HLOOKUP(AD15,'2) หลักการคำนวน Table'!$D$1:$M$5,5,TRUE),0),
IF($C15="WS WH",VLOOKUP("GOAL",'2) หลักการคำนวน Table'!$D$62:$M$62,HLOOKUP(AD15,'2) หลักการคำนวน Table'!$D$1:$M$5,5,TRUE),0),
IF($C15="SF WH",VLOOKUP("GOAL",'2) หลักการคำนวน Table'!$D$92:$M$92,HLOOKUP(AD15,'2) หลักการคำนวน Table'!$D$1:$M$5,5,TRUE),0))))),0)</f>
        <v>0.9</v>
      </c>
      <c r="AQ15" s="232">
        <f>IFERROR(IF($C15="Top WS",VLOOKUP("GOAL",'2) หลักการคำนวน Table'!$D$4:$M$4,HLOOKUP(AE15,'2) หลักการคำนวน Table'!$D$1:$M$5,5,TRUE),0),
IF($C15="WS SF",VLOOKUP("GOAL",'2) หลักการคำนวน Table'!$D$32:$M$32,HLOOKUP(AE15,'2) หลักการคำนวน Table'!$D$1:$M$5,5,TRUE),0),
IF($C15="WS WH",VLOOKUP("GOAL",'2) หลักการคำนวน Table'!$D$62:$M$62,HLOOKUP(AE15,'2) หลักการคำนวน Table'!$D$1:$M$5,5,TRUE),0),
IF($C15="SF WH",VLOOKUP("GOAL",'2) หลักการคำนวน Table'!$D$92:$M$92,HLOOKUP(AE15,'2) หลักการคำนวน Table'!$D$1:$M$5,5,TRUE),0))))),0)</f>
        <v>0.9</v>
      </c>
      <c r="AR15" s="232">
        <f>IFERROR(IF($C15="Top WS",VLOOKUP("GOAL",'2) หลักการคำนวน Table'!$D$4:$M$4,HLOOKUP(AF15,'2) หลักการคำนวน Table'!$D$1:$M$5,5,TRUE),0),
IF($C15="WS SF",VLOOKUP("GOAL",'2) หลักการคำนวน Table'!$D$32:$M$32,HLOOKUP(AF15,'2) หลักการคำนวน Table'!$D$1:$M$5,5,TRUE),0),
IF($C15="WS WH",VLOOKUP("GOAL",'2) หลักการคำนวน Table'!$D$62:$M$62,HLOOKUP(AF15,'2) หลักการคำนวน Table'!$D$1:$M$5,5,TRUE),0),
IF($C15="SF WH",VLOOKUP("GOAL",'2) หลักการคำนวน Table'!$D$92:$M$92,HLOOKUP(AF15,'2) หลักการคำนวน Table'!$D$1:$M$5,5,TRUE),0))))),0)</f>
        <v>0.9</v>
      </c>
      <c r="AS15" s="232">
        <f>IFERROR(IF($C15="Top WS",VLOOKUP("GOAL",'2) หลักการคำนวน Table'!$D$4:$M$4,HLOOKUP(AG15,'2) หลักการคำนวน Table'!$D$1:$M$5,5,TRUE),0),
IF($C15="WS SF",VLOOKUP("GOAL",'2) หลักการคำนวน Table'!$D$32:$M$32,HLOOKUP(AG15,'2) หลักการคำนวน Table'!$D$1:$M$5,5,TRUE),0),
IF($C15="WS WH",VLOOKUP("GOAL",'2) หลักการคำนวน Table'!$D$62:$M$62,HLOOKUP(AG15,'2) หลักการคำนวน Table'!$D$1:$M$5,5,TRUE),0),
IF($C15="SF WH",VLOOKUP("GOAL",'2) หลักการคำนวน Table'!$D$92:$M$92,HLOOKUP(AG15,'2) หลักการคำนวน Table'!$D$1:$M$5,5,TRUE),0))))),0)</f>
        <v>0.9</v>
      </c>
      <c r="AT15" s="232">
        <f>IFERROR(IF($C15="Top WS",VLOOKUP("GOAL",'2) หลักการคำนวน Table'!$D$4:$M$4,HLOOKUP(AH15,'2) หลักการคำนวน Table'!$D$1:$M$5,5,TRUE),0),
IF($C15="WS SF",VLOOKUP("GOAL",'2) หลักการคำนวน Table'!$D$32:$M$32,HLOOKUP(AH15,'2) หลักการคำนวน Table'!$D$1:$M$5,5,TRUE),0),
IF($C15="WS WH",VLOOKUP("GOAL",'2) หลักการคำนวน Table'!$D$62:$M$62,HLOOKUP(AH15,'2) หลักการคำนวน Table'!$D$1:$M$5,5,TRUE),0),
IF($C15="SF WH",VLOOKUP("GOAL",'2) หลักการคำนวน Table'!$D$92:$M$92,HLOOKUP(AH15,'2) หลักการคำนวน Table'!$D$1:$M$5,5,TRUE),0))))),0)</f>
        <v>0.9</v>
      </c>
      <c r="AU15" s="232">
        <f>IFERROR(IF($C15="Top WS",VLOOKUP("GOAL",'2) หลักการคำนวน Table'!$D$4:$M$4,HLOOKUP(AI15,'2) หลักการคำนวน Table'!$D$1:$M$5,5,TRUE),0),
IF($C15="WS SF",VLOOKUP("GOAL",'2) หลักการคำนวน Table'!$D$32:$M$32,HLOOKUP(AI15,'2) หลักการคำนวน Table'!$D$1:$M$5,5,TRUE),0),
IF($C15="WS WH",VLOOKUP("GOAL",'2) หลักการคำนวน Table'!$D$62:$M$62,HLOOKUP(AI15,'2) หลักการคำนวน Table'!$D$1:$M$5,5,TRUE),0),
IF($C15="SF WH",VLOOKUP("GOAL",'2) หลักการคำนวน Table'!$D$92:$M$92,HLOOKUP(AI15,'2) หลักการคำนวน Table'!$D$1:$M$5,5,TRUE),0))))),0)</f>
        <v>0.9</v>
      </c>
      <c r="AV15" s="232">
        <f>IFERROR(IF($C15="Top WS",VLOOKUP("GOAL",'2) หลักการคำนวน Table'!$D$4:$M$4,HLOOKUP(AP15,'2) หลักการคำนวน Table'!$D$1:$M$5,5,TRUE),0),
IF($C15="WS SF",VLOOKUP("GOAL",'2) หลักการคำนวน Table'!$D$32:$M$32,HLOOKUP(AP15,'2) หลักการคำนวน Table'!$D$1:$M$5,5,TRUE),0),
IF($C15="WS WH",VLOOKUP("GOAL",'2) หลักการคำนวน Table'!$D$62:$M$62,HLOOKUP(AP15,'2) หลักการคำนวน Table'!$D$1:$M$5,5,TRUE),0),
IF($C15="SF WH",VLOOKUP("GOAL",'2) หลักการคำนวน Table'!$D$92:$M$92,HLOOKUP(AP15,'2) หลักการคำนวน Table'!$D$1:$M$5,5,TRUE),0))))),0)</f>
        <v>0.9</v>
      </c>
      <c r="AW15" s="232">
        <f>IFERROR(IF($C15="Top WS",VLOOKUP("GOAL",'2) หลักการคำนวน Table'!$D$4:$M$4,HLOOKUP(AK15,'2) หลักการคำนวน Table'!$D$1:$M$5,5,TRUE),0),
IF($C15="WS SF",VLOOKUP("GOAL",'2) หลักการคำนวน Table'!$D$32:$M$32,HLOOKUP(AK15,'2) หลักการคำนวน Table'!$D$1:$M$5,5,TRUE),0),
IF($C15="WS WH",VLOOKUP("GOAL",'2) หลักการคำนวน Table'!$D$62:$M$62,HLOOKUP(AK15,'2) หลักการคำนวน Table'!$D$1:$M$5,5,TRUE),0),
IF($C15="SF WH",VLOOKUP("GOAL",'2) หลักการคำนวน Table'!$D$92:$M$92,HLOOKUP(AK15,'2) หลักการคำนวน Table'!$D$1:$M$5,5,TRUE),0))))),0)</f>
        <v>0.9</v>
      </c>
      <c r="AX15" s="232">
        <f>IFERROR(IF($C15="Top WS",VLOOKUP("GOAL",'2) หลักการคำนวน Table'!$D$4:$M$4,HLOOKUP(AL15,'2) หลักการคำนวน Table'!$D$1:$M$5,5,TRUE),0),
IF($C15="WS SF",VLOOKUP("GOAL",'2) หลักการคำนวน Table'!$D$32:$M$32,HLOOKUP(AL15,'2) หลักการคำนวน Table'!$D$1:$M$5,5,TRUE),0),
IF($C15="WS WH",VLOOKUP("GOAL",'2) หลักการคำนวน Table'!$D$62:$M$62,HLOOKUP(AL15,'2) หลักการคำนวน Table'!$D$1:$M$5,5,TRUE),0),
IF($C15="SF WH",VLOOKUP("GOAL",'2) หลักการคำนวน Table'!$D$92:$M$92,HLOOKUP(AL15,'2) หลักการคำนวน Table'!$D$1:$M$5,5,TRUE),0))))),0)</f>
        <v>0.9</v>
      </c>
      <c r="AY15" s="232">
        <f>IFERROR(IF($C15="Top WS",VLOOKUP("GOAL",'2) หลักการคำนวน Table'!$D$4:$M$4,HLOOKUP(AM15,'2) หลักการคำนวน Table'!$D$1:$M$5,5,TRUE),0),
IF($C15="WS SF",VLOOKUP("GOAL",'2) หลักการคำนวน Table'!$D$32:$M$32,HLOOKUP(AM15,'2) หลักการคำนวน Table'!$D$1:$M$5,5,TRUE),0),
IF($C15="WS WH",VLOOKUP("GOAL",'2) หลักการคำนวน Table'!$D$62:$M$62,HLOOKUP(AM15,'2) หลักการคำนวน Table'!$D$1:$M$5,5,TRUE),0),
IF($C15="SF WH",VLOOKUP("GOAL",'2) หลักการคำนวน Table'!$D$92:$M$92,HLOOKUP(AM15,'2) หลักการคำนวน Table'!$D$1:$M$5,5,TRUE),0))))),0)</f>
        <v>0.9</v>
      </c>
      <c r="AZ15" s="167">
        <f>IFERROR(IF($C15="Top WS",VLOOKUP($B15,'2) หลักการคำนวน Table'!$D$5:$M$20,HLOOKUP(AB15,'2) หลักการคำนวน Table'!$D$1:$M$5,5,TRUE),0),
IF($C15="WS SF",VLOOKUP($B15,'2) หลักการคำนวน Table'!$D$33:$M$48,HLOOKUP(AB15,'2) หลักการคำนวน Table'!$D$1:$M$5,5,TRUE),0),
IF($C15="WS WH",VLOOKUP($B15,'2) หลักการคำนวน Table'!$D$63:$M$78,HLOOKUP(AB15,'2) หลักการคำนวน Table'!$D$1:$M$5,5,TRUE),0),
IF($C15="SF WH",VLOOKUP($B15,'2) หลักการคำนวน Table'!$D$93:$M$108,HLOOKUP(AB15,'2) หลักการคำนวน Table'!$D$1:$M$5,5,TRUE),0))))),0)</f>
        <v>200</v>
      </c>
      <c r="BA15" s="167">
        <f>IFERROR(IF($C15="Top WS",VLOOKUP($B15,'2) หลักการคำนวน Table'!$D$5:$M$20,HLOOKUP(AC15,'2) หลักการคำนวน Table'!$D$1:$M$5,5,TRUE),0),
IF($C15="WS SF",VLOOKUP($B15,'2) หลักการคำนวน Table'!$D$33:$M$48,HLOOKUP(AC15,'2) หลักการคำนวน Table'!$D$1:$M$5,5,TRUE),0),
IF($C15="WS WH",VLOOKUP($B15,'2) หลักการคำนวน Table'!$D$63:$M$78,HLOOKUP(AC15,'2) หลักการคำนวน Table'!$D$1:$M$5,5,TRUE),0),
IF($C15="SF WH",VLOOKUP($B15,'2) หลักการคำนวน Table'!$D$93:$M$108,HLOOKUP(AC15,'2) หลักการคำนวน Table'!$D$1:$M$5,5,TRUE),0))))),0)</f>
        <v>180</v>
      </c>
      <c r="BB15" s="167">
        <f>IFERROR(IF($C15="Top WS",VLOOKUP($B15,'2) หลักการคำนวน Table'!$D$5:$M$20,HLOOKUP(AD15,'2) หลักการคำนวน Table'!$D$1:$M$5,5,TRUE),0),
IF($C15="WS SF",VLOOKUP($B15,'2) หลักการคำนวน Table'!$D$33:$M$48,HLOOKUP(AD15,'2) หลักการคำนวน Table'!$D$1:$M$5,5,TRUE),0),
IF($C15="WS WH",VLOOKUP($B15,'2) หลักการคำนวน Table'!$D$63:$M$78,HLOOKUP(AD15,'2) หลักการคำนวน Table'!$D$1:$M$5,5,TRUE),0),
IF($C15="SF WH",VLOOKUP($B15,'2) หลักการคำนวน Table'!$D$93:$M$108,HLOOKUP(AD15,'2) หลักการคำนวน Table'!$D$1:$M$5,5,TRUE),0))))),0)</f>
        <v>180</v>
      </c>
      <c r="BC15" s="167">
        <f>IFERROR(IF($C15="Top WS",VLOOKUP($B15,'2) หลักการคำนวน Table'!$D$5:$M$20,HLOOKUP(AE15,'2) หลักการคำนวน Table'!$D$1:$M$5,5,TRUE),0),
IF($C15="WS SF",VLOOKUP($B15,'2) หลักการคำนวน Table'!$D$33:$M$48,HLOOKUP(AE15,'2) หลักการคำนวน Table'!$D$1:$M$5,5,TRUE),0),
IF($C15="WS WH",VLOOKUP($B15,'2) หลักการคำนวน Table'!$D$63:$M$78,HLOOKUP(AE15,'2) หลักการคำนวน Table'!$D$1:$M$5,5,TRUE),0),
IF($C15="SF WH",VLOOKUP($B15,'2) หลักการคำนวน Table'!$D$93:$M$108,HLOOKUP(AE15,'2) หลักการคำนวน Table'!$D$1:$M$5,5,TRUE),0))))),0)</f>
        <v>180</v>
      </c>
      <c r="BD15" s="167">
        <f>IFERROR(IF($C15="Top WS",VLOOKUP($B15,'2) หลักการคำนวน Table'!$D$5:$M$20,HLOOKUP(AF15,'2) หลักการคำนวน Table'!$D$1:$M$5,5,TRUE),0),
IF($C15="WS SF",VLOOKUP($B15,'2) หลักการคำนวน Table'!$D$33:$M$48,HLOOKUP(AF15,'2) หลักการคำนวน Table'!$D$1:$M$5,5,TRUE),0),
IF($C15="WS WH",VLOOKUP($B15,'2) หลักการคำนวน Table'!$D$63:$M$78,HLOOKUP(AF15,'2) หลักการคำนวน Table'!$D$1:$M$5,5,TRUE),0),
IF($C15="SF WH",VLOOKUP($B15,'2) หลักการคำนวน Table'!$D$93:$M$108,HLOOKUP(AF15,'2) หลักการคำนวน Table'!$D$1:$M$5,5,TRUE),0))))),0)</f>
        <v>180</v>
      </c>
      <c r="BE15" s="167">
        <f>IFERROR(IF($C15="Top WS",VLOOKUP($B15,'2) หลักการคำนวน Table'!$D$5:$M$20,HLOOKUP(AG15,'2) หลักการคำนวน Table'!$D$1:$M$5,5,TRUE),0),
IF($C15="WS SF",VLOOKUP($B15,'2) หลักการคำนวน Table'!$D$33:$M$48,HLOOKUP(AG15,'2) หลักการคำนวน Table'!$D$1:$M$5,5,TRUE),0),
IF($C15="WS WH",VLOOKUP($B15,'2) หลักการคำนวน Table'!$D$63:$M$78,HLOOKUP(AG15,'2) หลักการคำนวน Table'!$D$1:$M$5,5,TRUE),0),
IF($C15="SF WH",VLOOKUP($B15,'2) หลักการคำนวน Table'!$D$93:$M$108,HLOOKUP(AG15,'2) หลักการคำนวน Table'!$D$1:$M$5,5,TRUE),0))))),0)</f>
        <v>180</v>
      </c>
      <c r="BF15" s="167">
        <f>IFERROR(IF($C15="Top WS",VLOOKUP($B15,'2) หลักการคำนวน Table'!$D$5:$M$20,HLOOKUP(AH15,'2) หลักการคำนวน Table'!$D$1:$M$5,5,TRUE),0),
IF($C15="WS SF",VLOOKUP($B15,'2) หลักการคำนวน Table'!$D$33:$M$48,HLOOKUP(AH15,'2) หลักการคำนวน Table'!$D$1:$M$5,5,TRUE),0),
IF($C15="WS WH",VLOOKUP($B15,'2) หลักการคำนวน Table'!$D$63:$M$78,HLOOKUP(AH15,'2) หลักการคำนวน Table'!$D$1:$M$5,5,TRUE),0),
IF($C15="SF WH",VLOOKUP($B15,'2) หลักการคำนวน Table'!$D$93:$M$108,HLOOKUP(AH15,'2) หลักการคำนวน Table'!$D$1:$M$5,5,TRUE),0))))),0)</f>
        <v>180</v>
      </c>
      <c r="BG15" s="167">
        <f>IFERROR(IF($C15="Top WS",VLOOKUP($B15,'2) หลักการคำนวน Table'!$D$5:$M$20,HLOOKUP(AI15,'2) หลักการคำนวน Table'!$D$1:$M$5,5,TRUE),0),
IF($C15="WS SF",VLOOKUP($B15,'2) หลักการคำนวน Table'!$D$33:$M$48,HLOOKUP(AI15,'2) หลักการคำนวน Table'!$D$1:$M$5,5,TRUE),0),
IF($C15="WS WH",VLOOKUP($B15,'2) หลักการคำนวน Table'!$D$63:$M$78,HLOOKUP(AI15,'2) หลักการคำนวน Table'!$D$1:$M$5,5,TRUE),0),
IF($C15="SF WH",VLOOKUP($B15,'2) หลักการคำนวน Table'!$D$93:$M$108,HLOOKUP(AI15,'2) หลักการคำนวน Table'!$D$1:$M$5,5,TRUE),0))))),0)</f>
        <v>180</v>
      </c>
      <c r="BH15" s="167">
        <f>IFERROR(IF($C15="Top WS",VLOOKUP($B15,'2) หลักการคำนวน Table'!$D$5:$M$20,HLOOKUP(AP15,'2) หลักการคำนวน Table'!$D$1:$M$5,5,TRUE),0),
IF($C15="WS SF",VLOOKUP($B15,'2) หลักการคำนวน Table'!$D$33:$M$48,HLOOKUP(AP15,'2) หลักการคำนวน Table'!$D$1:$M$5,5,TRUE),0),
IF($C15="WS WH",VLOOKUP($B15,'2) หลักการคำนวน Table'!$D$63:$M$78,HLOOKUP(AP15,'2) หลักการคำนวน Table'!$D$1:$M$5,5,TRUE),0),
IF($C15="SF WH",VLOOKUP($B15,'2) หลักการคำนวน Table'!$D$93:$M$108,HLOOKUP(AP15,'2) หลักการคำนวน Table'!$D$1:$M$5,5,TRUE),0))))),0)</f>
        <v>180</v>
      </c>
      <c r="BI15" s="167">
        <f>IFERROR(IF($C15="Top WS",VLOOKUP($B15,'2) หลักการคำนวน Table'!$D$5:$M$20,HLOOKUP(AK15,'2) หลักการคำนวน Table'!$D$1:$M$5,5,TRUE),0),
IF($C15="WS SF",VLOOKUP($B15,'2) หลักการคำนวน Table'!$D$33:$M$48,HLOOKUP(AK15,'2) หลักการคำนวน Table'!$D$1:$M$5,5,TRUE),0),
IF($C15="WS WH",VLOOKUP($B15,'2) หลักการคำนวน Table'!$D$63:$M$78,HLOOKUP(AK15,'2) หลักการคำนวน Table'!$D$1:$M$5,5,TRUE),0),
IF($C15="SF WH",VLOOKUP($B15,'2) หลักการคำนวน Table'!$D$93:$M$108,HLOOKUP(AK15,'2) หลักการคำนวน Table'!$D$1:$M$5,5,TRUE),0))))),0)</f>
        <v>180</v>
      </c>
      <c r="BJ15" s="167">
        <f>IFERROR(IF($C15="Top WS",VLOOKUP($B15,'2) หลักการคำนวน Table'!$D$5:$M$20,HLOOKUP(AL15,'2) หลักการคำนวน Table'!$D$1:$M$5,5,TRUE),0),
IF($C15="WS SF",VLOOKUP($B15,'2) หลักการคำนวน Table'!$D$33:$M$48,HLOOKUP(AL15,'2) หลักการคำนวน Table'!$D$1:$M$5,5,TRUE),0),
IF($C15="WS WH",VLOOKUP($B15,'2) หลักการคำนวน Table'!$D$63:$M$78,HLOOKUP(AL15,'2) หลักการคำนวน Table'!$D$1:$M$5,5,TRUE),0),
IF($C15="SF WH",VLOOKUP($B15,'2) หลักการคำนวน Table'!$D$93:$M$108,HLOOKUP(AL15,'2) หลักการคำนวน Table'!$D$1:$M$5,5,TRUE),0))))),0)</f>
        <v>180</v>
      </c>
      <c r="BK15" s="167">
        <f>IFERROR(IF($C15="Top WS",VLOOKUP($B15,'2) หลักการคำนวน Table'!$D$5:$M$20,HLOOKUP(AM15,'2) หลักการคำนวน Table'!$D$1:$M$5,5,TRUE),0),
IF($C15="WS SF",VLOOKUP($B15,'2) หลักการคำนวน Table'!$D$33:$M$48,HLOOKUP(AM15,'2) หลักการคำนวน Table'!$D$1:$M$5,5,TRUE),0),
IF($C15="WS WH",VLOOKUP($B15,'2) หลักการคำนวน Table'!$D$63:$M$78,HLOOKUP(AM15,'2) หลักการคำนวน Table'!$D$1:$M$5,5,TRUE),0),
IF($C15="SF WH",VLOOKUP($B15,'2) หลักการคำนวน Table'!$D$93:$M$108,HLOOKUP(AM15,'2) หลักการคำนวน Table'!$D$1:$M$5,5,TRUE),0))))),0)</f>
        <v>180</v>
      </c>
      <c r="BM15" s="119">
        <f>VLOOKUP(VLOOKUP(A15,ASTBase!E:S,13,FALSE),ASTBase!F:P,11,FALSE)</f>
        <v>160000</v>
      </c>
      <c r="BN15" s="196" cm="1">
        <f t="array" ref="BN15">INDEX(AN15:AY15,,Period!$D$2)</f>
        <v>0.9</v>
      </c>
    </row>
    <row r="16" spans="1:66" x14ac:dyDescent="0.25">
      <c r="A16" s="117">
        <v>160002</v>
      </c>
      <c r="B16" s="117" t="s">
        <v>389</v>
      </c>
      <c r="C16" s="117" t="s">
        <v>178</v>
      </c>
      <c r="D16" s="118">
        <v>32042</v>
      </c>
      <c r="E16" s="118">
        <v>30219</v>
      </c>
      <c r="F16" s="118">
        <v>34953</v>
      </c>
      <c r="G16" s="118">
        <v>28657</v>
      </c>
      <c r="H16" s="118">
        <v>23975</v>
      </c>
      <c r="I16" s="118">
        <v>30419</v>
      </c>
      <c r="J16" s="118">
        <v>27923</v>
      </c>
      <c r="K16" s="118">
        <v>31725</v>
      </c>
      <c r="L16" s="118">
        <v>31818</v>
      </c>
      <c r="M16" s="118">
        <v>35419</v>
      </c>
      <c r="N16" s="118">
        <v>27</v>
      </c>
      <c r="O16" s="118">
        <v>27</v>
      </c>
      <c r="P16" s="117">
        <f>SUMIFS(Actual!C:C,Actual!$A:$A,'3)Target &amp; Cal'!$A16,Actual!$B:$B,'3)Target &amp; Cal'!$B16)</f>
        <v>25446</v>
      </c>
      <c r="Q16" s="117">
        <f>SUMIFS(Actual!D:D,Actual!$A:$A,'3)Target &amp; Cal'!$A16,Actual!$B:$B,'3)Target &amp; Cal'!$B16)</f>
        <v>24171.200000000001</v>
      </c>
      <c r="R16" s="117">
        <f>SUMIFS(Actual!E:E,Actual!$A:$A,'3)Target &amp; Cal'!$A16,Actual!$B:$B,'3)Target &amp; Cal'!$B16)</f>
        <v>0</v>
      </c>
      <c r="S16" s="117">
        <f>SUMIFS(Actual!F:F,Actual!$A:$A,'3)Target &amp; Cal'!$A16,Actual!$B:$B,'3)Target &amp; Cal'!$B16)</f>
        <v>0</v>
      </c>
      <c r="T16" s="117">
        <f>SUMIFS(Actual!G:G,Actual!$A:$A,'3)Target &amp; Cal'!$A16,Actual!$B:$B,'3)Target &amp; Cal'!$B16)</f>
        <v>0</v>
      </c>
      <c r="U16" s="117">
        <f>SUMIFS(Actual!H:H,Actual!$A:$A,'3)Target &amp; Cal'!$A16,Actual!$B:$B,'3)Target &amp; Cal'!$B16)</f>
        <v>0</v>
      </c>
      <c r="V16" s="117">
        <f>SUMIFS(Actual!I:I,Actual!$A:$A,'3)Target &amp; Cal'!$A16,Actual!$B:$B,'3)Target &amp; Cal'!$B16)</f>
        <v>0</v>
      </c>
      <c r="W16" s="117">
        <f>SUMIFS(Actual!J:J,Actual!$A:$A,'3)Target &amp; Cal'!$A16,Actual!$B:$B,'3)Target &amp; Cal'!$B16)</f>
        <v>0</v>
      </c>
      <c r="X16" s="117">
        <f>SUMIFS(Actual!K:K,Actual!$A:$A,'3)Target &amp; Cal'!$A16,Actual!$B:$B,'3)Target &amp; Cal'!$B16)</f>
        <v>0</v>
      </c>
      <c r="Y16" s="117">
        <f>SUMIFS(Actual!L:L,Actual!$A:$A,'3)Target &amp; Cal'!$A16,Actual!$B:$B,'3)Target &amp; Cal'!$B16)</f>
        <v>0</v>
      </c>
      <c r="Z16" s="117">
        <f>SUMIFS(Actual!M:M,Actual!$A:$A,'3)Target &amp; Cal'!$A16,Actual!$B:$B,'3)Target &amp; Cal'!$B16)</f>
        <v>0</v>
      </c>
      <c r="AA16" s="117">
        <f>SUMIFS(Actual!N:N,Actual!$A:$A,'3)Target &amp; Cal'!$A16,Actual!$B:$B,'3)Target &amp; Cal'!$B16)</f>
        <v>0</v>
      </c>
      <c r="AB16" s="123">
        <f>IFERROR(IF(VLOOKUP($B16,Shortage!$A:$M,AB$2,FALSE)="Shortage",1,IFERROR(ROUND(P16/D16,4),0)),IFERROR(ROUND(P16/D16,4),0))</f>
        <v>1</v>
      </c>
      <c r="AC16" s="123">
        <f>IFERROR(IF(VLOOKUP($B16,Shortage!$A:$M,AC$2,FALSE)="Shortage",1,IFERROR(ROUND(Q16/E16,4),0)),IFERROR(ROUND(Q16/E16,4),0))</f>
        <v>1</v>
      </c>
      <c r="AD16" s="123">
        <f>IFERROR(IF(VLOOKUP($B16,Shortage!$A:$M,AD$2,FALSE)="Shortage",1,IFERROR(ROUND(R16/F16,4),0)),IFERROR(ROUND(R16/F16,4),0))</f>
        <v>0</v>
      </c>
      <c r="AE16" s="123">
        <f>IFERROR(IF(VLOOKUP($B16,Shortage!$A:$M,AE$2,FALSE)="Shortage",1,IFERROR(ROUND(S16/G16,4),0)),IFERROR(ROUND(S16/G16,4),0))</f>
        <v>0</v>
      </c>
      <c r="AF16" s="123">
        <f>IFERROR(IF(VLOOKUP($B16,Shortage!$A:$M,AF$2,FALSE)="Shortage",1,IFERROR(ROUND(T16/H16,4),0)),IFERROR(ROUND(T16/H16,4),0))</f>
        <v>0</v>
      </c>
      <c r="AG16" s="123">
        <f>IFERROR(IF(VLOOKUP($B16,Shortage!$A:$M,AG$2,FALSE)="Shortage",1,IFERROR(ROUND(U16/I16,4),0)),IFERROR(ROUND(U16/I16,4),0))</f>
        <v>0</v>
      </c>
      <c r="AH16" s="123">
        <f>IFERROR(IF(VLOOKUP($B16,Shortage!$A:$M,AH$2,FALSE)="Shortage",1,IFERROR(ROUND(V16/J16,4),0)),IFERROR(ROUND(V16/J16,4),0))</f>
        <v>0</v>
      </c>
      <c r="AI16" s="123">
        <f>IFERROR(IF(VLOOKUP($B16,Shortage!$A:$M,AI$2,FALSE)="Shortage",1,IFERROR(ROUND(W16/K16,4),0)),IFERROR(ROUND(W16/K16,4),0))</f>
        <v>0</v>
      </c>
      <c r="AJ16" s="123">
        <f>IFERROR(IF(VLOOKUP($B16,Shortage!$A:$M,AP$2,FALSE)="Shortage",1,IFERROR(ROUND(X16/L16,4),0)),IFERROR(ROUND(X16/L16,4),0))</f>
        <v>0</v>
      </c>
      <c r="AK16" s="123">
        <f>IFERROR(IF(VLOOKUP($B16,Shortage!$A:$M,AK$2,FALSE)="Shortage",1,IFERROR(ROUND(Y16/M16,4),0)),IFERROR(ROUND(Y16/M16,4),0))</f>
        <v>0</v>
      </c>
      <c r="AL16" s="123">
        <f>IFERROR(IF(VLOOKUP($B16,Shortage!$A:$M,AL$2,FALSE)="Shortage",1,IFERROR(ROUND(Z16/N16,4),0)),IFERROR(ROUND(Z16/N16,4),0))</f>
        <v>0</v>
      </c>
      <c r="AM16" s="123">
        <f>IFERROR(IF(VLOOKUP($B16,Shortage!$A:$M,AM$2,FALSE)="Shortage",1,IFERROR(ROUND(AA16/O16,4),0)),IFERROR(ROUND(AA16/O16,4),0))</f>
        <v>0</v>
      </c>
      <c r="AN16" s="232">
        <f>IFERROR(IF($C16="Top WS",VLOOKUP("GOAL",'2) หลักการคำนวน Table'!$D$4:$M$4,HLOOKUP(AB16,'2) หลักการคำนวน Table'!$D$1:$M$5,5,TRUE),0),
IF($C16="WS SF",VLOOKUP("GOAL",'2) หลักการคำนวน Table'!$D$32:$M$32,HLOOKUP(AB16,'2) หลักการคำนวน Table'!$D$1:$M$5,5,TRUE),0),
IF($C16="WS WH",VLOOKUP("GOAL",'2) หลักการคำนวน Table'!$D$62:$M$62,HLOOKUP(AB16,'2) หลักการคำนวน Table'!$D$1:$M$5,5,TRUE),0),
IF($C16="SF WH",VLOOKUP("GOAL",'2) หลักการคำนวน Table'!$D$92:$M$92,HLOOKUP(AB16,'2) หลักการคำนวน Table'!$D$1:$M$5,5,TRUE),0))))),0)</f>
        <v>1</v>
      </c>
      <c r="AO16" s="232">
        <f>IFERROR(IF($C16="Top WS",VLOOKUP("GOAL",'2) หลักการคำนวน Table'!$D$4:$M$4,HLOOKUP(AC16,'2) หลักการคำนวน Table'!$D$1:$M$5,5,TRUE),0),
IF($C16="WS SF",VLOOKUP("GOAL",'2) หลักการคำนวน Table'!$D$32:$M$32,HLOOKUP(AC16,'2) หลักการคำนวน Table'!$D$1:$M$5,5,TRUE),0),
IF($C16="WS WH",VLOOKUP("GOAL",'2) หลักการคำนวน Table'!$D$62:$M$62,HLOOKUP(AC16,'2) หลักการคำนวน Table'!$D$1:$M$5,5,TRUE),0),
IF($C16="SF WH",VLOOKUP("GOAL",'2) หลักการคำนวน Table'!$D$92:$M$92,HLOOKUP(AC16,'2) หลักการคำนวน Table'!$D$1:$M$5,5,TRUE),0))))),0)</f>
        <v>1</v>
      </c>
      <c r="AP16" s="232">
        <f>IFERROR(IF($C16="Top WS",VLOOKUP("GOAL",'2) หลักการคำนวน Table'!$D$4:$M$4,HLOOKUP(AD16,'2) หลักการคำนวน Table'!$D$1:$M$5,5,TRUE),0),
IF($C16="WS SF",VLOOKUP("GOAL",'2) หลักการคำนวน Table'!$D$32:$M$32,HLOOKUP(AD16,'2) หลักการคำนวน Table'!$D$1:$M$5,5,TRUE),0),
IF($C16="WS WH",VLOOKUP("GOAL",'2) หลักการคำนวน Table'!$D$62:$M$62,HLOOKUP(AD16,'2) หลักการคำนวน Table'!$D$1:$M$5,5,TRUE),0),
IF($C16="SF WH",VLOOKUP("GOAL",'2) หลักการคำนวน Table'!$D$92:$M$92,HLOOKUP(AD16,'2) หลักการคำนวน Table'!$D$1:$M$5,5,TRUE),0))))),0)</f>
        <v>0.9</v>
      </c>
      <c r="AQ16" s="232">
        <f>IFERROR(IF($C16="Top WS",VLOOKUP("GOAL",'2) หลักการคำนวน Table'!$D$4:$M$4,HLOOKUP(AE16,'2) หลักการคำนวน Table'!$D$1:$M$5,5,TRUE),0),
IF($C16="WS SF",VLOOKUP("GOAL",'2) หลักการคำนวน Table'!$D$32:$M$32,HLOOKUP(AE16,'2) หลักการคำนวน Table'!$D$1:$M$5,5,TRUE),0),
IF($C16="WS WH",VLOOKUP("GOAL",'2) หลักการคำนวน Table'!$D$62:$M$62,HLOOKUP(AE16,'2) หลักการคำนวน Table'!$D$1:$M$5,5,TRUE),0),
IF($C16="SF WH",VLOOKUP("GOAL",'2) หลักการคำนวน Table'!$D$92:$M$92,HLOOKUP(AE16,'2) หลักการคำนวน Table'!$D$1:$M$5,5,TRUE),0))))),0)</f>
        <v>0.9</v>
      </c>
      <c r="AR16" s="232">
        <f>IFERROR(IF($C16="Top WS",VLOOKUP("GOAL",'2) หลักการคำนวน Table'!$D$4:$M$4,HLOOKUP(AF16,'2) หลักการคำนวน Table'!$D$1:$M$5,5,TRUE),0),
IF($C16="WS SF",VLOOKUP("GOAL",'2) หลักการคำนวน Table'!$D$32:$M$32,HLOOKUP(AF16,'2) หลักการคำนวน Table'!$D$1:$M$5,5,TRUE),0),
IF($C16="WS WH",VLOOKUP("GOAL",'2) หลักการคำนวน Table'!$D$62:$M$62,HLOOKUP(AF16,'2) หลักการคำนวน Table'!$D$1:$M$5,5,TRUE),0),
IF($C16="SF WH",VLOOKUP("GOAL",'2) หลักการคำนวน Table'!$D$92:$M$92,HLOOKUP(AF16,'2) หลักการคำนวน Table'!$D$1:$M$5,5,TRUE),0))))),0)</f>
        <v>0.9</v>
      </c>
      <c r="AS16" s="232">
        <f>IFERROR(IF($C16="Top WS",VLOOKUP("GOAL",'2) หลักการคำนวน Table'!$D$4:$M$4,HLOOKUP(AG16,'2) หลักการคำนวน Table'!$D$1:$M$5,5,TRUE),0),
IF($C16="WS SF",VLOOKUP("GOAL",'2) หลักการคำนวน Table'!$D$32:$M$32,HLOOKUP(AG16,'2) หลักการคำนวน Table'!$D$1:$M$5,5,TRUE),0),
IF($C16="WS WH",VLOOKUP("GOAL",'2) หลักการคำนวน Table'!$D$62:$M$62,HLOOKUP(AG16,'2) หลักการคำนวน Table'!$D$1:$M$5,5,TRUE),0),
IF($C16="SF WH",VLOOKUP("GOAL",'2) หลักการคำนวน Table'!$D$92:$M$92,HLOOKUP(AG16,'2) หลักการคำนวน Table'!$D$1:$M$5,5,TRUE),0))))),0)</f>
        <v>0.9</v>
      </c>
      <c r="AT16" s="232">
        <f>IFERROR(IF($C16="Top WS",VLOOKUP("GOAL",'2) หลักการคำนวน Table'!$D$4:$M$4,HLOOKUP(AH16,'2) หลักการคำนวน Table'!$D$1:$M$5,5,TRUE),0),
IF($C16="WS SF",VLOOKUP("GOAL",'2) หลักการคำนวน Table'!$D$32:$M$32,HLOOKUP(AH16,'2) หลักการคำนวน Table'!$D$1:$M$5,5,TRUE),0),
IF($C16="WS WH",VLOOKUP("GOAL",'2) หลักการคำนวน Table'!$D$62:$M$62,HLOOKUP(AH16,'2) หลักการคำนวน Table'!$D$1:$M$5,5,TRUE),0),
IF($C16="SF WH",VLOOKUP("GOAL",'2) หลักการคำนวน Table'!$D$92:$M$92,HLOOKUP(AH16,'2) หลักการคำนวน Table'!$D$1:$M$5,5,TRUE),0))))),0)</f>
        <v>0.9</v>
      </c>
      <c r="AU16" s="232">
        <f>IFERROR(IF($C16="Top WS",VLOOKUP("GOAL",'2) หลักการคำนวน Table'!$D$4:$M$4,HLOOKUP(AI16,'2) หลักการคำนวน Table'!$D$1:$M$5,5,TRUE),0),
IF($C16="WS SF",VLOOKUP("GOAL",'2) หลักการคำนวน Table'!$D$32:$M$32,HLOOKUP(AI16,'2) หลักการคำนวน Table'!$D$1:$M$5,5,TRUE),0),
IF($C16="WS WH",VLOOKUP("GOAL",'2) หลักการคำนวน Table'!$D$62:$M$62,HLOOKUP(AI16,'2) หลักการคำนวน Table'!$D$1:$M$5,5,TRUE),0),
IF($C16="SF WH",VLOOKUP("GOAL",'2) หลักการคำนวน Table'!$D$92:$M$92,HLOOKUP(AI16,'2) หลักการคำนวน Table'!$D$1:$M$5,5,TRUE),0))))),0)</f>
        <v>0.9</v>
      </c>
      <c r="AV16" s="232">
        <f>IFERROR(IF($C16="Top WS",VLOOKUP("GOAL",'2) หลักการคำนวน Table'!$D$4:$M$4,HLOOKUP(AP16,'2) หลักการคำนวน Table'!$D$1:$M$5,5,TRUE),0),
IF($C16="WS SF",VLOOKUP("GOAL",'2) หลักการคำนวน Table'!$D$32:$M$32,HLOOKUP(AP16,'2) หลักการคำนวน Table'!$D$1:$M$5,5,TRUE),0),
IF($C16="WS WH",VLOOKUP("GOAL",'2) หลักการคำนวน Table'!$D$62:$M$62,HLOOKUP(AP16,'2) หลักการคำนวน Table'!$D$1:$M$5,5,TRUE),0),
IF($C16="SF WH",VLOOKUP("GOAL",'2) หลักการคำนวน Table'!$D$92:$M$92,HLOOKUP(AP16,'2) หลักการคำนวน Table'!$D$1:$M$5,5,TRUE),0))))),0)</f>
        <v>0.9</v>
      </c>
      <c r="AW16" s="232">
        <f>IFERROR(IF($C16="Top WS",VLOOKUP("GOAL",'2) หลักการคำนวน Table'!$D$4:$M$4,HLOOKUP(AK16,'2) หลักการคำนวน Table'!$D$1:$M$5,5,TRUE),0),
IF($C16="WS SF",VLOOKUP("GOAL",'2) หลักการคำนวน Table'!$D$32:$M$32,HLOOKUP(AK16,'2) หลักการคำนวน Table'!$D$1:$M$5,5,TRUE),0),
IF($C16="WS WH",VLOOKUP("GOAL",'2) หลักการคำนวน Table'!$D$62:$M$62,HLOOKUP(AK16,'2) หลักการคำนวน Table'!$D$1:$M$5,5,TRUE),0),
IF($C16="SF WH",VLOOKUP("GOAL",'2) หลักการคำนวน Table'!$D$92:$M$92,HLOOKUP(AK16,'2) หลักการคำนวน Table'!$D$1:$M$5,5,TRUE),0))))),0)</f>
        <v>0.9</v>
      </c>
      <c r="AX16" s="232">
        <f>IFERROR(IF($C16="Top WS",VLOOKUP("GOAL",'2) หลักการคำนวน Table'!$D$4:$M$4,HLOOKUP(AL16,'2) หลักการคำนวน Table'!$D$1:$M$5,5,TRUE),0),
IF($C16="WS SF",VLOOKUP("GOAL",'2) หลักการคำนวน Table'!$D$32:$M$32,HLOOKUP(AL16,'2) หลักการคำนวน Table'!$D$1:$M$5,5,TRUE),0),
IF($C16="WS WH",VLOOKUP("GOAL",'2) หลักการคำนวน Table'!$D$62:$M$62,HLOOKUP(AL16,'2) หลักการคำนวน Table'!$D$1:$M$5,5,TRUE),0),
IF($C16="SF WH",VLOOKUP("GOAL",'2) หลักการคำนวน Table'!$D$92:$M$92,HLOOKUP(AL16,'2) หลักการคำนวน Table'!$D$1:$M$5,5,TRUE),0))))),0)</f>
        <v>0.9</v>
      </c>
      <c r="AY16" s="232">
        <f>IFERROR(IF($C16="Top WS",VLOOKUP("GOAL",'2) หลักการคำนวน Table'!$D$4:$M$4,HLOOKUP(AM16,'2) หลักการคำนวน Table'!$D$1:$M$5,5,TRUE),0),
IF($C16="WS SF",VLOOKUP("GOAL",'2) หลักการคำนวน Table'!$D$32:$M$32,HLOOKUP(AM16,'2) หลักการคำนวน Table'!$D$1:$M$5,5,TRUE),0),
IF($C16="WS WH",VLOOKUP("GOAL",'2) หลักการคำนวน Table'!$D$62:$M$62,HLOOKUP(AM16,'2) หลักการคำนวน Table'!$D$1:$M$5,5,TRUE),0),
IF($C16="SF WH",VLOOKUP("GOAL",'2) หลักการคำนวน Table'!$D$92:$M$92,HLOOKUP(AM16,'2) หลักการคำนวน Table'!$D$1:$M$5,5,TRUE),0))))),0)</f>
        <v>0.9</v>
      </c>
      <c r="AZ16" s="167">
        <f>IFERROR(IF($C16="Top WS",VLOOKUP($B16,'2) หลักการคำนวน Table'!$D$5:$M$20,HLOOKUP(AB16,'2) หลักการคำนวน Table'!$D$1:$M$5,5,TRUE),0),
IF($C16="WS SF",VLOOKUP($B16,'2) หลักการคำนวน Table'!$D$33:$M$48,HLOOKUP(AB16,'2) หลักการคำนวน Table'!$D$1:$M$5,5,TRUE),0),
IF($C16="WS WH",VLOOKUP($B16,'2) หลักการคำนวน Table'!$D$63:$M$78,HLOOKUP(AB16,'2) หลักการคำนวน Table'!$D$1:$M$5,5,TRUE),0),
IF($C16="SF WH",VLOOKUP($B16,'2) หลักการคำนวน Table'!$D$93:$M$108,HLOOKUP(AB16,'2) หลักการคำนวน Table'!$D$1:$M$5,5,TRUE),0))))),0)</f>
        <v>400</v>
      </c>
      <c r="BA16" s="167">
        <f>IFERROR(IF($C16="Top WS",VLOOKUP($B16,'2) หลักการคำนวน Table'!$D$5:$M$20,HLOOKUP(AC16,'2) หลักการคำนวน Table'!$D$1:$M$5,5,TRUE),0),
IF($C16="WS SF",VLOOKUP($B16,'2) หลักการคำนวน Table'!$D$33:$M$48,HLOOKUP(AC16,'2) หลักการคำนวน Table'!$D$1:$M$5,5,TRUE),0),
IF($C16="WS WH",VLOOKUP($B16,'2) หลักการคำนวน Table'!$D$63:$M$78,HLOOKUP(AC16,'2) หลักการคำนวน Table'!$D$1:$M$5,5,TRUE),0),
IF($C16="SF WH",VLOOKUP($B16,'2) หลักการคำนวน Table'!$D$93:$M$108,HLOOKUP(AC16,'2) หลักการคำนวน Table'!$D$1:$M$5,5,TRUE),0))))),0)</f>
        <v>400</v>
      </c>
      <c r="BB16" s="167">
        <f>IFERROR(IF($C16="Top WS",VLOOKUP($B16,'2) หลักการคำนวน Table'!$D$5:$M$20,HLOOKUP(AD16,'2) หลักการคำนวน Table'!$D$1:$M$5,5,TRUE),0),
IF($C16="WS SF",VLOOKUP($B16,'2) หลักการคำนวน Table'!$D$33:$M$48,HLOOKUP(AD16,'2) หลักการคำนวน Table'!$D$1:$M$5,5,TRUE),0),
IF($C16="WS WH",VLOOKUP($B16,'2) หลักการคำนวน Table'!$D$63:$M$78,HLOOKUP(AD16,'2) หลักการคำนวน Table'!$D$1:$M$5,5,TRUE),0),
IF($C16="SF WH",VLOOKUP($B16,'2) หลักการคำนวน Table'!$D$93:$M$108,HLOOKUP(AD16,'2) หลักการคำนวน Table'!$D$1:$M$5,5,TRUE),0))))),0)</f>
        <v>360</v>
      </c>
      <c r="BC16" s="167">
        <f>IFERROR(IF($C16="Top WS",VLOOKUP($B16,'2) หลักการคำนวน Table'!$D$5:$M$20,HLOOKUP(AE16,'2) หลักการคำนวน Table'!$D$1:$M$5,5,TRUE),0),
IF($C16="WS SF",VLOOKUP($B16,'2) หลักการคำนวน Table'!$D$33:$M$48,HLOOKUP(AE16,'2) หลักการคำนวน Table'!$D$1:$M$5,5,TRUE),0),
IF($C16="WS WH",VLOOKUP($B16,'2) หลักการคำนวน Table'!$D$63:$M$78,HLOOKUP(AE16,'2) หลักการคำนวน Table'!$D$1:$M$5,5,TRUE),0),
IF($C16="SF WH",VLOOKUP($B16,'2) หลักการคำนวน Table'!$D$93:$M$108,HLOOKUP(AE16,'2) หลักการคำนวน Table'!$D$1:$M$5,5,TRUE),0))))),0)</f>
        <v>360</v>
      </c>
      <c r="BD16" s="167">
        <f>IFERROR(IF($C16="Top WS",VLOOKUP($B16,'2) หลักการคำนวน Table'!$D$5:$M$20,HLOOKUP(AF16,'2) หลักการคำนวน Table'!$D$1:$M$5,5,TRUE),0),
IF($C16="WS SF",VLOOKUP($B16,'2) หลักการคำนวน Table'!$D$33:$M$48,HLOOKUP(AF16,'2) หลักการคำนวน Table'!$D$1:$M$5,5,TRUE),0),
IF($C16="WS WH",VLOOKUP($B16,'2) หลักการคำนวน Table'!$D$63:$M$78,HLOOKUP(AF16,'2) หลักการคำนวน Table'!$D$1:$M$5,5,TRUE),0),
IF($C16="SF WH",VLOOKUP($B16,'2) หลักการคำนวน Table'!$D$93:$M$108,HLOOKUP(AF16,'2) หลักการคำนวน Table'!$D$1:$M$5,5,TRUE),0))))),0)</f>
        <v>360</v>
      </c>
      <c r="BE16" s="167">
        <f>IFERROR(IF($C16="Top WS",VLOOKUP($B16,'2) หลักการคำนวน Table'!$D$5:$M$20,HLOOKUP(AG16,'2) หลักการคำนวน Table'!$D$1:$M$5,5,TRUE),0),
IF($C16="WS SF",VLOOKUP($B16,'2) หลักการคำนวน Table'!$D$33:$M$48,HLOOKUP(AG16,'2) หลักการคำนวน Table'!$D$1:$M$5,5,TRUE),0),
IF($C16="WS WH",VLOOKUP($B16,'2) หลักการคำนวน Table'!$D$63:$M$78,HLOOKUP(AG16,'2) หลักการคำนวน Table'!$D$1:$M$5,5,TRUE),0),
IF($C16="SF WH",VLOOKUP($B16,'2) หลักการคำนวน Table'!$D$93:$M$108,HLOOKUP(AG16,'2) หลักการคำนวน Table'!$D$1:$M$5,5,TRUE),0))))),0)</f>
        <v>360</v>
      </c>
      <c r="BF16" s="167">
        <f>IFERROR(IF($C16="Top WS",VLOOKUP($B16,'2) หลักการคำนวน Table'!$D$5:$M$20,HLOOKUP(AH16,'2) หลักการคำนวน Table'!$D$1:$M$5,5,TRUE),0),
IF($C16="WS SF",VLOOKUP($B16,'2) หลักการคำนวน Table'!$D$33:$M$48,HLOOKUP(AH16,'2) หลักการคำนวน Table'!$D$1:$M$5,5,TRUE),0),
IF($C16="WS WH",VLOOKUP($B16,'2) หลักการคำนวน Table'!$D$63:$M$78,HLOOKUP(AH16,'2) หลักการคำนวน Table'!$D$1:$M$5,5,TRUE),0),
IF($C16="SF WH",VLOOKUP($B16,'2) หลักการคำนวน Table'!$D$93:$M$108,HLOOKUP(AH16,'2) หลักการคำนวน Table'!$D$1:$M$5,5,TRUE),0))))),0)</f>
        <v>360</v>
      </c>
      <c r="BG16" s="167">
        <f>IFERROR(IF($C16="Top WS",VLOOKUP($B16,'2) หลักการคำนวน Table'!$D$5:$M$20,HLOOKUP(AI16,'2) หลักการคำนวน Table'!$D$1:$M$5,5,TRUE),0),
IF($C16="WS SF",VLOOKUP($B16,'2) หลักการคำนวน Table'!$D$33:$M$48,HLOOKUP(AI16,'2) หลักการคำนวน Table'!$D$1:$M$5,5,TRUE),0),
IF($C16="WS WH",VLOOKUP($B16,'2) หลักการคำนวน Table'!$D$63:$M$78,HLOOKUP(AI16,'2) หลักการคำนวน Table'!$D$1:$M$5,5,TRUE),0),
IF($C16="SF WH",VLOOKUP($B16,'2) หลักการคำนวน Table'!$D$93:$M$108,HLOOKUP(AI16,'2) หลักการคำนวน Table'!$D$1:$M$5,5,TRUE),0))))),0)</f>
        <v>360</v>
      </c>
      <c r="BH16" s="167">
        <f>IFERROR(IF($C16="Top WS",VLOOKUP($B16,'2) หลักการคำนวน Table'!$D$5:$M$20,HLOOKUP(AP16,'2) หลักการคำนวน Table'!$D$1:$M$5,5,TRUE),0),
IF($C16="WS SF",VLOOKUP($B16,'2) หลักการคำนวน Table'!$D$33:$M$48,HLOOKUP(AP16,'2) หลักการคำนวน Table'!$D$1:$M$5,5,TRUE),0),
IF($C16="WS WH",VLOOKUP($B16,'2) หลักการคำนวน Table'!$D$63:$M$78,HLOOKUP(AP16,'2) หลักการคำนวน Table'!$D$1:$M$5,5,TRUE),0),
IF($C16="SF WH",VLOOKUP($B16,'2) หลักการคำนวน Table'!$D$93:$M$108,HLOOKUP(AP16,'2) หลักการคำนวน Table'!$D$1:$M$5,5,TRUE),0))))),0)</f>
        <v>360</v>
      </c>
      <c r="BI16" s="167">
        <f>IFERROR(IF($C16="Top WS",VLOOKUP($B16,'2) หลักการคำนวน Table'!$D$5:$M$20,HLOOKUP(AK16,'2) หลักการคำนวน Table'!$D$1:$M$5,5,TRUE),0),
IF($C16="WS SF",VLOOKUP($B16,'2) หลักการคำนวน Table'!$D$33:$M$48,HLOOKUP(AK16,'2) หลักการคำนวน Table'!$D$1:$M$5,5,TRUE),0),
IF($C16="WS WH",VLOOKUP($B16,'2) หลักการคำนวน Table'!$D$63:$M$78,HLOOKUP(AK16,'2) หลักการคำนวน Table'!$D$1:$M$5,5,TRUE),0),
IF($C16="SF WH",VLOOKUP($B16,'2) หลักการคำนวน Table'!$D$93:$M$108,HLOOKUP(AK16,'2) หลักการคำนวน Table'!$D$1:$M$5,5,TRUE),0))))),0)</f>
        <v>360</v>
      </c>
      <c r="BJ16" s="167">
        <f>IFERROR(IF($C16="Top WS",VLOOKUP($B16,'2) หลักการคำนวน Table'!$D$5:$M$20,HLOOKUP(AL16,'2) หลักการคำนวน Table'!$D$1:$M$5,5,TRUE),0),
IF($C16="WS SF",VLOOKUP($B16,'2) หลักการคำนวน Table'!$D$33:$M$48,HLOOKUP(AL16,'2) หลักการคำนวน Table'!$D$1:$M$5,5,TRUE),0),
IF($C16="WS WH",VLOOKUP($B16,'2) หลักการคำนวน Table'!$D$63:$M$78,HLOOKUP(AL16,'2) หลักการคำนวน Table'!$D$1:$M$5,5,TRUE),0),
IF($C16="SF WH",VLOOKUP($B16,'2) หลักการคำนวน Table'!$D$93:$M$108,HLOOKUP(AL16,'2) หลักการคำนวน Table'!$D$1:$M$5,5,TRUE),0))))),0)</f>
        <v>360</v>
      </c>
      <c r="BK16" s="167">
        <f>IFERROR(IF($C16="Top WS",VLOOKUP($B16,'2) หลักการคำนวน Table'!$D$5:$M$20,HLOOKUP(AM16,'2) หลักการคำนวน Table'!$D$1:$M$5,5,TRUE),0),
IF($C16="WS SF",VLOOKUP($B16,'2) หลักการคำนวน Table'!$D$33:$M$48,HLOOKUP(AM16,'2) หลักการคำนวน Table'!$D$1:$M$5,5,TRUE),0),
IF($C16="WS WH",VLOOKUP($B16,'2) หลักการคำนวน Table'!$D$63:$M$78,HLOOKUP(AM16,'2) หลักการคำนวน Table'!$D$1:$M$5,5,TRUE),0),
IF($C16="SF WH",VLOOKUP($B16,'2) หลักการคำนวน Table'!$D$93:$M$108,HLOOKUP(AM16,'2) หลักการคำนวน Table'!$D$1:$M$5,5,TRUE),0))))),0)</f>
        <v>360</v>
      </c>
      <c r="BM16" s="119">
        <f>VLOOKUP(VLOOKUP(A16,ASTBase!E:S,13,FALSE),ASTBase!F:P,11,FALSE)</f>
        <v>160000</v>
      </c>
      <c r="BN16" s="196" cm="1">
        <f t="array" ref="BN16">INDEX(AN16:AY16,,Period!$D$2)</f>
        <v>1</v>
      </c>
    </row>
    <row r="17" spans="1:66" x14ac:dyDescent="0.25">
      <c r="A17" s="117">
        <v>160002</v>
      </c>
      <c r="B17" s="117" t="s">
        <v>390</v>
      </c>
      <c r="C17" s="117" t="s">
        <v>178</v>
      </c>
      <c r="D17" s="118">
        <v>4290</v>
      </c>
      <c r="E17" s="118">
        <v>2414</v>
      </c>
      <c r="F17" s="118">
        <v>2702</v>
      </c>
      <c r="G17" s="118">
        <v>3970</v>
      </c>
      <c r="H17" s="118">
        <v>3679</v>
      </c>
      <c r="I17" s="118">
        <v>4289</v>
      </c>
      <c r="J17" s="118">
        <v>3933</v>
      </c>
      <c r="K17" s="118">
        <v>4097</v>
      </c>
      <c r="L17" s="118">
        <v>3870</v>
      </c>
      <c r="M17" s="118">
        <v>3794</v>
      </c>
      <c r="N17" s="118">
        <v>3870</v>
      </c>
      <c r="O17" s="118">
        <v>3933</v>
      </c>
      <c r="P17" s="117">
        <f>SUMIFS(Actual!C:C,Actual!$A:$A,'3)Target &amp; Cal'!$A17,Actual!$B:$B,'3)Target &amp; Cal'!$B17)</f>
        <v>5416.9999999458287</v>
      </c>
      <c r="Q17" s="117">
        <f>SUMIFS(Actual!D:D,Actual!$A:$A,'3)Target &amp; Cal'!$A17,Actual!$B:$B,'3)Target &amp; Cal'!$B17)</f>
        <v>5088.9999999491101</v>
      </c>
      <c r="R17" s="117">
        <f>SUMIFS(Actual!E:E,Actual!$A:$A,'3)Target &amp; Cal'!$A17,Actual!$B:$B,'3)Target &amp; Cal'!$B17)</f>
        <v>0</v>
      </c>
      <c r="S17" s="117">
        <f>SUMIFS(Actual!F:F,Actual!$A:$A,'3)Target &amp; Cal'!$A17,Actual!$B:$B,'3)Target &amp; Cal'!$B17)</f>
        <v>0</v>
      </c>
      <c r="T17" s="117">
        <f>SUMIFS(Actual!G:G,Actual!$A:$A,'3)Target &amp; Cal'!$A17,Actual!$B:$B,'3)Target &amp; Cal'!$B17)</f>
        <v>0</v>
      </c>
      <c r="U17" s="117">
        <f>SUMIFS(Actual!H:H,Actual!$A:$A,'3)Target &amp; Cal'!$A17,Actual!$B:$B,'3)Target &amp; Cal'!$B17)</f>
        <v>0</v>
      </c>
      <c r="V17" s="117">
        <f>SUMIFS(Actual!I:I,Actual!$A:$A,'3)Target &amp; Cal'!$A17,Actual!$B:$B,'3)Target &amp; Cal'!$B17)</f>
        <v>0</v>
      </c>
      <c r="W17" s="117">
        <f>SUMIFS(Actual!J:J,Actual!$A:$A,'3)Target &amp; Cal'!$A17,Actual!$B:$B,'3)Target &amp; Cal'!$B17)</f>
        <v>0</v>
      </c>
      <c r="X17" s="117">
        <f>SUMIFS(Actual!K:K,Actual!$A:$A,'3)Target &amp; Cal'!$A17,Actual!$B:$B,'3)Target &amp; Cal'!$B17)</f>
        <v>0</v>
      </c>
      <c r="Y17" s="117">
        <f>SUMIFS(Actual!L:L,Actual!$A:$A,'3)Target &amp; Cal'!$A17,Actual!$B:$B,'3)Target &amp; Cal'!$B17)</f>
        <v>0</v>
      </c>
      <c r="Z17" s="117">
        <f>SUMIFS(Actual!M:M,Actual!$A:$A,'3)Target &amp; Cal'!$A17,Actual!$B:$B,'3)Target &amp; Cal'!$B17)</f>
        <v>0</v>
      </c>
      <c r="AA17" s="117">
        <f>SUMIFS(Actual!N:N,Actual!$A:$A,'3)Target &amp; Cal'!$A17,Actual!$B:$B,'3)Target &amp; Cal'!$B17)</f>
        <v>0</v>
      </c>
      <c r="AB17" s="123">
        <f>IFERROR(IF(VLOOKUP($B17,Shortage!$A:$M,AB$2,FALSE)="Shortage",1,IFERROR(ROUND(P17/D17,4),0)),IFERROR(ROUND(P17/D17,4),0))</f>
        <v>1.2626999999999999</v>
      </c>
      <c r="AC17" s="123">
        <f>IFERROR(IF(VLOOKUP($B17,Shortage!$A:$M,AC$2,FALSE)="Shortage",1,IFERROR(ROUND(Q17/E17,4),0)),IFERROR(ROUND(Q17/E17,4),0))</f>
        <v>2.1080999999999999</v>
      </c>
      <c r="AD17" s="123">
        <f>IFERROR(IF(VLOOKUP($B17,Shortage!$A:$M,AD$2,FALSE)="Shortage",1,IFERROR(ROUND(R17/F17,4),0)),IFERROR(ROUND(R17/F17,4),0))</f>
        <v>0</v>
      </c>
      <c r="AE17" s="123">
        <f>IFERROR(IF(VLOOKUP($B17,Shortage!$A:$M,AE$2,FALSE)="Shortage",1,IFERROR(ROUND(S17/G17,4),0)),IFERROR(ROUND(S17/G17,4),0))</f>
        <v>0</v>
      </c>
      <c r="AF17" s="123">
        <f>IFERROR(IF(VLOOKUP($B17,Shortage!$A:$M,AF$2,FALSE)="Shortage",1,IFERROR(ROUND(T17/H17,4),0)),IFERROR(ROUND(T17/H17,4),0))</f>
        <v>0</v>
      </c>
      <c r="AG17" s="123">
        <f>IFERROR(IF(VLOOKUP($B17,Shortage!$A:$M,AG$2,FALSE)="Shortage",1,IFERROR(ROUND(U17/I17,4),0)),IFERROR(ROUND(U17/I17,4),0))</f>
        <v>0</v>
      </c>
      <c r="AH17" s="123">
        <f>IFERROR(IF(VLOOKUP($B17,Shortage!$A:$M,AH$2,FALSE)="Shortage",1,IFERROR(ROUND(V17/J17,4),0)),IFERROR(ROUND(V17/J17,4),0))</f>
        <v>0</v>
      </c>
      <c r="AI17" s="123">
        <f>IFERROR(IF(VLOOKUP($B17,Shortage!$A:$M,AI$2,FALSE)="Shortage",1,IFERROR(ROUND(W17/K17,4),0)),IFERROR(ROUND(W17/K17,4),0))</f>
        <v>0</v>
      </c>
      <c r="AJ17" s="123">
        <f>IFERROR(IF(VLOOKUP($B17,Shortage!$A:$M,AP$2,FALSE)="Shortage",1,IFERROR(ROUND(X17/L17,4),0)),IFERROR(ROUND(X17/L17,4),0))</f>
        <v>0</v>
      </c>
      <c r="AK17" s="123">
        <f>IFERROR(IF(VLOOKUP($B17,Shortage!$A:$M,AK$2,FALSE)="Shortage",1,IFERROR(ROUND(Y17/M17,4),0)),IFERROR(ROUND(Y17/M17,4),0))</f>
        <v>0</v>
      </c>
      <c r="AL17" s="123">
        <f>IFERROR(IF(VLOOKUP($B17,Shortage!$A:$M,AL$2,FALSE)="Shortage",1,IFERROR(ROUND(Z17/N17,4),0)),IFERROR(ROUND(Z17/N17,4),0))</f>
        <v>0</v>
      </c>
      <c r="AM17" s="123">
        <f>IFERROR(IF(VLOOKUP($B17,Shortage!$A:$M,AM$2,FALSE)="Shortage",1,IFERROR(ROUND(AA17/O17,4),0)),IFERROR(ROUND(AA17/O17,4),0))</f>
        <v>0</v>
      </c>
      <c r="AN17" s="232">
        <f>IFERROR(IF($C17="Top WS",VLOOKUP("GOAL",'2) หลักการคำนวน Table'!$D$4:$M$4,HLOOKUP(AB17,'2) หลักการคำนวน Table'!$D$1:$M$5,5,TRUE),0),
IF($C17="WS SF",VLOOKUP("GOAL",'2) หลักการคำนวน Table'!$D$32:$M$32,HLOOKUP(AB17,'2) หลักการคำนวน Table'!$D$1:$M$5,5,TRUE),0),
IF($C17="WS WH",VLOOKUP("GOAL",'2) หลักการคำนวน Table'!$D$62:$M$62,HLOOKUP(AB17,'2) หลักการคำนวน Table'!$D$1:$M$5,5,TRUE),0),
IF($C17="SF WH",VLOOKUP("GOAL",'2) หลักการคำนวน Table'!$D$92:$M$92,HLOOKUP(AB17,'2) หลักการคำนวน Table'!$D$1:$M$5,5,TRUE),0))))),0)</f>
        <v>1.3</v>
      </c>
      <c r="AO17" s="232">
        <f>IFERROR(IF($C17="Top WS",VLOOKUP("GOAL",'2) หลักการคำนวน Table'!$D$4:$M$4,HLOOKUP(AC17,'2) หลักการคำนวน Table'!$D$1:$M$5,5,TRUE),0),
IF($C17="WS SF",VLOOKUP("GOAL",'2) หลักการคำนวน Table'!$D$32:$M$32,HLOOKUP(AC17,'2) หลักการคำนวน Table'!$D$1:$M$5,5,TRUE),0),
IF($C17="WS WH",VLOOKUP("GOAL",'2) หลักการคำนวน Table'!$D$62:$M$62,HLOOKUP(AC17,'2) หลักการคำนวน Table'!$D$1:$M$5,5,TRUE),0),
IF($C17="SF WH",VLOOKUP("GOAL",'2) หลักการคำนวน Table'!$D$92:$M$92,HLOOKUP(AC17,'2) หลักการคำนวน Table'!$D$1:$M$5,5,TRUE),0))))),0)</f>
        <v>1.3</v>
      </c>
      <c r="AP17" s="232">
        <f>IFERROR(IF($C17="Top WS",VLOOKUP("GOAL",'2) หลักการคำนวน Table'!$D$4:$M$4,HLOOKUP(AD17,'2) หลักการคำนวน Table'!$D$1:$M$5,5,TRUE),0),
IF($C17="WS SF",VLOOKUP("GOAL",'2) หลักการคำนวน Table'!$D$32:$M$32,HLOOKUP(AD17,'2) หลักการคำนวน Table'!$D$1:$M$5,5,TRUE),0),
IF($C17="WS WH",VLOOKUP("GOAL",'2) หลักการคำนวน Table'!$D$62:$M$62,HLOOKUP(AD17,'2) หลักการคำนวน Table'!$D$1:$M$5,5,TRUE),0),
IF($C17="SF WH",VLOOKUP("GOAL",'2) หลักการคำนวน Table'!$D$92:$M$92,HLOOKUP(AD17,'2) หลักการคำนวน Table'!$D$1:$M$5,5,TRUE),0))))),0)</f>
        <v>0.9</v>
      </c>
      <c r="AQ17" s="232">
        <f>IFERROR(IF($C17="Top WS",VLOOKUP("GOAL",'2) หลักการคำนวน Table'!$D$4:$M$4,HLOOKUP(AE17,'2) หลักการคำนวน Table'!$D$1:$M$5,5,TRUE),0),
IF($C17="WS SF",VLOOKUP("GOAL",'2) หลักการคำนวน Table'!$D$32:$M$32,HLOOKUP(AE17,'2) หลักการคำนวน Table'!$D$1:$M$5,5,TRUE),0),
IF($C17="WS WH",VLOOKUP("GOAL",'2) หลักการคำนวน Table'!$D$62:$M$62,HLOOKUP(AE17,'2) หลักการคำนวน Table'!$D$1:$M$5,5,TRUE),0),
IF($C17="SF WH",VLOOKUP("GOAL",'2) หลักการคำนวน Table'!$D$92:$M$92,HLOOKUP(AE17,'2) หลักการคำนวน Table'!$D$1:$M$5,5,TRUE),0))))),0)</f>
        <v>0.9</v>
      </c>
      <c r="AR17" s="232">
        <f>IFERROR(IF($C17="Top WS",VLOOKUP("GOAL",'2) หลักการคำนวน Table'!$D$4:$M$4,HLOOKUP(AF17,'2) หลักการคำนวน Table'!$D$1:$M$5,5,TRUE),0),
IF($C17="WS SF",VLOOKUP("GOAL",'2) หลักการคำนวน Table'!$D$32:$M$32,HLOOKUP(AF17,'2) หลักการคำนวน Table'!$D$1:$M$5,5,TRUE),0),
IF($C17="WS WH",VLOOKUP("GOAL",'2) หลักการคำนวน Table'!$D$62:$M$62,HLOOKUP(AF17,'2) หลักการคำนวน Table'!$D$1:$M$5,5,TRUE),0),
IF($C17="SF WH",VLOOKUP("GOAL",'2) หลักการคำนวน Table'!$D$92:$M$92,HLOOKUP(AF17,'2) หลักการคำนวน Table'!$D$1:$M$5,5,TRUE),0))))),0)</f>
        <v>0.9</v>
      </c>
      <c r="AS17" s="232">
        <f>IFERROR(IF($C17="Top WS",VLOOKUP("GOAL",'2) หลักการคำนวน Table'!$D$4:$M$4,HLOOKUP(AG17,'2) หลักการคำนวน Table'!$D$1:$M$5,5,TRUE),0),
IF($C17="WS SF",VLOOKUP("GOAL",'2) หลักการคำนวน Table'!$D$32:$M$32,HLOOKUP(AG17,'2) หลักการคำนวน Table'!$D$1:$M$5,5,TRUE),0),
IF($C17="WS WH",VLOOKUP("GOAL",'2) หลักการคำนวน Table'!$D$62:$M$62,HLOOKUP(AG17,'2) หลักการคำนวน Table'!$D$1:$M$5,5,TRUE),0),
IF($C17="SF WH",VLOOKUP("GOAL",'2) หลักการคำนวน Table'!$D$92:$M$92,HLOOKUP(AG17,'2) หลักการคำนวน Table'!$D$1:$M$5,5,TRUE),0))))),0)</f>
        <v>0.9</v>
      </c>
      <c r="AT17" s="232">
        <f>IFERROR(IF($C17="Top WS",VLOOKUP("GOAL",'2) หลักการคำนวน Table'!$D$4:$M$4,HLOOKUP(AH17,'2) หลักการคำนวน Table'!$D$1:$M$5,5,TRUE),0),
IF($C17="WS SF",VLOOKUP("GOAL",'2) หลักการคำนวน Table'!$D$32:$M$32,HLOOKUP(AH17,'2) หลักการคำนวน Table'!$D$1:$M$5,5,TRUE),0),
IF($C17="WS WH",VLOOKUP("GOAL",'2) หลักการคำนวน Table'!$D$62:$M$62,HLOOKUP(AH17,'2) หลักการคำนวน Table'!$D$1:$M$5,5,TRUE),0),
IF($C17="SF WH",VLOOKUP("GOAL",'2) หลักการคำนวน Table'!$D$92:$M$92,HLOOKUP(AH17,'2) หลักการคำนวน Table'!$D$1:$M$5,5,TRUE),0))))),0)</f>
        <v>0.9</v>
      </c>
      <c r="AU17" s="232">
        <f>IFERROR(IF($C17="Top WS",VLOOKUP("GOAL",'2) หลักการคำนวน Table'!$D$4:$M$4,HLOOKUP(AI17,'2) หลักการคำนวน Table'!$D$1:$M$5,5,TRUE),0),
IF($C17="WS SF",VLOOKUP("GOAL",'2) หลักการคำนวน Table'!$D$32:$M$32,HLOOKUP(AI17,'2) หลักการคำนวน Table'!$D$1:$M$5,5,TRUE),0),
IF($C17="WS WH",VLOOKUP("GOAL",'2) หลักการคำนวน Table'!$D$62:$M$62,HLOOKUP(AI17,'2) หลักการคำนวน Table'!$D$1:$M$5,5,TRUE),0),
IF($C17="SF WH",VLOOKUP("GOAL",'2) หลักการคำนวน Table'!$D$92:$M$92,HLOOKUP(AI17,'2) หลักการคำนวน Table'!$D$1:$M$5,5,TRUE),0))))),0)</f>
        <v>0.9</v>
      </c>
      <c r="AV17" s="232">
        <f>IFERROR(IF($C17="Top WS",VLOOKUP("GOAL",'2) หลักการคำนวน Table'!$D$4:$M$4,HLOOKUP(AP17,'2) หลักการคำนวน Table'!$D$1:$M$5,5,TRUE),0),
IF($C17="WS SF",VLOOKUP("GOAL",'2) หลักการคำนวน Table'!$D$32:$M$32,HLOOKUP(AP17,'2) หลักการคำนวน Table'!$D$1:$M$5,5,TRUE),0),
IF($C17="WS WH",VLOOKUP("GOAL",'2) หลักการคำนวน Table'!$D$62:$M$62,HLOOKUP(AP17,'2) หลักการคำนวน Table'!$D$1:$M$5,5,TRUE),0),
IF($C17="SF WH",VLOOKUP("GOAL",'2) หลักการคำนวน Table'!$D$92:$M$92,HLOOKUP(AP17,'2) หลักการคำนวน Table'!$D$1:$M$5,5,TRUE),0))))),0)</f>
        <v>0.9</v>
      </c>
      <c r="AW17" s="232">
        <f>IFERROR(IF($C17="Top WS",VLOOKUP("GOAL",'2) หลักการคำนวน Table'!$D$4:$M$4,HLOOKUP(AK17,'2) หลักการคำนวน Table'!$D$1:$M$5,5,TRUE),0),
IF($C17="WS SF",VLOOKUP("GOAL",'2) หลักการคำนวน Table'!$D$32:$M$32,HLOOKUP(AK17,'2) หลักการคำนวน Table'!$D$1:$M$5,5,TRUE),0),
IF($C17="WS WH",VLOOKUP("GOAL",'2) หลักการคำนวน Table'!$D$62:$M$62,HLOOKUP(AK17,'2) หลักการคำนวน Table'!$D$1:$M$5,5,TRUE),0),
IF($C17="SF WH",VLOOKUP("GOAL",'2) หลักการคำนวน Table'!$D$92:$M$92,HLOOKUP(AK17,'2) หลักการคำนวน Table'!$D$1:$M$5,5,TRUE),0))))),0)</f>
        <v>0.9</v>
      </c>
      <c r="AX17" s="232">
        <f>IFERROR(IF($C17="Top WS",VLOOKUP("GOAL",'2) หลักการคำนวน Table'!$D$4:$M$4,HLOOKUP(AL17,'2) หลักการคำนวน Table'!$D$1:$M$5,5,TRUE),0),
IF($C17="WS SF",VLOOKUP("GOAL",'2) หลักการคำนวน Table'!$D$32:$M$32,HLOOKUP(AL17,'2) หลักการคำนวน Table'!$D$1:$M$5,5,TRUE),0),
IF($C17="WS WH",VLOOKUP("GOAL",'2) หลักการคำนวน Table'!$D$62:$M$62,HLOOKUP(AL17,'2) หลักการคำนวน Table'!$D$1:$M$5,5,TRUE),0),
IF($C17="SF WH",VLOOKUP("GOAL",'2) หลักการคำนวน Table'!$D$92:$M$92,HLOOKUP(AL17,'2) หลักการคำนวน Table'!$D$1:$M$5,5,TRUE),0))))),0)</f>
        <v>0.9</v>
      </c>
      <c r="AY17" s="232">
        <f>IFERROR(IF($C17="Top WS",VLOOKUP("GOAL",'2) หลักการคำนวน Table'!$D$4:$M$4,HLOOKUP(AM17,'2) หลักการคำนวน Table'!$D$1:$M$5,5,TRUE),0),
IF($C17="WS SF",VLOOKUP("GOAL",'2) หลักการคำนวน Table'!$D$32:$M$32,HLOOKUP(AM17,'2) หลักการคำนวน Table'!$D$1:$M$5,5,TRUE),0),
IF($C17="WS WH",VLOOKUP("GOAL",'2) หลักการคำนวน Table'!$D$62:$M$62,HLOOKUP(AM17,'2) หลักการคำนวน Table'!$D$1:$M$5,5,TRUE),0),
IF($C17="SF WH",VLOOKUP("GOAL",'2) หลักการคำนวน Table'!$D$92:$M$92,HLOOKUP(AM17,'2) หลักการคำนวน Table'!$D$1:$M$5,5,TRUE),0))))),0)</f>
        <v>0.9</v>
      </c>
      <c r="AZ17" s="167">
        <f>IFERROR(IF($C17="Top WS",VLOOKUP($B17,'2) หลักการคำนวน Table'!$D$5:$M$20,HLOOKUP(AB17,'2) หลักการคำนวน Table'!$D$1:$M$5,5,TRUE),0),
IF($C17="WS SF",VLOOKUP($B17,'2) หลักการคำนวน Table'!$D$33:$M$48,HLOOKUP(AB17,'2) หลักการคำนวน Table'!$D$1:$M$5,5,TRUE),0),
IF($C17="WS WH",VLOOKUP($B17,'2) หลักการคำนวน Table'!$D$63:$M$78,HLOOKUP(AB17,'2) หลักการคำนวน Table'!$D$1:$M$5,5,TRUE),0),
IF($C17="SF WH",VLOOKUP($B17,'2) หลักการคำนวน Table'!$D$93:$M$108,HLOOKUP(AB17,'2) หลักการคำนวน Table'!$D$1:$M$5,5,TRUE),0))))),0)</f>
        <v>1040</v>
      </c>
      <c r="BA17" s="167">
        <f>IFERROR(IF($C17="Top WS",VLOOKUP($B17,'2) หลักการคำนวน Table'!$D$5:$M$20,HLOOKUP(AC17,'2) หลักการคำนวน Table'!$D$1:$M$5,5,TRUE),0),
IF($C17="WS SF",VLOOKUP($B17,'2) หลักการคำนวน Table'!$D$33:$M$48,HLOOKUP(AC17,'2) หลักการคำนวน Table'!$D$1:$M$5,5,TRUE),0),
IF($C17="WS WH",VLOOKUP($B17,'2) หลักการคำนวน Table'!$D$63:$M$78,HLOOKUP(AC17,'2) หลักการคำนวน Table'!$D$1:$M$5,5,TRUE),0),
IF($C17="SF WH",VLOOKUP($B17,'2) หลักการคำนวน Table'!$D$93:$M$108,HLOOKUP(AC17,'2) หลักการคำนวน Table'!$D$1:$M$5,5,TRUE),0))))),0)</f>
        <v>1040</v>
      </c>
      <c r="BB17" s="167">
        <f>IFERROR(IF($C17="Top WS",VLOOKUP($B17,'2) หลักการคำนวน Table'!$D$5:$M$20,HLOOKUP(AD17,'2) หลักการคำนวน Table'!$D$1:$M$5,5,TRUE),0),
IF($C17="WS SF",VLOOKUP($B17,'2) หลักการคำนวน Table'!$D$33:$M$48,HLOOKUP(AD17,'2) หลักการคำนวน Table'!$D$1:$M$5,5,TRUE),0),
IF($C17="WS WH",VLOOKUP($B17,'2) หลักการคำนวน Table'!$D$63:$M$78,HLOOKUP(AD17,'2) หลักการคำนวน Table'!$D$1:$M$5,5,TRUE),0),
IF($C17="SF WH",VLOOKUP($B17,'2) หลักการคำนวน Table'!$D$93:$M$108,HLOOKUP(AD17,'2) หลักการคำนวน Table'!$D$1:$M$5,5,TRUE),0))))),0)</f>
        <v>720</v>
      </c>
      <c r="BC17" s="167">
        <f>IFERROR(IF($C17="Top WS",VLOOKUP($B17,'2) หลักการคำนวน Table'!$D$5:$M$20,HLOOKUP(AE17,'2) หลักการคำนวน Table'!$D$1:$M$5,5,TRUE),0),
IF($C17="WS SF",VLOOKUP($B17,'2) หลักการคำนวน Table'!$D$33:$M$48,HLOOKUP(AE17,'2) หลักการคำนวน Table'!$D$1:$M$5,5,TRUE),0),
IF($C17="WS WH",VLOOKUP($B17,'2) หลักการคำนวน Table'!$D$63:$M$78,HLOOKUP(AE17,'2) หลักการคำนวน Table'!$D$1:$M$5,5,TRUE),0),
IF($C17="SF WH",VLOOKUP($B17,'2) หลักการคำนวน Table'!$D$93:$M$108,HLOOKUP(AE17,'2) หลักการคำนวน Table'!$D$1:$M$5,5,TRUE),0))))),0)</f>
        <v>720</v>
      </c>
      <c r="BD17" s="167">
        <f>IFERROR(IF($C17="Top WS",VLOOKUP($B17,'2) หลักการคำนวน Table'!$D$5:$M$20,HLOOKUP(AF17,'2) หลักการคำนวน Table'!$D$1:$M$5,5,TRUE),0),
IF($C17="WS SF",VLOOKUP($B17,'2) หลักการคำนวน Table'!$D$33:$M$48,HLOOKUP(AF17,'2) หลักการคำนวน Table'!$D$1:$M$5,5,TRUE),0),
IF($C17="WS WH",VLOOKUP($B17,'2) หลักการคำนวน Table'!$D$63:$M$78,HLOOKUP(AF17,'2) หลักการคำนวน Table'!$D$1:$M$5,5,TRUE),0),
IF($C17="SF WH",VLOOKUP($B17,'2) หลักการคำนวน Table'!$D$93:$M$108,HLOOKUP(AF17,'2) หลักการคำนวน Table'!$D$1:$M$5,5,TRUE),0))))),0)</f>
        <v>720</v>
      </c>
      <c r="BE17" s="167">
        <f>IFERROR(IF($C17="Top WS",VLOOKUP($B17,'2) หลักการคำนวน Table'!$D$5:$M$20,HLOOKUP(AG17,'2) หลักการคำนวน Table'!$D$1:$M$5,5,TRUE),0),
IF($C17="WS SF",VLOOKUP($B17,'2) หลักการคำนวน Table'!$D$33:$M$48,HLOOKUP(AG17,'2) หลักการคำนวน Table'!$D$1:$M$5,5,TRUE),0),
IF($C17="WS WH",VLOOKUP($B17,'2) หลักการคำนวน Table'!$D$63:$M$78,HLOOKUP(AG17,'2) หลักการคำนวน Table'!$D$1:$M$5,5,TRUE),0),
IF($C17="SF WH",VLOOKUP($B17,'2) หลักการคำนวน Table'!$D$93:$M$108,HLOOKUP(AG17,'2) หลักการคำนวน Table'!$D$1:$M$5,5,TRUE),0))))),0)</f>
        <v>720</v>
      </c>
      <c r="BF17" s="167">
        <f>IFERROR(IF($C17="Top WS",VLOOKUP($B17,'2) หลักการคำนวน Table'!$D$5:$M$20,HLOOKUP(AH17,'2) หลักการคำนวน Table'!$D$1:$M$5,5,TRUE),0),
IF($C17="WS SF",VLOOKUP($B17,'2) หลักการคำนวน Table'!$D$33:$M$48,HLOOKUP(AH17,'2) หลักการคำนวน Table'!$D$1:$M$5,5,TRUE),0),
IF($C17="WS WH",VLOOKUP($B17,'2) หลักการคำนวน Table'!$D$63:$M$78,HLOOKUP(AH17,'2) หลักการคำนวน Table'!$D$1:$M$5,5,TRUE),0),
IF($C17="SF WH",VLOOKUP($B17,'2) หลักการคำนวน Table'!$D$93:$M$108,HLOOKUP(AH17,'2) หลักการคำนวน Table'!$D$1:$M$5,5,TRUE),0))))),0)</f>
        <v>720</v>
      </c>
      <c r="BG17" s="167">
        <f>IFERROR(IF($C17="Top WS",VLOOKUP($B17,'2) หลักการคำนวน Table'!$D$5:$M$20,HLOOKUP(AI17,'2) หลักการคำนวน Table'!$D$1:$M$5,5,TRUE),0),
IF($C17="WS SF",VLOOKUP($B17,'2) หลักการคำนวน Table'!$D$33:$M$48,HLOOKUP(AI17,'2) หลักการคำนวน Table'!$D$1:$M$5,5,TRUE),0),
IF($C17="WS WH",VLOOKUP($B17,'2) หลักการคำนวน Table'!$D$63:$M$78,HLOOKUP(AI17,'2) หลักการคำนวน Table'!$D$1:$M$5,5,TRUE),0),
IF($C17="SF WH",VLOOKUP($B17,'2) หลักการคำนวน Table'!$D$93:$M$108,HLOOKUP(AI17,'2) หลักการคำนวน Table'!$D$1:$M$5,5,TRUE),0))))),0)</f>
        <v>720</v>
      </c>
      <c r="BH17" s="167">
        <f>IFERROR(IF($C17="Top WS",VLOOKUP($B17,'2) หลักการคำนวน Table'!$D$5:$M$20,HLOOKUP(AP17,'2) หลักการคำนวน Table'!$D$1:$M$5,5,TRUE),0),
IF($C17="WS SF",VLOOKUP($B17,'2) หลักการคำนวน Table'!$D$33:$M$48,HLOOKUP(AP17,'2) หลักการคำนวน Table'!$D$1:$M$5,5,TRUE),0),
IF($C17="WS WH",VLOOKUP($B17,'2) หลักการคำนวน Table'!$D$63:$M$78,HLOOKUP(AP17,'2) หลักการคำนวน Table'!$D$1:$M$5,5,TRUE),0),
IF($C17="SF WH",VLOOKUP($B17,'2) หลักการคำนวน Table'!$D$93:$M$108,HLOOKUP(AP17,'2) หลักการคำนวน Table'!$D$1:$M$5,5,TRUE),0))))),0)</f>
        <v>720</v>
      </c>
      <c r="BI17" s="167">
        <f>IFERROR(IF($C17="Top WS",VLOOKUP($B17,'2) หลักการคำนวน Table'!$D$5:$M$20,HLOOKUP(AK17,'2) หลักการคำนวน Table'!$D$1:$M$5,5,TRUE),0),
IF($C17="WS SF",VLOOKUP($B17,'2) หลักการคำนวน Table'!$D$33:$M$48,HLOOKUP(AK17,'2) หลักการคำนวน Table'!$D$1:$M$5,5,TRUE),0),
IF($C17="WS WH",VLOOKUP($B17,'2) หลักการคำนวน Table'!$D$63:$M$78,HLOOKUP(AK17,'2) หลักการคำนวน Table'!$D$1:$M$5,5,TRUE),0),
IF($C17="SF WH",VLOOKUP($B17,'2) หลักการคำนวน Table'!$D$93:$M$108,HLOOKUP(AK17,'2) หลักการคำนวน Table'!$D$1:$M$5,5,TRUE),0))))),0)</f>
        <v>720</v>
      </c>
      <c r="BJ17" s="167">
        <f>IFERROR(IF($C17="Top WS",VLOOKUP($B17,'2) หลักการคำนวน Table'!$D$5:$M$20,HLOOKUP(AL17,'2) หลักการคำนวน Table'!$D$1:$M$5,5,TRUE),0),
IF($C17="WS SF",VLOOKUP($B17,'2) หลักการคำนวน Table'!$D$33:$M$48,HLOOKUP(AL17,'2) หลักการคำนวน Table'!$D$1:$M$5,5,TRUE),0),
IF($C17="WS WH",VLOOKUP($B17,'2) หลักการคำนวน Table'!$D$63:$M$78,HLOOKUP(AL17,'2) หลักการคำนวน Table'!$D$1:$M$5,5,TRUE),0),
IF($C17="SF WH",VLOOKUP($B17,'2) หลักการคำนวน Table'!$D$93:$M$108,HLOOKUP(AL17,'2) หลักการคำนวน Table'!$D$1:$M$5,5,TRUE),0))))),0)</f>
        <v>720</v>
      </c>
      <c r="BK17" s="167">
        <f>IFERROR(IF($C17="Top WS",VLOOKUP($B17,'2) หลักการคำนวน Table'!$D$5:$M$20,HLOOKUP(AM17,'2) หลักการคำนวน Table'!$D$1:$M$5,5,TRUE),0),
IF($C17="WS SF",VLOOKUP($B17,'2) หลักการคำนวน Table'!$D$33:$M$48,HLOOKUP(AM17,'2) หลักการคำนวน Table'!$D$1:$M$5,5,TRUE),0),
IF($C17="WS WH",VLOOKUP($B17,'2) หลักการคำนวน Table'!$D$63:$M$78,HLOOKUP(AM17,'2) หลักการคำนวน Table'!$D$1:$M$5,5,TRUE),0),
IF($C17="SF WH",VLOOKUP($B17,'2) หลักการคำนวน Table'!$D$93:$M$108,HLOOKUP(AM17,'2) หลักการคำนวน Table'!$D$1:$M$5,5,TRUE),0))))),0)</f>
        <v>720</v>
      </c>
      <c r="BM17" s="119">
        <f>VLOOKUP(VLOOKUP(A17,ASTBase!E:S,13,FALSE),ASTBase!F:P,11,FALSE)</f>
        <v>160000</v>
      </c>
      <c r="BN17" s="196" cm="1">
        <f t="array" ref="BN17">INDEX(AN17:AY17,,Period!$D$2)</f>
        <v>1.3</v>
      </c>
    </row>
    <row r="18" spans="1:66" x14ac:dyDescent="0.25">
      <c r="A18" s="117">
        <v>160002</v>
      </c>
      <c r="B18" s="117" t="s">
        <v>392</v>
      </c>
      <c r="C18" s="117" t="s">
        <v>178</v>
      </c>
      <c r="D18" s="118">
        <v>2934</v>
      </c>
      <c r="E18" s="118">
        <v>1294</v>
      </c>
      <c r="F18" s="118">
        <v>1301</v>
      </c>
      <c r="G18" s="118">
        <v>2170</v>
      </c>
      <c r="H18" s="118">
        <v>1776</v>
      </c>
      <c r="I18" s="118">
        <v>1105</v>
      </c>
      <c r="J18" s="118">
        <v>2815</v>
      </c>
      <c r="K18" s="118">
        <v>1615</v>
      </c>
      <c r="L18" s="118">
        <v>1825</v>
      </c>
      <c r="M18" s="118">
        <v>2401</v>
      </c>
      <c r="N18" s="118">
        <v>2513</v>
      </c>
      <c r="O18" s="118">
        <v>2513</v>
      </c>
      <c r="P18" s="117">
        <f>SUMIFS(Actual!C:C,Actual!$A:$A,'3)Target &amp; Cal'!$A18,Actual!$B:$B,'3)Target &amp; Cal'!$B18)</f>
        <v>2110.8510000000001</v>
      </c>
      <c r="Q18" s="117">
        <f>SUMIFS(Actual!D:D,Actual!$A:$A,'3)Target &amp; Cal'!$A18,Actual!$B:$B,'3)Target &amp; Cal'!$B18)</f>
        <v>737.74799999999993</v>
      </c>
      <c r="R18" s="117">
        <f>SUMIFS(Actual!E:E,Actual!$A:$A,'3)Target &amp; Cal'!$A18,Actual!$B:$B,'3)Target &amp; Cal'!$B18)</f>
        <v>0</v>
      </c>
      <c r="S18" s="117">
        <f>SUMIFS(Actual!F:F,Actual!$A:$A,'3)Target &amp; Cal'!$A18,Actual!$B:$B,'3)Target &amp; Cal'!$B18)</f>
        <v>0</v>
      </c>
      <c r="T18" s="117">
        <f>SUMIFS(Actual!G:G,Actual!$A:$A,'3)Target &amp; Cal'!$A18,Actual!$B:$B,'3)Target &amp; Cal'!$B18)</f>
        <v>0</v>
      </c>
      <c r="U18" s="117">
        <f>SUMIFS(Actual!H:H,Actual!$A:$A,'3)Target &amp; Cal'!$A18,Actual!$B:$B,'3)Target &amp; Cal'!$B18)</f>
        <v>0</v>
      </c>
      <c r="V18" s="117">
        <f>SUMIFS(Actual!I:I,Actual!$A:$A,'3)Target &amp; Cal'!$A18,Actual!$B:$B,'3)Target &amp; Cal'!$B18)</f>
        <v>0</v>
      </c>
      <c r="W18" s="117">
        <f>SUMIFS(Actual!J:J,Actual!$A:$A,'3)Target &amp; Cal'!$A18,Actual!$B:$B,'3)Target &amp; Cal'!$B18)</f>
        <v>0</v>
      </c>
      <c r="X18" s="117">
        <f>SUMIFS(Actual!K:K,Actual!$A:$A,'3)Target &amp; Cal'!$A18,Actual!$B:$B,'3)Target &amp; Cal'!$B18)</f>
        <v>0</v>
      </c>
      <c r="Y18" s="117">
        <f>SUMIFS(Actual!L:L,Actual!$A:$A,'3)Target &amp; Cal'!$A18,Actual!$B:$B,'3)Target &amp; Cal'!$B18)</f>
        <v>0</v>
      </c>
      <c r="Z18" s="117">
        <f>SUMIFS(Actual!M:M,Actual!$A:$A,'3)Target &amp; Cal'!$A18,Actual!$B:$B,'3)Target &amp; Cal'!$B18)</f>
        <v>0</v>
      </c>
      <c r="AA18" s="117">
        <f>SUMIFS(Actual!N:N,Actual!$A:$A,'3)Target &amp; Cal'!$A18,Actual!$B:$B,'3)Target &amp; Cal'!$B18)</f>
        <v>0</v>
      </c>
      <c r="AB18" s="123">
        <f>IFERROR(IF(VLOOKUP($B18,Shortage!$A:$M,AB$2,FALSE)="Shortage",1,IFERROR(ROUND(P18/D18,4),0)),IFERROR(ROUND(P18/D18,4),0))</f>
        <v>0.71940000000000004</v>
      </c>
      <c r="AC18" s="123">
        <f>IFERROR(IF(VLOOKUP($B18,Shortage!$A:$M,AC$2,FALSE)="Shortage",1,IFERROR(ROUND(Q18/E18,4),0)),IFERROR(ROUND(Q18/E18,4),0))</f>
        <v>0.57010000000000005</v>
      </c>
      <c r="AD18" s="123">
        <f>IFERROR(IF(VLOOKUP($B18,Shortage!$A:$M,AD$2,FALSE)="Shortage",1,IFERROR(ROUND(R18/F18,4),0)),IFERROR(ROUND(R18/F18,4),0))</f>
        <v>0</v>
      </c>
      <c r="AE18" s="123">
        <f>IFERROR(IF(VLOOKUP($B18,Shortage!$A:$M,AE$2,FALSE)="Shortage",1,IFERROR(ROUND(S18/G18,4),0)),IFERROR(ROUND(S18/G18,4),0))</f>
        <v>0</v>
      </c>
      <c r="AF18" s="123">
        <f>IFERROR(IF(VLOOKUP($B18,Shortage!$A:$M,AF$2,FALSE)="Shortage",1,IFERROR(ROUND(T18/H18,4),0)),IFERROR(ROUND(T18/H18,4),0))</f>
        <v>0</v>
      </c>
      <c r="AG18" s="123">
        <f>IFERROR(IF(VLOOKUP($B18,Shortage!$A:$M,AG$2,FALSE)="Shortage",1,IFERROR(ROUND(U18/I18,4),0)),IFERROR(ROUND(U18/I18,4),0))</f>
        <v>0</v>
      </c>
      <c r="AH18" s="123">
        <f>IFERROR(IF(VLOOKUP($B18,Shortage!$A:$M,AH$2,FALSE)="Shortage",1,IFERROR(ROUND(V18/J18,4),0)),IFERROR(ROUND(V18/J18,4),0))</f>
        <v>0</v>
      </c>
      <c r="AI18" s="123">
        <f>IFERROR(IF(VLOOKUP($B18,Shortage!$A:$M,AI$2,FALSE)="Shortage",1,IFERROR(ROUND(W18/K18,4),0)),IFERROR(ROUND(W18/K18,4),0))</f>
        <v>0</v>
      </c>
      <c r="AJ18" s="123">
        <f>IFERROR(IF(VLOOKUP($B18,Shortage!$A:$M,AP$2,FALSE)="Shortage",1,IFERROR(ROUND(X18/L18,4),0)),IFERROR(ROUND(X18/L18,4),0))</f>
        <v>0</v>
      </c>
      <c r="AK18" s="123">
        <f>IFERROR(IF(VLOOKUP($B18,Shortage!$A:$M,AK$2,FALSE)="Shortage",1,IFERROR(ROUND(Y18/M18,4),0)),IFERROR(ROUND(Y18/M18,4),0))</f>
        <v>0</v>
      </c>
      <c r="AL18" s="123">
        <f>IFERROR(IF(VLOOKUP($B18,Shortage!$A:$M,AL$2,FALSE)="Shortage",1,IFERROR(ROUND(Z18/N18,4),0)),IFERROR(ROUND(Z18/N18,4),0))</f>
        <v>0</v>
      </c>
      <c r="AM18" s="123">
        <f>IFERROR(IF(VLOOKUP($B18,Shortage!$A:$M,AM$2,FALSE)="Shortage",1,IFERROR(ROUND(AA18/O18,4),0)),IFERROR(ROUND(AA18/O18,4),0))</f>
        <v>0</v>
      </c>
      <c r="AN18" s="232">
        <f>IFERROR(IF($C18="Top WS",VLOOKUP("GOAL",'2) หลักการคำนวน Table'!$D$4:$M$4,HLOOKUP(AB18,'2) หลักการคำนวน Table'!$D$1:$M$5,5,TRUE),0),
IF($C18="WS SF",VLOOKUP("GOAL",'2) หลักการคำนวน Table'!$D$32:$M$32,HLOOKUP(AB18,'2) หลักการคำนวน Table'!$D$1:$M$5,5,TRUE),0),
IF($C18="WS WH",VLOOKUP("GOAL",'2) หลักการคำนวน Table'!$D$62:$M$62,HLOOKUP(AB18,'2) หลักการคำนวน Table'!$D$1:$M$5,5,TRUE),0),
IF($C18="SF WH",VLOOKUP("GOAL",'2) หลักการคำนวน Table'!$D$92:$M$92,HLOOKUP(AB18,'2) หลักการคำนวน Table'!$D$1:$M$5,5,TRUE),0))))),0)</f>
        <v>0.9</v>
      </c>
      <c r="AO18" s="232">
        <f>IFERROR(IF($C18="Top WS",VLOOKUP("GOAL",'2) หลักการคำนวน Table'!$D$4:$M$4,HLOOKUP(AC18,'2) หลักการคำนวน Table'!$D$1:$M$5,5,TRUE),0),
IF($C18="WS SF",VLOOKUP("GOAL",'2) หลักการคำนวน Table'!$D$32:$M$32,HLOOKUP(AC18,'2) หลักการคำนวน Table'!$D$1:$M$5,5,TRUE),0),
IF($C18="WS WH",VLOOKUP("GOAL",'2) หลักการคำนวน Table'!$D$62:$M$62,HLOOKUP(AC18,'2) หลักการคำนวน Table'!$D$1:$M$5,5,TRUE),0),
IF($C18="SF WH",VLOOKUP("GOAL",'2) หลักการคำนวน Table'!$D$92:$M$92,HLOOKUP(AC18,'2) หลักการคำนวน Table'!$D$1:$M$5,5,TRUE),0))))),0)</f>
        <v>0.9</v>
      </c>
      <c r="AP18" s="232">
        <f>IFERROR(IF($C18="Top WS",VLOOKUP("GOAL",'2) หลักการคำนวน Table'!$D$4:$M$4,HLOOKUP(AD18,'2) หลักการคำนวน Table'!$D$1:$M$5,5,TRUE),0),
IF($C18="WS SF",VLOOKUP("GOAL",'2) หลักการคำนวน Table'!$D$32:$M$32,HLOOKUP(AD18,'2) หลักการคำนวน Table'!$D$1:$M$5,5,TRUE),0),
IF($C18="WS WH",VLOOKUP("GOAL",'2) หลักการคำนวน Table'!$D$62:$M$62,HLOOKUP(AD18,'2) หลักการคำนวน Table'!$D$1:$M$5,5,TRUE),0),
IF($C18="SF WH",VLOOKUP("GOAL",'2) หลักการคำนวน Table'!$D$92:$M$92,HLOOKUP(AD18,'2) หลักการคำนวน Table'!$D$1:$M$5,5,TRUE),0))))),0)</f>
        <v>0.9</v>
      </c>
      <c r="AQ18" s="232">
        <f>IFERROR(IF($C18="Top WS",VLOOKUP("GOAL",'2) หลักการคำนวน Table'!$D$4:$M$4,HLOOKUP(AE18,'2) หลักการคำนวน Table'!$D$1:$M$5,5,TRUE),0),
IF($C18="WS SF",VLOOKUP("GOAL",'2) หลักการคำนวน Table'!$D$32:$M$32,HLOOKUP(AE18,'2) หลักการคำนวน Table'!$D$1:$M$5,5,TRUE),0),
IF($C18="WS WH",VLOOKUP("GOAL",'2) หลักการคำนวน Table'!$D$62:$M$62,HLOOKUP(AE18,'2) หลักการคำนวน Table'!$D$1:$M$5,5,TRUE),0),
IF($C18="SF WH",VLOOKUP("GOAL",'2) หลักการคำนวน Table'!$D$92:$M$92,HLOOKUP(AE18,'2) หลักการคำนวน Table'!$D$1:$M$5,5,TRUE),0))))),0)</f>
        <v>0.9</v>
      </c>
      <c r="AR18" s="232">
        <f>IFERROR(IF($C18="Top WS",VLOOKUP("GOAL",'2) หลักการคำนวน Table'!$D$4:$M$4,HLOOKUP(AF18,'2) หลักการคำนวน Table'!$D$1:$M$5,5,TRUE),0),
IF($C18="WS SF",VLOOKUP("GOAL",'2) หลักการคำนวน Table'!$D$32:$M$32,HLOOKUP(AF18,'2) หลักการคำนวน Table'!$D$1:$M$5,5,TRUE),0),
IF($C18="WS WH",VLOOKUP("GOAL",'2) หลักการคำนวน Table'!$D$62:$M$62,HLOOKUP(AF18,'2) หลักการคำนวน Table'!$D$1:$M$5,5,TRUE),0),
IF($C18="SF WH",VLOOKUP("GOAL",'2) หลักการคำนวน Table'!$D$92:$M$92,HLOOKUP(AF18,'2) หลักการคำนวน Table'!$D$1:$M$5,5,TRUE),0))))),0)</f>
        <v>0.9</v>
      </c>
      <c r="AS18" s="232">
        <f>IFERROR(IF($C18="Top WS",VLOOKUP("GOAL",'2) หลักการคำนวน Table'!$D$4:$M$4,HLOOKUP(AG18,'2) หลักการคำนวน Table'!$D$1:$M$5,5,TRUE),0),
IF($C18="WS SF",VLOOKUP("GOAL",'2) หลักการคำนวน Table'!$D$32:$M$32,HLOOKUP(AG18,'2) หลักการคำนวน Table'!$D$1:$M$5,5,TRUE),0),
IF($C18="WS WH",VLOOKUP("GOAL",'2) หลักการคำนวน Table'!$D$62:$M$62,HLOOKUP(AG18,'2) หลักการคำนวน Table'!$D$1:$M$5,5,TRUE),0),
IF($C18="SF WH",VLOOKUP("GOAL",'2) หลักการคำนวน Table'!$D$92:$M$92,HLOOKUP(AG18,'2) หลักการคำนวน Table'!$D$1:$M$5,5,TRUE),0))))),0)</f>
        <v>0.9</v>
      </c>
      <c r="AT18" s="232">
        <f>IFERROR(IF($C18="Top WS",VLOOKUP("GOAL",'2) หลักการคำนวน Table'!$D$4:$M$4,HLOOKUP(AH18,'2) หลักการคำนวน Table'!$D$1:$M$5,5,TRUE),0),
IF($C18="WS SF",VLOOKUP("GOAL",'2) หลักการคำนวน Table'!$D$32:$M$32,HLOOKUP(AH18,'2) หลักการคำนวน Table'!$D$1:$M$5,5,TRUE),0),
IF($C18="WS WH",VLOOKUP("GOAL",'2) หลักการคำนวน Table'!$D$62:$M$62,HLOOKUP(AH18,'2) หลักการคำนวน Table'!$D$1:$M$5,5,TRUE),0),
IF($C18="SF WH",VLOOKUP("GOAL",'2) หลักการคำนวน Table'!$D$92:$M$92,HLOOKUP(AH18,'2) หลักการคำนวน Table'!$D$1:$M$5,5,TRUE),0))))),0)</f>
        <v>0.9</v>
      </c>
      <c r="AU18" s="232">
        <f>IFERROR(IF($C18="Top WS",VLOOKUP("GOAL",'2) หลักการคำนวน Table'!$D$4:$M$4,HLOOKUP(AI18,'2) หลักการคำนวน Table'!$D$1:$M$5,5,TRUE),0),
IF($C18="WS SF",VLOOKUP("GOAL",'2) หลักการคำนวน Table'!$D$32:$M$32,HLOOKUP(AI18,'2) หลักการคำนวน Table'!$D$1:$M$5,5,TRUE),0),
IF($C18="WS WH",VLOOKUP("GOAL",'2) หลักการคำนวน Table'!$D$62:$M$62,HLOOKUP(AI18,'2) หลักการคำนวน Table'!$D$1:$M$5,5,TRUE),0),
IF($C18="SF WH",VLOOKUP("GOAL",'2) หลักการคำนวน Table'!$D$92:$M$92,HLOOKUP(AI18,'2) หลักการคำนวน Table'!$D$1:$M$5,5,TRUE),0))))),0)</f>
        <v>0.9</v>
      </c>
      <c r="AV18" s="232">
        <f>IFERROR(IF($C18="Top WS",VLOOKUP("GOAL",'2) หลักการคำนวน Table'!$D$4:$M$4,HLOOKUP(AP18,'2) หลักการคำนวน Table'!$D$1:$M$5,5,TRUE),0),
IF($C18="WS SF",VLOOKUP("GOAL",'2) หลักการคำนวน Table'!$D$32:$M$32,HLOOKUP(AP18,'2) หลักการคำนวน Table'!$D$1:$M$5,5,TRUE),0),
IF($C18="WS WH",VLOOKUP("GOAL",'2) หลักการคำนวน Table'!$D$62:$M$62,HLOOKUP(AP18,'2) หลักการคำนวน Table'!$D$1:$M$5,5,TRUE),0),
IF($C18="SF WH",VLOOKUP("GOAL",'2) หลักการคำนวน Table'!$D$92:$M$92,HLOOKUP(AP18,'2) หลักการคำนวน Table'!$D$1:$M$5,5,TRUE),0))))),0)</f>
        <v>0.9</v>
      </c>
      <c r="AW18" s="232">
        <f>IFERROR(IF($C18="Top WS",VLOOKUP("GOAL",'2) หลักการคำนวน Table'!$D$4:$M$4,HLOOKUP(AK18,'2) หลักการคำนวน Table'!$D$1:$M$5,5,TRUE),0),
IF($C18="WS SF",VLOOKUP("GOAL",'2) หลักการคำนวน Table'!$D$32:$M$32,HLOOKUP(AK18,'2) หลักการคำนวน Table'!$D$1:$M$5,5,TRUE),0),
IF($C18="WS WH",VLOOKUP("GOAL",'2) หลักการคำนวน Table'!$D$62:$M$62,HLOOKUP(AK18,'2) หลักการคำนวน Table'!$D$1:$M$5,5,TRUE),0),
IF($C18="SF WH",VLOOKUP("GOAL",'2) หลักการคำนวน Table'!$D$92:$M$92,HLOOKUP(AK18,'2) หลักการคำนวน Table'!$D$1:$M$5,5,TRUE),0))))),0)</f>
        <v>0.9</v>
      </c>
      <c r="AX18" s="232">
        <f>IFERROR(IF($C18="Top WS",VLOOKUP("GOAL",'2) หลักการคำนวน Table'!$D$4:$M$4,HLOOKUP(AL18,'2) หลักการคำนวน Table'!$D$1:$M$5,5,TRUE),0),
IF($C18="WS SF",VLOOKUP("GOAL",'2) หลักการคำนวน Table'!$D$32:$M$32,HLOOKUP(AL18,'2) หลักการคำนวน Table'!$D$1:$M$5,5,TRUE),0),
IF($C18="WS WH",VLOOKUP("GOAL",'2) หลักการคำนวน Table'!$D$62:$M$62,HLOOKUP(AL18,'2) หลักการคำนวน Table'!$D$1:$M$5,5,TRUE),0),
IF($C18="SF WH",VLOOKUP("GOAL",'2) หลักการคำนวน Table'!$D$92:$M$92,HLOOKUP(AL18,'2) หลักการคำนวน Table'!$D$1:$M$5,5,TRUE),0))))),0)</f>
        <v>0.9</v>
      </c>
      <c r="AY18" s="232">
        <f>IFERROR(IF($C18="Top WS",VLOOKUP("GOAL",'2) หลักการคำนวน Table'!$D$4:$M$4,HLOOKUP(AM18,'2) หลักการคำนวน Table'!$D$1:$M$5,5,TRUE),0),
IF($C18="WS SF",VLOOKUP("GOAL",'2) หลักการคำนวน Table'!$D$32:$M$32,HLOOKUP(AM18,'2) หลักการคำนวน Table'!$D$1:$M$5,5,TRUE),0),
IF($C18="WS WH",VLOOKUP("GOAL",'2) หลักการคำนวน Table'!$D$62:$M$62,HLOOKUP(AM18,'2) หลักการคำนวน Table'!$D$1:$M$5,5,TRUE),0),
IF($C18="SF WH",VLOOKUP("GOAL",'2) หลักการคำนวน Table'!$D$92:$M$92,HLOOKUP(AM18,'2) หลักการคำนวน Table'!$D$1:$M$5,5,TRUE),0))))),0)</f>
        <v>0.9</v>
      </c>
      <c r="AZ18" s="167">
        <f>IFERROR(IF($C18="Top WS",VLOOKUP($B18,'2) หลักการคำนวน Table'!$D$5:$M$20,HLOOKUP(AB18,'2) หลักการคำนวน Table'!$D$1:$M$5,5,TRUE),0),
IF($C18="WS SF",VLOOKUP($B18,'2) หลักการคำนวน Table'!$D$33:$M$48,HLOOKUP(AB18,'2) หลักการคำนวน Table'!$D$1:$M$5,5,TRUE),0),
IF($C18="WS WH",VLOOKUP($B18,'2) หลักการคำนวน Table'!$D$63:$M$78,HLOOKUP(AB18,'2) หลักการคำนวน Table'!$D$1:$M$5,5,TRUE),0),
IF($C18="SF WH",VLOOKUP($B18,'2) หลักการคำนวน Table'!$D$93:$M$108,HLOOKUP(AB18,'2) หลักการคำนวน Table'!$D$1:$M$5,5,TRUE),0))))),0)</f>
        <v>360</v>
      </c>
      <c r="BA18" s="167">
        <f>IFERROR(IF($C18="Top WS",VLOOKUP($B18,'2) หลักการคำนวน Table'!$D$5:$M$20,HLOOKUP(AC18,'2) หลักการคำนวน Table'!$D$1:$M$5,5,TRUE),0),
IF($C18="WS SF",VLOOKUP($B18,'2) หลักการคำนวน Table'!$D$33:$M$48,HLOOKUP(AC18,'2) หลักการคำนวน Table'!$D$1:$M$5,5,TRUE),0),
IF($C18="WS WH",VLOOKUP($B18,'2) หลักการคำนวน Table'!$D$63:$M$78,HLOOKUP(AC18,'2) หลักการคำนวน Table'!$D$1:$M$5,5,TRUE),0),
IF($C18="SF WH",VLOOKUP($B18,'2) หลักการคำนวน Table'!$D$93:$M$108,HLOOKUP(AC18,'2) หลักการคำนวน Table'!$D$1:$M$5,5,TRUE),0))))),0)</f>
        <v>360</v>
      </c>
      <c r="BB18" s="167">
        <f>IFERROR(IF($C18="Top WS",VLOOKUP($B18,'2) หลักการคำนวน Table'!$D$5:$M$20,HLOOKUP(AD18,'2) หลักการคำนวน Table'!$D$1:$M$5,5,TRUE),0),
IF($C18="WS SF",VLOOKUP($B18,'2) หลักการคำนวน Table'!$D$33:$M$48,HLOOKUP(AD18,'2) หลักการคำนวน Table'!$D$1:$M$5,5,TRUE),0),
IF($C18="WS WH",VLOOKUP($B18,'2) หลักการคำนวน Table'!$D$63:$M$78,HLOOKUP(AD18,'2) หลักการคำนวน Table'!$D$1:$M$5,5,TRUE),0),
IF($C18="SF WH",VLOOKUP($B18,'2) หลักการคำนวน Table'!$D$93:$M$108,HLOOKUP(AD18,'2) หลักการคำนวน Table'!$D$1:$M$5,5,TRUE),0))))),0)</f>
        <v>360</v>
      </c>
      <c r="BC18" s="167">
        <f>IFERROR(IF($C18="Top WS",VLOOKUP($B18,'2) หลักการคำนวน Table'!$D$5:$M$20,HLOOKUP(AE18,'2) หลักการคำนวน Table'!$D$1:$M$5,5,TRUE),0),
IF($C18="WS SF",VLOOKUP($B18,'2) หลักการคำนวน Table'!$D$33:$M$48,HLOOKUP(AE18,'2) หลักการคำนวน Table'!$D$1:$M$5,5,TRUE),0),
IF($C18="WS WH",VLOOKUP($B18,'2) หลักการคำนวน Table'!$D$63:$M$78,HLOOKUP(AE18,'2) หลักการคำนวน Table'!$D$1:$M$5,5,TRUE),0),
IF($C18="SF WH",VLOOKUP($B18,'2) หลักการคำนวน Table'!$D$93:$M$108,HLOOKUP(AE18,'2) หลักการคำนวน Table'!$D$1:$M$5,5,TRUE),0))))),0)</f>
        <v>360</v>
      </c>
      <c r="BD18" s="167">
        <f>IFERROR(IF($C18="Top WS",VLOOKUP($B18,'2) หลักการคำนวน Table'!$D$5:$M$20,HLOOKUP(AF18,'2) หลักการคำนวน Table'!$D$1:$M$5,5,TRUE),0),
IF($C18="WS SF",VLOOKUP($B18,'2) หลักการคำนวน Table'!$D$33:$M$48,HLOOKUP(AF18,'2) หลักการคำนวน Table'!$D$1:$M$5,5,TRUE),0),
IF($C18="WS WH",VLOOKUP($B18,'2) หลักการคำนวน Table'!$D$63:$M$78,HLOOKUP(AF18,'2) หลักการคำนวน Table'!$D$1:$M$5,5,TRUE),0),
IF($C18="SF WH",VLOOKUP($B18,'2) หลักการคำนวน Table'!$D$93:$M$108,HLOOKUP(AF18,'2) หลักการคำนวน Table'!$D$1:$M$5,5,TRUE),0))))),0)</f>
        <v>360</v>
      </c>
      <c r="BE18" s="167">
        <f>IFERROR(IF($C18="Top WS",VLOOKUP($B18,'2) หลักการคำนวน Table'!$D$5:$M$20,HLOOKUP(AG18,'2) หลักการคำนวน Table'!$D$1:$M$5,5,TRUE),0),
IF($C18="WS SF",VLOOKUP($B18,'2) หลักการคำนวน Table'!$D$33:$M$48,HLOOKUP(AG18,'2) หลักการคำนวน Table'!$D$1:$M$5,5,TRUE),0),
IF($C18="WS WH",VLOOKUP($B18,'2) หลักการคำนวน Table'!$D$63:$M$78,HLOOKUP(AG18,'2) หลักการคำนวน Table'!$D$1:$M$5,5,TRUE),0),
IF($C18="SF WH",VLOOKUP($B18,'2) หลักการคำนวน Table'!$D$93:$M$108,HLOOKUP(AG18,'2) หลักการคำนวน Table'!$D$1:$M$5,5,TRUE),0))))),0)</f>
        <v>360</v>
      </c>
      <c r="BF18" s="167">
        <f>IFERROR(IF($C18="Top WS",VLOOKUP($B18,'2) หลักการคำนวน Table'!$D$5:$M$20,HLOOKUP(AH18,'2) หลักการคำนวน Table'!$D$1:$M$5,5,TRUE),0),
IF($C18="WS SF",VLOOKUP($B18,'2) หลักการคำนวน Table'!$D$33:$M$48,HLOOKUP(AH18,'2) หลักการคำนวน Table'!$D$1:$M$5,5,TRUE),0),
IF($C18="WS WH",VLOOKUP($B18,'2) หลักการคำนวน Table'!$D$63:$M$78,HLOOKUP(AH18,'2) หลักการคำนวน Table'!$D$1:$M$5,5,TRUE),0),
IF($C18="SF WH",VLOOKUP($B18,'2) หลักการคำนวน Table'!$D$93:$M$108,HLOOKUP(AH18,'2) หลักการคำนวน Table'!$D$1:$M$5,5,TRUE),0))))),0)</f>
        <v>360</v>
      </c>
      <c r="BG18" s="167">
        <f>IFERROR(IF($C18="Top WS",VLOOKUP($B18,'2) หลักการคำนวน Table'!$D$5:$M$20,HLOOKUP(AI18,'2) หลักการคำนวน Table'!$D$1:$M$5,5,TRUE),0),
IF($C18="WS SF",VLOOKUP($B18,'2) หลักการคำนวน Table'!$D$33:$M$48,HLOOKUP(AI18,'2) หลักการคำนวน Table'!$D$1:$M$5,5,TRUE),0),
IF($C18="WS WH",VLOOKUP($B18,'2) หลักการคำนวน Table'!$D$63:$M$78,HLOOKUP(AI18,'2) หลักการคำนวน Table'!$D$1:$M$5,5,TRUE),0),
IF($C18="SF WH",VLOOKUP($B18,'2) หลักการคำนวน Table'!$D$93:$M$108,HLOOKUP(AI18,'2) หลักการคำนวน Table'!$D$1:$M$5,5,TRUE),0))))),0)</f>
        <v>360</v>
      </c>
      <c r="BH18" s="167">
        <f>IFERROR(IF($C18="Top WS",VLOOKUP($B18,'2) หลักการคำนวน Table'!$D$5:$M$20,HLOOKUP(AP18,'2) หลักการคำนวน Table'!$D$1:$M$5,5,TRUE),0),
IF($C18="WS SF",VLOOKUP($B18,'2) หลักการคำนวน Table'!$D$33:$M$48,HLOOKUP(AP18,'2) หลักการคำนวน Table'!$D$1:$M$5,5,TRUE),0),
IF($C18="WS WH",VLOOKUP($B18,'2) หลักการคำนวน Table'!$D$63:$M$78,HLOOKUP(AP18,'2) หลักการคำนวน Table'!$D$1:$M$5,5,TRUE),0),
IF($C18="SF WH",VLOOKUP($B18,'2) หลักการคำนวน Table'!$D$93:$M$108,HLOOKUP(AP18,'2) หลักการคำนวน Table'!$D$1:$M$5,5,TRUE),0))))),0)</f>
        <v>360</v>
      </c>
      <c r="BI18" s="167">
        <f>IFERROR(IF($C18="Top WS",VLOOKUP($B18,'2) หลักการคำนวน Table'!$D$5:$M$20,HLOOKUP(AK18,'2) หลักการคำนวน Table'!$D$1:$M$5,5,TRUE),0),
IF($C18="WS SF",VLOOKUP($B18,'2) หลักการคำนวน Table'!$D$33:$M$48,HLOOKUP(AK18,'2) หลักการคำนวน Table'!$D$1:$M$5,5,TRUE),0),
IF($C18="WS WH",VLOOKUP($B18,'2) หลักการคำนวน Table'!$D$63:$M$78,HLOOKUP(AK18,'2) หลักการคำนวน Table'!$D$1:$M$5,5,TRUE),0),
IF($C18="SF WH",VLOOKUP($B18,'2) หลักการคำนวน Table'!$D$93:$M$108,HLOOKUP(AK18,'2) หลักการคำนวน Table'!$D$1:$M$5,5,TRUE),0))))),0)</f>
        <v>360</v>
      </c>
      <c r="BJ18" s="167">
        <f>IFERROR(IF($C18="Top WS",VLOOKUP($B18,'2) หลักการคำนวน Table'!$D$5:$M$20,HLOOKUP(AL18,'2) หลักการคำนวน Table'!$D$1:$M$5,5,TRUE),0),
IF($C18="WS SF",VLOOKUP($B18,'2) หลักการคำนวน Table'!$D$33:$M$48,HLOOKUP(AL18,'2) หลักการคำนวน Table'!$D$1:$M$5,5,TRUE),0),
IF($C18="WS WH",VLOOKUP($B18,'2) หลักการคำนวน Table'!$D$63:$M$78,HLOOKUP(AL18,'2) หลักการคำนวน Table'!$D$1:$M$5,5,TRUE),0),
IF($C18="SF WH",VLOOKUP($B18,'2) หลักการคำนวน Table'!$D$93:$M$108,HLOOKUP(AL18,'2) หลักการคำนวน Table'!$D$1:$M$5,5,TRUE),0))))),0)</f>
        <v>360</v>
      </c>
      <c r="BK18" s="167">
        <f>IFERROR(IF($C18="Top WS",VLOOKUP($B18,'2) หลักการคำนวน Table'!$D$5:$M$20,HLOOKUP(AM18,'2) หลักการคำนวน Table'!$D$1:$M$5,5,TRUE),0),
IF($C18="WS SF",VLOOKUP($B18,'2) หลักการคำนวน Table'!$D$33:$M$48,HLOOKUP(AM18,'2) หลักการคำนวน Table'!$D$1:$M$5,5,TRUE),0),
IF($C18="WS WH",VLOOKUP($B18,'2) หลักการคำนวน Table'!$D$63:$M$78,HLOOKUP(AM18,'2) หลักการคำนวน Table'!$D$1:$M$5,5,TRUE),0),
IF($C18="SF WH",VLOOKUP($B18,'2) หลักการคำนวน Table'!$D$93:$M$108,HLOOKUP(AM18,'2) หลักการคำนวน Table'!$D$1:$M$5,5,TRUE),0))))),0)</f>
        <v>360</v>
      </c>
      <c r="BM18" s="119">
        <f>VLOOKUP(VLOOKUP(A18,ASTBase!E:S,13,FALSE),ASTBase!F:P,11,FALSE)</f>
        <v>160000</v>
      </c>
      <c r="BN18" s="196" cm="1">
        <f t="array" ref="BN18">INDEX(AN18:AY18,,Period!$D$2)</f>
        <v>0.9</v>
      </c>
    </row>
    <row r="19" spans="1:66" x14ac:dyDescent="0.25">
      <c r="A19" s="117">
        <v>160002</v>
      </c>
      <c r="B19" s="117" t="s">
        <v>391</v>
      </c>
      <c r="C19" s="117" t="s">
        <v>178</v>
      </c>
      <c r="D19" s="118">
        <v>2105</v>
      </c>
      <c r="E19" s="118">
        <v>2481</v>
      </c>
      <c r="F19" s="118">
        <v>2682</v>
      </c>
      <c r="G19" s="118">
        <v>3013</v>
      </c>
      <c r="H19" s="118">
        <v>2775</v>
      </c>
      <c r="I19" s="118">
        <v>2739</v>
      </c>
      <c r="J19" s="118">
        <v>3052</v>
      </c>
      <c r="K19" s="118">
        <v>3164</v>
      </c>
      <c r="L19" s="118">
        <v>3626</v>
      </c>
      <c r="M19" s="118">
        <v>2715</v>
      </c>
      <c r="N19" s="118">
        <v>2280</v>
      </c>
      <c r="O19" s="118">
        <v>2280</v>
      </c>
      <c r="P19" s="117">
        <f>SUMIFS(Actual!C:C,Actual!$A:$A,'3)Target &amp; Cal'!$A19,Actual!$B:$B,'3)Target &amp; Cal'!$B19)</f>
        <v>2195.9999999513993</v>
      </c>
      <c r="Q19" s="117">
        <f>SUMIFS(Actual!D:D,Actual!$A:$A,'3)Target &amp; Cal'!$A19,Actual!$B:$B,'3)Target &amp; Cal'!$B19)</f>
        <v>2387.9999999572201</v>
      </c>
      <c r="R19" s="117">
        <f>SUMIFS(Actual!E:E,Actual!$A:$A,'3)Target &amp; Cal'!$A19,Actual!$B:$B,'3)Target &amp; Cal'!$B19)</f>
        <v>0</v>
      </c>
      <c r="S19" s="117">
        <f>SUMIFS(Actual!F:F,Actual!$A:$A,'3)Target &amp; Cal'!$A19,Actual!$B:$B,'3)Target &amp; Cal'!$B19)</f>
        <v>0</v>
      </c>
      <c r="T19" s="117">
        <f>SUMIFS(Actual!G:G,Actual!$A:$A,'3)Target &amp; Cal'!$A19,Actual!$B:$B,'3)Target &amp; Cal'!$B19)</f>
        <v>0</v>
      </c>
      <c r="U19" s="117">
        <f>SUMIFS(Actual!H:H,Actual!$A:$A,'3)Target &amp; Cal'!$A19,Actual!$B:$B,'3)Target &amp; Cal'!$B19)</f>
        <v>0</v>
      </c>
      <c r="V19" s="117">
        <f>SUMIFS(Actual!I:I,Actual!$A:$A,'3)Target &amp; Cal'!$A19,Actual!$B:$B,'3)Target &amp; Cal'!$B19)</f>
        <v>0</v>
      </c>
      <c r="W19" s="117">
        <f>SUMIFS(Actual!J:J,Actual!$A:$A,'3)Target &amp; Cal'!$A19,Actual!$B:$B,'3)Target &amp; Cal'!$B19)</f>
        <v>0</v>
      </c>
      <c r="X19" s="117">
        <f>SUMIFS(Actual!K:K,Actual!$A:$A,'3)Target &amp; Cal'!$A19,Actual!$B:$B,'3)Target &amp; Cal'!$B19)</f>
        <v>0</v>
      </c>
      <c r="Y19" s="117">
        <f>SUMIFS(Actual!L:L,Actual!$A:$A,'3)Target &amp; Cal'!$A19,Actual!$B:$B,'3)Target &amp; Cal'!$B19)</f>
        <v>0</v>
      </c>
      <c r="Z19" s="117">
        <f>SUMIFS(Actual!M:M,Actual!$A:$A,'3)Target &amp; Cal'!$A19,Actual!$B:$B,'3)Target &amp; Cal'!$B19)</f>
        <v>0</v>
      </c>
      <c r="AA19" s="117">
        <f>SUMIFS(Actual!N:N,Actual!$A:$A,'3)Target &amp; Cal'!$A19,Actual!$B:$B,'3)Target &amp; Cal'!$B19)</f>
        <v>0</v>
      </c>
      <c r="AB19" s="123">
        <f>IFERROR(IF(VLOOKUP($B19,Shortage!$A:$M,AB$2,FALSE)="Shortage",1,IFERROR(ROUND(P19/D19,4),0)),IFERROR(ROUND(P19/D19,4),0))</f>
        <v>1</v>
      </c>
      <c r="AC19" s="123">
        <f>IFERROR(IF(VLOOKUP($B19,Shortage!$A:$M,AC$2,FALSE)="Shortage",1,IFERROR(ROUND(Q19/E19,4),0)),IFERROR(ROUND(Q19/E19,4),0))</f>
        <v>1</v>
      </c>
      <c r="AD19" s="123">
        <f>IFERROR(IF(VLOOKUP($B19,Shortage!$A:$M,AD$2,FALSE)="Shortage",1,IFERROR(ROUND(R19/F19,4),0)),IFERROR(ROUND(R19/F19,4),0))</f>
        <v>0</v>
      </c>
      <c r="AE19" s="123">
        <f>IFERROR(IF(VLOOKUP($B19,Shortage!$A:$M,AE$2,FALSE)="Shortage",1,IFERROR(ROUND(S19/G19,4),0)),IFERROR(ROUND(S19/G19,4),0))</f>
        <v>0</v>
      </c>
      <c r="AF19" s="123">
        <f>IFERROR(IF(VLOOKUP($B19,Shortage!$A:$M,AF$2,FALSE)="Shortage",1,IFERROR(ROUND(T19/H19,4),0)),IFERROR(ROUND(T19/H19,4),0))</f>
        <v>0</v>
      </c>
      <c r="AG19" s="123">
        <f>IFERROR(IF(VLOOKUP($B19,Shortage!$A:$M,AG$2,FALSE)="Shortage",1,IFERROR(ROUND(U19/I19,4),0)),IFERROR(ROUND(U19/I19,4),0))</f>
        <v>0</v>
      </c>
      <c r="AH19" s="123">
        <f>IFERROR(IF(VLOOKUP($B19,Shortage!$A:$M,AH$2,FALSE)="Shortage",1,IFERROR(ROUND(V19/J19,4),0)),IFERROR(ROUND(V19/J19,4),0))</f>
        <v>0</v>
      </c>
      <c r="AI19" s="123">
        <f>IFERROR(IF(VLOOKUP($B19,Shortage!$A:$M,AI$2,FALSE)="Shortage",1,IFERROR(ROUND(W19/K19,4),0)),IFERROR(ROUND(W19/K19,4),0))</f>
        <v>0</v>
      </c>
      <c r="AJ19" s="123">
        <f>IFERROR(IF(VLOOKUP($B19,Shortage!$A:$M,AP$2,FALSE)="Shortage",1,IFERROR(ROUND(X19/L19,4),0)),IFERROR(ROUND(X19/L19,4),0))</f>
        <v>0</v>
      </c>
      <c r="AK19" s="123">
        <f>IFERROR(IF(VLOOKUP($B19,Shortage!$A:$M,AK$2,FALSE)="Shortage",1,IFERROR(ROUND(Y19/M19,4),0)),IFERROR(ROUND(Y19/M19,4),0))</f>
        <v>0</v>
      </c>
      <c r="AL19" s="123">
        <f>IFERROR(IF(VLOOKUP($B19,Shortage!$A:$M,AL$2,FALSE)="Shortage",1,IFERROR(ROUND(Z19/N19,4),0)),IFERROR(ROUND(Z19/N19,4),0))</f>
        <v>0</v>
      </c>
      <c r="AM19" s="123">
        <f>IFERROR(IF(VLOOKUP($B19,Shortage!$A:$M,AM$2,FALSE)="Shortage",1,IFERROR(ROUND(AA19/O19,4),0)),IFERROR(ROUND(AA19/O19,4),0))</f>
        <v>0</v>
      </c>
      <c r="AN19" s="232">
        <f>IFERROR(IF($C19="Top WS",VLOOKUP("GOAL",'2) หลักการคำนวน Table'!$D$4:$M$4,HLOOKUP(AB19,'2) หลักการคำนวน Table'!$D$1:$M$5,5,TRUE),0),
IF($C19="WS SF",VLOOKUP("GOAL",'2) หลักการคำนวน Table'!$D$32:$M$32,HLOOKUP(AB19,'2) หลักการคำนวน Table'!$D$1:$M$5,5,TRUE),0),
IF($C19="WS WH",VLOOKUP("GOAL",'2) หลักการคำนวน Table'!$D$62:$M$62,HLOOKUP(AB19,'2) หลักการคำนวน Table'!$D$1:$M$5,5,TRUE),0),
IF($C19="SF WH",VLOOKUP("GOAL",'2) หลักการคำนวน Table'!$D$92:$M$92,HLOOKUP(AB19,'2) หลักการคำนวน Table'!$D$1:$M$5,5,TRUE),0))))),0)</f>
        <v>1</v>
      </c>
      <c r="AO19" s="232">
        <f>IFERROR(IF($C19="Top WS",VLOOKUP("GOAL",'2) หลักการคำนวน Table'!$D$4:$M$4,HLOOKUP(AC19,'2) หลักการคำนวน Table'!$D$1:$M$5,5,TRUE),0),
IF($C19="WS SF",VLOOKUP("GOAL",'2) หลักการคำนวน Table'!$D$32:$M$32,HLOOKUP(AC19,'2) หลักการคำนวน Table'!$D$1:$M$5,5,TRUE),0),
IF($C19="WS WH",VLOOKUP("GOAL",'2) หลักการคำนวน Table'!$D$62:$M$62,HLOOKUP(AC19,'2) หลักการคำนวน Table'!$D$1:$M$5,5,TRUE),0),
IF($C19="SF WH",VLOOKUP("GOAL",'2) หลักการคำนวน Table'!$D$92:$M$92,HLOOKUP(AC19,'2) หลักการคำนวน Table'!$D$1:$M$5,5,TRUE),0))))),0)</f>
        <v>1</v>
      </c>
      <c r="AP19" s="232">
        <f>IFERROR(IF($C19="Top WS",VLOOKUP("GOAL",'2) หลักการคำนวน Table'!$D$4:$M$4,HLOOKUP(AD19,'2) หลักการคำนวน Table'!$D$1:$M$5,5,TRUE),0),
IF($C19="WS SF",VLOOKUP("GOAL",'2) หลักการคำนวน Table'!$D$32:$M$32,HLOOKUP(AD19,'2) หลักการคำนวน Table'!$D$1:$M$5,5,TRUE),0),
IF($C19="WS WH",VLOOKUP("GOAL",'2) หลักการคำนวน Table'!$D$62:$M$62,HLOOKUP(AD19,'2) หลักการคำนวน Table'!$D$1:$M$5,5,TRUE),0),
IF($C19="SF WH",VLOOKUP("GOAL",'2) หลักการคำนวน Table'!$D$92:$M$92,HLOOKUP(AD19,'2) หลักการคำนวน Table'!$D$1:$M$5,5,TRUE),0))))),0)</f>
        <v>0.9</v>
      </c>
      <c r="AQ19" s="232">
        <f>IFERROR(IF($C19="Top WS",VLOOKUP("GOAL",'2) หลักการคำนวน Table'!$D$4:$M$4,HLOOKUP(AE19,'2) หลักการคำนวน Table'!$D$1:$M$5,5,TRUE),0),
IF($C19="WS SF",VLOOKUP("GOAL",'2) หลักการคำนวน Table'!$D$32:$M$32,HLOOKUP(AE19,'2) หลักการคำนวน Table'!$D$1:$M$5,5,TRUE),0),
IF($C19="WS WH",VLOOKUP("GOAL",'2) หลักการคำนวน Table'!$D$62:$M$62,HLOOKUP(AE19,'2) หลักการคำนวน Table'!$D$1:$M$5,5,TRUE),0),
IF($C19="SF WH",VLOOKUP("GOAL",'2) หลักการคำนวน Table'!$D$92:$M$92,HLOOKUP(AE19,'2) หลักการคำนวน Table'!$D$1:$M$5,5,TRUE),0))))),0)</f>
        <v>0.9</v>
      </c>
      <c r="AR19" s="232">
        <f>IFERROR(IF($C19="Top WS",VLOOKUP("GOAL",'2) หลักการคำนวน Table'!$D$4:$M$4,HLOOKUP(AF19,'2) หลักการคำนวน Table'!$D$1:$M$5,5,TRUE),0),
IF($C19="WS SF",VLOOKUP("GOAL",'2) หลักการคำนวน Table'!$D$32:$M$32,HLOOKUP(AF19,'2) หลักการคำนวน Table'!$D$1:$M$5,5,TRUE),0),
IF($C19="WS WH",VLOOKUP("GOAL",'2) หลักการคำนวน Table'!$D$62:$M$62,HLOOKUP(AF19,'2) หลักการคำนวน Table'!$D$1:$M$5,5,TRUE),0),
IF($C19="SF WH",VLOOKUP("GOAL",'2) หลักการคำนวน Table'!$D$92:$M$92,HLOOKUP(AF19,'2) หลักการคำนวน Table'!$D$1:$M$5,5,TRUE),0))))),0)</f>
        <v>0.9</v>
      </c>
      <c r="AS19" s="232">
        <f>IFERROR(IF($C19="Top WS",VLOOKUP("GOAL",'2) หลักการคำนวน Table'!$D$4:$M$4,HLOOKUP(AG19,'2) หลักการคำนวน Table'!$D$1:$M$5,5,TRUE),0),
IF($C19="WS SF",VLOOKUP("GOAL",'2) หลักการคำนวน Table'!$D$32:$M$32,HLOOKUP(AG19,'2) หลักการคำนวน Table'!$D$1:$M$5,5,TRUE),0),
IF($C19="WS WH",VLOOKUP("GOAL",'2) หลักการคำนวน Table'!$D$62:$M$62,HLOOKUP(AG19,'2) หลักการคำนวน Table'!$D$1:$M$5,5,TRUE),0),
IF($C19="SF WH",VLOOKUP("GOAL",'2) หลักการคำนวน Table'!$D$92:$M$92,HLOOKUP(AG19,'2) หลักการคำนวน Table'!$D$1:$M$5,5,TRUE),0))))),0)</f>
        <v>0.9</v>
      </c>
      <c r="AT19" s="232">
        <f>IFERROR(IF($C19="Top WS",VLOOKUP("GOAL",'2) หลักการคำนวน Table'!$D$4:$M$4,HLOOKUP(AH19,'2) หลักการคำนวน Table'!$D$1:$M$5,5,TRUE),0),
IF($C19="WS SF",VLOOKUP("GOAL",'2) หลักการคำนวน Table'!$D$32:$M$32,HLOOKUP(AH19,'2) หลักการคำนวน Table'!$D$1:$M$5,5,TRUE),0),
IF($C19="WS WH",VLOOKUP("GOAL",'2) หลักการคำนวน Table'!$D$62:$M$62,HLOOKUP(AH19,'2) หลักการคำนวน Table'!$D$1:$M$5,5,TRUE),0),
IF($C19="SF WH",VLOOKUP("GOAL",'2) หลักการคำนวน Table'!$D$92:$M$92,HLOOKUP(AH19,'2) หลักการคำนวน Table'!$D$1:$M$5,5,TRUE),0))))),0)</f>
        <v>0.9</v>
      </c>
      <c r="AU19" s="232">
        <f>IFERROR(IF($C19="Top WS",VLOOKUP("GOAL",'2) หลักการคำนวน Table'!$D$4:$M$4,HLOOKUP(AI19,'2) หลักการคำนวน Table'!$D$1:$M$5,5,TRUE),0),
IF($C19="WS SF",VLOOKUP("GOAL",'2) หลักการคำนวน Table'!$D$32:$M$32,HLOOKUP(AI19,'2) หลักการคำนวน Table'!$D$1:$M$5,5,TRUE),0),
IF($C19="WS WH",VLOOKUP("GOAL",'2) หลักการคำนวน Table'!$D$62:$M$62,HLOOKUP(AI19,'2) หลักการคำนวน Table'!$D$1:$M$5,5,TRUE),0),
IF($C19="SF WH",VLOOKUP("GOAL",'2) หลักการคำนวน Table'!$D$92:$M$92,HLOOKUP(AI19,'2) หลักการคำนวน Table'!$D$1:$M$5,5,TRUE),0))))),0)</f>
        <v>0.9</v>
      </c>
      <c r="AV19" s="232">
        <f>IFERROR(IF($C19="Top WS",VLOOKUP("GOAL",'2) หลักการคำนวน Table'!$D$4:$M$4,HLOOKUP(AP19,'2) หลักการคำนวน Table'!$D$1:$M$5,5,TRUE),0),
IF($C19="WS SF",VLOOKUP("GOAL",'2) หลักการคำนวน Table'!$D$32:$M$32,HLOOKUP(AP19,'2) หลักการคำนวน Table'!$D$1:$M$5,5,TRUE),0),
IF($C19="WS WH",VLOOKUP("GOAL",'2) หลักการคำนวน Table'!$D$62:$M$62,HLOOKUP(AP19,'2) หลักการคำนวน Table'!$D$1:$M$5,5,TRUE),0),
IF($C19="SF WH",VLOOKUP("GOAL",'2) หลักการคำนวน Table'!$D$92:$M$92,HLOOKUP(AP19,'2) หลักการคำนวน Table'!$D$1:$M$5,5,TRUE),0))))),0)</f>
        <v>0.9</v>
      </c>
      <c r="AW19" s="232">
        <f>IFERROR(IF($C19="Top WS",VLOOKUP("GOAL",'2) หลักการคำนวน Table'!$D$4:$M$4,HLOOKUP(AK19,'2) หลักการคำนวน Table'!$D$1:$M$5,5,TRUE),0),
IF($C19="WS SF",VLOOKUP("GOAL",'2) หลักการคำนวน Table'!$D$32:$M$32,HLOOKUP(AK19,'2) หลักการคำนวน Table'!$D$1:$M$5,5,TRUE),0),
IF($C19="WS WH",VLOOKUP("GOAL",'2) หลักการคำนวน Table'!$D$62:$M$62,HLOOKUP(AK19,'2) หลักการคำนวน Table'!$D$1:$M$5,5,TRUE),0),
IF($C19="SF WH",VLOOKUP("GOAL",'2) หลักการคำนวน Table'!$D$92:$M$92,HLOOKUP(AK19,'2) หลักการคำนวน Table'!$D$1:$M$5,5,TRUE),0))))),0)</f>
        <v>0.9</v>
      </c>
      <c r="AX19" s="232">
        <f>IFERROR(IF($C19="Top WS",VLOOKUP("GOAL",'2) หลักการคำนวน Table'!$D$4:$M$4,HLOOKUP(AL19,'2) หลักการคำนวน Table'!$D$1:$M$5,5,TRUE),0),
IF($C19="WS SF",VLOOKUP("GOAL",'2) หลักการคำนวน Table'!$D$32:$M$32,HLOOKUP(AL19,'2) หลักการคำนวน Table'!$D$1:$M$5,5,TRUE),0),
IF($C19="WS WH",VLOOKUP("GOAL",'2) หลักการคำนวน Table'!$D$62:$M$62,HLOOKUP(AL19,'2) หลักการคำนวน Table'!$D$1:$M$5,5,TRUE),0),
IF($C19="SF WH",VLOOKUP("GOAL",'2) หลักการคำนวน Table'!$D$92:$M$92,HLOOKUP(AL19,'2) หลักการคำนวน Table'!$D$1:$M$5,5,TRUE),0))))),0)</f>
        <v>0.9</v>
      </c>
      <c r="AY19" s="232">
        <f>IFERROR(IF($C19="Top WS",VLOOKUP("GOAL",'2) หลักการคำนวน Table'!$D$4:$M$4,HLOOKUP(AM19,'2) หลักการคำนวน Table'!$D$1:$M$5,5,TRUE),0),
IF($C19="WS SF",VLOOKUP("GOAL",'2) หลักการคำนวน Table'!$D$32:$M$32,HLOOKUP(AM19,'2) หลักการคำนวน Table'!$D$1:$M$5,5,TRUE),0),
IF($C19="WS WH",VLOOKUP("GOAL",'2) หลักการคำนวน Table'!$D$62:$M$62,HLOOKUP(AM19,'2) หลักการคำนวน Table'!$D$1:$M$5,5,TRUE),0),
IF($C19="SF WH",VLOOKUP("GOAL",'2) หลักการคำนวน Table'!$D$92:$M$92,HLOOKUP(AM19,'2) หลักการคำนวน Table'!$D$1:$M$5,5,TRUE),0))))),0)</f>
        <v>0.9</v>
      </c>
      <c r="AZ19" s="167">
        <f>IFERROR(IF($C19="Top WS",VLOOKUP($B19,'2) หลักการคำนวน Table'!$D$5:$M$20,HLOOKUP(AB19,'2) หลักการคำนวน Table'!$D$1:$M$5,5,TRUE),0),
IF($C19="WS SF",VLOOKUP($B19,'2) หลักการคำนวน Table'!$D$33:$M$48,HLOOKUP(AB19,'2) หลักการคำนวน Table'!$D$1:$M$5,5,TRUE),0),
IF($C19="WS WH",VLOOKUP($B19,'2) หลักการคำนวน Table'!$D$63:$M$78,HLOOKUP(AB19,'2) หลักการคำนวน Table'!$D$1:$M$5,5,TRUE),0),
IF($C19="SF WH",VLOOKUP($B19,'2) หลักการคำนวน Table'!$D$93:$M$108,HLOOKUP(AB19,'2) หลักการคำนวน Table'!$D$1:$M$5,5,TRUE),0))))),0)</f>
        <v>600</v>
      </c>
      <c r="BA19" s="167">
        <f>IFERROR(IF($C19="Top WS",VLOOKUP($B19,'2) หลักการคำนวน Table'!$D$5:$M$20,HLOOKUP(AC19,'2) หลักการคำนวน Table'!$D$1:$M$5,5,TRUE),0),
IF($C19="WS SF",VLOOKUP($B19,'2) หลักการคำนวน Table'!$D$33:$M$48,HLOOKUP(AC19,'2) หลักการคำนวน Table'!$D$1:$M$5,5,TRUE),0),
IF($C19="WS WH",VLOOKUP($B19,'2) หลักการคำนวน Table'!$D$63:$M$78,HLOOKUP(AC19,'2) หลักการคำนวน Table'!$D$1:$M$5,5,TRUE),0),
IF($C19="SF WH",VLOOKUP($B19,'2) หลักการคำนวน Table'!$D$93:$M$108,HLOOKUP(AC19,'2) หลักการคำนวน Table'!$D$1:$M$5,5,TRUE),0))))),0)</f>
        <v>600</v>
      </c>
      <c r="BB19" s="167">
        <f>IFERROR(IF($C19="Top WS",VLOOKUP($B19,'2) หลักการคำนวน Table'!$D$5:$M$20,HLOOKUP(AD19,'2) หลักการคำนวน Table'!$D$1:$M$5,5,TRUE),0),
IF($C19="WS SF",VLOOKUP($B19,'2) หลักการคำนวน Table'!$D$33:$M$48,HLOOKUP(AD19,'2) หลักการคำนวน Table'!$D$1:$M$5,5,TRUE),0),
IF($C19="WS WH",VLOOKUP($B19,'2) หลักการคำนวน Table'!$D$63:$M$78,HLOOKUP(AD19,'2) หลักการคำนวน Table'!$D$1:$M$5,5,TRUE),0),
IF($C19="SF WH",VLOOKUP($B19,'2) หลักการคำนวน Table'!$D$93:$M$108,HLOOKUP(AD19,'2) หลักการคำนวน Table'!$D$1:$M$5,5,TRUE),0))))),0)</f>
        <v>540</v>
      </c>
      <c r="BC19" s="167">
        <f>IFERROR(IF($C19="Top WS",VLOOKUP($B19,'2) หลักการคำนวน Table'!$D$5:$M$20,HLOOKUP(AE19,'2) หลักการคำนวน Table'!$D$1:$M$5,5,TRUE),0),
IF($C19="WS SF",VLOOKUP($B19,'2) หลักการคำนวน Table'!$D$33:$M$48,HLOOKUP(AE19,'2) หลักการคำนวน Table'!$D$1:$M$5,5,TRUE),0),
IF($C19="WS WH",VLOOKUP($B19,'2) หลักการคำนวน Table'!$D$63:$M$78,HLOOKUP(AE19,'2) หลักการคำนวน Table'!$D$1:$M$5,5,TRUE),0),
IF($C19="SF WH",VLOOKUP($B19,'2) หลักการคำนวน Table'!$D$93:$M$108,HLOOKUP(AE19,'2) หลักการคำนวน Table'!$D$1:$M$5,5,TRUE),0))))),0)</f>
        <v>540</v>
      </c>
      <c r="BD19" s="167">
        <f>IFERROR(IF($C19="Top WS",VLOOKUP($B19,'2) หลักการคำนวน Table'!$D$5:$M$20,HLOOKUP(AF19,'2) หลักการคำนวน Table'!$D$1:$M$5,5,TRUE),0),
IF($C19="WS SF",VLOOKUP($B19,'2) หลักการคำนวน Table'!$D$33:$M$48,HLOOKUP(AF19,'2) หลักการคำนวน Table'!$D$1:$M$5,5,TRUE),0),
IF($C19="WS WH",VLOOKUP($B19,'2) หลักการคำนวน Table'!$D$63:$M$78,HLOOKUP(AF19,'2) หลักการคำนวน Table'!$D$1:$M$5,5,TRUE),0),
IF($C19="SF WH",VLOOKUP($B19,'2) หลักการคำนวน Table'!$D$93:$M$108,HLOOKUP(AF19,'2) หลักการคำนวน Table'!$D$1:$M$5,5,TRUE),0))))),0)</f>
        <v>540</v>
      </c>
      <c r="BE19" s="167">
        <f>IFERROR(IF($C19="Top WS",VLOOKUP($B19,'2) หลักการคำนวน Table'!$D$5:$M$20,HLOOKUP(AG19,'2) หลักการคำนวน Table'!$D$1:$M$5,5,TRUE),0),
IF($C19="WS SF",VLOOKUP($B19,'2) หลักการคำนวน Table'!$D$33:$M$48,HLOOKUP(AG19,'2) หลักการคำนวน Table'!$D$1:$M$5,5,TRUE),0),
IF($C19="WS WH",VLOOKUP($B19,'2) หลักการคำนวน Table'!$D$63:$M$78,HLOOKUP(AG19,'2) หลักการคำนวน Table'!$D$1:$M$5,5,TRUE),0),
IF($C19="SF WH",VLOOKUP($B19,'2) หลักการคำนวน Table'!$D$93:$M$108,HLOOKUP(AG19,'2) หลักการคำนวน Table'!$D$1:$M$5,5,TRUE),0))))),0)</f>
        <v>540</v>
      </c>
      <c r="BF19" s="167">
        <f>IFERROR(IF($C19="Top WS",VLOOKUP($B19,'2) หลักการคำนวน Table'!$D$5:$M$20,HLOOKUP(AH19,'2) หลักการคำนวน Table'!$D$1:$M$5,5,TRUE),0),
IF($C19="WS SF",VLOOKUP($B19,'2) หลักการคำนวน Table'!$D$33:$M$48,HLOOKUP(AH19,'2) หลักการคำนวน Table'!$D$1:$M$5,5,TRUE),0),
IF($C19="WS WH",VLOOKUP($B19,'2) หลักการคำนวน Table'!$D$63:$M$78,HLOOKUP(AH19,'2) หลักการคำนวน Table'!$D$1:$M$5,5,TRUE),0),
IF($C19="SF WH",VLOOKUP($B19,'2) หลักการคำนวน Table'!$D$93:$M$108,HLOOKUP(AH19,'2) หลักการคำนวน Table'!$D$1:$M$5,5,TRUE),0))))),0)</f>
        <v>540</v>
      </c>
      <c r="BG19" s="167">
        <f>IFERROR(IF($C19="Top WS",VLOOKUP($B19,'2) หลักการคำนวน Table'!$D$5:$M$20,HLOOKUP(AI19,'2) หลักการคำนวน Table'!$D$1:$M$5,5,TRUE),0),
IF($C19="WS SF",VLOOKUP($B19,'2) หลักการคำนวน Table'!$D$33:$M$48,HLOOKUP(AI19,'2) หลักการคำนวน Table'!$D$1:$M$5,5,TRUE),0),
IF($C19="WS WH",VLOOKUP($B19,'2) หลักการคำนวน Table'!$D$63:$M$78,HLOOKUP(AI19,'2) หลักการคำนวน Table'!$D$1:$M$5,5,TRUE),0),
IF($C19="SF WH",VLOOKUP($B19,'2) หลักการคำนวน Table'!$D$93:$M$108,HLOOKUP(AI19,'2) หลักการคำนวน Table'!$D$1:$M$5,5,TRUE),0))))),0)</f>
        <v>540</v>
      </c>
      <c r="BH19" s="167">
        <f>IFERROR(IF($C19="Top WS",VLOOKUP($B19,'2) หลักการคำนวน Table'!$D$5:$M$20,HLOOKUP(AP19,'2) หลักการคำนวน Table'!$D$1:$M$5,5,TRUE),0),
IF($C19="WS SF",VLOOKUP($B19,'2) หลักการคำนวน Table'!$D$33:$M$48,HLOOKUP(AP19,'2) หลักการคำนวน Table'!$D$1:$M$5,5,TRUE),0),
IF($C19="WS WH",VLOOKUP($B19,'2) หลักการคำนวน Table'!$D$63:$M$78,HLOOKUP(AP19,'2) หลักการคำนวน Table'!$D$1:$M$5,5,TRUE),0),
IF($C19="SF WH",VLOOKUP($B19,'2) หลักการคำนวน Table'!$D$93:$M$108,HLOOKUP(AP19,'2) หลักการคำนวน Table'!$D$1:$M$5,5,TRUE),0))))),0)</f>
        <v>540</v>
      </c>
      <c r="BI19" s="167">
        <f>IFERROR(IF($C19="Top WS",VLOOKUP($B19,'2) หลักการคำนวน Table'!$D$5:$M$20,HLOOKUP(AK19,'2) หลักการคำนวน Table'!$D$1:$M$5,5,TRUE),0),
IF($C19="WS SF",VLOOKUP($B19,'2) หลักการคำนวน Table'!$D$33:$M$48,HLOOKUP(AK19,'2) หลักการคำนวน Table'!$D$1:$M$5,5,TRUE),0),
IF($C19="WS WH",VLOOKUP($B19,'2) หลักการคำนวน Table'!$D$63:$M$78,HLOOKUP(AK19,'2) หลักการคำนวน Table'!$D$1:$M$5,5,TRUE),0),
IF($C19="SF WH",VLOOKUP($B19,'2) หลักการคำนวน Table'!$D$93:$M$108,HLOOKUP(AK19,'2) หลักการคำนวน Table'!$D$1:$M$5,5,TRUE),0))))),0)</f>
        <v>540</v>
      </c>
      <c r="BJ19" s="167">
        <f>IFERROR(IF($C19="Top WS",VLOOKUP($B19,'2) หลักการคำนวน Table'!$D$5:$M$20,HLOOKUP(AL19,'2) หลักการคำนวน Table'!$D$1:$M$5,5,TRUE),0),
IF($C19="WS SF",VLOOKUP($B19,'2) หลักการคำนวน Table'!$D$33:$M$48,HLOOKUP(AL19,'2) หลักการคำนวน Table'!$D$1:$M$5,5,TRUE),0),
IF($C19="WS WH",VLOOKUP($B19,'2) หลักการคำนวน Table'!$D$63:$M$78,HLOOKUP(AL19,'2) หลักการคำนวน Table'!$D$1:$M$5,5,TRUE),0),
IF($C19="SF WH",VLOOKUP($B19,'2) หลักการคำนวน Table'!$D$93:$M$108,HLOOKUP(AL19,'2) หลักการคำนวน Table'!$D$1:$M$5,5,TRUE),0))))),0)</f>
        <v>540</v>
      </c>
      <c r="BK19" s="167">
        <f>IFERROR(IF($C19="Top WS",VLOOKUP($B19,'2) หลักการคำนวน Table'!$D$5:$M$20,HLOOKUP(AM19,'2) หลักการคำนวน Table'!$D$1:$M$5,5,TRUE),0),
IF($C19="WS SF",VLOOKUP($B19,'2) หลักการคำนวน Table'!$D$33:$M$48,HLOOKUP(AM19,'2) หลักการคำนวน Table'!$D$1:$M$5,5,TRUE),0),
IF($C19="WS WH",VLOOKUP($B19,'2) หลักการคำนวน Table'!$D$63:$M$78,HLOOKUP(AM19,'2) หลักการคำนวน Table'!$D$1:$M$5,5,TRUE),0),
IF($C19="SF WH",VLOOKUP($B19,'2) หลักการคำนวน Table'!$D$93:$M$108,HLOOKUP(AM19,'2) หลักการคำนวน Table'!$D$1:$M$5,5,TRUE),0))))),0)</f>
        <v>540</v>
      </c>
      <c r="BM19" s="119">
        <f>VLOOKUP(VLOOKUP(A19,ASTBase!E:S,13,FALSE),ASTBase!F:P,11,FALSE)</f>
        <v>160000</v>
      </c>
      <c r="BN19" s="196" cm="1">
        <f t="array" ref="BN19">INDEX(AN19:AY19,,Period!$D$2)</f>
        <v>1</v>
      </c>
    </row>
    <row r="20" spans="1:66" x14ac:dyDescent="0.25">
      <c r="A20" s="117">
        <v>160002</v>
      </c>
      <c r="B20" s="117" t="s">
        <v>395</v>
      </c>
      <c r="C20" s="117" t="s">
        <v>178</v>
      </c>
      <c r="D20" s="118">
        <v>6976</v>
      </c>
      <c r="E20" s="118">
        <v>7629</v>
      </c>
      <c r="F20" s="118">
        <v>8381</v>
      </c>
      <c r="G20" s="118">
        <v>9561</v>
      </c>
      <c r="H20" s="118">
        <v>7856</v>
      </c>
      <c r="I20" s="118">
        <v>6861</v>
      </c>
      <c r="J20" s="118">
        <v>9814</v>
      </c>
      <c r="K20" s="118">
        <v>10273</v>
      </c>
      <c r="L20" s="118">
        <v>8269</v>
      </c>
      <c r="M20" s="118">
        <v>8777</v>
      </c>
      <c r="N20" s="118">
        <v>7403</v>
      </c>
      <c r="O20" s="118">
        <v>7403</v>
      </c>
      <c r="P20" s="117">
        <f>SUMIFS(Actual!C:C,Actual!$A:$A,'3)Target &amp; Cal'!$A20,Actual!$B:$B,'3)Target &amp; Cal'!$B20)</f>
        <v>5323.1399999999994</v>
      </c>
      <c r="Q20" s="117">
        <f>SUMIFS(Actual!D:D,Actual!$A:$A,'3)Target &amp; Cal'!$A20,Actual!$B:$B,'3)Target &amp; Cal'!$B20)</f>
        <v>6705.0599999999977</v>
      </c>
      <c r="R20" s="117">
        <f>SUMIFS(Actual!E:E,Actual!$A:$A,'3)Target &amp; Cal'!$A20,Actual!$B:$B,'3)Target &amp; Cal'!$B20)</f>
        <v>0</v>
      </c>
      <c r="S20" s="117">
        <f>SUMIFS(Actual!F:F,Actual!$A:$A,'3)Target &amp; Cal'!$A20,Actual!$B:$B,'3)Target &amp; Cal'!$B20)</f>
        <v>0</v>
      </c>
      <c r="T20" s="117">
        <f>SUMIFS(Actual!G:G,Actual!$A:$A,'3)Target &amp; Cal'!$A20,Actual!$B:$B,'3)Target &amp; Cal'!$B20)</f>
        <v>0</v>
      </c>
      <c r="U20" s="117">
        <f>SUMIFS(Actual!H:H,Actual!$A:$A,'3)Target &amp; Cal'!$A20,Actual!$B:$B,'3)Target &amp; Cal'!$B20)</f>
        <v>0</v>
      </c>
      <c r="V20" s="117">
        <f>SUMIFS(Actual!I:I,Actual!$A:$A,'3)Target &amp; Cal'!$A20,Actual!$B:$B,'3)Target &amp; Cal'!$B20)</f>
        <v>0</v>
      </c>
      <c r="W20" s="117">
        <f>SUMIFS(Actual!J:J,Actual!$A:$A,'3)Target &amp; Cal'!$A20,Actual!$B:$B,'3)Target &amp; Cal'!$B20)</f>
        <v>0</v>
      </c>
      <c r="X20" s="117">
        <f>SUMIFS(Actual!K:K,Actual!$A:$A,'3)Target &amp; Cal'!$A20,Actual!$B:$B,'3)Target &amp; Cal'!$B20)</f>
        <v>0</v>
      </c>
      <c r="Y20" s="117">
        <f>SUMIFS(Actual!L:L,Actual!$A:$A,'3)Target &amp; Cal'!$A20,Actual!$B:$B,'3)Target &amp; Cal'!$B20)</f>
        <v>0</v>
      </c>
      <c r="Z20" s="117">
        <f>SUMIFS(Actual!M:M,Actual!$A:$A,'3)Target &amp; Cal'!$A20,Actual!$B:$B,'3)Target &amp; Cal'!$B20)</f>
        <v>0</v>
      </c>
      <c r="AA20" s="117">
        <f>SUMIFS(Actual!N:N,Actual!$A:$A,'3)Target &amp; Cal'!$A20,Actual!$B:$B,'3)Target &amp; Cal'!$B20)</f>
        <v>0</v>
      </c>
      <c r="AB20" s="123">
        <f>IFERROR(IF(VLOOKUP($B20,Shortage!$A:$M,AB$2,FALSE)="Shortage",1,IFERROR(ROUND(P20/D20,4),0)),IFERROR(ROUND(P20/D20,4),0))</f>
        <v>0.7631</v>
      </c>
      <c r="AC20" s="123">
        <f>IFERROR(IF(VLOOKUP($B20,Shortage!$A:$M,AC$2,FALSE)="Shortage",1,IFERROR(ROUND(Q20/E20,4),0)),IFERROR(ROUND(Q20/E20,4),0))</f>
        <v>0.87890000000000001</v>
      </c>
      <c r="AD20" s="123">
        <f>IFERROR(IF(VLOOKUP($B20,Shortage!$A:$M,AD$2,FALSE)="Shortage",1,IFERROR(ROUND(R20/F20,4),0)),IFERROR(ROUND(R20/F20,4),0))</f>
        <v>0</v>
      </c>
      <c r="AE20" s="123">
        <f>IFERROR(IF(VLOOKUP($B20,Shortage!$A:$M,AE$2,FALSE)="Shortage",1,IFERROR(ROUND(S20/G20,4),0)),IFERROR(ROUND(S20/G20,4),0))</f>
        <v>0</v>
      </c>
      <c r="AF20" s="123">
        <f>IFERROR(IF(VLOOKUP($B20,Shortage!$A:$M,AF$2,FALSE)="Shortage",1,IFERROR(ROUND(T20/H20,4),0)),IFERROR(ROUND(T20/H20,4),0))</f>
        <v>0</v>
      </c>
      <c r="AG20" s="123">
        <f>IFERROR(IF(VLOOKUP($B20,Shortage!$A:$M,AG$2,FALSE)="Shortage",1,IFERROR(ROUND(U20/I20,4),0)),IFERROR(ROUND(U20/I20,4),0))</f>
        <v>0</v>
      </c>
      <c r="AH20" s="123">
        <f>IFERROR(IF(VLOOKUP($B20,Shortage!$A:$M,AH$2,FALSE)="Shortage",1,IFERROR(ROUND(V20/J20,4),0)),IFERROR(ROUND(V20/J20,4),0))</f>
        <v>0</v>
      </c>
      <c r="AI20" s="123">
        <f>IFERROR(IF(VLOOKUP($B20,Shortage!$A:$M,AI$2,FALSE)="Shortage",1,IFERROR(ROUND(W20/K20,4),0)),IFERROR(ROUND(W20/K20,4),0))</f>
        <v>0</v>
      </c>
      <c r="AJ20" s="123">
        <f>IFERROR(IF(VLOOKUP($B20,Shortage!$A:$M,AP$2,FALSE)="Shortage",1,IFERROR(ROUND(X20/L20,4),0)),IFERROR(ROUND(X20/L20,4),0))</f>
        <v>0</v>
      </c>
      <c r="AK20" s="123">
        <f>IFERROR(IF(VLOOKUP($B20,Shortage!$A:$M,AK$2,FALSE)="Shortage",1,IFERROR(ROUND(Y20/M20,4),0)),IFERROR(ROUND(Y20/M20,4),0))</f>
        <v>0</v>
      </c>
      <c r="AL20" s="123">
        <f>IFERROR(IF(VLOOKUP($B20,Shortage!$A:$M,AL$2,FALSE)="Shortage",1,IFERROR(ROUND(Z20/N20,4),0)),IFERROR(ROUND(Z20/N20,4),0))</f>
        <v>0</v>
      </c>
      <c r="AM20" s="123">
        <f>IFERROR(IF(VLOOKUP($B20,Shortage!$A:$M,AM$2,FALSE)="Shortage",1,IFERROR(ROUND(AA20/O20,4),0)),IFERROR(ROUND(AA20/O20,4),0))</f>
        <v>0</v>
      </c>
      <c r="AN20" s="232">
        <f>IFERROR(IF($C20="Top WS",VLOOKUP("GOAL",'2) หลักการคำนวน Table'!$D$4:$M$4,HLOOKUP(AB20,'2) หลักการคำนวน Table'!$D$1:$M$5,5,TRUE),0),
IF($C20="WS SF",VLOOKUP("GOAL",'2) หลักการคำนวน Table'!$D$32:$M$32,HLOOKUP(AB20,'2) หลักการคำนวน Table'!$D$1:$M$5,5,TRUE),0),
IF($C20="WS WH",VLOOKUP("GOAL",'2) หลักการคำนวน Table'!$D$62:$M$62,HLOOKUP(AB20,'2) หลักการคำนวน Table'!$D$1:$M$5,5,TRUE),0),
IF($C20="SF WH",VLOOKUP("GOAL",'2) หลักการคำนวน Table'!$D$92:$M$92,HLOOKUP(AB20,'2) หลักการคำนวน Table'!$D$1:$M$5,5,TRUE),0))))),0)</f>
        <v>0.9</v>
      </c>
      <c r="AO20" s="232">
        <f>IFERROR(IF($C20="Top WS",VLOOKUP("GOAL",'2) หลักการคำนวน Table'!$D$4:$M$4,HLOOKUP(AC20,'2) หลักการคำนวน Table'!$D$1:$M$5,5,TRUE),0),
IF($C20="WS SF",VLOOKUP("GOAL",'2) หลักการคำนวน Table'!$D$32:$M$32,HLOOKUP(AC20,'2) หลักการคำนวน Table'!$D$1:$M$5,5,TRUE),0),
IF($C20="WS WH",VLOOKUP("GOAL",'2) หลักการคำนวน Table'!$D$62:$M$62,HLOOKUP(AC20,'2) หลักการคำนวน Table'!$D$1:$M$5,5,TRUE),0),
IF($C20="SF WH",VLOOKUP("GOAL",'2) หลักการคำนวน Table'!$D$92:$M$92,HLOOKUP(AC20,'2) หลักการคำนวน Table'!$D$1:$M$5,5,TRUE),0))))),0)</f>
        <v>0.9</v>
      </c>
      <c r="AP20" s="232">
        <f>IFERROR(IF($C20="Top WS",VLOOKUP("GOAL",'2) หลักการคำนวน Table'!$D$4:$M$4,HLOOKUP(AD20,'2) หลักการคำนวน Table'!$D$1:$M$5,5,TRUE),0),
IF($C20="WS SF",VLOOKUP("GOAL",'2) หลักการคำนวน Table'!$D$32:$M$32,HLOOKUP(AD20,'2) หลักการคำนวน Table'!$D$1:$M$5,5,TRUE),0),
IF($C20="WS WH",VLOOKUP("GOAL",'2) หลักการคำนวน Table'!$D$62:$M$62,HLOOKUP(AD20,'2) หลักการคำนวน Table'!$D$1:$M$5,5,TRUE),0),
IF($C20="SF WH",VLOOKUP("GOAL",'2) หลักการคำนวน Table'!$D$92:$M$92,HLOOKUP(AD20,'2) หลักการคำนวน Table'!$D$1:$M$5,5,TRUE),0))))),0)</f>
        <v>0.9</v>
      </c>
      <c r="AQ20" s="232">
        <f>IFERROR(IF($C20="Top WS",VLOOKUP("GOAL",'2) หลักการคำนวน Table'!$D$4:$M$4,HLOOKUP(AE20,'2) หลักการคำนวน Table'!$D$1:$M$5,5,TRUE),0),
IF($C20="WS SF",VLOOKUP("GOAL",'2) หลักการคำนวน Table'!$D$32:$M$32,HLOOKUP(AE20,'2) หลักการคำนวน Table'!$D$1:$M$5,5,TRUE),0),
IF($C20="WS WH",VLOOKUP("GOAL",'2) หลักการคำนวน Table'!$D$62:$M$62,HLOOKUP(AE20,'2) หลักการคำนวน Table'!$D$1:$M$5,5,TRUE),0),
IF($C20="SF WH",VLOOKUP("GOAL",'2) หลักการคำนวน Table'!$D$92:$M$92,HLOOKUP(AE20,'2) หลักการคำนวน Table'!$D$1:$M$5,5,TRUE),0))))),0)</f>
        <v>0.9</v>
      </c>
      <c r="AR20" s="232">
        <f>IFERROR(IF($C20="Top WS",VLOOKUP("GOAL",'2) หลักการคำนวน Table'!$D$4:$M$4,HLOOKUP(AF20,'2) หลักการคำนวน Table'!$D$1:$M$5,5,TRUE),0),
IF($C20="WS SF",VLOOKUP("GOAL",'2) หลักการคำนวน Table'!$D$32:$M$32,HLOOKUP(AF20,'2) หลักการคำนวน Table'!$D$1:$M$5,5,TRUE),0),
IF($C20="WS WH",VLOOKUP("GOAL",'2) หลักการคำนวน Table'!$D$62:$M$62,HLOOKUP(AF20,'2) หลักการคำนวน Table'!$D$1:$M$5,5,TRUE),0),
IF($C20="SF WH",VLOOKUP("GOAL",'2) หลักการคำนวน Table'!$D$92:$M$92,HLOOKUP(AF20,'2) หลักการคำนวน Table'!$D$1:$M$5,5,TRUE),0))))),0)</f>
        <v>0.9</v>
      </c>
      <c r="AS20" s="232">
        <f>IFERROR(IF($C20="Top WS",VLOOKUP("GOAL",'2) หลักการคำนวน Table'!$D$4:$M$4,HLOOKUP(AG20,'2) หลักการคำนวน Table'!$D$1:$M$5,5,TRUE),0),
IF($C20="WS SF",VLOOKUP("GOAL",'2) หลักการคำนวน Table'!$D$32:$M$32,HLOOKUP(AG20,'2) หลักการคำนวน Table'!$D$1:$M$5,5,TRUE),0),
IF($C20="WS WH",VLOOKUP("GOAL",'2) หลักการคำนวน Table'!$D$62:$M$62,HLOOKUP(AG20,'2) หลักการคำนวน Table'!$D$1:$M$5,5,TRUE),0),
IF($C20="SF WH",VLOOKUP("GOAL",'2) หลักการคำนวน Table'!$D$92:$M$92,HLOOKUP(AG20,'2) หลักการคำนวน Table'!$D$1:$M$5,5,TRUE),0))))),0)</f>
        <v>0.9</v>
      </c>
      <c r="AT20" s="232">
        <f>IFERROR(IF($C20="Top WS",VLOOKUP("GOAL",'2) หลักการคำนวน Table'!$D$4:$M$4,HLOOKUP(AH20,'2) หลักการคำนวน Table'!$D$1:$M$5,5,TRUE),0),
IF($C20="WS SF",VLOOKUP("GOAL",'2) หลักการคำนวน Table'!$D$32:$M$32,HLOOKUP(AH20,'2) หลักการคำนวน Table'!$D$1:$M$5,5,TRUE),0),
IF($C20="WS WH",VLOOKUP("GOAL",'2) หลักการคำนวน Table'!$D$62:$M$62,HLOOKUP(AH20,'2) หลักการคำนวน Table'!$D$1:$M$5,5,TRUE),0),
IF($C20="SF WH",VLOOKUP("GOAL",'2) หลักการคำนวน Table'!$D$92:$M$92,HLOOKUP(AH20,'2) หลักการคำนวน Table'!$D$1:$M$5,5,TRUE),0))))),0)</f>
        <v>0.9</v>
      </c>
      <c r="AU20" s="232">
        <f>IFERROR(IF($C20="Top WS",VLOOKUP("GOAL",'2) หลักการคำนวน Table'!$D$4:$M$4,HLOOKUP(AI20,'2) หลักการคำนวน Table'!$D$1:$M$5,5,TRUE),0),
IF($C20="WS SF",VLOOKUP("GOAL",'2) หลักการคำนวน Table'!$D$32:$M$32,HLOOKUP(AI20,'2) หลักการคำนวน Table'!$D$1:$M$5,5,TRUE),0),
IF($C20="WS WH",VLOOKUP("GOAL",'2) หลักการคำนวน Table'!$D$62:$M$62,HLOOKUP(AI20,'2) หลักการคำนวน Table'!$D$1:$M$5,5,TRUE),0),
IF($C20="SF WH",VLOOKUP("GOAL",'2) หลักการคำนวน Table'!$D$92:$M$92,HLOOKUP(AI20,'2) หลักการคำนวน Table'!$D$1:$M$5,5,TRUE),0))))),0)</f>
        <v>0.9</v>
      </c>
      <c r="AV20" s="232">
        <f>IFERROR(IF($C20="Top WS",VLOOKUP("GOAL",'2) หลักการคำนวน Table'!$D$4:$M$4,HLOOKUP(AP20,'2) หลักการคำนวน Table'!$D$1:$M$5,5,TRUE),0),
IF($C20="WS SF",VLOOKUP("GOAL",'2) หลักการคำนวน Table'!$D$32:$M$32,HLOOKUP(AP20,'2) หลักการคำนวน Table'!$D$1:$M$5,5,TRUE),0),
IF($C20="WS WH",VLOOKUP("GOAL",'2) หลักการคำนวน Table'!$D$62:$M$62,HLOOKUP(AP20,'2) หลักการคำนวน Table'!$D$1:$M$5,5,TRUE),0),
IF($C20="SF WH",VLOOKUP("GOAL",'2) หลักการคำนวน Table'!$D$92:$M$92,HLOOKUP(AP20,'2) หลักการคำนวน Table'!$D$1:$M$5,5,TRUE),0))))),0)</f>
        <v>0.9</v>
      </c>
      <c r="AW20" s="232">
        <f>IFERROR(IF($C20="Top WS",VLOOKUP("GOAL",'2) หลักการคำนวน Table'!$D$4:$M$4,HLOOKUP(AK20,'2) หลักการคำนวน Table'!$D$1:$M$5,5,TRUE),0),
IF($C20="WS SF",VLOOKUP("GOAL",'2) หลักการคำนวน Table'!$D$32:$M$32,HLOOKUP(AK20,'2) หลักการคำนวน Table'!$D$1:$M$5,5,TRUE),0),
IF($C20="WS WH",VLOOKUP("GOAL",'2) หลักการคำนวน Table'!$D$62:$M$62,HLOOKUP(AK20,'2) หลักการคำนวน Table'!$D$1:$M$5,5,TRUE),0),
IF($C20="SF WH",VLOOKUP("GOAL",'2) หลักการคำนวน Table'!$D$92:$M$92,HLOOKUP(AK20,'2) หลักการคำนวน Table'!$D$1:$M$5,5,TRUE),0))))),0)</f>
        <v>0.9</v>
      </c>
      <c r="AX20" s="232">
        <f>IFERROR(IF($C20="Top WS",VLOOKUP("GOAL",'2) หลักการคำนวน Table'!$D$4:$M$4,HLOOKUP(AL20,'2) หลักการคำนวน Table'!$D$1:$M$5,5,TRUE),0),
IF($C20="WS SF",VLOOKUP("GOAL",'2) หลักการคำนวน Table'!$D$32:$M$32,HLOOKUP(AL20,'2) หลักการคำนวน Table'!$D$1:$M$5,5,TRUE),0),
IF($C20="WS WH",VLOOKUP("GOAL",'2) หลักการคำนวน Table'!$D$62:$M$62,HLOOKUP(AL20,'2) หลักการคำนวน Table'!$D$1:$M$5,5,TRUE),0),
IF($C20="SF WH",VLOOKUP("GOAL",'2) หลักการคำนวน Table'!$D$92:$M$92,HLOOKUP(AL20,'2) หลักการคำนวน Table'!$D$1:$M$5,5,TRUE),0))))),0)</f>
        <v>0.9</v>
      </c>
      <c r="AY20" s="232">
        <f>IFERROR(IF($C20="Top WS",VLOOKUP("GOAL",'2) หลักการคำนวน Table'!$D$4:$M$4,HLOOKUP(AM20,'2) หลักการคำนวน Table'!$D$1:$M$5,5,TRUE),0),
IF($C20="WS SF",VLOOKUP("GOAL",'2) หลักการคำนวน Table'!$D$32:$M$32,HLOOKUP(AM20,'2) หลักการคำนวน Table'!$D$1:$M$5,5,TRUE),0),
IF($C20="WS WH",VLOOKUP("GOAL",'2) หลักการคำนวน Table'!$D$62:$M$62,HLOOKUP(AM20,'2) หลักการคำนวน Table'!$D$1:$M$5,5,TRUE),0),
IF($C20="SF WH",VLOOKUP("GOAL",'2) หลักการคำนวน Table'!$D$92:$M$92,HLOOKUP(AM20,'2) หลักการคำนวน Table'!$D$1:$M$5,5,TRUE),0))))),0)</f>
        <v>0.9</v>
      </c>
      <c r="AZ20" s="167">
        <f>IFERROR(IF($C20="Top WS",VLOOKUP($B20,'2) หลักการคำนวน Table'!$D$5:$M$20,HLOOKUP(AB20,'2) หลักการคำนวน Table'!$D$1:$M$5,5,TRUE),0),
IF($C20="WS SF",VLOOKUP($B20,'2) หลักการคำนวน Table'!$D$33:$M$48,HLOOKUP(AB20,'2) หลักการคำนวน Table'!$D$1:$M$5,5,TRUE),0),
IF($C20="WS WH",VLOOKUP($B20,'2) หลักการคำนวน Table'!$D$63:$M$78,HLOOKUP(AB20,'2) หลักการคำนวน Table'!$D$1:$M$5,5,TRUE),0),
IF($C20="SF WH",VLOOKUP($B20,'2) หลักการคำนวน Table'!$D$93:$M$108,HLOOKUP(AB20,'2) หลักการคำนวน Table'!$D$1:$M$5,5,TRUE),0))))),0)</f>
        <v>180</v>
      </c>
      <c r="BA20" s="167">
        <f>IFERROR(IF($C20="Top WS",VLOOKUP($B20,'2) หลักการคำนวน Table'!$D$5:$M$20,HLOOKUP(AC20,'2) หลักการคำนวน Table'!$D$1:$M$5,5,TRUE),0),
IF($C20="WS SF",VLOOKUP($B20,'2) หลักการคำนวน Table'!$D$33:$M$48,HLOOKUP(AC20,'2) หลักการคำนวน Table'!$D$1:$M$5,5,TRUE),0),
IF($C20="WS WH",VLOOKUP($B20,'2) หลักการคำนวน Table'!$D$63:$M$78,HLOOKUP(AC20,'2) หลักการคำนวน Table'!$D$1:$M$5,5,TRUE),0),
IF($C20="SF WH",VLOOKUP($B20,'2) หลักการคำนวน Table'!$D$93:$M$108,HLOOKUP(AC20,'2) หลักการคำนวน Table'!$D$1:$M$5,5,TRUE),0))))),0)</f>
        <v>180</v>
      </c>
      <c r="BB20" s="167">
        <f>IFERROR(IF($C20="Top WS",VLOOKUP($B20,'2) หลักการคำนวน Table'!$D$5:$M$20,HLOOKUP(AD20,'2) หลักการคำนวน Table'!$D$1:$M$5,5,TRUE),0),
IF($C20="WS SF",VLOOKUP($B20,'2) หลักการคำนวน Table'!$D$33:$M$48,HLOOKUP(AD20,'2) หลักการคำนวน Table'!$D$1:$M$5,5,TRUE),0),
IF($C20="WS WH",VLOOKUP($B20,'2) หลักการคำนวน Table'!$D$63:$M$78,HLOOKUP(AD20,'2) หลักการคำนวน Table'!$D$1:$M$5,5,TRUE),0),
IF($C20="SF WH",VLOOKUP($B20,'2) หลักการคำนวน Table'!$D$93:$M$108,HLOOKUP(AD20,'2) หลักการคำนวน Table'!$D$1:$M$5,5,TRUE),0))))),0)</f>
        <v>180</v>
      </c>
      <c r="BC20" s="167">
        <f>IFERROR(IF($C20="Top WS",VLOOKUP($B20,'2) หลักการคำนวน Table'!$D$5:$M$20,HLOOKUP(AE20,'2) หลักการคำนวน Table'!$D$1:$M$5,5,TRUE),0),
IF($C20="WS SF",VLOOKUP($B20,'2) หลักการคำนวน Table'!$D$33:$M$48,HLOOKUP(AE20,'2) หลักการคำนวน Table'!$D$1:$M$5,5,TRUE),0),
IF($C20="WS WH",VLOOKUP($B20,'2) หลักการคำนวน Table'!$D$63:$M$78,HLOOKUP(AE20,'2) หลักการคำนวน Table'!$D$1:$M$5,5,TRUE),0),
IF($C20="SF WH",VLOOKUP($B20,'2) หลักการคำนวน Table'!$D$93:$M$108,HLOOKUP(AE20,'2) หลักการคำนวน Table'!$D$1:$M$5,5,TRUE),0))))),0)</f>
        <v>180</v>
      </c>
      <c r="BD20" s="167">
        <f>IFERROR(IF($C20="Top WS",VLOOKUP($B20,'2) หลักการคำนวน Table'!$D$5:$M$20,HLOOKUP(AF20,'2) หลักการคำนวน Table'!$D$1:$M$5,5,TRUE),0),
IF($C20="WS SF",VLOOKUP($B20,'2) หลักการคำนวน Table'!$D$33:$M$48,HLOOKUP(AF20,'2) หลักการคำนวน Table'!$D$1:$M$5,5,TRUE),0),
IF($C20="WS WH",VLOOKUP($B20,'2) หลักการคำนวน Table'!$D$63:$M$78,HLOOKUP(AF20,'2) หลักการคำนวน Table'!$D$1:$M$5,5,TRUE),0),
IF($C20="SF WH",VLOOKUP($B20,'2) หลักการคำนวน Table'!$D$93:$M$108,HLOOKUP(AF20,'2) หลักการคำนวน Table'!$D$1:$M$5,5,TRUE),0))))),0)</f>
        <v>180</v>
      </c>
      <c r="BE20" s="167">
        <f>IFERROR(IF($C20="Top WS",VLOOKUP($B20,'2) หลักการคำนวน Table'!$D$5:$M$20,HLOOKUP(AG20,'2) หลักการคำนวน Table'!$D$1:$M$5,5,TRUE),0),
IF($C20="WS SF",VLOOKUP($B20,'2) หลักการคำนวน Table'!$D$33:$M$48,HLOOKUP(AG20,'2) หลักการคำนวน Table'!$D$1:$M$5,5,TRUE),0),
IF($C20="WS WH",VLOOKUP($B20,'2) หลักการคำนวน Table'!$D$63:$M$78,HLOOKUP(AG20,'2) หลักการคำนวน Table'!$D$1:$M$5,5,TRUE),0),
IF($C20="SF WH",VLOOKUP($B20,'2) หลักการคำนวน Table'!$D$93:$M$108,HLOOKUP(AG20,'2) หลักการคำนวน Table'!$D$1:$M$5,5,TRUE),0))))),0)</f>
        <v>180</v>
      </c>
      <c r="BF20" s="167">
        <f>IFERROR(IF($C20="Top WS",VLOOKUP($B20,'2) หลักการคำนวน Table'!$D$5:$M$20,HLOOKUP(AH20,'2) หลักการคำนวน Table'!$D$1:$M$5,5,TRUE),0),
IF($C20="WS SF",VLOOKUP($B20,'2) หลักการคำนวน Table'!$D$33:$M$48,HLOOKUP(AH20,'2) หลักการคำนวน Table'!$D$1:$M$5,5,TRUE),0),
IF($C20="WS WH",VLOOKUP($B20,'2) หลักการคำนวน Table'!$D$63:$M$78,HLOOKUP(AH20,'2) หลักการคำนวน Table'!$D$1:$M$5,5,TRUE),0),
IF($C20="SF WH",VLOOKUP($B20,'2) หลักการคำนวน Table'!$D$93:$M$108,HLOOKUP(AH20,'2) หลักการคำนวน Table'!$D$1:$M$5,5,TRUE),0))))),0)</f>
        <v>180</v>
      </c>
      <c r="BG20" s="167">
        <f>IFERROR(IF($C20="Top WS",VLOOKUP($B20,'2) หลักการคำนวน Table'!$D$5:$M$20,HLOOKUP(AI20,'2) หลักการคำนวน Table'!$D$1:$M$5,5,TRUE),0),
IF($C20="WS SF",VLOOKUP($B20,'2) หลักการคำนวน Table'!$D$33:$M$48,HLOOKUP(AI20,'2) หลักการคำนวน Table'!$D$1:$M$5,5,TRUE),0),
IF($C20="WS WH",VLOOKUP($B20,'2) หลักการคำนวน Table'!$D$63:$M$78,HLOOKUP(AI20,'2) หลักการคำนวน Table'!$D$1:$M$5,5,TRUE),0),
IF($C20="SF WH",VLOOKUP($B20,'2) หลักการคำนวน Table'!$D$93:$M$108,HLOOKUP(AI20,'2) หลักการคำนวน Table'!$D$1:$M$5,5,TRUE),0))))),0)</f>
        <v>180</v>
      </c>
      <c r="BH20" s="167">
        <f>IFERROR(IF($C20="Top WS",VLOOKUP($B20,'2) หลักการคำนวน Table'!$D$5:$M$20,HLOOKUP(AP20,'2) หลักการคำนวน Table'!$D$1:$M$5,5,TRUE),0),
IF($C20="WS SF",VLOOKUP($B20,'2) หลักการคำนวน Table'!$D$33:$M$48,HLOOKUP(AP20,'2) หลักการคำนวน Table'!$D$1:$M$5,5,TRUE),0),
IF($C20="WS WH",VLOOKUP($B20,'2) หลักการคำนวน Table'!$D$63:$M$78,HLOOKUP(AP20,'2) หลักการคำนวน Table'!$D$1:$M$5,5,TRUE),0),
IF($C20="SF WH",VLOOKUP($B20,'2) หลักการคำนวน Table'!$D$93:$M$108,HLOOKUP(AP20,'2) หลักการคำนวน Table'!$D$1:$M$5,5,TRUE),0))))),0)</f>
        <v>180</v>
      </c>
      <c r="BI20" s="167">
        <f>IFERROR(IF($C20="Top WS",VLOOKUP($B20,'2) หลักการคำนวน Table'!$D$5:$M$20,HLOOKUP(AK20,'2) หลักการคำนวน Table'!$D$1:$M$5,5,TRUE),0),
IF($C20="WS SF",VLOOKUP($B20,'2) หลักการคำนวน Table'!$D$33:$M$48,HLOOKUP(AK20,'2) หลักการคำนวน Table'!$D$1:$M$5,5,TRUE),0),
IF($C20="WS WH",VLOOKUP($B20,'2) หลักการคำนวน Table'!$D$63:$M$78,HLOOKUP(AK20,'2) หลักการคำนวน Table'!$D$1:$M$5,5,TRUE),0),
IF($C20="SF WH",VLOOKUP($B20,'2) หลักการคำนวน Table'!$D$93:$M$108,HLOOKUP(AK20,'2) หลักการคำนวน Table'!$D$1:$M$5,5,TRUE),0))))),0)</f>
        <v>180</v>
      </c>
      <c r="BJ20" s="167">
        <f>IFERROR(IF($C20="Top WS",VLOOKUP($B20,'2) หลักการคำนวน Table'!$D$5:$M$20,HLOOKUP(AL20,'2) หลักการคำนวน Table'!$D$1:$M$5,5,TRUE),0),
IF($C20="WS SF",VLOOKUP($B20,'2) หลักการคำนวน Table'!$D$33:$M$48,HLOOKUP(AL20,'2) หลักการคำนวน Table'!$D$1:$M$5,5,TRUE),0),
IF($C20="WS WH",VLOOKUP($B20,'2) หลักการคำนวน Table'!$D$63:$M$78,HLOOKUP(AL20,'2) หลักการคำนวน Table'!$D$1:$M$5,5,TRUE),0),
IF($C20="SF WH",VLOOKUP($B20,'2) หลักการคำนวน Table'!$D$93:$M$108,HLOOKUP(AL20,'2) หลักการคำนวน Table'!$D$1:$M$5,5,TRUE),0))))),0)</f>
        <v>180</v>
      </c>
      <c r="BK20" s="167">
        <f>IFERROR(IF($C20="Top WS",VLOOKUP($B20,'2) หลักการคำนวน Table'!$D$5:$M$20,HLOOKUP(AM20,'2) หลักการคำนวน Table'!$D$1:$M$5,5,TRUE),0),
IF($C20="WS SF",VLOOKUP($B20,'2) หลักการคำนวน Table'!$D$33:$M$48,HLOOKUP(AM20,'2) หลักการคำนวน Table'!$D$1:$M$5,5,TRUE),0),
IF($C20="WS WH",VLOOKUP($B20,'2) หลักการคำนวน Table'!$D$63:$M$78,HLOOKUP(AM20,'2) หลักการคำนวน Table'!$D$1:$M$5,5,TRUE),0),
IF($C20="SF WH",VLOOKUP($B20,'2) หลักการคำนวน Table'!$D$93:$M$108,HLOOKUP(AM20,'2) หลักการคำนวน Table'!$D$1:$M$5,5,TRUE),0))))),0)</f>
        <v>180</v>
      </c>
      <c r="BM20" s="119">
        <f>VLOOKUP(VLOOKUP(A20,ASTBase!E:S,13,FALSE),ASTBase!F:P,11,FALSE)</f>
        <v>160000</v>
      </c>
      <c r="BN20" s="196" cm="1">
        <f t="array" ref="BN20">INDEX(AN20:AY20,,Period!$D$2)</f>
        <v>0.9</v>
      </c>
    </row>
    <row r="21" spans="1:66" x14ac:dyDescent="0.25">
      <c r="A21" s="117">
        <v>160002</v>
      </c>
      <c r="B21" s="117" t="s">
        <v>402</v>
      </c>
      <c r="C21" s="117" t="s">
        <v>178</v>
      </c>
      <c r="D21" s="118">
        <v>538</v>
      </c>
      <c r="E21" s="118">
        <v>611</v>
      </c>
      <c r="F21" s="118">
        <v>498</v>
      </c>
      <c r="G21" s="118">
        <v>527</v>
      </c>
      <c r="H21" s="118">
        <v>536</v>
      </c>
      <c r="I21" s="118">
        <v>552</v>
      </c>
      <c r="J21" s="118">
        <v>622</v>
      </c>
      <c r="K21" s="118">
        <v>923</v>
      </c>
      <c r="L21" s="118">
        <v>605</v>
      </c>
      <c r="M21" s="118">
        <v>553</v>
      </c>
      <c r="N21" s="118">
        <v>694</v>
      </c>
      <c r="O21" s="118">
        <v>693</v>
      </c>
      <c r="P21" s="117">
        <f>SUMIFS(Actual!C:C,Actual!$A:$A,'3)Target &amp; Cal'!$A21,Actual!$B:$B,'3)Target &amp; Cal'!$B21)</f>
        <v>355.1</v>
      </c>
      <c r="Q21" s="117">
        <f>SUMIFS(Actual!D:D,Actual!$A:$A,'3)Target &amp; Cal'!$A21,Actual!$B:$B,'3)Target &amp; Cal'!$B21)</f>
        <v>366.9</v>
      </c>
      <c r="R21" s="117">
        <f>SUMIFS(Actual!E:E,Actual!$A:$A,'3)Target &amp; Cal'!$A21,Actual!$B:$B,'3)Target &amp; Cal'!$B21)</f>
        <v>0</v>
      </c>
      <c r="S21" s="117">
        <f>SUMIFS(Actual!F:F,Actual!$A:$A,'3)Target &amp; Cal'!$A21,Actual!$B:$B,'3)Target &amp; Cal'!$B21)</f>
        <v>0</v>
      </c>
      <c r="T21" s="117">
        <f>SUMIFS(Actual!G:G,Actual!$A:$A,'3)Target &amp; Cal'!$A21,Actual!$B:$B,'3)Target &amp; Cal'!$B21)</f>
        <v>0</v>
      </c>
      <c r="U21" s="117">
        <f>SUMIFS(Actual!H:H,Actual!$A:$A,'3)Target &amp; Cal'!$A21,Actual!$B:$B,'3)Target &amp; Cal'!$B21)</f>
        <v>0</v>
      </c>
      <c r="V21" s="117">
        <f>SUMIFS(Actual!I:I,Actual!$A:$A,'3)Target &amp; Cal'!$A21,Actual!$B:$B,'3)Target &amp; Cal'!$B21)</f>
        <v>0</v>
      </c>
      <c r="W21" s="117">
        <f>SUMIFS(Actual!J:J,Actual!$A:$A,'3)Target &amp; Cal'!$A21,Actual!$B:$B,'3)Target &amp; Cal'!$B21)</f>
        <v>0</v>
      </c>
      <c r="X21" s="117">
        <f>SUMIFS(Actual!K:K,Actual!$A:$A,'3)Target &amp; Cal'!$A21,Actual!$B:$B,'3)Target &amp; Cal'!$B21)</f>
        <v>0</v>
      </c>
      <c r="Y21" s="117">
        <f>SUMIFS(Actual!L:L,Actual!$A:$A,'3)Target &amp; Cal'!$A21,Actual!$B:$B,'3)Target &amp; Cal'!$B21)</f>
        <v>0</v>
      </c>
      <c r="Z21" s="117">
        <f>SUMIFS(Actual!M:M,Actual!$A:$A,'3)Target &amp; Cal'!$A21,Actual!$B:$B,'3)Target &amp; Cal'!$B21)</f>
        <v>0</v>
      </c>
      <c r="AA21" s="117">
        <f>SUMIFS(Actual!N:N,Actual!$A:$A,'3)Target &amp; Cal'!$A21,Actual!$B:$B,'3)Target &amp; Cal'!$B21)</f>
        <v>0</v>
      </c>
      <c r="AB21" s="123">
        <f>IFERROR(IF(VLOOKUP($B21,Shortage!$A:$M,AB$2,FALSE)="Shortage",1,IFERROR(ROUND(P21/D21,4),0)),IFERROR(ROUND(P21/D21,4),0))</f>
        <v>0.66</v>
      </c>
      <c r="AC21" s="123">
        <f>IFERROR(IF(VLOOKUP($B21,Shortage!$A:$M,AC$2,FALSE)="Shortage",1,IFERROR(ROUND(Q21/E21,4),0)),IFERROR(ROUND(Q21/E21,4),0))</f>
        <v>0.60050000000000003</v>
      </c>
      <c r="AD21" s="123">
        <f>IFERROR(IF(VLOOKUP($B21,Shortage!$A:$M,AD$2,FALSE)="Shortage",1,IFERROR(ROUND(R21/F21,4),0)),IFERROR(ROUND(R21/F21,4),0))</f>
        <v>0</v>
      </c>
      <c r="AE21" s="123">
        <f>IFERROR(IF(VLOOKUP($B21,Shortage!$A:$M,AE$2,FALSE)="Shortage",1,IFERROR(ROUND(S21/G21,4),0)),IFERROR(ROUND(S21/G21,4),0))</f>
        <v>0</v>
      </c>
      <c r="AF21" s="123">
        <f>IFERROR(IF(VLOOKUP($B21,Shortage!$A:$M,AF$2,FALSE)="Shortage",1,IFERROR(ROUND(T21/H21,4),0)),IFERROR(ROUND(T21/H21,4),0))</f>
        <v>0</v>
      </c>
      <c r="AG21" s="123">
        <f>IFERROR(IF(VLOOKUP($B21,Shortage!$A:$M,AG$2,FALSE)="Shortage",1,IFERROR(ROUND(U21/I21,4),0)),IFERROR(ROUND(U21/I21,4),0))</f>
        <v>0</v>
      </c>
      <c r="AH21" s="123">
        <f>IFERROR(IF(VLOOKUP($B21,Shortage!$A:$M,AH$2,FALSE)="Shortage",1,IFERROR(ROUND(V21/J21,4),0)),IFERROR(ROUND(V21/J21,4),0))</f>
        <v>0</v>
      </c>
      <c r="AI21" s="123">
        <f>IFERROR(IF(VLOOKUP($B21,Shortage!$A:$M,AI$2,FALSE)="Shortage",1,IFERROR(ROUND(W21/K21,4),0)),IFERROR(ROUND(W21/K21,4),0))</f>
        <v>0</v>
      </c>
      <c r="AJ21" s="123">
        <f>IFERROR(IF(VLOOKUP($B21,Shortage!$A:$M,AP$2,FALSE)="Shortage",1,IFERROR(ROUND(X21/L21,4),0)),IFERROR(ROUND(X21/L21,4),0))</f>
        <v>0</v>
      </c>
      <c r="AK21" s="123">
        <f>IFERROR(IF(VLOOKUP($B21,Shortage!$A:$M,AK$2,FALSE)="Shortage",1,IFERROR(ROUND(Y21/M21,4),0)),IFERROR(ROUND(Y21/M21,4),0))</f>
        <v>0</v>
      </c>
      <c r="AL21" s="123">
        <f>IFERROR(IF(VLOOKUP($B21,Shortage!$A:$M,AL$2,FALSE)="Shortage",1,IFERROR(ROUND(Z21/N21,4),0)),IFERROR(ROUND(Z21/N21,4),0))</f>
        <v>0</v>
      </c>
      <c r="AM21" s="123">
        <f>IFERROR(IF(VLOOKUP($B21,Shortage!$A:$M,AM$2,FALSE)="Shortage",1,IFERROR(ROUND(AA21/O21,4),0)),IFERROR(ROUND(AA21/O21,4),0))</f>
        <v>0</v>
      </c>
      <c r="AN21" s="232">
        <f>IFERROR(IF($C21="Top WS",VLOOKUP("GOAL",'2) หลักการคำนวน Table'!$D$4:$M$4,HLOOKUP(AB21,'2) หลักการคำนวน Table'!$D$1:$M$5,5,TRUE),0),
IF($C21="WS SF",VLOOKUP("GOAL",'2) หลักการคำนวน Table'!$D$32:$M$32,HLOOKUP(AB21,'2) หลักการคำนวน Table'!$D$1:$M$5,5,TRUE),0),
IF($C21="WS WH",VLOOKUP("GOAL",'2) หลักการคำนวน Table'!$D$62:$M$62,HLOOKUP(AB21,'2) หลักการคำนวน Table'!$D$1:$M$5,5,TRUE),0),
IF($C21="SF WH",VLOOKUP("GOAL",'2) หลักการคำนวน Table'!$D$92:$M$92,HLOOKUP(AB21,'2) หลักการคำนวน Table'!$D$1:$M$5,5,TRUE),0))))),0)</f>
        <v>0.9</v>
      </c>
      <c r="AO21" s="232">
        <f>IFERROR(IF($C21="Top WS",VLOOKUP("GOAL",'2) หลักการคำนวน Table'!$D$4:$M$4,HLOOKUP(AC21,'2) หลักการคำนวน Table'!$D$1:$M$5,5,TRUE),0),
IF($C21="WS SF",VLOOKUP("GOAL",'2) หลักการคำนวน Table'!$D$32:$M$32,HLOOKUP(AC21,'2) หลักการคำนวน Table'!$D$1:$M$5,5,TRUE),0),
IF($C21="WS WH",VLOOKUP("GOAL",'2) หลักการคำนวน Table'!$D$62:$M$62,HLOOKUP(AC21,'2) หลักการคำนวน Table'!$D$1:$M$5,5,TRUE),0),
IF($C21="SF WH",VLOOKUP("GOAL",'2) หลักการคำนวน Table'!$D$92:$M$92,HLOOKUP(AC21,'2) หลักการคำนวน Table'!$D$1:$M$5,5,TRUE),0))))),0)</f>
        <v>0.9</v>
      </c>
      <c r="AP21" s="232">
        <f>IFERROR(IF($C21="Top WS",VLOOKUP("GOAL",'2) หลักการคำนวน Table'!$D$4:$M$4,HLOOKUP(AD21,'2) หลักการคำนวน Table'!$D$1:$M$5,5,TRUE),0),
IF($C21="WS SF",VLOOKUP("GOAL",'2) หลักการคำนวน Table'!$D$32:$M$32,HLOOKUP(AD21,'2) หลักการคำนวน Table'!$D$1:$M$5,5,TRUE),0),
IF($C21="WS WH",VLOOKUP("GOAL",'2) หลักการคำนวน Table'!$D$62:$M$62,HLOOKUP(AD21,'2) หลักการคำนวน Table'!$D$1:$M$5,5,TRUE),0),
IF($C21="SF WH",VLOOKUP("GOAL",'2) หลักการคำนวน Table'!$D$92:$M$92,HLOOKUP(AD21,'2) หลักการคำนวน Table'!$D$1:$M$5,5,TRUE),0))))),0)</f>
        <v>0.9</v>
      </c>
      <c r="AQ21" s="232">
        <f>IFERROR(IF($C21="Top WS",VLOOKUP("GOAL",'2) หลักการคำนวน Table'!$D$4:$M$4,HLOOKUP(AE21,'2) หลักการคำนวน Table'!$D$1:$M$5,5,TRUE),0),
IF($C21="WS SF",VLOOKUP("GOAL",'2) หลักการคำนวน Table'!$D$32:$M$32,HLOOKUP(AE21,'2) หลักการคำนวน Table'!$D$1:$M$5,5,TRUE),0),
IF($C21="WS WH",VLOOKUP("GOAL",'2) หลักการคำนวน Table'!$D$62:$M$62,HLOOKUP(AE21,'2) หลักการคำนวน Table'!$D$1:$M$5,5,TRUE),0),
IF($C21="SF WH",VLOOKUP("GOAL",'2) หลักการคำนวน Table'!$D$92:$M$92,HLOOKUP(AE21,'2) หลักการคำนวน Table'!$D$1:$M$5,5,TRUE),0))))),0)</f>
        <v>0.9</v>
      </c>
      <c r="AR21" s="232">
        <f>IFERROR(IF($C21="Top WS",VLOOKUP("GOAL",'2) หลักการคำนวน Table'!$D$4:$M$4,HLOOKUP(AF21,'2) หลักการคำนวน Table'!$D$1:$M$5,5,TRUE),0),
IF($C21="WS SF",VLOOKUP("GOAL",'2) หลักการคำนวน Table'!$D$32:$M$32,HLOOKUP(AF21,'2) หลักการคำนวน Table'!$D$1:$M$5,5,TRUE),0),
IF($C21="WS WH",VLOOKUP("GOAL",'2) หลักการคำนวน Table'!$D$62:$M$62,HLOOKUP(AF21,'2) หลักการคำนวน Table'!$D$1:$M$5,5,TRUE),0),
IF($C21="SF WH",VLOOKUP("GOAL",'2) หลักการคำนวน Table'!$D$92:$M$92,HLOOKUP(AF21,'2) หลักการคำนวน Table'!$D$1:$M$5,5,TRUE),0))))),0)</f>
        <v>0.9</v>
      </c>
      <c r="AS21" s="232">
        <f>IFERROR(IF($C21="Top WS",VLOOKUP("GOAL",'2) หลักการคำนวน Table'!$D$4:$M$4,HLOOKUP(AG21,'2) หลักการคำนวน Table'!$D$1:$M$5,5,TRUE),0),
IF($C21="WS SF",VLOOKUP("GOAL",'2) หลักการคำนวน Table'!$D$32:$M$32,HLOOKUP(AG21,'2) หลักการคำนวน Table'!$D$1:$M$5,5,TRUE),0),
IF($C21="WS WH",VLOOKUP("GOAL",'2) หลักการคำนวน Table'!$D$62:$M$62,HLOOKUP(AG21,'2) หลักการคำนวน Table'!$D$1:$M$5,5,TRUE),0),
IF($C21="SF WH",VLOOKUP("GOAL",'2) หลักการคำนวน Table'!$D$92:$M$92,HLOOKUP(AG21,'2) หลักการคำนวน Table'!$D$1:$M$5,5,TRUE),0))))),0)</f>
        <v>0.9</v>
      </c>
      <c r="AT21" s="232">
        <f>IFERROR(IF($C21="Top WS",VLOOKUP("GOAL",'2) หลักการคำนวน Table'!$D$4:$M$4,HLOOKUP(AH21,'2) หลักการคำนวน Table'!$D$1:$M$5,5,TRUE),0),
IF($C21="WS SF",VLOOKUP("GOAL",'2) หลักการคำนวน Table'!$D$32:$M$32,HLOOKUP(AH21,'2) หลักการคำนวน Table'!$D$1:$M$5,5,TRUE),0),
IF($C21="WS WH",VLOOKUP("GOAL",'2) หลักการคำนวน Table'!$D$62:$M$62,HLOOKUP(AH21,'2) หลักการคำนวน Table'!$D$1:$M$5,5,TRUE),0),
IF($C21="SF WH",VLOOKUP("GOAL",'2) หลักการคำนวน Table'!$D$92:$M$92,HLOOKUP(AH21,'2) หลักการคำนวน Table'!$D$1:$M$5,5,TRUE),0))))),0)</f>
        <v>0.9</v>
      </c>
      <c r="AU21" s="232">
        <f>IFERROR(IF($C21="Top WS",VLOOKUP("GOAL",'2) หลักการคำนวน Table'!$D$4:$M$4,HLOOKUP(AI21,'2) หลักการคำนวน Table'!$D$1:$M$5,5,TRUE),0),
IF($C21="WS SF",VLOOKUP("GOAL",'2) หลักการคำนวน Table'!$D$32:$M$32,HLOOKUP(AI21,'2) หลักการคำนวน Table'!$D$1:$M$5,5,TRUE),0),
IF($C21="WS WH",VLOOKUP("GOAL",'2) หลักการคำนวน Table'!$D$62:$M$62,HLOOKUP(AI21,'2) หลักการคำนวน Table'!$D$1:$M$5,5,TRUE),0),
IF($C21="SF WH",VLOOKUP("GOAL",'2) หลักการคำนวน Table'!$D$92:$M$92,HLOOKUP(AI21,'2) หลักการคำนวน Table'!$D$1:$M$5,5,TRUE),0))))),0)</f>
        <v>0.9</v>
      </c>
      <c r="AV21" s="232">
        <f>IFERROR(IF($C21="Top WS",VLOOKUP("GOAL",'2) หลักการคำนวน Table'!$D$4:$M$4,HLOOKUP(AP21,'2) หลักการคำนวน Table'!$D$1:$M$5,5,TRUE),0),
IF($C21="WS SF",VLOOKUP("GOAL",'2) หลักการคำนวน Table'!$D$32:$M$32,HLOOKUP(AP21,'2) หลักการคำนวน Table'!$D$1:$M$5,5,TRUE),0),
IF($C21="WS WH",VLOOKUP("GOAL",'2) หลักการคำนวน Table'!$D$62:$M$62,HLOOKUP(AP21,'2) หลักการคำนวน Table'!$D$1:$M$5,5,TRUE),0),
IF($C21="SF WH",VLOOKUP("GOAL",'2) หลักการคำนวน Table'!$D$92:$M$92,HLOOKUP(AP21,'2) หลักการคำนวน Table'!$D$1:$M$5,5,TRUE),0))))),0)</f>
        <v>0.9</v>
      </c>
      <c r="AW21" s="232">
        <f>IFERROR(IF($C21="Top WS",VLOOKUP("GOAL",'2) หลักการคำนวน Table'!$D$4:$M$4,HLOOKUP(AK21,'2) หลักการคำนวน Table'!$D$1:$M$5,5,TRUE),0),
IF($C21="WS SF",VLOOKUP("GOAL",'2) หลักการคำนวน Table'!$D$32:$M$32,HLOOKUP(AK21,'2) หลักการคำนวน Table'!$D$1:$M$5,5,TRUE),0),
IF($C21="WS WH",VLOOKUP("GOAL",'2) หลักการคำนวน Table'!$D$62:$M$62,HLOOKUP(AK21,'2) หลักการคำนวน Table'!$D$1:$M$5,5,TRUE),0),
IF($C21="SF WH",VLOOKUP("GOAL",'2) หลักการคำนวน Table'!$D$92:$M$92,HLOOKUP(AK21,'2) หลักการคำนวน Table'!$D$1:$M$5,5,TRUE),0))))),0)</f>
        <v>0.9</v>
      </c>
      <c r="AX21" s="232">
        <f>IFERROR(IF($C21="Top WS",VLOOKUP("GOAL",'2) หลักการคำนวน Table'!$D$4:$M$4,HLOOKUP(AL21,'2) หลักการคำนวน Table'!$D$1:$M$5,5,TRUE),0),
IF($C21="WS SF",VLOOKUP("GOAL",'2) หลักการคำนวน Table'!$D$32:$M$32,HLOOKUP(AL21,'2) หลักการคำนวน Table'!$D$1:$M$5,5,TRUE),0),
IF($C21="WS WH",VLOOKUP("GOAL",'2) หลักการคำนวน Table'!$D$62:$M$62,HLOOKUP(AL21,'2) หลักการคำนวน Table'!$D$1:$M$5,5,TRUE),0),
IF($C21="SF WH",VLOOKUP("GOAL",'2) หลักการคำนวน Table'!$D$92:$M$92,HLOOKUP(AL21,'2) หลักการคำนวน Table'!$D$1:$M$5,5,TRUE),0))))),0)</f>
        <v>0.9</v>
      </c>
      <c r="AY21" s="232">
        <f>IFERROR(IF($C21="Top WS",VLOOKUP("GOAL",'2) หลักการคำนวน Table'!$D$4:$M$4,HLOOKUP(AM21,'2) หลักการคำนวน Table'!$D$1:$M$5,5,TRUE),0),
IF($C21="WS SF",VLOOKUP("GOAL",'2) หลักการคำนวน Table'!$D$32:$M$32,HLOOKUP(AM21,'2) หลักการคำนวน Table'!$D$1:$M$5,5,TRUE),0),
IF($C21="WS WH",VLOOKUP("GOAL",'2) หลักการคำนวน Table'!$D$62:$M$62,HLOOKUP(AM21,'2) หลักการคำนวน Table'!$D$1:$M$5,5,TRUE),0),
IF($C21="SF WH",VLOOKUP("GOAL",'2) หลักการคำนวน Table'!$D$92:$M$92,HLOOKUP(AM21,'2) หลักการคำนวน Table'!$D$1:$M$5,5,TRUE),0))))),0)</f>
        <v>0.9</v>
      </c>
      <c r="AZ21" s="167">
        <f>IFERROR(IF($C21="Top WS",VLOOKUP($B21,'2) หลักการคำนวน Table'!$D$5:$M$20,HLOOKUP(AB21,'2) หลักการคำนวน Table'!$D$1:$M$5,5,TRUE),0),
IF($C21="WS SF",VLOOKUP($B21,'2) หลักการคำนวน Table'!$D$33:$M$48,HLOOKUP(AB21,'2) หลักการคำนวน Table'!$D$1:$M$5,5,TRUE),0),
IF($C21="WS WH",VLOOKUP($B21,'2) หลักการคำนวน Table'!$D$63:$M$78,HLOOKUP(AB21,'2) หลักการคำนวน Table'!$D$1:$M$5,5,TRUE),0),
IF($C21="SF WH",VLOOKUP($B21,'2) หลักการคำนวน Table'!$D$93:$M$108,HLOOKUP(AB21,'2) หลักการคำนวน Table'!$D$1:$M$5,5,TRUE),0))))),0)</f>
        <v>180</v>
      </c>
      <c r="BA21" s="167">
        <f>IFERROR(IF($C21="Top WS",VLOOKUP($B21,'2) หลักการคำนวน Table'!$D$5:$M$20,HLOOKUP(AC21,'2) หลักการคำนวน Table'!$D$1:$M$5,5,TRUE),0),
IF($C21="WS SF",VLOOKUP($B21,'2) หลักการคำนวน Table'!$D$33:$M$48,HLOOKUP(AC21,'2) หลักการคำนวน Table'!$D$1:$M$5,5,TRUE),0),
IF($C21="WS WH",VLOOKUP($B21,'2) หลักการคำนวน Table'!$D$63:$M$78,HLOOKUP(AC21,'2) หลักการคำนวน Table'!$D$1:$M$5,5,TRUE),0),
IF($C21="SF WH",VLOOKUP($B21,'2) หลักการคำนวน Table'!$D$93:$M$108,HLOOKUP(AC21,'2) หลักการคำนวน Table'!$D$1:$M$5,5,TRUE),0))))),0)</f>
        <v>180</v>
      </c>
      <c r="BB21" s="167">
        <f>IFERROR(IF($C21="Top WS",VLOOKUP($B21,'2) หลักการคำนวน Table'!$D$5:$M$20,HLOOKUP(AD21,'2) หลักการคำนวน Table'!$D$1:$M$5,5,TRUE),0),
IF($C21="WS SF",VLOOKUP($B21,'2) หลักการคำนวน Table'!$D$33:$M$48,HLOOKUP(AD21,'2) หลักการคำนวน Table'!$D$1:$M$5,5,TRUE),0),
IF($C21="WS WH",VLOOKUP($B21,'2) หลักการคำนวน Table'!$D$63:$M$78,HLOOKUP(AD21,'2) หลักการคำนวน Table'!$D$1:$M$5,5,TRUE),0),
IF($C21="SF WH",VLOOKUP($B21,'2) หลักการคำนวน Table'!$D$93:$M$108,HLOOKUP(AD21,'2) หลักการคำนวน Table'!$D$1:$M$5,5,TRUE),0))))),0)</f>
        <v>180</v>
      </c>
      <c r="BC21" s="167">
        <f>IFERROR(IF($C21="Top WS",VLOOKUP($B21,'2) หลักการคำนวน Table'!$D$5:$M$20,HLOOKUP(AE21,'2) หลักการคำนวน Table'!$D$1:$M$5,5,TRUE),0),
IF($C21="WS SF",VLOOKUP($B21,'2) หลักการคำนวน Table'!$D$33:$M$48,HLOOKUP(AE21,'2) หลักการคำนวน Table'!$D$1:$M$5,5,TRUE),0),
IF($C21="WS WH",VLOOKUP($B21,'2) หลักการคำนวน Table'!$D$63:$M$78,HLOOKUP(AE21,'2) หลักการคำนวน Table'!$D$1:$M$5,5,TRUE),0),
IF($C21="SF WH",VLOOKUP($B21,'2) หลักการคำนวน Table'!$D$93:$M$108,HLOOKUP(AE21,'2) หลักการคำนวน Table'!$D$1:$M$5,5,TRUE),0))))),0)</f>
        <v>180</v>
      </c>
      <c r="BD21" s="167">
        <f>IFERROR(IF($C21="Top WS",VLOOKUP($B21,'2) หลักการคำนวน Table'!$D$5:$M$20,HLOOKUP(AF21,'2) หลักการคำนวน Table'!$D$1:$M$5,5,TRUE),0),
IF($C21="WS SF",VLOOKUP($B21,'2) หลักการคำนวน Table'!$D$33:$M$48,HLOOKUP(AF21,'2) หลักการคำนวน Table'!$D$1:$M$5,5,TRUE),0),
IF($C21="WS WH",VLOOKUP($B21,'2) หลักการคำนวน Table'!$D$63:$M$78,HLOOKUP(AF21,'2) หลักการคำนวน Table'!$D$1:$M$5,5,TRUE),0),
IF($C21="SF WH",VLOOKUP($B21,'2) หลักการคำนวน Table'!$D$93:$M$108,HLOOKUP(AF21,'2) หลักการคำนวน Table'!$D$1:$M$5,5,TRUE),0))))),0)</f>
        <v>180</v>
      </c>
      <c r="BE21" s="167">
        <f>IFERROR(IF($C21="Top WS",VLOOKUP($B21,'2) หลักการคำนวน Table'!$D$5:$M$20,HLOOKUP(AG21,'2) หลักการคำนวน Table'!$D$1:$M$5,5,TRUE),0),
IF($C21="WS SF",VLOOKUP($B21,'2) หลักการคำนวน Table'!$D$33:$M$48,HLOOKUP(AG21,'2) หลักการคำนวน Table'!$D$1:$M$5,5,TRUE),0),
IF($C21="WS WH",VLOOKUP($B21,'2) หลักการคำนวน Table'!$D$63:$M$78,HLOOKUP(AG21,'2) หลักการคำนวน Table'!$D$1:$M$5,5,TRUE),0),
IF($C21="SF WH",VLOOKUP($B21,'2) หลักการคำนวน Table'!$D$93:$M$108,HLOOKUP(AG21,'2) หลักการคำนวน Table'!$D$1:$M$5,5,TRUE),0))))),0)</f>
        <v>180</v>
      </c>
      <c r="BF21" s="167">
        <f>IFERROR(IF($C21="Top WS",VLOOKUP($B21,'2) หลักการคำนวน Table'!$D$5:$M$20,HLOOKUP(AH21,'2) หลักการคำนวน Table'!$D$1:$M$5,5,TRUE),0),
IF($C21="WS SF",VLOOKUP($B21,'2) หลักการคำนวน Table'!$D$33:$M$48,HLOOKUP(AH21,'2) หลักการคำนวน Table'!$D$1:$M$5,5,TRUE),0),
IF($C21="WS WH",VLOOKUP($B21,'2) หลักการคำนวน Table'!$D$63:$M$78,HLOOKUP(AH21,'2) หลักการคำนวน Table'!$D$1:$M$5,5,TRUE),0),
IF($C21="SF WH",VLOOKUP($B21,'2) หลักการคำนวน Table'!$D$93:$M$108,HLOOKUP(AH21,'2) หลักการคำนวน Table'!$D$1:$M$5,5,TRUE),0))))),0)</f>
        <v>180</v>
      </c>
      <c r="BG21" s="167">
        <f>IFERROR(IF($C21="Top WS",VLOOKUP($B21,'2) หลักการคำนวน Table'!$D$5:$M$20,HLOOKUP(AI21,'2) หลักการคำนวน Table'!$D$1:$M$5,5,TRUE),0),
IF($C21="WS SF",VLOOKUP($B21,'2) หลักการคำนวน Table'!$D$33:$M$48,HLOOKUP(AI21,'2) หลักการคำนวน Table'!$D$1:$M$5,5,TRUE),0),
IF($C21="WS WH",VLOOKUP($B21,'2) หลักการคำนวน Table'!$D$63:$M$78,HLOOKUP(AI21,'2) หลักการคำนวน Table'!$D$1:$M$5,5,TRUE),0),
IF($C21="SF WH",VLOOKUP($B21,'2) หลักการคำนวน Table'!$D$93:$M$108,HLOOKUP(AI21,'2) หลักการคำนวน Table'!$D$1:$M$5,5,TRUE),0))))),0)</f>
        <v>180</v>
      </c>
      <c r="BH21" s="167">
        <f>IFERROR(IF($C21="Top WS",VLOOKUP($B21,'2) หลักการคำนวน Table'!$D$5:$M$20,HLOOKUP(AP21,'2) หลักการคำนวน Table'!$D$1:$M$5,5,TRUE),0),
IF($C21="WS SF",VLOOKUP($B21,'2) หลักการคำนวน Table'!$D$33:$M$48,HLOOKUP(AP21,'2) หลักการคำนวน Table'!$D$1:$M$5,5,TRUE),0),
IF($C21="WS WH",VLOOKUP($B21,'2) หลักการคำนวน Table'!$D$63:$M$78,HLOOKUP(AP21,'2) หลักการคำนวน Table'!$D$1:$M$5,5,TRUE),0),
IF($C21="SF WH",VLOOKUP($B21,'2) หลักการคำนวน Table'!$D$93:$M$108,HLOOKUP(AP21,'2) หลักการคำนวน Table'!$D$1:$M$5,5,TRUE),0))))),0)</f>
        <v>180</v>
      </c>
      <c r="BI21" s="167">
        <f>IFERROR(IF($C21="Top WS",VLOOKUP($B21,'2) หลักการคำนวน Table'!$D$5:$M$20,HLOOKUP(AK21,'2) หลักการคำนวน Table'!$D$1:$M$5,5,TRUE),0),
IF($C21="WS SF",VLOOKUP($B21,'2) หลักการคำนวน Table'!$D$33:$M$48,HLOOKUP(AK21,'2) หลักการคำนวน Table'!$D$1:$M$5,5,TRUE),0),
IF($C21="WS WH",VLOOKUP($B21,'2) หลักการคำนวน Table'!$D$63:$M$78,HLOOKUP(AK21,'2) หลักการคำนวน Table'!$D$1:$M$5,5,TRUE),0),
IF($C21="SF WH",VLOOKUP($B21,'2) หลักการคำนวน Table'!$D$93:$M$108,HLOOKUP(AK21,'2) หลักการคำนวน Table'!$D$1:$M$5,5,TRUE),0))))),0)</f>
        <v>180</v>
      </c>
      <c r="BJ21" s="167">
        <f>IFERROR(IF($C21="Top WS",VLOOKUP($B21,'2) หลักการคำนวน Table'!$D$5:$M$20,HLOOKUP(AL21,'2) หลักการคำนวน Table'!$D$1:$M$5,5,TRUE),0),
IF($C21="WS SF",VLOOKUP($B21,'2) หลักการคำนวน Table'!$D$33:$M$48,HLOOKUP(AL21,'2) หลักการคำนวน Table'!$D$1:$M$5,5,TRUE),0),
IF($C21="WS WH",VLOOKUP($B21,'2) หลักการคำนวน Table'!$D$63:$M$78,HLOOKUP(AL21,'2) หลักการคำนวน Table'!$D$1:$M$5,5,TRUE),0),
IF($C21="SF WH",VLOOKUP($B21,'2) หลักการคำนวน Table'!$D$93:$M$108,HLOOKUP(AL21,'2) หลักการคำนวน Table'!$D$1:$M$5,5,TRUE),0))))),0)</f>
        <v>180</v>
      </c>
      <c r="BK21" s="167">
        <f>IFERROR(IF($C21="Top WS",VLOOKUP($B21,'2) หลักการคำนวน Table'!$D$5:$M$20,HLOOKUP(AM21,'2) หลักการคำนวน Table'!$D$1:$M$5,5,TRUE),0),
IF($C21="WS SF",VLOOKUP($B21,'2) หลักการคำนวน Table'!$D$33:$M$48,HLOOKUP(AM21,'2) หลักการคำนวน Table'!$D$1:$M$5,5,TRUE),0),
IF($C21="WS WH",VLOOKUP($B21,'2) หลักการคำนวน Table'!$D$63:$M$78,HLOOKUP(AM21,'2) หลักการคำนวน Table'!$D$1:$M$5,5,TRUE),0),
IF($C21="SF WH",VLOOKUP($B21,'2) หลักการคำนวน Table'!$D$93:$M$108,HLOOKUP(AM21,'2) หลักการคำนวน Table'!$D$1:$M$5,5,TRUE),0))))),0)</f>
        <v>180</v>
      </c>
      <c r="BM21" s="119">
        <f>VLOOKUP(VLOOKUP(A21,ASTBase!E:S,13,FALSE),ASTBase!F:P,11,FALSE)</f>
        <v>160000</v>
      </c>
      <c r="BN21" s="196" cm="1">
        <f t="array" ref="BN21">INDEX(AN21:AY21,,Period!$D$2)</f>
        <v>0.9</v>
      </c>
    </row>
    <row r="22" spans="1:66" x14ac:dyDescent="0.25">
      <c r="A22" s="117">
        <v>160002</v>
      </c>
      <c r="B22" s="117" t="s">
        <v>396</v>
      </c>
      <c r="C22" s="117" t="s">
        <v>178</v>
      </c>
      <c r="D22" s="118">
        <v>59</v>
      </c>
      <c r="E22" s="118">
        <v>72</v>
      </c>
      <c r="F22" s="118">
        <v>76</v>
      </c>
      <c r="G22" s="118">
        <v>49</v>
      </c>
      <c r="H22" s="118">
        <v>67</v>
      </c>
      <c r="I22" s="118">
        <v>95</v>
      </c>
      <c r="J22" s="118">
        <v>62</v>
      </c>
      <c r="K22" s="118">
        <v>125</v>
      </c>
      <c r="L22" s="118">
        <v>113</v>
      </c>
      <c r="M22" s="118">
        <v>87</v>
      </c>
      <c r="N22" s="118">
        <v>154</v>
      </c>
      <c r="O22" s="118">
        <v>153</v>
      </c>
      <c r="P22" s="117">
        <f>SUMIFS(Actual!C:C,Actual!$A:$A,'3)Target &amp; Cal'!$A22,Actual!$B:$B,'3)Target &amp; Cal'!$B22)</f>
        <v>201.60000000000002</v>
      </c>
      <c r="Q22" s="117">
        <f>SUMIFS(Actual!D:D,Actual!$A:$A,'3)Target &amp; Cal'!$A22,Actual!$B:$B,'3)Target &amp; Cal'!$B22)</f>
        <v>67.968000000000004</v>
      </c>
      <c r="R22" s="117">
        <f>SUMIFS(Actual!E:E,Actual!$A:$A,'3)Target &amp; Cal'!$A22,Actual!$B:$B,'3)Target &amp; Cal'!$B22)</f>
        <v>0</v>
      </c>
      <c r="S22" s="117">
        <f>SUMIFS(Actual!F:F,Actual!$A:$A,'3)Target &amp; Cal'!$A22,Actual!$B:$B,'3)Target &amp; Cal'!$B22)</f>
        <v>0</v>
      </c>
      <c r="T22" s="117">
        <f>SUMIFS(Actual!G:G,Actual!$A:$A,'3)Target &amp; Cal'!$A22,Actual!$B:$B,'3)Target &amp; Cal'!$B22)</f>
        <v>0</v>
      </c>
      <c r="U22" s="117">
        <f>SUMIFS(Actual!H:H,Actual!$A:$A,'3)Target &amp; Cal'!$A22,Actual!$B:$B,'3)Target &amp; Cal'!$B22)</f>
        <v>0</v>
      </c>
      <c r="V22" s="117">
        <f>SUMIFS(Actual!I:I,Actual!$A:$A,'3)Target &amp; Cal'!$A22,Actual!$B:$B,'3)Target &amp; Cal'!$B22)</f>
        <v>0</v>
      </c>
      <c r="W22" s="117">
        <f>SUMIFS(Actual!J:J,Actual!$A:$A,'3)Target &amp; Cal'!$A22,Actual!$B:$B,'3)Target &amp; Cal'!$B22)</f>
        <v>0</v>
      </c>
      <c r="X22" s="117">
        <f>SUMIFS(Actual!K:K,Actual!$A:$A,'3)Target &amp; Cal'!$A22,Actual!$B:$B,'3)Target &amp; Cal'!$B22)</f>
        <v>0</v>
      </c>
      <c r="Y22" s="117">
        <f>SUMIFS(Actual!L:L,Actual!$A:$A,'3)Target &amp; Cal'!$A22,Actual!$B:$B,'3)Target &amp; Cal'!$B22)</f>
        <v>0</v>
      </c>
      <c r="Z22" s="117">
        <f>SUMIFS(Actual!M:M,Actual!$A:$A,'3)Target &amp; Cal'!$A22,Actual!$B:$B,'3)Target &amp; Cal'!$B22)</f>
        <v>0</v>
      </c>
      <c r="AA22" s="117">
        <f>SUMIFS(Actual!N:N,Actual!$A:$A,'3)Target &amp; Cal'!$A22,Actual!$B:$B,'3)Target &amp; Cal'!$B22)</f>
        <v>0</v>
      </c>
      <c r="AB22" s="123">
        <f>IFERROR(IF(VLOOKUP($B22,Shortage!$A:$M,AB$2,FALSE)="Shortage",1,IFERROR(ROUND(P22/D22,4),0)),IFERROR(ROUND(P22/D22,4),0))</f>
        <v>3.4169</v>
      </c>
      <c r="AC22" s="123">
        <f>IFERROR(IF(VLOOKUP($B22,Shortage!$A:$M,AC$2,FALSE)="Shortage",1,IFERROR(ROUND(Q22/E22,4),0)),IFERROR(ROUND(Q22/E22,4),0))</f>
        <v>0.94399999999999995</v>
      </c>
      <c r="AD22" s="123">
        <f>IFERROR(IF(VLOOKUP($B22,Shortage!$A:$M,AD$2,FALSE)="Shortage",1,IFERROR(ROUND(R22/F22,4),0)),IFERROR(ROUND(R22/F22,4),0))</f>
        <v>0</v>
      </c>
      <c r="AE22" s="123">
        <f>IFERROR(IF(VLOOKUP($B22,Shortage!$A:$M,AE$2,FALSE)="Shortage",1,IFERROR(ROUND(S22/G22,4),0)),IFERROR(ROUND(S22/G22,4),0))</f>
        <v>0</v>
      </c>
      <c r="AF22" s="123">
        <f>IFERROR(IF(VLOOKUP($B22,Shortage!$A:$M,AF$2,FALSE)="Shortage",1,IFERROR(ROUND(T22/H22,4),0)),IFERROR(ROUND(T22/H22,4),0))</f>
        <v>0</v>
      </c>
      <c r="AG22" s="123">
        <f>IFERROR(IF(VLOOKUP($B22,Shortage!$A:$M,AG$2,FALSE)="Shortage",1,IFERROR(ROUND(U22/I22,4),0)),IFERROR(ROUND(U22/I22,4),0))</f>
        <v>0</v>
      </c>
      <c r="AH22" s="123">
        <f>IFERROR(IF(VLOOKUP($B22,Shortage!$A:$M,AH$2,FALSE)="Shortage",1,IFERROR(ROUND(V22/J22,4),0)),IFERROR(ROUND(V22/J22,4),0))</f>
        <v>0</v>
      </c>
      <c r="AI22" s="123">
        <f>IFERROR(IF(VLOOKUP($B22,Shortage!$A:$M,AI$2,FALSE)="Shortage",1,IFERROR(ROUND(W22/K22,4),0)),IFERROR(ROUND(W22/K22,4),0))</f>
        <v>0</v>
      </c>
      <c r="AJ22" s="123">
        <f>IFERROR(IF(VLOOKUP($B22,Shortage!$A:$M,AP$2,FALSE)="Shortage",1,IFERROR(ROUND(X22/L22,4),0)),IFERROR(ROUND(X22/L22,4),0))</f>
        <v>0</v>
      </c>
      <c r="AK22" s="123">
        <f>IFERROR(IF(VLOOKUP($B22,Shortage!$A:$M,AK$2,FALSE)="Shortage",1,IFERROR(ROUND(Y22/M22,4),0)),IFERROR(ROUND(Y22/M22,4),0))</f>
        <v>0</v>
      </c>
      <c r="AL22" s="123">
        <f>IFERROR(IF(VLOOKUP($B22,Shortage!$A:$M,AL$2,FALSE)="Shortage",1,IFERROR(ROUND(Z22/N22,4),0)),IFERROR(ROUND(Z22/N22,4),0))</f>
        <v>0</v>
      </c>
      <c r="AM22" s="123">
        <f>IFERROR(IF(VLOOKUP($B22,Shortage!$A:$M,AM$2,FALSE)="Shortage",1,IFERROR(ROUND(AA22/O22,4),0)),IFERROR(ROUND(AA22/O22,4),0))</f>
        <v>0</v>
      </c>
      <c r="AN22" s="232">
        <f>IFERROR(IF($C22="Top WS",VLOOKUP("GOAL",'2) หลักการคำนวน Table'!$D$4:$M$4,HLOOKUP(AB22,'2) หลักการคำนวน Table'!$D$1:$M$5,5,TRUE),0),
IF($C22="WS SF",VLOOKUP("GOAL",'2) หลักการคำนวน Table'!$D$32:$M$32,HLOOKUP(AB22,'2) หลักการคำนวน Table'!$D$1:$M$5,5,TRUE),0),
IF($C22="WS WH",VLOOKUP("GOAL",'2) หลักการคำนวน Table'!$D$62:$M$62,HLOOKUP(AB22,'2) หลักการคำนวน Table'!$D$1:$M$5,5,TRUE),0),
IF($C22="SF WH",VLOOKUP("GOAL",'2) หลักการคำนวน Table'!$D$92:$M$92,HLOOKUP(AB22,'2) หลักการคำนวน Table'!$D$1:$M$5,5,TRUE),0))))),0)</f>
        <v>1.3</v>
      </c>
      <c r="AO22" s="232">
        <f>IFERROR(IF($C22="Top WS",VLOOKUP("GOAL",'2) หลักการคำนวน Table'!$D$4:$M$4,HLOOKUP(AC22,'2) หลักการคำนวน Table'!$D$1:$M$5,5,TRUE),0),
IF($C22="WS SF",VLOOKUP("GOAL",'2) หลักการคำนวน Table'!$D$32:$M$32,HLOOKUP(AC22,'2) หลักการคำนวน Table'!$D$1:$M$5,5,TRUE),0),
IF($C22="WS WH",VLOOKUP("GOAL",'2) หลักการคำนวน Table'!$D$62:$M$62,HLOOKUP(AC22,'2) หลักการคำนวน Table'!$D$1:$M$5,5,TRUE),0),
IF($C22="SF WH",VLOOKUP("GOAL",'2) หลักการคำนวน Table'!$D$92:$M$92,HLOOKUP(AC22,'2) หลักการคำนวน Table'!$D$1:$M$5,5,TRUE),0))))),0)</f>
        <v>0.95</v>
      </c>
      <c r="AP22" s="232">
        <f>IFERROR(IF($C22="Top WS",VLOOKUP("GOAL",'2) หลักการคำนวน Table'!$D$4:$M$4,HLOOKUP(AD22,'2) หลักการคำนวน Table'!$D$1:$M$5,5,TRUE),0),
IF($C22="WS SF",VLOOKUP("GOAL",'2) หลักการคำนวน Table'!$D$32:$M$32,HLOOKUP(AD22,'2) หลักการคำนวน Table'!$D$1:$M$5,5,TRUE),0),
IF($C22="WS WH",VLOOKUP("GOAL",'2) หลักการคำนวน Table'!$D$62:$M$62,HLOOKUP(AD22,'2) หลักการคำนวน Table'!$D$1:$M$5,5,TRUE),0),
IF($C22="SF WH",VLOOKUP("GOAL",'2) หลักการคำนวน Table'!$D$92:$M$92,HLOOKUP(AD22,'2) หลักการคำนวน Table'!$D$1:$M$5,5,TRUE),0))))),0)</f>
        <v>0.9</v>
      </c>
      <c r="AQ22" s="232">
        <f>IFERROR(IF($C22="Top WS",VLOOKUP("GOAL",'2) หลักการคำนวน Table'!$D$4:$M$4,HLOOKUP(AE22,'2) หลักการคำนวน Table'!$D$1:$M$5,5,TRUE),0),
IF($C22="WS SF",VLOOKUP("GOAL",'2) หลักการคำนวน Table'!$D$32:$M$32,HLOOKUP(AE22,'2) หลักการคำนวน Table'!$D$1:$M$5,5,TRUE),0),
IF($C22="WS WH",VLOOKUP("GOAL",'2) หลักการคำนวน Table'!$D$62:$M$62,HLOOKUP(AE22,'2) หลักการคำนวน Table'!$D$1:$M$5,5,TRUE),0),
IF($C22="SF WH",VLOOKUP("GOAL",'2) หลักการคำนวน Table'!$D$92:$M$92,HLOOKUP(AE22,'2) หลักการคำนวน Table'!$D$1:$M$5,5,TRUE),0))))),0)</f>
        <v>0.9</v>
      </c>
      <c r="AR22" s="232">
        <f>IFERROR(IF($C22="Top WS",VLOOKUP("GOAL",'2) หลักการคำนวน Table'!$D$4:$M$4,HLOOKUP(AF22,'2) หลักการคำนวน Table'!$D$1:$M$5,5,TRUE),0),
IF($C22="WS SF",VLOOKUP("GOAL",'2) หลักการคำนวน Table'!$D$32:$M$32,HLOOKUP(AF22,'2) หลักการคำนวน Table'!$D$1:$M$5,5,TRUE),0),
IF($C22="WS WH",VLOOKUP("GOAL",'2) หลักการคำนวน Table'!$D$62:$M$62,HLOOKUP(AF22,'2) หลักการคำนวน Table'!$D$1:$M$5,5,TRUE),0),
IF($C22="SF WH",VLOOKUP("GOAL",'2) หลักการคำนวน Table'!$D$92:$M$92,HLOOKUP(AF22,'2) หลักการคำนวน Table'!$D$1:$M$5,5,TRUE),0))))),0)</f>
        <v>0.9</v>
      </c>
      <c r="AS22" s="232">
        <f>IFERROR(IF($C22="Top WS",VLOOKUP("GOAL",'2) หลักการคำนวน Table'!$D$4:$M$4,HLOOKUP(AG22,'2) หลักการคำนวน Table'!$D$1:$M$5,5,TRUE),0),
IF($C22="WS SF",VLOOKUP("GOAL",'2) หลักการคำนวน Table'!$D$32:$M$32,HLOOKUP(AG22,'2) หลักการคำนวน Table'!$D$1:$M$5,5,TRUE),0),
IF($C22="WS WH",VLOOKUP("GOAL",'2) หลักการคำนวน Table'!$D$62:$M$62,HLOOKUP(AG22,'2) หลักการคำนวน Table'!$D$1:$M$5,5,TRUE),0),
IF($C22="SF WH",VLOOKUP("GOAL",'2) หลักการคำนวน Table'!$D$92:$M$92,HLOOKUP(AG22,'2) หลักการคำนวน Table'!$D$1:$M$5,5,TRUE),0))))),0)</f>
        <v>0.9</v>
      </c>
      <c r="AT22" s="232">
        <f>IFERROR(IF($C22="Top WS",VLOOKUP("GOAL",'2) หลักการคำนวน Table'!$D$4:$M$4,HLOOKUP(AH22,'2) หลักการคำนวน Table'!$D$1:$M$5,5,TRUE),0),
IF($C22="WS SF",VLOOKUP("GOAL",'2) หลักการคำนวน Table'!$D$32:$M$32,HLOOKUP(AH22,'2) หลักการคำนวน Table'!$D$1:$M$5,5,TRUE),0),
IF($C22="WS WH",VLOOKUP("GOAL",'2) หลักการคำนวน Table'!$D$62:$M$62,HLOOKUP(AH22,'2) หลักการคำนวน Table'!$D$1:$M$5,5,TRUE),0),
IF($C22="SF WH",VLOOKUP("GOAL",'2) หลักการคำนวน Table'!$D$92:$M$92,HLOOKUP(AH22,'2) หลักการคำนวน Table'!$D$1:$M$5,5,TRUE),0))))),0)</f>
        <v>0.9</v>
      </c>
      <c r="AU22" s="232">
        <f>IFERROR(IF($C22="Top WS",VLOOKUP("GOAL",'2) หลักการคำนวน Table'!$D$4:$M$4,HLOOKUP(AI22,'2) หลักการคำนวน Table'!$D$1:$M$5,5,TRUE),0),
IF($C22="WS SF",VLOOKUP("GOAL",'2) หลักการคำนวน Table'!$D$32:$M$32,HLOOKUP(AI22,'2) หลักการคำนวน Table'!$D$1:$M$5,5,TRUE),0),
IF($C22="WS WH",VLOOKUP("GOAL",'2) หลักการคำนวน Table'!$D$62:$M$62,HLOOKUP(AI22,'2) หลักการคำนวน Table'!$D$1:$M$5,5,TRUE),0),
IF($C22="SF WH",VLOOKUP("GOAL",'2) หลักการคำนวน Table'!$D$92:$M$92,HLOOKUP(AI22,'2) หลักการคำนวน Table'!$D$1:$M$5,5,TRUE),0))))),0)</f>
        <v>0.9</v>
      </c>
      <c r="AV22" s="232">
        <f>IFERROR(IF($C22="Top WS",VLOOKUP("GOAL",'2) หลักการคำนวน Table'!$D$4:$M$4,HLOOKUP(AP22,'2) หลักการคำนวน Table'!$D$1:$M$5,5,TRUE),0),
IF($C22="WS SF",VLOOKUP("GOAL",'2) หลักการคำนวน Table'!$D$32:$M$32,HLOOKUP(AP22,'2) หลักการคำนวน Table'!$D$1:$M$5,5,TRUE),0),
IF($C22="WS WH",VLOOKUP("GOAL",'2) หลักการคำนวน Table'!$D$62:$M$62,HLOOKUP(AP22,'2) หลักการคำนวน Table'!$D$1:$M$5,5,TRUE),0),
IF($C22="SF WH",VLOOKUP("GOAL",'2) หลักการคำนวน Table'!$D$92:$M$92,HLOOKUP(AP22,'2) หลักการคำนวน Table'!$D$1:$M$5,5,TRUE),0))))),0)</f>
        <v>0.9</v>
      </c>
      <c r="AW22" s="232">
        <f>IFERROR(IF($C22="Top WS",VLOOKUP("GOAL",'2) หลักการคำนวน Table'!$D$4:$M$4,HLOOKUP(AK22,'2) หลักการคำนวน Table'!$D$1:$M$5,5,TRUE),0),
IF($C22="WS SF",VLOOKUP("GOAL",'2) หลักการคำนวน Table'!$D$32:$M$32,HLOOKUP(AK22,'2) หลักการคำนวน Table'!$D$1:$M$5,5,TRUE),0),
IF($C22="WS WH",VLOOKUP("GOAL",'2) หลักการคำนวน Table'!$D$62:$M$62,HLOOKUP(AK22,'2) หลักการคำนวน Table'!$D$1:$M$5,5,TRUE),0),
IF($C22="SF WH",VLOOKUP("GOAL",'2) หลักการคำนวน Table'!$D$92:$M$92,HLOOKUP(AK22,'2) หลักการคำนวน Table'!$D$1:$M$5,5,TRUE),0))))),0)</f>
        <v>0.9</v>
      </c>
      <c r="AX22" s="232">
        <f>IFERROR(IF($C22="Top WS",VLOOKUP("GOAL",'2) หลักการคำนวน Table'!$D$4:$M$4,HLOOKUP(AL22,'2) หลักการคำนวน Table'!$D$1:$M$5,5,TRUE),0),
IF($C22="WS SF",VLOOKUP("GOAL",'2) หลักการคำนวน Table'!$D$32:$M$32,HLOOKUP(AL22,'2) หลักการคำนวน Table'!$D$1:$M$5,5,TRUE),0),
IF($C22="WS WH",VLOOKUP("GOAL",'2) หลักการคำนวน Table'!$D$62:$M$62,HLOOKUP(AL22,'2) หลักการคำนวน Table'!$D$1:$M$5,5,TRUE),0),
IF($C22="SF WH",VLOOKUP("GOAL",'2) หลักการคำนวน Table'!$D$92:$M$92,HLOOKUP(AL22,'2) หลักการคำนวน Table'!$D$1:$M$5,5,TRUE),0))))),0)</f>
        <v>0.9</v>
      </c>
      <c r="AY22" s="232">
        <f>IFERROR(IF($C22="Top WS",VLOOKUP("GOAL",'2) หลักการคำนวน Table'!$D$4:$M$4,HLOOKUP(AM22,'2) หลักการคำนวน Table'!$D$1:$M$5,5,TRUE),0),
IF($C22="WS SF",VLOOKUP("GOAL",'2) หลักการคำนวน Table'!$D$32:$M$32,HLOOKUP(AM22,'2) หลักการคำนวน Table'!$D$1:$M$5,5,TRUE),0),
IF($C22="WS WH",VLOOKUP("GOAL",'2) หลักการคำนวน Table'!$D$62:$M$62,HLOOKUP(AM22,'2) หลักการคำนวน Table'!$D$1:$M$5,5,TRUE),0),
IF($C22="SF WH",VLOOKUP("GOAL",'2) หลักการคำนวน Table'!$D$92:$M$92,HLOOKUP(AM22,'2) หลักการคำนวน Table'!$D$1:$M$5,5,TRUE),0))))),0)</f>
        <v>0.9</v>
      </c>
      <c r="AZ22" s="167">
        <f>IFERROR(IF($C22="Top WS",VLOOKUP($B22,'2) หลักการคำนวน Table'!$D$5:$M$20,HLOOKUP(AB22,'2) หลักการคำนวน Table'!$D$1:$M$5,5,TRUE),0),
IF($C22="WS SF",VLOOKUP($B22,'2) หลักการคำนวน Table'!$D$33:$M$48,HLOOKUP(AB22,'2) หลักการคำนวน Table'!$D$1:$M$5,5,TRUE),0),
IF($C22="WS WH",VLOOKUP($B22,'2) หลักการคำนวน Table'!$D$63:$M$78,HLOOKUP(AB22,'2) หลักการคำนวน Table'!$D$1:$M$5,5,TRUE),0),
IF($C22="SF WH",VLOOKUP($B22,'2) หลักการคำนวน Table'!$D$93:$M$108,HLOOKUP(AB22,'2) หลักการคำนวน Table'!$D$1:$M$5,5,TRUE),0))))),0)</f>
        <v>520</v>
      </c>
      <c r="BA22" s="167">
        <f>IFERROR(IF($C22="Top WS",VLOOKUP($B22,'2) หลักการคำนวน Table'!$D$5:$M$20,HLOOKUP(AC22,'2) หลักการคำนวน Table'!$D$1:$M$5,5,TRUE),0),
IF($C22="WS SF",VLOOKUP($B22,'2) หลักการคำนวน Table'!$D$33:$M$48,HLOOKUP(AC22,'2) หลักการคำนวน Table'!$D$1:$M$5,5,TRUE),0),
IF($C22="WS WH",VLOOKUP($B22,'2) หลักการคำนวน Table'!$D$63:$M$78,HLOOKUP(AC22,'2) หลักการคำนวน Table'!$D$1:$M$5,5,TRUE),0),
IF($C22="SF WH",VLOOKUP($B22,'2) หลักการคำนวน Table'!$D$93:$M$108,HLOOKUP(AC22,'2) หลักการคำนวน Table'!$D$1:$M$5,5,TRUE),0))))),0)</f>
        <v>380</v>
      </c>
      <c r="BB22" s="167">
        <f>IFERROR(IF($C22="Top WS",VLOOKUP($B22,'2) หลักการคำนวน Table'!$D$5:$M$20,HLOOKUP(AD22,'2) หลักการคำนวน Table'!$D$1:$M$5,5,TRUE),0),
IF($C22="WS SF",VLOOKUP($B22,'2) หลักการคำนวน Table'!$D$33:$M$48,HLOOKUP(AD22,'2) หลักการคำนวน Table'!$D$1:$M$5,5,TRUE),0),
IF($C22="WS WH",VLOOKUP($B22,'2) หลักการคำนวน Table'!$D$63:$M$78,HLOOKUP(AD22,'2) หลักการคำนวน Table'!$D$1:$M$5,5,TRUE),0),
IF($C22="SF WH",VLOOKUP($B22,'2) หลักการคำนวน Table'!$D$93:$M$108,HLOOKUP(AD22,'2) หลักการคำนวน Table'!$D$1:$M$5,5,TRUE),0))))),0)</f>
        <v>360</v>
      </c>
      <c r="BC22" s="167">
        <f>IFERROR(IF($C22="Top WS",VLOOKUP($B22,'2) หลักการคำนวน Table'!$D$5:$M$20,HLOOKUP(AE22,'2) หลักการคำนวน Table'!$D$1:$M$5,5,TRUE),0),
IF($C22="WS SF",VLOOKUP($B22,'2) หลักการคำนวน Table'!$D$33:$M$48,HLOOKUP(AE22,'2) หลักการคำนวน Table'!$D$1:$M$5,5,TRUE),0),
IF($C22="WS WH",VLOOKUP($B22,'2) หลักการคำนวน Table'!$D$63:$M$78,HLOOKUP(AE22,'2) หลักการคำนวน Table'!$D$1:$M$5,5,TRUE),0),
IF($C22="SF WH",VLOOKUP($B22,'2) หลักการคำนวน Table'!$D$93:$M$108,HLOOKUP(AE22,'2) หลักการคำนวน Table'!$D$1:$M$5,5,TRUE),0))))),0)</f>
        <v>360</v>
      </c>
      <c r="BD22" s="167">
        <f>IFERROR(IF($C22="Top WS",VLOOKUP($B22,'2) หลักการคำนวน Table'!$D$5:$M$20,HLOOKUP(AF22,'2) หลักการคำนวน Table'!$D$1:$M$5,5,TRUE),0),
IF($C22="WS SF",VLOOKUP($B22,'2) หลักการคำนวน Table'!$D$33:$M$48,HLOOKUP(AF22,'2) หลักการคำนวน Table'!$D$1:$M$5,5,TRUE),0),
IF($C22="WS WH",VLOOKUP($B22,'2) หลักการคำนวน Table'!$D$63:$M$78,HLOOKUP(AF22,'2) หลักการคำนวน Table'!$D$1:$M$5,5,TRUE),0),
IF($C22="SF WH",VLOOKUP($B22,'2) หลักการคำนวน Table'!$D$93:$M$108,HLOOKUP(AF22,'2) หลักการคำนวน Table'!$D$1:$M$5,5,TRUE),0))))),0)</f>
        <v>360</v>
      </c>
      <c r="BE22" s="167">
        <f>IFERROR(IF($C22="Top WS",VLOOKUP($B22,'2) หลักการคำนวน Table'!$D$5:$M$20,HLOOKUP(AG22,'2) หลักการคำนวน Table'!$D$1:$M$5,5,TRUE),0),
IF($C22="WS SF",VLOOKUP($B22,'2) หลักการคำนวน Table'!$D$33:$M$48,HLOOKUP(AG22,'2) หลักการคำนวน Table'!$D$1:$M$5,5,TRUE),0),
IF($C22="WS WH",VLOOKUP($B22,'2) หลักการคำนวน Table'!$D$63:$M$78,HLOOKUP(AG22,'2) หลักการคำนวน Table'!$D$1:$M$5,5,TRUE),0),
IF($C22="SF WH",VLOOKUP($B22,'2) หลักการคำนวน Table'!$D$93:$M$108,HLOOKUP(AG22,'2) หลักการคำนวน Table'!$D$1:$M$5,5,TRUE),0))))),0)</f>
        <v>360</v>
      </c>
      <c r="BF22" s="167">
        <f>IFERROR(IF($C22="Top WS",VLOOKUP($B22,'2) หลักการคำนวน Table'!$D$5:$M$20,HLOOKUP(AH22,'2) หลักการคำนวน Table'!$D$1:$M$5,5,TRUE),0),
IF($C22="WS SF",VLOOKUP($B22,'2) หลักการคำนวน Table'!$D$33:$M$48,HLOOKUP(AH22,'2) หลักการคำนวน Table'!$D$1:$M$5,5,TRUE),0),
IF($C22="WS WH",VLOOKUP($B22,'2) หลักการคำนวน Table'!$D$63:$M$78,HLOOKUP(AH22,'2) หลักการคำนวน Table'!$D$1:$M$5,5,TRUE),0),
IF($C22="SF WH",VLOOKUP($B22,'2) หลักการคำนวน Table'!$D$93:$M$108,HLOOKUP(AH22,'2) หลักการคำนวน Table'!$D$1:$M$5,5,TRUE),0))))),0)</f>
        <v>360</v>
      </c>
      <c r="BG22" s="167">
        <f>IFERROR(IF($C22="Top WS",VLOOKUP($B22,'2) หลักการคำนวน Table'!$D$5:$M$20,HLOOKUP(AI22,'2) หลักการคำนวน Table'!$D$1:$M$5,5,TRUE),0),
IF($C22="WS SF",VLOOKUP($B22,'2) หลักการคำนวน Table'!$D$33:$M$48,HLOOKUP(AI22,'2) หลักการคำนวน Table'!$D$1:$M$5,5,TRUE),0),
IF($C22="WS WH",VLOOKUP($B22,'2) หลักการคำนวน Table'!$D$63:$M$78,HLOOKUP(AI22,'2) หลักการคำนวน Table'!$D$1:$M$5,5,TRUE),0),
IF($C22="SF WH",VLOOKUP($B22,'2) หลักการคำนวน Table'!$D$93:$M$108,HLOOKUP(AI22,'2) หลักการคำนวน Table'!$D$1:$M$5,5,TRUE),0))))),0)</f>
        <v>360</v>
      </c>
      <c r="BH22" s="167">
        <f>IFERROR(IF($C22="Top WS",VLOOKUP($B22,'2) หลักการคำนวน Table'!$D$5:$M$20,HLOOKUP(AP22,'2) หลักการคำนวน Table'!$D$1:$M$5,5,TRUE),0),
IF($C22="WS SF",VLOOKUP($B22,'2) หลักการคำนวน Table'!$D$33:$M$48,HLOOKUP(AP22,'2) หลักการคำนวน Table'!$D$1:$M$5,5,TRUE),0),
IF($C22="WS WH",VLOOKUP($B22,'2) หลักการคำนวน Table'!$D$63:$M$78,HLOOKUP(AP22,'2) หลักการคำนวน Table'!$D$1:$M$5,5,TRUE),0),
IF($C22="SF WH",VLOOKUP($B22,'2) หลักการคำนวน Table'!$D$93:$M$108,HLOOKUP(AP22,'2) หลักการคำนวน Table'!$D$1:$M$5,5,TRUE),0))))),0)</f>
        <v>360</v>
      </c>
      <c r="BI22" s="167">
        <f>IFERROR(IF($C22="Top WS",VLOOKUP($B22,'2) หลักการคำนวน Table'!$D$5:$M$20,HLOOKUP(AK22,'2) หลักการคำนวน Table'!$D$1:$M$5,5,TRUE),0),
IF($C22="WS SF",VLOOKUP($B22,'2) หลักการคำนวน Table'!$D$33:$M$48,HLOOKUP(AK22,'2) หลักการคำนวน Table'!$D$1:$M$5,5,TRUE),0),
IF($C22="WS WH",VLOOKUP($B22,'2) หลักการคำนวน Table'!$D$63:$M$78,HLOOKUP(AK22,'2) หลักการคำนวน Table'!$D$1:$M$5,5,TRUE),0),
IF($C22="SF WH",VLOOKUP($B22,'2) หลักการคำนวน Table'!$D$93:$M$108,HLOOKUP(AK22,'2) หลักการคำนวน Table'!$D$1:$M$5,5,TRUE),0))))),0)</f>
        <v>360</v>
      </c>
      <c r="BJ22" s="167">
        <f>IFERROR(IF($C22="Top WS",VLOOKUP($B22,'2) หลักการคำนวน Table'!$D$5:$M$20,HLOOKUP(AL22,'2) หลักการคำนวน Table'!$D$1:$M$5,5,TRUE),0),
IF($C22="WS SF",VLOOKUP($B22,'2) หลักการคำนวน Table'!$D$33:$M$48,HLOOKUP(AL22,'2) หลักการคำนวน Table'!$D$1:$M$5,5,TRUE),0),
IF($C22="WS WH",VLOOKUP($B22,'2) หลักการคำนวน Table'!$D$63:$M$78,HLOOKUP(AL22,'2) หลักการคำนวน Table'!$D$1:$M$5,5,TRUE),0),
IF($C22="SF WH",VLOOKUP($B22,'2) หลักการคำนวน Table'!$D$93:$M$108,HLOOKUP(AL22,'2) หลักการคำนวน Table'!$D$1:$M$5,5,TRUE),0))))),0)</f>
        <v>360</v>
      </c>
      <c r="BK22" s="167">
        <f>IFERROR(IF($C22="Top WS",VLOOKUP($B22,'2) หลักการคำนวน Table'!$D$5:$M$20,HLOOKUP(AM22,'2) หลักการคำนวน Table'!$D$1:$M$5,5,TRUE),0),
IF($C22="WS SF",VLOOKUP($B22,'2) หลักการคำนวน Table'!$D$33:$M$48,HLOOKUP(AM22,'2) หลักการคำนวน Table'!$D$1:$M$5,5,TRUE),0),
IF($C22="WS WH",VLOOKUP($B22,'2) หลักการคำนวน Table'!$D$63:$M$78,HLOOKUP(AM22,'2) หลักการคำนวน Table'!$D$1:$M$5,5,TRUE),0),
IF($C22="SF WH",VLOOKUP($B22,'2) หลักการคำนวน Table'!$D$93:$M$108,HLOOKUP(AM22,'2) หลักการคำนวน Table'!$D$1:$M$5,5,TRUE),0))))),0)</f>
        <v>360</v>
      </c>
      <c r="BM22" s="119">
        <f>VLOOKUP(VLOOKUP(A22,ASTBase!E:S,13,FALSE),ASTBase!F:P,11,FALSE)</f>
        <v>160000</v>
      </c>
      <c r="BN22" s="196" cm="1">
        <f t="array" ref="BN22">INDEX(AN22:AY22,,Period!$D$2)</f>
        <v>0.95</v>
      </c>
    </row>
    <row r="23" spans="1:66" x14ac:dyDescent="0.25">
      <c r="A23" s="117">
        <v>160002</v>
      </c>
      <c r="B23" s="117" t="s">
        <v>394</v>
      </c>
      <c r="C23" s="117" t="s">
        <v>178</v>
      </c>
      <c r="D23" s="118">
        <v>772</v>
      </c>
      <c r="E23" s="118">
        <v>1148</v>
      </c>
      <c r="F23" s="118">
        <v>625</v>
      </c>
      <c r="G23" s="118">
        <v>215</v>
      </c>
      <c r="H23" s="118">
        <v>16</v>
      </c>
      <c r="I23" s="118">
        <v>1014</v>
      </c>
      <c r="J23" s="118">
        <v>910</v>
      </c>
      <c r="K23" s="118">
        <v>1418</v>
      </c>
      <c r="L23" s="118">
        <v>1012</v>
      </c>
      <c r="M23" s="118">
        <v>896</v>
      </c>
      <c r="N23" s="118">
        <v>975</v>
      </c>
      <c r="O23" s="118">
        <v>974</v>
      </c>
      <c r="P23" s="117">
        <f>SUMIFS(Actual!C:C,Actual!$A:$A,'3)Target &amp; Cal'!$A23,Actual!$B:$B,'3)Target &amp; Cal'!$B23)</f>
        <v>540</v>
      </c>
      <c r="Q23" s="117">
        <f>SUMIFS(Actual!D:D,Actual!$A:$A,'3)Target &amp; Cal'!$A23,Actual!$B:$B,'3)Target &amp; Cal'!$B23)</f>
        <v>108</v>
      </c>
      <c r="R23" s="117">
        <f>SUMIFS(Actual!E:E,Actual!$A:$A,'3)Target &amp; Cal'!$A23,Actual!$B:$B,'3)Target &amp; Cal'!$B23)</f>
        <v>0</v>
      </c>
      <c r="S23" s="117">
        <f>SUMIFS(Actual!F:F,Actual!$A:$A,'3)Target &amp; Cal'!$A23,Actual!$B:$B,'3)Target &amp; Cal'!$B23)</f>
        <v>0</v>
      </c>
      <c r="T23" s="117">
        <f>SUMIFS(Actual!G:G,Actual!$A:$A,'3)Target &amp; Cal'!$A23,Actual!$B:$B,'3)Target &amp; Cal'!$B23)</f>
        <v>0</v>
      </c>
      <c r="U23" s="117">
        <f>SUMIFS(Actual!H:H,Actual!$A:$A,'3)Target &amp; Cal'!$A23,Actual!$B:$B,'3)Target &amp; Cal'!$B23)</f>
        <v>0</v>
      </c>
      <c r="V23" s="117">
        <f>SUMIFS(Actual!I:I,Actual!$A:$A,'3)Target &amp; Cal'!$A23,Actual!$B:$B,'3)Target &amp; Cal'!$B23)</f>
        <v>0</v>
      </c>
      <c r="W23" s="117">
        <f>SUMIFS(Actual!J:J,Actual!$A:$A,'3)Target &amp; Cal'!$A23,Actual!$B:$B,'3)Target &amp; Cal'!$B23)</f>
        <v>0</v>
      </c>
      <c r="X23" s="117">
        <f>SUMIFS(Actual!K:K,Actual!$A:$A,'3)Target &amp; Cal'!$A23,Actual!$B:$B,'3)Target &amp; Cal'!$B23)</f>
        <v>0</v>
      </c>
      <c r="Y23" s="117">
        <f>SUMIFS(Actual!L:L,Actual!$A:$A,'3)Target &amp; Cal'!$A23,Actual!$B:$B,'3)Target &amp; Cal'!$B23)</f>
        <v>0</v>
      </c>
      <c r="Z23" s="117">
        <f>SUMIFS(Actual!M:M,Actual!$A:$A,'3)Target &amp; Cal'!$A23,Actual!$B:$B,'3)Target &amp; Cal'!$B23)</f>
        <v>0</v>
      </c>
      <c r="AA23" s="117">
        <f>SUMIFS(Actual!N:N,Actual!$A:$A,'3)Target &amp; Cal'!$A23,Actual!$B:$B,'3)Target &amp; Cal'!$B23)</f>
        <v>0</v>
      </c>
      <c r="AB23" s="123">
        <f>IFERROR(IF(VLOOKUP($B23,Shortage!$A:$M,AB$2,FALSE)="Shortage",1,IFERROR(ROUND(P23/D23,4),0)),IFERROR(ROUND(P23/D23,4),0))</f>
        <v>0.69950000000000001</v>
      </c>
      <c r="AC23" s="123">
        <f>IFERROR(IF(VLOOKUP($B23,Shortage!$A:$M,AC$2,FALSE)="Shortage",1,IFERROR(ROUND(Q23/E23,4),0)),IFERROR(ROUND(Q23/E23,4),0))</f>
        <v>9.4100000000000003E-2</v>
      </c>
      <c r="AD23" s="123">
        <f>IFERROR(IF(VLOOKUP($B23,Shortage!$A:$M,AD$2,FALSE)="Shortage",1,IFERROR(ROUND(R23/F23,4),0)),IFERROR(ROUND(R23/F23,4),0))</f>
        <v>0</v>
      </c>
      <c r="AE23" s="123">
        <f>IFERROR(IF(VLOOKUP($B23,Shortage!$A:$M,AE$2,FALSE)="Shortage",1,IFERROR(ROUND(S23/G23,4),0)),IFERROR(ROUND(S23/G23,4),0))</f>
        <v>0</v>
      </c>
      <c r="AF23" s="123">
        <f>IFERROR(IF(VLOOKUP($B23,Shortage!$A:$M,AF$2,FALSE)="Shortage",1,IFERROR(ROUND(T23/H23,4),0)),IFERROR(ROUND(T23/H23,4),0))</f>
        <v>0</v>
      </c>
      <c r="AG23" s="123">
        <f>IFERROR(IF(VLOOKUP($B23,Shortage!$A:$M,AG$2,FALSE)="Shortage",1,IFERROR(ROUND(U23/I23,4),0)),IFERROR(ROUND(U23/I23,4),0))</f>
        <v>0</v>
      </c>
      <c r="AH23" s="123">
        <f>IFERROR(IF(VLOOKUP($B23,Shortage!$A:$M,AH$2,FALSE)="Shortage",1,IFERROR(ROUND(V23/J23,4),0)),IFERROR(ROUND(V23/J23,4),0))</f>
        <v>0</v>
      </c>
      <c r="AI23" s="123">
        <f>IFERROR(IF(VLOOKUP($B23,Shortage!$A:$M,AI$2,FALSE)="Shortage",1,IFERROR(ROUND(W23/K23,4),0)),IFERROR(ROUND(W23/K23,4),0))</f>
        <v>0</v>
      </c>
      <c r="AJ23" s="123">
        <f>IFERROR(IF(VLOOKUP($B23,Shortage!$A:$M,AP$2,FALSE)="Shortage",1,IFERROR(ROUND(X23/L23,4),0)),IFERROR(ROUND(X23/L23,4),0))</f>
        <v>0</v>
      </c>
      <c r="AK23" s="123">
        <f>IFERROR(IF(VLOOKUP($B23,Shortage!$A:$M,AK$2,FALSE)="Shortage",1,IFERROR(ROUND(Y23/M23,4),0)),IFERROR(ROUND(Y23/M23,4),0))</f>
        <v>0</v>
      </c>
      <c r="AL23" s="123">
        <f>IFERROR(IF(VLOOKUP($B23,Shortage!$A:$M,AL$2,FALSE)="Shortage",1,IFERROR(ROUND(Z23/N23,4),0)),IFERROR(ROUND(Z23/N23,4),0))</f>
        <v>0</v>
      </c>
      <c r="AM23" s="123">
        <f>IFERROR(IF(VLOOKUP($B23,Shortage!$A:$M,AM$2,FALSE)="Shortage",1,IFERROR(ROUND(AA23/O23,4),0)),IFERROR(ROUND(AA23/O23,4),0))</f>
        <v>0</v>
      </c>
      <c r="AN23" s="232">
        <f>IFERROR(IF($C23="Top WS",VLOOKUP("GOAL",'2) หลักการคำนวน Table'!$D$4:$M$4,HLOOKUP(AB23,'2) หลักการคำนวน Table'!$D$1:$M$5,5,TRUE),0),
IF($C23="WS SF",VLOOKUP("GOAL",'2) หลักการคำนวน Table'!$D$32:$M$32,HLOOKUP(AB23,'2) หลักการคำนวน Table'!$D$1:$M$5,5,TRUE),0),
IF($C23="WS WH",VLOOKUP("GOAL",'2) หลักการคำนวน Table'!$D$62:$M$62,HLOOKUP(AB23,'2) หลักการคำนวน Table'!$D$1:$M$5,5,TRUE),0),
IF($C23="SF WH",VLOOKUP("GOAL",'2) หลักการคำนวน Table'!$D$92:$M$92,HLOOKUP(AB23,'2) หลักการคำนวน Table'!$D$1:$M$5,5,TRUE),0))))),0)</f>
        <v>0.9</v>
      </c>
      <c r="AO23" s="232">
        <f>IFERROR(IF($C23="Top WS",VLOOKUP("GOAL",'2) หลักการคำนวน Table'!$D$4:$M$4,HLOOKUP(AC23,'2) หลักการคำนวน Table'!$D$1:$M$5,5,TRUE),0),
IF($C23="WS SF",VLOOKUP("GOAL",'2) หลักการคำนวน Table'!$D$32:$M$32,HLOOKUP(AC23,'2) หลักการคำนวน Table'!$D$1:$M$5,5,TRUE),0),
IF($C23="WS WH",VLOOKUP("GOAL",'2) หลักการคำนวน Table'!$D$62:$M$62,HLOOKUP(AC23,'2) หลักการคำนวน Table'!$D$1:$M$5,5,TRUE),0),
IF($C23="SF WH",VLOOKUP("GOAL",'2) หลักการคำนวน Table'!$D$92:$M$92,HLOOKUP(AC23,'2) หลักการคำนวน Table'!$D$1:$M$5,5,TRUE),0))))),0)</f>
        <v>0.9</v>
      </c>
      <c r="AP23" s="232">
        <f>IFERROR(IF($C23="Top WS",VLOOKUP("GOAL",'2) หลักการคำนวน Table'!$D$4:$M$4,HLOOKUP(AD23,'2) หลักการคำนวน Table'!$D$1:$M$5,5,TRUE),0),
IF($C23="WS SF",VLOOKUP("GOAL",'2) หลักการคำนวน Table'!$D$32:$M$32,HLOOKUP(AD23,'2) หลักการคำนวน Table'!$D$1:$M$5,5,TRUE),0),
IF($C23="WS WH",VLOOKUP("GOAL",'2) หลักการคำนวน Table'!$D$62:$M$62,HLOOKUP(AD23,'2) หลักการคำนวน Table'!$D$1:$M$5,5,TRUE),0),
IF($C23="SF WH",VLOOKUP("GOAL",'2) หลักการคำนวน Table'!$D$92:$M$92,HLOOKUP(AD23,'2) หลักการคำนวน Table'!$D$1:$M$5,5,TRUE),0))))),0)</f>
        <v>0.9</v>
      </c>
      <c r="AQ23" s="232">
        <f>IFERROR(IF($C23="Top WS",VLOOKUP("GOAL",'2) หลักการคำนวน Table'!$D$4:$M$4,HLOOKUP(AE23,'2) หลักการคำนวน Table'!$D$1:$M$5,5,TRUE),0),
IF($C23="WS SF",VLOOKUP("GOAL",'2) หลักการคำนวน Table'!$D$32:$M$32,HLOOKUP(AE23,'2) หลักการคำนวน Table'!$D$1:$M$5,5,TRUE),0),
IF($C23="WS WH",VLOOKUP("GOAL",'2) หลักการคำนวน Table'!$D$62:$M$62,HLOOKUP(AE23,'2) หลักการคำนวน Table'!$D$1:$M$5,5,TRUE),0),
IF($C23="SF WH",VLOOKUP("GOAL",'2) หลักการคำนวน Table'!$D$92:$M$92,HLOOKUP(AE23,'2) หลักการคำนวน Table'!$D$1:$M$5,5,TRUE),0))))),0)</f>
        <v>0.9</v>
      </c>
      <c r="AR23" s="232">
        <f>IFERROR(IF($C23="Top WS",VLOOKUP("GOAL",'2) หลักการคำนวน Table'!$D$4:$M$4,HLOOKUP(AF23,'2) หลักการคำนวน Table'!$D$1:$M$5,5,TRUE),0),
IF($C23="WS SF",VLOOKUP("GOAL",'2) หลักการคำนวน Table'!$D$32:$M$32,HLOOKUP(AF23,'2) หลักการคำนวน Table'!$D$1:$M$5,5,TRUE),0),
IF($C23="WS WH",VLOOKUP("GOAL",'2) หลักการคำนวน Table'!$D$62:$M$62,HLOOKUP(AF23,'2) หลักการคำนวน Table'!$D$1:$M$5,5,TRUE),0),
IF($C23="SF WH",VLOOKUP("GOAL",'2) หลักการคำนวน Table'!$D$92:$M$92,HLOOKUP(AF23,'2) หลักการคำนวน Table'!$D$1:$M$5,5,TRUE),0))))),0)</f>
        <v>0.9</v>
      </c>
      <c r="AS23" s="232">
        <f>IFERROR(IF($C23="Top WS",VLOOKUP("GOAL",'2) หลักการคำนวน Table'!$D$4:$M$4,HLOOKUP(AG23,'2) หลักการคำนวน Table'!$D$1:$M$5,5,TRUE),0),
IF($C23="WS SF",VLOOKUP("GOAL",'2) หลักการคำนวน Table'!$D$32:$M$32,HLOOKUP(AG23,'2) หลักการคำนวน Table'!$D$1:$M$5,5,TRUE),0),
IF($C23="WS WH",VLOOKUP("GOAL",'2) หลักการคำนวน Table'!$D$62:$M$62,HLOOKUP(AG23,'2) หลักการคำนวน Table'!$D$1:$M$5,5,TRUE),0),
IF($C23="SF WH",VLOOKUP("GOAL",'2) หลักการคำนวน Table'!$D$92:$M$92,HLOOKUP(AG23,'2) หลักการคำนวน Table'!$D$1:$M$5,5,TRUE),0))))),0)</f>
        <v>0.9</v>
      </c>
      <c r="AT23" s="232">
        <f>IFERROR(IF($C23="Top WS",VLOOKUP("GOAL",'2) หลักการคำนวน Table'!$D$4:$M$4,HLOOKUP(AH23,'2) หลักการคำนวน Table'!$D$1:$M$5,5,TRUE),0),
IF($C23="WS SF",VLOOKUP("GOAL",'2) หลักการคำนวน Table'!$D$32:$M$32,HLOOKUP(AH23,'2) หลักการคำนวน Table'!$D$1:$M$5,5,TRUE),0),
IF($C23="WS WH",VLOOKUP("GOAL",'2) หลักการคำนวน Table'!$D$62:$M$62,HLOOKUP(AH23,'2) หลักการคำนวน Table'!$D$1:$M$5,5,TRUE),0),
IF($C23="SF WH",VLOOKUP("GOAL",'2) หลักการคำนวน Table'!$D$92:$M$92,HLOOKUP(AH23,'2) หลักการคำนวน Table'!$D$1:$M$5,5,TRUE),0))))),0)</f>
        <v>0.9</v>
      </c>
      <c r="AU23" s="232">
        <f>IFERROR(IF($C23="Top WS",VLOOKUP("GOAL",'2) หลักการคำนวน Table'!$D$4:$M$4,HLOOKUP(AI23,'2) หลักการคำนวน Table'!$D$1:$M$5,5,TRUE),0),
IF($C23="WS SF",VLOOKUP("GOAL",'2) หลักการคำนวน Table'!$D$32:$M$32,HLOOKUP(AI23,'2) หลักการคำนวน Table'!$D$1:$M$5,5,TRUE),0),
IF($C23="WS WH",VLOOKUP("GOAL",'2) หลักการคำนวน Table'!$D$62:$M$62,HLOOKUP(AI23,'2) หลักการคำนวน Table'!$D$1:$M$5,5,TRUE),0),
IF($C23="SF WH",VLOOKUP("GOAL",'2) หลักการคำนวน Table'!$D$92:$M$92,HLOOKUP(AI23,'2) หลักการคำนวน Table'!$D$1:$M$5,5,TRUE),0))))),0)</f>
        <v>0.9</v>
      </c>
      <c r="AV23" s="232">
        <f>IFERROR(IF($C23="Top WS",VLOOKUP("GOAL",'2) หลักการคำนวน Table'!$D$4:$M$4,HLOOKUP(AP23,'2) หลักการคำนวน Table'!$D$1:$M$5,5,TRUE),0),
IF($C23="WS SF",VLOOKUP("GOAL",'2) หลักการคำนวน Table'!$D$32:$M$32,HLOOKUP(AP23,'2) หลักการคำนวน Table'!$D$1:$M$5,5,TRUE),0),
IF($C23="WS WH",VLOOKUP("GOAL",'2) หลักการคำนวน Table'!$D$62:$M$62,HLOOKUP(AP23,'2) หลักการคำนวน Table'!$D$1:$M$5,5,TRUE),0),
IF($C23="SF WH",VLOOKUP("GOAL",'2) หลักการคำนวน Table'!$D$92:$M$92,HLOOKUP(AP23,'2) หลักการคำนวน Table'!$D$1:$M$5,5,TRUE),0))))),0)</f>
        <v>0.9</v>
      </c>
      <c r="AW23" s="232">
        <f>IFERROR(IF($C23="Top WS",VLOOKUP("GOAL",'2) หลักการคำนวน Table'!$D$4:$M$4,HLOOKUP(AK23,'2) หลักการคำนวน Table'!$D$1:$M$5,5,TRUE),0),
IF($C23="WS SF",VLOOKUP("GOAL",'2) หลักการคำนวน Table'!$D$32:$M$32,HLOOKUP(AK23,'2) หลักการคำนวน Table'!$D$1:$M$5,5,TRUE),0),
IF($C23="WS WH",VLOOKUP("GOAL",'2) หลักการคำนวน Table'!$D$62:$M$62,HLOOKUP(AK23,'2) หลักการคำนวน Table'!$D$1:$M$5,5,TRUE),0),
IF($C23="SF WH",VLOOKUP("GOAL",'2) หลักการคำนวน Table'!$D$92:$M$92,HLOOKUP(AK23,'2) หลักการคำนวน Table'!$D$1:$M$5,5,TRUE),0))))),0)</f>
        <v>0.9</v>
      </c>
      <c r="AX23" s="232">
        <f>IFERROR(IF($C23="Top WS",VLOOKUP("GOAL",'2) หลักการคำนวน Table'!$D$4:$M$4,HLOOKUP(AL23,'2) หลักการคำนวน Table'!$D$1:$M$5,5,TRUE),0),
IF($C23="WS SF",VLOOKUP("GOAL",'2) หลักการคำนวน Table'!$D$32:$M$32,HLOOKUP(AL23,'2) หลักการคำนวน Table'!$D$1:$M$5,5,TRUE),0),
IF($C23="WS WH",VLOOKUP("GOAL",'2) หลักการคำนวน Table'!$D$62:$M$62,HLOOKUP(AL23,'2) หลักการคำนวน Table'!$D$1:$M$5,5,TRUE),0),
IF($C23="SF WH",VLOOKUP("GOAL",'2) หลักการคำนวน Table'!$D$92:$M$92,HLOOKUP(AL23,'2) หลักการคำนวน Table'!$D$1:$M$5,5,TRUE),0))))),0)</f>
        <v>0.9</v>
      </c>
      <c r="AY23" s="232">
        <f>IFERROR(IF($C23="Top WS",VLOOKUP("GOAL",'2) หลักการคำนวน Table'!$D$4:$M$4,HLOOKUP(AM23,'2) หลักการคำนวน Table'!$D$1:$M$5,5,TRUE),0),
IF($C23="WS SF",VLOOKUP("GOAL",'2) หลักการคำนวน Table'!$D$32:$M$32,HLOOKUP(AM23,'2) หลักการคำนวน Table'!$D$1:$M$5,5,TRUE),0),
IF($C23="WS WH",VLOOKUP("GOAL",'2) หลักการคำนวน Table'!$D$62:$M$62,HLOOKUP(AM23,'2) หลักการคำนวน Table'!$D$1:$M$5,5,TRUE),0),
IF($C23="SF WH",VLOOKUP("GOAL",'2) หลักการคำนวน Table'!$D$92:$M$92,HLOOKUP(AM23,'2) หลักการคำนวน Table'!$D$1:$M$5,5,TRUE),0))))),0)</f>
        <v>0.9</v>
      </c>
      <c r="AZ23" s="167">
        <f>IFERROR(IF($C23="Top WS",VLOOKUP($B23,'2) หลักการคำนวน Table'!$D$5:$M$20,HLOOKUP(AB23,'2) หลักการคำนวน Table'!$D$1:$M$5,5,TRUE),0),
IF($C23="WS SF",VLOOKUP($B23,'2) หลักการคำนวน Table'!$D$33:$M$48,HLOOKUP(AB23,'2) หลักการคำนวน Table'!$D$1:$M$5,5,TRUE),0),
IF($C23="WS WH",VLOOKUP($B23,'2) หลักการคำนวน Table'!$D$63:$M$78,HLOOKUP(AB23,'2) หลักการคำนวน Table'!$D$1:$M$5,5,TRUE),0),
IF($C23="SF WH",VLOOKUP($B23,'2) หลักการคำนวน Table'!$D$93:$M$108,HLOOKUP(AB23,'2) หลักการคำนวน Table'!$D$1:$M$5,5,TRUE),0))))),0)</f>
        <v>180</v>
      </c>
      <c r="BA23" s="167">
        <f>IFERROR(IF($C23="Top WS",VLOOKUP($B23,'2) หลักการคำนวน Table'!$D$5:$M$20,HLOOKUP(AC23,'2) หลักการคำนวน Table'!$D$1:$M$5,5,TRUE),0),
IF($C23="WS SF",VLOOKUP($B23,'2) หลักการคำนวน Table'!$D$33:$M$48,HLOOKUP(AC23,'2) หลักการคำนวน Table'!$D$1:$M$5,5,TRUE),0),
IF($C23="WS WH",VLOOKUP($B23,'2) หลักการคำนวน Table'!$D$63:$M$78,HLOOKUP(AC23,'2) หลักการคำนวน Table'!$D$1:$M$5,5,TRUE),0),
IF($C23="SF WH",VLOOKUP($B23,'2) หลักการคำนวน Table'!$D$93:$M$108,HLOOKUP(AC23,'2) หลักการคำนวน Table'!$D$1:$M$5,5,TRUE),0))))),0)</f>
        <v>180</v>
      </c>
      <c r="BB23" s="167">
        <f>IFERROR(IF($C23="Top WS",VLOOKUP($B23,'2) หลักการคำนวน Table'!$D$5:$M$20,HLOOKUP(AD23,'2) หลักการคำนวน Table'!$D$1:$M$5,5,TRUE),0),
IF($C23="WS SF",VLOOKUP($B23,'2) หลักการคำนวน Table'!$D$33:$M$48,HLOOKUP(AD23,'2) หลักการคำนวน Table'!$D$1:$M$5,5,TRUE),0),
IF($C23="WS WH",VLOOKUP($B23,'2) หลักการคำนวน Table'!$D$63:$M$78,HLOOKUP(AD23,'2) หลักการคำนวน Table'!$D$1:$M$5,5,TRUE),0),
IF($C23="SF WH",VLOOKUP($B23,'2) หลักการคำนวน Table'!$D$93:$M$108,HLOOKUP(AD23,'2) หลักการคำนวน Table'!$D$1:$M$5,5,TRUE),0))))),0)</f>
        <v>180</v>
      </c>
      <c r="BC23" s="167">
        <f>IFERROR(IF($C23="Top WS",VLOOKUP($B23,'2) หลักการคำนวน Table'!$D$5:$M$20,HLOOKUP(AE23,'2) หลักการคำนวน Table'!$D$1:$M$5,5,TRUE),0),
IF($C23="WS SF",VLOOKUP($B23,'2) หลักการคำนวน Table'!$D$33:$M$48,HLOOKUP(AE23,'2) หลักการคำนวน Table'!$D$1:$M$5,5,TRUE),0),
IF($C23="WS WH",VLOOKUP($B23,'2) หลักการคำนวน Table'!$D$63:$M$78,HLOOKUP(AE23,'2) หลักการคำนวน Table'!$D$1:$M$5,5,TRUE),0),
IF($C23="SF WH",VLOOKUP($B23,'2) หลักการคำนวน Table'!$D$93:$M$108,HLOOKUP(AE23,'2) หลักการคำนวน Table'!$D$1:$M$5,5,TRUE),0))))),0)</f>
        <v>180</v>
      </c>
      <c r="BD23" s="167">
        <f>IFERROR(IF($C23="Top WS",VLOOKUP($B23,'2) หลักการคำนวน Table'!$D$5:$M$20,HLOOKUP(AF23,'2) หลักการคำนวน Table'!$D$1:$M$5,5,TRUE),0),
IF($C23="WS SF",VLOOKUP($B23,'2) หลักการคำนวน Table'!$D$33:$M$48,HLOOKUP(AF23,'2) หลักการคำนวน Table'!$D$1:$M$5,5,TRUE),0),
IF($C23="WS WH",VLOOKUP($B23,'2) หลักการคำนวน Table'!$D$63:$M$78,HLOOKUP(AF23,'2) หลักการคำนวน Table'!$D$1:$M$5,5,TRUE),0),
IF($C23="SF WH",VLOOKUP($B23,'2) หลักการคำนวน Table'!$D$93:$M$108,HLOOKUP(AF23,'2) หลักการคำนวน Table'!$D$1:$M$5,5,TRUE),0))))),0)</f>
        <v>180</v>
      </c>
      <c r="BE23" s="167">
        <f>IFERROR(IF($C23="Top WS",VLOOKUP($B23,'2) หลักการคำนวน Table'!$D$5:$M$20,HLOOKUP(AG23,'2) หลักการคำนวน Table'!$D$1:$M$5,5,TRUE),0),
IF($C23="WS SF",VLOOKUP($B23,'2) หลักการคำนวน Table'!$D$33:$M$48,HLOOKUP(AG23,'2) หลักการคำนวน Table'!$D$1:$M$5,5,TRUE),0),
IF($C23="WS WH",VLOOKUP($B23,'2) หลักการคำนวน Table'!$D$63:$M$78,HLOOKUP(AG23,'2) หลักการคำนวน Table'!$D$1:$M$5,5,TRUE),0),
IF($C23="SF WH",VLOOKUP($B23,'2) หลักการคำนวน Table'!$D$93:$M$108,HLOOKUP(AG23,'2) หลักการคำนวน Table'!$D$1:$M$5,5,TRUE),0))))),0)</f>
        <v>180</v>
      </c>
      <c r="BF23" s="167">
        <f>IFERROR(IF($C23="Top WS",VLOOKUP($B23,'2) หลักการคำนวน Table'!$D$5:$M$20,HLOOKUP(AH23,'2) หลักการคำนวน Table'!$D$1:$M$5,5,TRUE),0),
IF($C23="WS SF",VLOOKUP($B23,'2) หลักการคำนวน Table'!$D$33:$M$48,HLOOKUP(AH23,'2) หลักการคำนวน Table'!$D$1:$M$5,5,TRUE),0),
IF($C23="WS WH",VLOOKUP($B23,'2) หลักการคำนวน Table'!$D$63:$M$78,HLOOKUP(AH23,'2) หลักการคำนวน Table'!$D$1:$M$5,5,TRUE),0),
IF($C23="SF WH",VLOOKUP($B23,'2) หลักการคำนวน Table'!$D$93:$M$108,HLOOKUP(AH23,'2) หลักการคำนวน Table'!$D$1:$M$5,5,TRUE),0))))),0)</f>
        <v>180</v>
      </c>
      <c r="BG23" s="167">
        <f>IFERROR(IF($C23="Top WS",VLOOKUP($B23,'2) หลักการคำนวน Table'!$D$5:$M$20,HLOOKUP(AI23,'2) หลักการคำนวน Table'!$D$1:$M$5,5,TRUE),0),
IF($C23="WS SF",VLOOKUP($B23,'2) หลักการคำนวน Table'!$D$33:$M$48,HLOOKUP(AI23,'2) หลักการคำนวน Table'!$D$1:$M$5,5,TRUE),0),
IF($C23="WS WH",VLOOKUP($B23,'2) หลักการคำนวน Table'!$D$63:$M$78,HLOOKUP(AI23,'2) หลักการคำนวน Table'!$D$1:$M$5,5,TRUE),0),
IF($C23="SF WH",VLOOKUP($B23,'2) หลักการคำนวน Table'!$D$93:$M$108,HLOOKUP(AI23,'2) หลักการคำนวน Table'!$D$1:$M$5,5,TRUE),0))))),0)</f>
        <v>180</v>
      </c>
      <c r="BH23" s="167">
        <f>IFERROR(IF($C23="Top WS",VLOOKUP($B23,'2) หลักการคำนวน Table'!$D$5:$M$20,HLOOKUP(AP23,'2) หลักการคำนวน Table'!$D$1:$M$5,5,TRUE),0),
IF($C23="WS SF",VLOOKUP($B23,'2) หลักการคำนวน Table'!$D$33:$M$48,HLOOKUP(AP23,'2) หลักการคำนวน Table'!$D$1:$M$5,5,TRUE),0),
IF($C23="WS WH",VLOOKUP($B23,'2) หลักการคำนวน Table'!$D$63:$M$78,HLOOKUP(AP23,'2) หลักการคำนวน Table'!$D$1:$M$5,5,TRUE),0),
IF($C23="SF WH",VLOOKUP($B23,'2) หลักการคำนวน Table'!$D$93:$M$108,HLOOKUP(AP23,'2) หลักการคำนวน Table'!$D$1:$M$5,5,TRUE),0))))),0)</f>
        <v>180</v>
      </c>
      <c r="BI23" s="167">
        <f>IFERROR(IF($C23="Top WS",VLOOKUP($B23,'2) หลักการคำนวน Table'!$D$5:$M$20,HLOOKUP(AK23,'2) หลักการคำนวน Table'!$D$1:$M$5,5,TRUE),0),
IF($C23="WS SF",VLOOKUP($B23,'2) หลักการคำนวน Table'!$D$33:$M$48,HLOOKUP(AK23,'2) หลักการคำนวน Table'!$D$1:$M$5,5,TRUE),0),
IF($C23="WS WH",VLOOKUP($B23,'2) หลักการคำนวน Table'!$D$63:$M$78,HLOOKUP(AK23,'2) หลักการคำนวน Table'!$D$1:$M$5,5,TRUE),0),
IF($C23="SF WH",VLOOKUP($B23,'2) หลักการคำนวน Table'!$D$93:$M$108,HLOOKUP(AK23,'2) หลักการคำนวน Table'!$D$1:$M$5,5,TRUE),0))))),0)</f>
        <v>180</v>
      </c>
      <c r="BJ23" s="167">
        <f>IFERROR(IF($C23="Top WS",VLOOKUP($B23,'2) หลักการคำนวน Table'!$D$5:$M$20,HLOOKUP(AL23,'2) หลักการคำนวน Table'!$D$1:$M$5,5,TRUE),0),
IF($C23="WS SF",VLOOKUP($B23,'2) หลักการคำนวน Table'!$D$33:$M$48,HLOOKUP(AL23,'2) หลักการคำนวน Table'!$D$1:$M$5,5,TRUE),0),
IF($C23="WS WH",VLOOKUP($B23,'2) หลักการคำนวน Table'!$D$63:$M$78,HLOOKUP(AL23,'2) หลักการคำนวน Table'!$D$1:$M$5,5,TRUE),0),
IF($C23="SF WH",VLOOKUP($B23,'2) หลักการคำนวน Table'!$D$93:$M$108,HLOOKUP(AL23,'2) หลักการคำนวน Table'!$D$1:$M$5,5,TRUE),0))))),0)</f>
        <v>180</v>
      </c>
      <c r="BK23" s="167">
        <f>IFERROR(IF($C23="Top WS",VLOOKUP($B23,'2) หลักการคำนวน Table'!$D$5:$M$20,HLOOKUP(AM23,'2) หลักการคำนวน Table'!$D$1:$M$5,5,TRUE),0),
IF($C23="WS SF",VLOOKUP($B23,'2) หลักการคำนวน Table'!$D$33:$M$48,HLOOKUP(AM23,'2) หลักการคำนวน Table'!$D$1:$M$5,5,TRUE),0),
IF($C23="WS WH",VLOOKUP($B23,'2) หลักการคำนวน Table'!$D$63:$M$78,HLOOKUP(AM23,'2) หลักการคำนวน Table'!$D$1:$M$5,5,TRUE),0),
IF($C23="SF WH",VLOOKUP($B23,'2) หลักการคำนวน Table'!$D$93:$M$108,HLOOKUP(AM23,'2) หลักการคำนวน Table'!$D$1:$M$5,5,TRUE),0))))),0)</f>
        <v>180</v>
      </c>
      <c r="BM23" s="119">
        <f>VLOOKUP(VLOOKUP(A23,ASTBase!E:S,13,FALSE),ASTBase!F:P,11,FALSE)</f>
        <v>160000</v>
      </c>
      <c r="BN23" s="196" cm="1">
        <f t="array" ref="BN23">INDEX(AN23:AY23,,Period!$D$2)</f>
        <v>0.9</v>
      </c>
    </row>
    <row r="24" spans="1:66" x14ac:dyDescent="0.25">
      <c r="A24" s="117">
        <v>160002</v>
      </c>
      <c r="B24" s="117" t="s">
        <v>405</v>
      </c>
      <c r="C24" s="117" t="s">
        <v>178</v>
      </c>
      <c r="D24" s="118">
        <v>102</v>
      </c>
      <c r="E24" s="118">
        <v>98</v>
      </c>
      <c r="F24" s="118">
        <v>102</v>
      </c>
      <c r="G24" s="118">
        <v>70</v>
      </c>
      <c r="H24" s="118">
        <v>60</v>
      </c>
      <c r="I24" s="118">
        <v>102</v>
      </c>
      <c r="J24" s="118">
        <v>73</v>
      </c>
      <c r="K24" s="118">
        <v>76</v>
      </c>
      <c r="L24" s="118">
        <v>54</v>
      </c>
      <c r="M24" s="118">
        <v>69</v>
      </c>
      <c r="N24" s="118">
        <v>98</v>
      </c>
      <c r="O24" s="118">
        <v>98</v>
      </c>
      <c r="P24" s="117">
        <f>SUMIFS(Actual!C:C,Actual!$A:$A,'3)Target &amp; Cal'!$A24,Actual!$B:$B,'3)Target &amp; Cal'!$B24)</f>
        <v>0</v>
      </c>
      <c r="Q24" s="117">
        <f>SUMIFS(Actual!D:D,Actual!$A:$A,'3)Target &amp; Cal'!$A24,Actual!$B:$B,'3)Target &amp; Cal'!$B24)</f>
        <v>0</v>
      </c>
      <c r="R24" s="117">
        <f>SUMIFS(Actual!E:E,Actual!$A:$A,'3)Target &amp; Cal'!$A24,Actual!$B:$B,'3)Target &amp; Cal'!$B24)</f>
        <v>0</v>
      </c>
      <c r="S24" s="117">
        <f>SUMIFS(Actual!F:F,Actual!$A:$A,'3)Target &amp; Cal'!$A24,Actual!$B:$B,'3)Target &amp; Cal'!$B24)</f>
        <v>0</v>
      </c>
      <c r="T24" s="117">
        <f>SUMIFS(Actual!G:G,Actual!$A:$A,'3)Target &amp; Cal'!$A24,Actual!$B:$B,'3)Target &amp; Cal'!$B24)</f>
        <v>0</v>
      </c>
      <c r="U24" s="117">
        <f>SUMIFS(Actual!H:H,Actual!$A:$A,'3)Target &amp; Cal'!$A24,Actual!$B:$B,'3)Target &amp; Cal'!$B24)</f>
        <v>0</v>
      </c>
      <c r="V24" s="117">
        <f>SUMIFS(Actual!I:I,Actual!$A:$A,'3)Target &amp; Cal'!$A24,Actual!$B:$B,'3)Target &amp; Cal'!$B24)</f>
        <v>0</v>
      </c>
      <c r="W24" s="117">
        <f>SUMIFS(Actual!J:J,Actual!$A:$A,'3)Target &amp; Cal'!$A24,Actual!$B:$B,'3)Target &amp; Cal'!$B24)</f>
        <v>0</v>
      </c>
      <c r="X24" s="117">
        <f>SUMIFS(Actual!K:K,Actual!$A:$A,'3)Target &amp; Cal'!$A24,Actual!$B:$B,'3)Target &amp; Cal'!$B24)</f>
        <v>0</v>
      </c>
      <c r="Y24" s="117">
        <f>SUMIFS(Actual!L:L,Actual!$A:$A,'3)Target &amp; Cal'!$A24,Actual!$B:$B,'3)Target &amp; Cal'!$B24)</f>
        <v>0</v>
      </c>
      <c r="Z24" s="117">
        <f>SUMIFS(Actual!M:M,Actual!$A:$A,'3)Target &amp; Cal'!$A24,Actual!$B:$B,'3)Target &amp; Cal'!$B24)</f>
        <v>0</v>
      </c>
      <c r="AA24" s="117">
        <f>SUMIFS(Actual!N:N,Actual!$A:$A,'3)Target &amp; Cal'!$A24,Actual!$B:$B,'3)Target &amp; Cal'!$B24)</f>
        <v>0</v>
      </c>
      <c r="AB24" s="123">
        <f>IFERROR(IF(VLOOKUP($B24,Shortage!$A:$M,AB$2,FALSE)="Shortage",1,IFERROR(ROUND(P24/D24,4),0)),IFERROR(ROUND(P24/D24,4),0))</f>
        <v>0</v>
      </c>
      <c r="AC24" s="123">
        <f>IFERROR(IF(VLOOKUP($B24,Shortage!$A:$M,AC$2,FALSE)="Shortage",1,IFERROR(ROUND(Q24/E24,4),0)),IFERROR(ROUND(Q24/E24,4),0))</f>
        <v>0</v>
      </c>
      <c r="AD24" s="123">
        <f>IFERROR(IF(VLOOKUP($B24,Shortage!$A:$M,AD$2,FALSE)="Shortage",1,IFERROR(ROUND(R24/F24,4),0)),IFERROR(ROUND(R24/F24,4),0))</f>
        <v>0</v>
      </c>
      <c r="AE24" s="123">
        <f>IFERROR(IF(VLOOKUP($B24,Shortage!$A:$M,AE$2,FALSE)="Shortage",1,IFERROR(ROUND(S24/G24,4),0)),IFERROR(ROUND(S24/G24,4),0))</f>
        <v>0</v>
      </c>
      <c r="AF24" s="123">
        <f>IFERROR(IF(VLOOKUP($B24,Shortage!$A:$M,AF$2,FALSE)="Shortage",1,IFERROR(ROUND(T24/H24,4),0)),IFERROR(ROUND(T24/H24,4),0))</f>
        <v>0</v>
      </c>
      <c r="AG24" s="123">
        <f>IFERROR(IF(VLOOKUP($B24,Shortage!$A:$M,AG$2,FALSE)="Shortage",1,IFERROR(ROUND(U24/I24,4),0)),IFERROR(ROUND(U24/I24,4),0))</f>
        <v>0</v>
      </c>
      <c r="AH24" s="123">
        <f>IFERROR(IF(VLOOKUP($B24,Shortage!$A:$M,AH$2,FALSE)="Shortage",1,IFERROR(ROUND(V24/J24,4),0)),IFERROR(ROUND(V24/J24,4),0))</f>
        <v>0</v>
      </c>
      <c r="AI24" s="123">
        <f>IFERROR(IF(VLOOKUP($B24,Shortage!$A:$M,AI$2,FALSE)="Shortage",1,IFERROR(ROUND(W24/K24,4),0)),IFERROR(ROUND(W24/K24,4),0))</f>
        <v>0</v>
      </c>
      <c r="AJ24" s="123">
        <f>IFERROR(IF(VLOOKUP($B24,Shortage!$A:$M,AP$2,FALSE)="Shortage",1,IFERROR(ROUND(X24/L24,4),0)),IFERROR(ROUND(X24/L24,4),0))</f>
        <v>0</v>
      </c>
      <c r="AK24" s="123">
        <f>IFERROR(IF(VLOOKUP($B24,Shortage!$A:$M,AK$2,FALSE)="Shortage",1,IFERROR(ROUND(Y24/M24,4),0)),IFERROR(ROUND(Y24/M24,4),0))</f>
        <v>0</v>
      </c>
      <c r="AL24" s="123">
        <f>IFERROR(IF(VLOOKUP($B24,Shortage!$A:$M,AL$2,FALSE)="Shortage",1,IFERROR(ROUND(Z24/N24,4),0)),IFERROR(ROUND(Z24/N24,4),0))</f>
        <v>0</v>
      </c>
      <c r="AM24" s="123">
        <f>IFERROR(IF(VLOOKUP($B24,Shortage!$A:$M,AM$2,FALSE)="Shortage",1,IFERROR(ROUND(AA24/O24,4),0)),IFERROR(ROUND(AA24/O24,4),0))</f>
        <v>0</v>
      </c>
      <c r="AN24" s="232">
        <f>IFERROR(IF($C24="Top WS",VLOOKUP("GOAL",'2) หลักการคำนวน Table'!$D$4:$M$4,HLOOKUP(AB24,'2) หลักการคำนวน Table'!$D$1:$M$5,5,TRUE),0),
IF($C24="WS SF",VLOOKUP("GOAL",'2) หลักการคำนวน Table'!$D$32:$M$32,HLOOKUP(AB24,'2) หลักการคำนวน Table'!$D$1:$M$5,5,TRUE),0),
IF($C24="WS WH",VLOOKUP("GOAL",'2) หลักการคำนวน Table'!$D$62:$M$62,HLOOKUP(AB24,'2) หลักการคำนวน Table'!$D$1:$M$5,5,TRUE),0),
IF($C24="SF WH",VLOOKUP("GOAL",'2) หลักการคำนวน Table'!$D$92:$M$92,HLOOKUP(AB24,'2) หลักการคำนวน Table'!$D$1:$M$5,5,TRUE),0))))),0)</f>
        <v>0.9</v>
      </c>
      <c r="AO24" s="232">
        <f>IFERROR(IF($C24="Top WS",VLOOKUP("GOAL",'2) หลักการคำนวน Table'!$D$4:$M$4,HLOOKUP(AC24,'2) หลักการคำนวน Table'!$D$1:$M$5,5,TRUE),0),
IF($C24="WS SF",VLOOKUP("GOAL",'2) หลักการคำนวน Table'!$D$32:$M$32,HLOOKUP(AC24,'2) หลักการคำนวน Table'!$D$1:$M$5,5,TRUE),0),
IF($C24="WS WH",VLOOKUP("GOAL",'2) หลักการคำนวน Table'!$D$62:$M$62,HLOOKUP(AC24,'2) หลักการคำนวน Table'!$D$1:$M$5,5,TRUE),0),
IF($C24="SF WH",VLOOKUP("GOAL",'2) หลักการคำนวน Table'!$D$92:$M$92,HLOOKUP(AC24,'2) หลักการคำนวน Table'!$D$1:$M$5,5,TRUE),0))))),0)</f>
        <v>0.9</v>
      </c>
      <c r="AP24" s="232">
        <f>IFERROR(IF($C24="Top WS",VLOOKUP("GOAL",'2) หลักการคำนวน Table'!$D$4:$M$4,HLOOKUP(AD24,'2) หลักการคำนวน Table'!$D$1:$M$5,5,TRUE),0),
IF($C24="WS SF",VLOOKUP("GOAL",'2) หลักการคำนวน Table'!$D$32:$M$32,HLOOKUP(AD24,'2) หลักการคำนวน Table'!$D$1:$M$5,5,TRUE),0),
IF($C24="WS WH",VLOOKUP("GOAL",'2) หลักการคำนวน Table'!$D$62:$M$62,HLOOKUP(AD24,'2) หลักการคำนวน Table'!$D$1:$M$5,5,TRUE),0),
IF($C24="SF WH",VLOOKUP("GOAL",'2) หลักการคำนวน Table'!$D$92:$M$92,HLOOKUP(AD24,'2) หลักการคำนวน Table'!$D$1:$M$5,5,TRUE),0))))),0)</f>
        <v>0.9</v>
      </c>
      <c r="AQ24" s="232">
        <f>IFERROR(IF($C24="Top WS",VLOOKUP("GOAL",'2) หลักการคำนวน Table'!$D$4:$M$4,HLOOKUP(AE24,'2) หลักการคำนวน Table'!$D$1:$M$5,5,TRUE),0),
IF($C24="WS SF",VLOOKUP("GOAL",'2) หลักการคำนวน Table'!$D$32:$M$32,HLOOKUP(AE24,'2) หลักการคำนวน Table'!$D$1:$M$5,5,TRUE),0),
IF($C24="WS WH",VLOOKUP("GOAL",'2) หลักการคำนวน Table'!$D$62:$M$62,HLOOKUP(AE24,'2) หลักการคำนวน Table'!$D$1:$M$5,5,TRUE),0),
IF($C24="SF WH",VLOOKUP("GOAL",'2) หลักการคำนวน Table'!$D$92:$M$92,HLOOKUP(AE24,'2) หลักการคำนวน Table'!$D$1:$M$5,5,TRUE),0))))),0)</f>
        <v>0.9</v>
      </c>
      <c r="AR24" s="232">
        <f>IFERROR(IF($C24="Top WS",VLOOKUP("GOAL",'2) หลักการคำนวน Table'!$D$4:$M$4,HLOOKUP(AF24,'2) หลักการคำนวน Table'!$D$1:$M$5,5,TRUE),0),
IF($C24="WS SF",VLOOKUP("GOAL",'2) หลักการคำนวน Table'!$D$32:$M$32,HLOOKUP(AF24,'2) หลักการคำนวน Table'!$D$1:$M$5,5,TRUE),0),
IF($C24="WS WH",VLOOKUP("GOAL",'2) หลักการคำนวน Table'!$D$62:$M$62,HLOOKUP(AF24,'2) หลักการคำนวน Table'!$D$1:$M$5,5,TRUE),0),
IF($C24="SF WH",VLOOKUP("GOAL",'2) หลักการคำนวน Table'!$D$92:$M$92,HLOOKUP(AF24,'2) หลักการคำนวน Table'!$D$1:$M$5,5,TRUE),0))))),0)</f>
        <v>0.9</v>
      </c>
      <c r="AS24" s="232">
        <f>IFERROR(IF($C24="Top WS",VLOOKUP("GOAL",'2) หลักการคำนวน Table'!$D$4:$M$4,HLOOKUP(AG24,'2) หลักการคำนวน Table'!$D$1:$M$5,5,TRUE),0),
IF($C24="WS SF",VLOOKUP("GOAL",'2) หลักการคำนวน Table'!$D$32:$M$32,HLOOKUP(AG24,'2) หลักการคำนวน Table'!$D$1:$M$5,5,TRUE),0),
IF($C24="WS WH",VLOOKUP("GOAL",'2) หลักการคำนวน Table'!$D$62:$M$62,HLOOKUP(AG24,'2) หลักการคำนวน Table'!$D$1:$M$5,5,TRUE),0),
IF($C24="SF WH",VLOOKUP("GOAL",'2) หลักการคำนวน Table'!$D$92:$M$92,HLOOKUP(AG24,'2) หลักการคำนวน Table'!$D$1:$M$5,5,TRUE),0))))),0)</f>
        <v>0.9</v>
      </c>
      <c r="AT24" s="232">
        <f>IFERROR(IF($C24="Top WS",VLOOKUP("GOAL",'2) หลักการคำนวน Table'!$D$4:$M$4,HLOOKUP(AH24,'2) หลักการคำนวน Table'!$D$1:$M$5,5,TRUE),0),
IF($C24="WS SF",VLOOKUP("GOAL",'2) หลักการคำนวน Table'!$D$32:$M$32,HLOOKUP(AH24,'2) หลักการคำนวน Table'!$D$1:$M$5,5,TRUE),0),
IF($C24="WS WH",VLOOKUP("GOAL",'2) หลักการคำนวน Table'!$D$62:$M$62,HLOOKUP(AH24,'2) หลักการคำนวน Table'!$D$1:$M$5,5,TRUE),0),
IF($C24="SF WH",VLOOKUP("GOAL",'2) หลักการคำนวน Table'!$D$92:$M$92,HLOOKUP(AH24,'2) หลักการคำนวน Table'!$D$1:$M$5,5,TRUE),0))))),0)</f>
        <v>0.9</v>
      </c>
      <c r="AU24" s="232">
        <f>IFERROR(IF($C24="Top WS",VLOOKUP("GOAL",'2) หลักการคำนวน Table'!$D$4:$M$4,HLOOKUP(AI24,'2) หลักการคำนวน Table'!$D$1:$M$5,5,TRUE),0),
IF($C24="WS SF",VLOOKUP("GOAL",'2) หลักการคำนวน Table'!$D$32:$M$32,HLOOKUP(AI24,'2) หลักการคำนวน Table'!$D$1:$M$5,5,TRUE),0),
IF($C24="WS WH",VLOOKUP("GOAL",'2) หลักการคำนวน Table'!$D$62:$M$62,HLOOKUP(AI24,'2) หลักการคำนวน Table'!$D$1:$M$5,5,TRUE),0),
IF($C24="SF WH",VLOOKUP("GOAL",'2) หลักการคำนวน Table'!$D$92:$M$92,HLOOKUP(AI24,'2) หลักการคำนวน Table'!$D$1:$M$5,5,TRUE),0))))),0)</f>
        <v>0.9</v>
      </c>
      <c r="AV24" s="232">
        <f>IFERROR(IF($C24="Top WS",VLOOKUP("GOAL",'2) หลักการคำนวน Table'!$D$4:$M$4,HLOOKUP(AP24,'2) หลักการคำนวน Table'!$D$1:$M$5,5,TRUE),0),
IF($C24="WS SF",VLOOKUP("GOAL",'2) หลักการคำนวน Table'!$D$32:$M$32,HLOOKUP(AP24,'2) หลักการคำนวน Table'!$D$1:$M$5,5,TRUE),0),
IF($C24="WS WH",VLOOKUP("GOAL",'2) หลักการคำนวน Table'!$D$62:$M$62,HLOOKUP(AP24,'2) หลักการคำนวน Table'!$D$1:$M$5,5,TRUE),0),
IF($C24="SF WH",VLOOKUP("GOAL",'2) หลักการคำนวน Table'!$D$92:$M$92,HLOOKUP(AP24,'2) หลักการคำนวน Table'!$D$1:$M$5,5,TRUE),0))))),0)</f>
        <v>0.9</v>
      </c>
      <c r="AW24" s="232">
        <f>IFERROR(IF($C24="Top WS",VLOOKUP("GOAL",'2) หลักการคำนวน Table'!$D$4:$M$4,HLOOKUP(AK24,'2) หลักการคำนวน Table'!$D$1:$M$5,5,TRUE),0),
IF($C24="WS SF",VLOOKUP("GOAL",'2) หลักการคำนวน Table'!$D$32:$M$32,HLOOKUP(AK24,'2) หลักการคำนวน Table'!$D$1:$M$5,5,TRUE),0),
IF($C24="WS WH",VLOOKUP("GOAL",'2) หลักการคำนวน Table'!$D$62:$M$62,HLOOKUP(AK24,'2) หลักการคำนวน Table'!$D$1:$M$5,5,TRUE),0),
IF($C24="SF WH",VLOOKUP("GOAL",'2) หลักการคำนวน Table'!$D$92:$M$92,HLOOKUP(AK24,'2) หลักการคำนวน Table'!$D$1:$M$5,5,TRUE),0))))),0)</f>
        <v>0.9</v>
      </c>
      <c r="AX24" s="232">
        <f>IFERROR(IF($C24="Top WS",VLOOKUP("GOAL",'2) หลักการคำนวน Table'!$D$4:$M$4,HLOOKUP(AL24,'2) หลักการคำนวน Table'!$D$1:$M$5,5,TRUE),0),
IF($C24="WS SF",VLOOKUP("GOAL",'2) หลักการคำนวน Table'!$D$32:$M$32,HLOOKUP(AL24,'2) หลักการคำนวน Table'!$D$1:$M$5,5,TRUE),0),
IF($C24="WS WH",VLOOKUP("GOAL",'2) หลักการคำนวน Table'!$D$62:$M$62,HLOOKUP(AL24,'2) หลักการคำนวน Table'!$D$1:$M$5,5,TRUE),0),
IF($C24="SF WH",VLOOKUP("GOAL",'2) หลักการคำนวน Table'!$D$92:$M$92,HLOOKUP(AL24,'2) หลักการคำนวน Table'!$D$1:$M$5,5,TRUE),0))))),0)</f>
        <v>0.9</v>
      </c>
      <c r="AY24" s="232">
        <f>IFERROR(IF($C24="Top WS",VLOOKUP("GOAL",'2) หลักการคำนวน Table'!$D$4:$M$4,HLOOKUP(AM24,'2) หลักการคำนวน Table'!$D$1:$M$5,5,TRUE),0),
IF($C24="WS SF",VLOOKUP("GOAL",'2) หลักการคำนวน Table'!$D$32:$M$32,HLOOKUP(AM24,'2) หลักการคำนวน Table'!$D$1:$M$5,5,TRUE),0),
IF($C24="WS WH",VLOOKUP("GOAL",'2) หลักการคำนวน Table'!$D$62:$M$62,HLOOKUP(AM24,'2) หลักการคำนวน Table'!$D$1:$M$5,5,TRUE),0),
IF($C24="SF WH",VLOOKUP("GOAL",'2) หลักการคำนวน Table'!$D$92:$M$92,HLOOKUP(AM24,'2) หลักการคำนวน Table'!$D$1:$M$5,5,TRUE),0))))),0)</f>
        <v>0.9</v>
      </c>
      <c r="AZ24" s="167">
        <f>IFERROR(IF($C24="Top WS",VLOOKUP($B24,'2) หลักการคำนวน Table'!$D$5:$M$20,HLOOKUP(AB24,'2) หลักการคำนวน Table'!$D$1:$M$5,5,TRUE),0),
IF($C24="WS SF",VLOOKUP($B24,'2) หลักการคำนวน Table'!$D$33:$M$48,HLOOKUP(AB24,'2) หลักการคำนวน Table'!$D$1:$M$5,5,TRUE),0),
IF($C24="WS WH",VLOOKUP($B24,'2) หลักการคำนวน Table'!$D$63:$M$78,HLOOKUP(AB24,'2) หลักการคำนวน Table'!$D$1:$M$5,5,TRUE),0),
IF($C24="SF WH",VLOOKUP($B24,'2) หลักการคำนวน Table'!$D$93:$M$108,HLOOKUP(AB24,'2) หลักการคำนวน Table'!$D$1:$M$5,5,TRUE),0))))),0)</f>
        <v>360</v>
      </c>
      <c r="BA24" s="167">
        <f>IFERROR(IF($C24="Top WS",VLOOKUP($B24,'2) หลักการคำนวน Table'!$D$5:$M$20,HLOOKUP(AC24,'2) หลักการคำนวน Table'!$D$1:$M$5,5,TRUE),0),
IF($C24="WS SF",VLOOKUP($B24,'2) หลักการคำนวน Table'!$D$33:$M$48,HLOOKUP(AC24,'2) หลักการคำนวน Table'!$D$1:$M$5,5,TRUE),0),
IF($C24="WS WH",VLOOKUP($B24,'2) หลักการคำนวน Table'!$D$63:$M$78,HLOOKUP(AC24,'2) หลักการคำนวน Table'!$D$1:$M$5,5,TRUE),0),
IF($C24="SF WH",VLOOKUP($B24,'2) หลักการคำนวน Table'!$D$93:$M$108,HLOOKUP(AC24,'2) หลักการคำนวน Table'!$D$1:$M$5,5,TRUE),0))))),0)</f>
        <v>360</v>
      </c>
      <c r="BB24" s="167">
        <f>IFERROR(IF($C24="Top WS",VLOOKUP($B24,'2) หลักการคำนวน Table'!$D$5:$M$20,HLOOKUP(AD24,'2) หลักการคำนวน Table'!$D$1:$M$5,5,TRUE),0),
IF($C24="WS SF",VLOOKUP($B24,'2) หลักการคำนวน Table'!$D$33:$M$48,HLOOKUP(AD24,'2) หลักการคำนวน Table'!$D$1:$M$5,5,TRUE),0),
IF($C24="WS WH",VLOOKUP($B24,'2) หลักการคำนวน Table'!$D$63:$M$78,HLOOKUP(AD24,'2) หลักการคำนวน Table'!$D$1:$M$5,5,TRUE),0),
IF($C24="SF WH",VLOOKUP($B24,'2) หลักการคำนวน Table'!$D$93:$M$108,HLOOKUP(AD24,'2) หลักการคำนวน Table'!$D$1:$M$5,5,TRUE),0))))),0)</f>
        <v>360</v>
      </c>
      <c r="BC24" s="167">
        <f>IFERROR(IF($C24="Top WS",VLOOKUP($B24,'2) หลักการคำนวน Table'!$D$5:$M$20,HLOOKUP(AE24,'2) หลักการคำนวน Table'!$D$1:$M$5,5,TRUE),0),
IF($C24="WS SF",VLOOKUP($B24,'2) หลักการคำนวน Table'!$D$33:$M$48,HLOOKUP(AE24,'2) หลักการคำนวน Table'!$D$1:$M$5,5,TRUE),0),
IF($C24="WS WH",VLOOKUP($B24,'2) หลักการคำนวน Table'!$D$63:$M$78,HLOOKUP(AE24,'2) หลักการคำนวน Table'!$D$1:$M$5,5,TRUE),0),
IF($C24="SF WH",VLOOKUP($B24,'2) หลักการคำนวน Table'!$D$93:$M$108,HLOOKUP(AE24,'2) หลักการคำนวน Table'!$D$1:$M$5,5,TRUE),0))))),0)</f>
        <v>360</v>
      </c>
      <c r="BD24" s="167">
        <f>IFERROR(IF($C24="Top WS",VLOOKUP($B24,'2) หลักการคำนวน Table'!$D$5:$M$20,HLOOKUP(AF24,'2) หลักการคำนวน Table'!$D$1:$M$5,5,TRUE),0),
IF($C24="WS SF",VLOOKUP($B24,'2) หลักการคำนวน Table'!$D$33:$M$48,HLOOKUP(AF24,'2) หลักการคำนวน Table'!$D$1:$M$5,5,TRUE),0),
IF($C24="WS WH",VLOOKUP($B24,'2) หลักการคำนวน Table'!$D$63:$M$78,HLOOKUP(AF24,'2) หลักการคำนวน Table'!$D$1:$M$5,5,TRUE),0),
IF($C24="SF WH",VLOOKUP($B24,'2) หลักการคำนวน Table'!$D$93:$M$108,HLOOKUP(AF24,'2) หลักการคำนวน Table'!$D$1:$M$5,5,TRUE),0))))),0)</f>
        <v>360</v>
      </c>
      <c r="BE24" s="167">
        <f>IFERROR(IF($C24="Top WS",VLOOKUP($B24,'2) หลักการคำนวน Table'!$D$5:$M$20,HLOOKUP(AG24,'2) หลักการคำนวน Table'!$D$1:$M$5,5,TRUE),0),
IF($C24="WS SF",VLOOKUP($B24,'2) หลักการคำนวน Table'!$D$33:$M$48,HLOOKUP(AG24,'2) หลักการคำนวน Table'!$D$1:$M$5,5,TRUE),0),
IF($C24="WS WH",VLOOKUP($B24,'2) หลักการคำนวน Table'!$D$63:$M$78,HLOOKUP(AG24,'2) หลักการคำนวน Table'!$D$1:$M$5,5,TRUE),0),
IF($C24="SF WH",VLOOKUP($B24,'2) หลักการคำนวน Table'!$D$93:$M$108,HLOOKUP(AG24,'2) หลักการคำนวน Table'!$D$1:$M$5,5,TRUE),0))))),0)</f>
        <v>360</v>
      </c>
      <c r="BF24" s="167">
        <f>IFERROR(IF($C24="Top WS",VLOOKUP($B24,'2) หลักการคำนวน Table'!$D$5:$M$20,HLOOKUP(AH24,'2) หลักการคำนวน Table'!$D$1:$M$5,5,TRUE),0),
IF($C24="WS SF",VLOOKUP($B24,'2) หลักการคำนวน Table'!$D$33:$M$48,HLOOKUP(AH24,'2) หลักการคำนวน Table'!$D$1:$M$5,5,TRUE),0),
IF($C24="WS WH",VLOOKUP($B24,'2) หลักการคำนวน Table'!$D$63:$M$78,HLOOKUP(AH24,'2) หลักการคำนวน Table'!$D$1:$M$5,5,TRUE),0),
IF($C24="SF WH",VLOOKUP($B24,'2) หลักการคำนวน Table'!$D$93:$M$108,HLOOKUP(AH24,'2) หลักการคำนวน Table'!$D$1:$M$5,5,TRUE),0))))),0)</f>
        <v>360</v>
      </c>
      <c r="BG24" s="167">
        <f>IFERROR(IF($C24="Top WS",VLOOKUP($B24,'2) หลักการคำนวน Table'!$D$5:$M$20,HLOOKUP(AI24,'2) หลักการคำนวน Table'!$D$1:$M$5,5,TRUE),0),
IF($C24="WS SF",VLOOKUP($B24,'2) หลักการคำนวน Table'!$D$33:$M$48,HLOOKUP(AI24,'2) หลักการคำนวน Table'!$D$1:$M$5,5,TRUE),0),
IF($C24="WS WH",VLOOKUP($B24,'2) หลักการคำนวน Table'!$D$63:$M$78,HLOOKUP(AI24,'2) หลักการคำนวน Table'!$D$1:$M$5,5,TRUE),0),
IF($C24="SF WH",VLOOKUP($B24,'2) หลักการคำนวน Table'!$D$93:$M$108,HLOOKUP(AI24,'2) หลักการคำนวน Table'!$D$1:$M$5,5,TRUE),0))))),0)</f>
        <v>360</v>
      </c>
      <c r="BH24" s="167">
        <f>IFERROR(IF($C24="Top WS",VLOOKUP($B24,'2) หลักการคำนวน Table'!$D$5:$M$20,HLOOKUP(AP24,'2) หลักการคำนวน Table'!$D$1:$M$5,5,TRUE),0),
IF($C24="WS SF",VLOOKUP($B24,'2) หลักการคำนวน Table'!$D$33:$M$48,HLOOKUP(AP24,'2) หลักการคำนวน Table'!$D$1:$M$5,5,TRUE),0),
IF($C24="WS WH",VLOOKUP($B24,'2) หลักการคำนวน Table'!$D$63:$M$78,HLOOKUP(AP24,'2) หลักการคำนวน Table'!$D$1:$M$5,5,TRUE),0),
IF($C24="SF WH",VLOOKUP($B24,'2) หลักการคำนวน Table'!$D$93:$M$108,HLOOKUP(AP24,'2) หลักการคำนวน Table'!$D$1:$M$5,5,TRUE),0))))),0)</f>
        <v>360</v>
      </c>
      <c r="BI24" s="167">
        <f>IFERROR(IF($C24="Top WS",VLOOKUP($B24,'2) หลักการคำนวน Table'!$D$5:$M$20,HLOOKUP(AK24,'2) หลักการคำนวน Table'!$D$1:$M$5,5,TRUE),0),
IF($C24="WS SF",VLOOKUP($B24,'2) หลักการคำนวน Table'!$D$33:$M$48,HLOOKUP(AK24,'2) หลักการคำนวน Table'!$D$1:$M$5,5,TRUE),0),
IF($C24="WS WH",VLOOKUP($B24,'2) หลักการคำนวน Table'!$D$63:$M$78,HLOOKUP(AK24,'2) หลักการคำนวน Table'!$D$1:$M$5,5,TRUE),0),
IF($C24="SF WH",VLOOKUP($B24,'2) หลักการคำนวน Table'!$D$93:$M$108,HLOOKUP(AK24,'2) หลักการคำนวน Table'!$D$1:$M$5,5,TRUE),0))))),0)</f>
        <v>360</v>
      </c>
      <c r="BJ24" s="167">
        <f>IFERROR(IF($C24="Top WS",VLOOKUP($B24,'2) หลักการคำนวน Table'!$D$5:$M$20,HLOOKUP(AL24,'2) หลักการคำนวน Table'!$D$1:$M$5,5,TRUE),0),
IF($C24="WS SF",VLOOKUP($B24,'2) หลักการคำนวน Table'!$D$33:$M$48,HLOOKUP(AL24,'2) หลักการคำนวน Table'!$D$1:$M$5,5,TRUE),0),
IF($C24="WS WH",VLOOKUP($B24,'2) หลักการคำนวน Table'!$D$63:$M$78,HLOOKUP(AL24,'2) หลักการคำนวน Table'!$D$1:$M$5,5,TRUE),0),
IF($C24="SF WH",VLOOKUP($B24,'2) หลักการคำนวน Table'!$D$93:$M$108,HLOOKUP(AL24,'2) หลักการคำนวน Table'!$D$1:$M$5,5,TRUE),0))))),0)</f>
        <v>360</v>
      </c>
      <c r="BK24" s="167">
        <f>IFERROR(IF($C24="Top WS",VLOOKUP($B24,'2) หลักการคำนวน Table'!$D$5:$M$20,HLOOKUP(AM24,'2) หลักการคำนวน Table'!$D$1:$M$5,5,TRUE),0),
IF($C24="WS SF",VLOOKUP($B24,'2) หลักการคำนวน Table'!$D$33:$M$48,HLOOKUP(AM24,'2) หลักการคำนวน Table'!$D$1:$M$5,5,TRUE),0),
IF($C24="WS WH",VLOOKUP($B24,'2) หลักการคำนวน Table'!$D$63:$M$78,HLOOKUP(AM24,'2) หลักการคำนวน Table'!$D$1:$M$5,5,TRUE),0),
IF($C24="SF WH",VLOOKUP($B24,'2) หลักการคำนวน Table'!$D$93:$M$108,HLOOKUP(AM24,'2) หลักการคำนวน Table'!$D$1:$M$5,5,TRUE),0))))),0)</f>
        <v>360</v>
      </c>
      <c r="BM24" s="119">
        <f>VLOOKUP(VLOOKUP(A24,ASTBase!E:S,13,FALSE),ASTBase!F:P,11,FALSE)</f>
        <v>160000</v>
      </c>
      <c r="BN24" s="196" cm="1">
        <f t="array" ref="BN24">INDEX(AN24:AY24,,Period!$D$2)</f>
        <v>0.9</v>
      </c>
    </row>
    <row r="25" spans="1:66" x14ac:dyDescent="0.25">
      <c r="A25" s="117">
        <v>160002</v>
      </c>
      <c r="B25" s="117" t="s">
        <v>393</v>
      </c>
      <c r="C25" s="117" t="s">
        <v>178</v>
      </c>
      <c r="D25" s="118">
        <v>143</v>
      </c>
      <c r="E25" s="118">
        <v>101</v>
      </c>
      <c r="F25" s="118">
        <v>107</v>
      </c>
      <c r="G25" s="118">
        <v>110</v>
      </c>
      <c r="H25" s="118">
        <v>89</v>
      </c>
      <c r="I25" s="118">
        <v>106</v>
      </c>
      <c r="J25" s="118">
        <v>133</v>
      </c>
      <c r="K25" s="118">
        <v>137</v>
      </c>
      <c r="L25" s="118">
        <v>132</v>
      </c>
      <c r="M25" s="118">
        <v>137</v>
      </c>
      <c r="N25" s="118">
        <v>106</v>
      </c>
      <c r="O25" s="118">
        <v>106</v>
      </c>
      <c r="P25" s="117">
        <f>SUMIFS(Actual!C:C,Actual!$A:$A,'3)Target &amp; Cal'!$A25,Actual!$B:$B,'3)Target &amp; Cal'!$B25)</f>
        <v>122.39999999999999</v>
      </c>
      <c r="Q25" s="117">
        <f>SUMIFS(Actual!D:D,Actual!$A:$A,'3)Target &amp; Cal'!$A25,Actual!$B:$B,'3)Target &amp; Cal'!$B25)</f>
        <v>92.399999999999991</v>
      </c>
      <c r="R25" s="117">
        <f>SUMIFS(Actual!E:E,Actual!$A:$A,'3)Target &amp; Cal'!$A25,Actual!$B:$B,'3)Target &amp; Cal'!$B25)</f>
        <v>0</v>
      </c>
      <c r="S25" s="117">
        <f>SUMIFS(Actual!F:F,Actual!$A:$A,'3)Target &amp; Cal'!$A25,Actual!$B:$B,'3)Target &amp; Cal'!$B25)</f>
        <v>0</v>
      </c>
      <c r="T25" s="117">
        <f>SUMIFS(Actual!G:G,Actual!$A:$A,'3)Target &amp; Cal'!$A25,Actual!$B:$B,'3)Target &amp; Cal'!$B25)</f>
        <v>0</v>
      </c>
      <c r="U25" s="117">
        <f>SUMIFS(Actual!H:H,Actual!$A:$A,'3)Target &amp; Cal'!$A25,Actual!$B:$B,'3)Target &amp; Cal'!$B25)</f>
        <v>0</v>
      </c>
      <c r="V25" s="117">
        <f>SUMIFS(Actual!I:I,Actual!$A:$A,'3)Target &amp; Cal'!$A25,Actual!$B:$B,'3)Target &amp; Cal'!$B25)</f>
        <v>0</v>
      </c>
      <c r="W25" s="117">
        <f>SUMIFS(Actual!J:J,Actual!$A:$A,'3)Target &amp; Cal'!$A25,Actual!$B:$B,'3)Target &amp; Cal'!$B25)</f>
        <v>0</v>
      </c>
      <c r="X25" s="117">
        <f>SUMIFS(Actual!K:K,Actual!$A:$A,'3)Target &amp; Cal'!$A25,Actual!$B:$B,'3)Target &amp; Cal'!$B25)</f>
        <v>0</v>
      </c>
      <c r="Y25" s="117">
        <f>SUMIFS(Actual!L:L,Actual!$A:$A,'3)Target &amp; Cal'!$A25,Actual!$B:$B,'3)Target &amp; Cal'!$B25)</f>
        <v>0</v>
      </c>
      <c r="Z25" s="117">
        <f>SUMIFS(Actual!M:M,Actual!$A:$A,'3)Target &amp; Cal'!$A25,Actual!$B:$B,'3)Target &amp; Cal'!$B25)</f>
        <v>0</v>
      </c>
      <c r="AA25" s="117">
        <f>SUMIFS(Actual!N:N,Actual!$A:$A,'3)Target &amp; Cal'!$A25,Actual!$B:$B,'3)Target &amp; Cal'!$B25)</f>
        <v>0</v>
      </c>
      <c r="AB25" s="123">
        <f>IFERROR(IF(VLOOKUP($B25,Shortage!$A:$M,AB$2,FALSE)="Shortage",1,IFERROR(ROUND(P25/D25,4),0)),IFERROR(ROUND(P25/D25,4),0))</f>
        <v>0.85589999999999999</v>
      </c>
      <c r="AC25" s="123">
        <f>IFERROR(IF(VLOOKUP($B25,Shortage!$A:$M,AC$2,FALSE)="Shortage",1,IFERROR(ROUND(Q25/E25,4),0)),IFERROR(ROUND(Q25/E25,4),0))</f>
        <v>0.91490000000000005</v>
      </c>
      <c r="AD25" s="123">
        <f>IFERROR(IF(VLOOKUP($B25,Shortage!$A:$M,AD$2,FALSE)="Shortage",1,IFERROR(ROUND(R25/F25,4),0)),IFERROR(ROUND(R25/F25,4),0))</f>
        <v>0</v>
      </c>
      <c r="AE25" s="123">
        <f>IFERROR(IF(VLOOKUP($B25,Shortage!$A:$M,AE$2,FALSE)="Shortage",1,IFERROR(ROUND(S25/G25,4),0)),IFERROR(ROUND(S25/G25,4),0))</f>
        <v>0</v>
      </c>
      <c r="AF25" s="123">
        <f>IFERROR(IF(VLOOKUP($B25,Shortage!$A:$M,AF$2,FALSE)="Shortage",1,IFERROR(ROUND(T25/H25,4),0)),IFERROR(ROUND(T25/H25,4),0))</f>
        <v>0</v>
      </c>
      <c r="AG25" s="123">
        <f>IFERROR(IF(VLOOKUP($B25,Shortage!$A:$M,AG$2,FALSE)="Shortage",1,IFERROR(ROUND(U25/I25,4),0)),IFERROR(ROUND(U25/I25,4),0))</f>
        <v>0</v>
      </c>
      <c r="AH25" s="123">
        <f>IFERROR(IF(VLOOKUP($B25,Shortage!$A:$M,AH$2,FALSE)="Shortage",1,IFERROR(ROUND(V25/J25,4),0)),IFERROR(ROUND(V25/J25,4),0))</f>
        <v>0</v>
      </c>
      <c r="AI25" s="123">
        <f>IFERROR(IF(VLOOKUP($B25,Shortage!$A:$M,AI$2,FALSE)="Shortage",1,IFERROR(ROUND(W25/K25,4),0)),IFERROR(ROUND(W25/K25,4),0))</f>
        <v>0</v>
      </c>
      <c r="AJ25" s="123">
        <f>IFERROR(IF(VLOOKUP($B25,Shortage!$A:$M,AP$2,FALSE)="Shortage",1,IFERROR(ROUND(X25/L25,4),0)),IFERROR(ROUND(X25/L25,4),0))</f>
        <v>0</v>
      </c>
      <c r="AK25" s="123">
        <f>IFERROR(IF(VLOOKUP($B25,Shortage!$A:$M,AK$2,FALSE)="Shortage",1,IFERROR(ROUND(Y25/M25,4),0)),IFERROR(ROUND(Y25/M25,4),0))</f>
        <v>0</v>
      </c>
      <c r="AL25" s="123">
        <f>IFERROR(IF(VLOOKUP($B25,Shortage!$A:$M,AL$2,FALSE)="Shortage",1,IFERROR(ROUND(Z25/N25,4),0)),IFERROR(ROUND(Z25/N25,4),0))</f>
        <v>0</v>
      </c>
      <c r="AM25" s="123">
        <f>IFERROR(IF(VLOOKUP($B25,Shortage!$A:$M,AM$2,FALSE)="Shortage",1,IFERROR(ROUND(AA25/O25,4),0)),IFERROR(ROUND(AA25/O25,4),0))</f>
        <v>0</v>
      </c>
      <c r="AN25" s="232">
        <f>IFERROR(IF($C25="Top WS",VLOOKUP("GOAL",'2) หลักการคำนวน Table'!$D$4:$M$4,HLOOKUP(AB25,'2) หลักการคำนวน Table'!$D$1:$M$5,5,TRUE),0),
IF($C25="WS SF",VLOOKUP("GOAL",'2) หลักการคำนวน Table'!$D$32:$M$32,HLOOKUP(AB25,'2) หลักการคำนวน Table'!$D$1:$M$5,5,TRUE),0),
IF($C25="WS WH",VLOOKUP("GOAL",'2) หลักการคำนวน Table'!$D$62:$M$62,HLOOKUP(AB25,'2) หลักการคำนวน Table'!$D$1:$M$5,5,TRUE),0),
IF($C25="SF WH",VLOOKUP("GOAL",'2) หลักการคำนวน Table'!$D$92:$M$92,HLOOKUP(AB25,'2) หลักการคำนวน Table'!$D$1:$M$5,5,TRUE),0))))),0)</f>
        <v>0.9</v>
      </c>
      <c r="AO25" s="232">
        <f>IFERROR(IF($C25="Top WS",VLOOKUP("GOAL",'2) หลักการคำนวน Table'!$D$4:$M$4,HLOOKUP(AC25,'2) หลักการคำนวน Table'!$D$1:$M$5,5,TRUE),0),
IF($C25="WS SF",VLOOKUP("GOAL",'2) หลักการคำนวน Table'!$D$32:$M$32,HLOOKUP(AC25,'2) หลักการคำนวน Table'!$D$1:$M$5,5,TRUE),0),
IF($C25="WS WH",VLOOKUP("GOAL",'2) หลักการคำนวน Table'!$D$62:$M$62,HLOOKUP(AC25,'2) หลักการคำนวน Table'!$D$1:$M$5,5,TRUE),0),
IF($C25="SF WH",VLOOKUP("GOAL",'2) หลักการคำนวน Table'!$D$92:$M$92,HLOOKUP(AC25,'2) หลักการคำนวน Table'!$D$1:$M$5,5,TRUE),0))))),0)</f>
        <v>0.95</v>
      </c>
      <c r="AP25" s="232">
        <f>IFERROR(IF($C25="Top WS",VLOOKUP("GOAL",'2) หลักการคำนวน Table'!$D$4:$M$4,HLOOKUP(AD25,'2) หลักการคำนวน Table'!$D$1:$M$5,5,TRUE),0),
IF($C25="WS SF",VLOOKUP("GOAL",'2) หลักการคำนวน Table'!$D$32:$M$32,HLOOKUP(AD25,'2) หลักการคำนวน Table'!$D$1:$M$5,5,TRUE),0),
IF($C25="WS WH",VLOOKUP("GOAL",'2) หลักการคำนวน Table'!$D$62:$M$62,HLOOKUP(AD25,'2) หลักการคำนวน Table'!$D$1:$M$5,5,TRUE),0),
IF($C25="SF WH",VLOOKUP("GOAL",'2) หลักการคำนวน Table'!$D$92:$M$92,HLOOKUP(AD25,'2) หลักการคำนวน Table'!$D$1:$M$5,5,TRUE),0))))),0)</f>
        <v>0.9</v>
      </c>
      <c r="AQ25" s="232">
        <f>IFERROR(IF($C25="Top WS",VLOOKUP("GOAL",'2) หลักการคำนวน Table'!$D$4:$M$4,HLOOKUP(AE25,'2) หลักการคำนวน Table'!$D$1:$M$5,5,TRUE),0),
IF($C25="WS SF",VLOOKUP("GOAL",'2) หลักการคำนวน Table'!$D$32:$M$32,HLOOKUP(AE25,'2) หลักการคำนวน Table'!$D$1:$M$5,5,TRUE),0),
IF($C25="WS WH",VLOOKUP("GOAL",'2) หลักการคำนวน Table'!$D$62:$M$62,HLOOKUP(AE25,'2) หลักการคำนวน Table'!$D$1:$M$5,5,TRUE),0),
IF($C25="SF WH",VLOOKUP("GOAL",'2) หลักการคำนวน Table'!$D$92:$M$92,HLOOKUP(AE25,'2) หลักการคำนวน Table'!$D$1:$M$5,5,TRUE),0))))),0)</f>
        <v>0.9</v>
      </c>
      <c r="AR25" s="232">
        <f>IFERROR(IF($C25="Top WS",VLOOKUP("GOAL",'2) หลักการคำนวน Table'!$D$4:$M$4,HLOOKUP(AF25,'2) หลักการคำนวน Table'!$D$1:$M$5,5,TRUE),0),
IF($C25="WS SF",VLOOKUP("GOAL",'2) หลักการคำนวน Table'!$D$32:$M$32,HLOOKUP(AF25,'2) หลักการคำนวน Table'!$D$1:$M$5,5,TRUE),0),
IF($C25="WS WH",VLOOKUP("GOAL",'2) หลักการคำนวน Table'!$D$62:$M$62,HLOOKUP(AF25,'2) หลักการคำนวน Table'!$D$1:$M$5,5,TRUE),0),
IF($C25="SF WH",VLOOKUP("GOAL",'2) หลักการคำนวน Table'!$D$92:$M$92,HLOOKUP(AF25,'2) หลักการคำนวน Table'!$D$1:$M$5,5,TRUE),0))))),0)</f>
        <v>0.9</v>
      </c>
      <c r="AS25" s="232">
        <f>IFERROR(IF($C25="Top WS",VLOOKUP("GOAL",'2) หลักการคำนวน Table'!$D$4:$M$4,HLOOKUP(AG25,'2) หลักการคำนวน Table'!$D$1:$M$5,5,TRUE),0),
IF($C25="WS SF",VLOOKUP("GOAL",'2) หลักการคำนวน Table'!$D$32:$M$32,HLOOKUP(AG25,'2) หลักการคำนวน Table'!$D$1:$M$5,5,TRUE),0),
IF($C25="WS WH",VLOOKUP("GOAL",'2) หลักการคำนวน Table'!$D$62:$M$62,HLOOKUP(AG25,'2) หลักการคำนวน Table'!$D$1:$M$5,5,TRUE),0),
IF($C25="SF WH",VLOOKUP("GOAL",'2) หลักการคำนวน Table'!$D$92:$M$92,HLOOKUP(AG25,'2) หลักการคำนวน Table'!$D$1:$M$5,5,TRUE),0))))),0)</f>
        <v>0.9</v>
      </c>
      <c r="AT25" s="232">
        <f>IFERROR(IF($C25="Top WS",VLOOKUP("GOAL",'2) หลักการคำนวน Table'!$D$4:$M$4,HLOOKUP(AH25,'2) หลักการคำนวน Table'!$D$1:$M$5,5,TRUE),0),
IF($C25="WS SF",VLOOKUP("GOAL",'2) หลักการคำนวน Table'!$D$32:$M$32,HLOOKUP(AH25,'2) หลักการคำนวน Table'!$D$1:$M$5,5,TRUE),0),
IF($C25="WS WH",VLOOKUP("GOAL",'2) หลักการคำนวน Table'!$D$62:$M$62,HLOOKUP(AH25,'2) หลักการคำนวน Table'!$D$1:$M$5,5,TRUE),0),
IF($C25="SF WH",VLOOKUP("GOAL",'2) หลักการคำนวน Table'!$D$92:$M$92,HLOOKUP(AH25,'2) หลักการคำนวน Table'!$D$1:$M$5,5,TRUE),0))))),0)</f>
        <v>0.9</v>
      </c>
      <c r="AU25" s="232">
        <f>IFERROR(IF($C25="Top WS",VLOOKUP("GOAL",'2) หลักการคำนวน Table'!$D$4:$M$4,HLOOKUP(AI25,'2) หลักการคำนวน Table'!$D$1:$M$5,5,TRUE),0),
IF($C25="WS SF",VLOOKUP("GOAL",'2) หลักการคำนวน Table'!$D$32:$M$32,HLOOKUP(AI25,'2) หลักการคำนวน Table'!$D$1:$M$5,5,TRUE),0),
IF($C25="WS WH",VLOOKUP("GOAL",'2) หลักการคำนวน Table'!$D$62:$M$62,HLOOKUP(AI25,'2) หลักการคำนวน Table'!$D$1:$M$5,5,TRUE),0),
IF($C25="SF WH",VLOOKUP("GOAL",'2) หลักการคำนวน Table'!$D$92:$M$92,HLOOKUP(AI25,'2) หลักการคำนวน Table'!$D$1:$M$5,5,TRUE),0))))),0)</f>
        <v>0.9</v>
      </c>
      <c r="AV25" s="232">
        <f>IFERROR(IF($C25="Top WS",VLOOKUP("GOAL",'2) หลักการคำนวน Table'!$D$4:$M$4,HLOOKUP(AP25,'2) หลักการคำนวน Table'!$D$1:$M$5,5,TRUE),0),
IF($C25="WS SF",VLOOKUP("GOAL",'2) หลักการคำนวน Table'!$D$32:$M$32,HLOOKUP(AP25,'2) หลักการคำนวน Table'!$D$1:$M$5,5,TRUE),0),
IF($C25="WS WH",VLOOKUP("GOAL",'2) หลักการคำนวน Table'!$D$62:$M$62,HLOOKUP(AP25,'2) หลักการคำนวน Table'!$D$1:$M$5,5,TRUE),0),
IF($C25="SF WH",VLOOKUP("GOAL",'2) หลักการคำนวน Table'!$D$92:$M$92,HLOOKUP(AP25,'2) หลักการคำนวน Table'!$D$1:$M$5,5,TRUE),0))))),0)</f>
        <v>0.9</v>
      </c>
      <c r="AW25" s="232">
        <f>IFERROR(IF($C25="Top WS",VLOOKUP("GOAL",'2) หลักการคำนวน Table'!$D$4:$M$4,HLOOKUP(AK25,'2) หลักการคำนวน Table'!$D$1:$M$5,5,TRUE),0),
IF($C25="WS SF",VLOOKUP("GOAL",'2) หลักการคำนวน Table'!$D$32:$M$32,HLOOKUP(AK25,'2) หลักการคำนวน Table'!$D$1:$M$5,5,TRUE),0),
IF($C25="WS WH",VLOOKUP("GOAL",'2) หลักการคำนวน Table'!$D$62:$M$62,HLOOKUP(AK25,'2) หลักการคำนวน Table'!$D$1:$M$5,5,TRUE),0),
IF($C25="SF WH",VLOOKUP("GOAL",'2) หลักการคำนวน Table'!$D$92:$M$92,HLOOKUP(AK25,'2) หลักการคำนวน Table'!$D$1:$M$5,5,TRUE),0))))),0)</f>
        <v>0.9</v>
      </c>
      <c r="AX25" s="232">
        <f>IFERROR(IF($C25="Top WS",VLOOKUP("GOAL",'2) หลักการคำนวน Table'!$D$4:$M$4,HLOOKUP(AL25,'2) หลักการคำนวน Table'!$D$1:$M$5,5,TRUE),0),
IF($C25="WS SF",VLOOKUP("GOAL",'2) หลักการคำนวน Table'!$D$32:$M$32,HLOOKUP(AL25,'2) หลักการคำนวน Table'!$D$1:$M$5,5,TRUE),0),
IF($C25="WS WH",VLOOKUP("GOAL",'2) หลักการคำนวน Table'!$D$62:$M$62,HLOOKUP(AL25,'2) หลักการคำนวน Table'!$D$1:$M$5,5,TRUE),0),
IF($C25="SF WH",VLOOKUP("GOAL",'2) หลักการคำนวน Table'!$D$92:$M$92,HLOOKUP(AL25,'2) หลักการคำนวน Table'!$D$1:$M$5,5,TRUE),0))))),0)</f>
        <v>0.9</v>
      </c>
      <c r="AY25" s="232">
        <f>IFERROR(IF($C25="Top WS",VLOOKUP("GOAL",'2) หลักการคำนวน Table'!$D$4:$M$4,HLOOKUP(AM25,'2) หลักการคำนวน Table'!$D$1:$M$5,5,TRUE),0),
IF($C25="WS SF",VLOOKUP("GOAL",'2) หลักการคำนวน Table'!$D$32:$M$32,HLOOKUP(AM25,'2) หลักการคำนวน Table'!$D$1:$M$5,5,TRUE),0),
IF($C25="WS WH",VLOOKUP("GOAL",'2) หลักการคำนวน Table'!$D$62:$M$62,HLOOKUP(AM25,'2) หลักการคำนวน Table'!$D$1:$M$5,5,TRUE),0),
IF($C25="SF WH",VLOOKUP("GOAL",'2) หลักการคำนวน Table'!$D$92:$M$92,HLOOKUP(AM25,'2) หลักการคำนวน Table'!$D$1:$M$5,5,TRUE),0))))),0)</f>
        <v>0.9</v>
      </c>
      <c r="AZ25" s="167">
        <f>IFERROR(IF($C25="Top WS",VLOOKUP($B25,'2) หลักการคำนวน Table'!$D$5:$M$20,HLOOKUP(AB25,'2) หลักการคำนวน Table'!$D$1:$M$5,5,TRUE),0),
IF($C25="WS SF",VLOOKUP($B25,'2) หลักการคำนวน Table'!$D$33:$M$48,HLOOKUP(AB25,'2) หลักการคำนวน Table'!$D$1:$M$5,5,TRUE),0),
IF($C25="WS WH",VLOOKUP($B25,'2) หลักการคำนวน Table'!$D$63:$M$78,HLOOKUP(AB25,'2) หลักการคำนวน Table'!$D$1:$M$5,5,TRUE),0),
IF($C25="SF WH",VLOOKUP($B25,'2) หลักการคำนวน Table'!$D$93:$M$108,HLOOKUP(AB25,'2) หลักการคำนวน Table'!$D$1:$M$5,5,TRUE),0))))),0)</f>
        <v>180</v>
      </c>
      <c r="BA25" s="167">
        <f>IFERROR(IF($C25="Top WS",VLOOKUP($B25,'2) หลักการคำนวน Table'!$D$5:$M$20,HLOOKUP(AC25,'2) หลักการคำนวน Table'!$D$1:$M$5,5,TRUE),0),
IF($C25="WS SF",VLOOKUP($B25,'2) หลักการคำนวน Table'!$D$33:$M$48,HLOOKUP(AC25,'2) หลักการคำนวน Table'!$D$1:$M$5,5,TRUE),0),
IF($C25="WS WH",VLOOKUP($B25,'2) หลักการคำนวน Table'!$D$63:$M$78,HLOOKUP(AC25,'2) หลักการคำนวน Table'!$D$1:$M$5,5,TRUE),0),
IF($C25="SF WH",VLOOKUP($B25,'2) หลักการคำนวน Table'!$D$93:$M$108,HLOOKUP(AC25,'2) หลักการคำนวน Table'!$D$1:$M$5,5,TRUE),0))))),0)</f>
        <v>190</v>
      </c>
      <c r="BB25" s="167">
        <f>IFERROR(IF($C25="Top WS",VLOOKUP($B25,'2) หลักการคำนวน Table'!$D$5:$M$20,HLOOKUP(AD25,'2) หลักการคำนวน Table'!$D$1:$M$5,5,TRUE),0),
IF($C25="WS SF",VLOOKUP($B25,'2) หลักการคำนวน Table'!$D$33:$M$48,HLOOKUP(AD25,'2) หลักการคำนวน Table'!$D$1:$M$5,5,TRUE),0),
IF($C25="WS WH",VLOOKUP($B25,'2) หลักการคำนวน Table'!$D$63:$M$78,HLOOKUP(AD25,'2) หลักการคำนวน Table'!$D$1:$M$5,5,TRUE),0),
IF($C25="SF WH",VLOOKUP($B25,'2) หลักการคำนวน Table'!$D$93:$M$108,HLOOKUP(AD25,'2) หลักการคำนวน Table'!$D$1:$M$5,5,TRUE),0))))),0)</f>
        <v>180</v>
      </c>
      <c r="BC25" s="167">
        <f>IFERROR(IF($C25="Top WS",VLOOKUP($B25,'2) หลักการคำนวน Table'!$D$5:$M$20,HLOOKUP(AE25,'2) หลักการคำนวน Table'!$D$1:$M$5,5,TRUE),0),
IF($C25="WS SF",VLOOKUP($B25,'2) หลักการคำนวน Table'!$D$33:$M$48,HLOOKUP(AE25,'2) หลักการคำนวน Table'!$D$1:$M$5,5,TRUE),0),
IF($C25="WS WH",VLOOKUP($B25,'2) หลักการคำนวน Table'!$D$63:$M$78,HLOOKUP(AE25,'2) หลักการคำนวน Table'!$D$1:$M$5,5,TRUE),0),
IF($C25="SF WH",VLOOKUP($B25,'2) หลักการคำนวน Table'!$D$93:$M$108,HLOOKUP(AE25,'2) หลักการคำนวน Table'!$D$1:$M$5,5,TRUE),0))))),0)</f>
        <v>180</v>
      </c>
      <c r="BD25" s="167">
        <f>IFERROR(IF($C25="Top WS",VLOOKUP($B25,'2) หลักการคำนวน Table'!$D$5:$M$20,HLOOKUP(AF25,'2) หลักการคำนวน Table'!$D$1:$M$5,5,TRUE),0),
IF($C25="WS SF",VLOOKUP($B25,'2) หลักการคำนวน Table'!$D$33:$M$48,HLOOKUP(AF25,'2) หลักการคำนวน Table'!$D$1:$M$5,5,TRUE),0),
IF($C25="WS WH",VLOOKUP($B25,'2) หลักการคำนวน Table'!$D$63:$M$78,HLOOKUP(AF25,'2) หลักการคำนวน Table'!$D$1:$M$5,5,TRUE),0),
IF($C25="SF WH",VLOOKUP($B25,'2) หลักการคำนวน Table'!$D$93:$M$108,HLOOKUP(AF25,'2) หลักการคำนวน Table'!$D$1:$M$5,5,TRUE),0))))),0)</f>
        <v>180</v>
      </c>
      <c r="BE25" s="167">
        <f>IFERROR(IF($C25="Top WS",VLOOKUP($B25,'2) หลักการคำนวน Table'!$D$5:$M$20,HLOOKUP(AG25,'2) หลักการคำนวน Table'!$D$1:$M$5,5,TRUE),0),
IF($C25="WS SF",VLOOKUP($B25,'2) หลักการคำนวน Table'!$D$33:$M$48,HLOOKUP(AG25,'2) หลักการคำนวน Table'!$D$1:$M$5,5,TRUE),0),
IF($C25="WS WH",VLOOKUP($B25,'2) หลักการคำนวน Table'!$D$63:$M$78,HLOOKUP(AG25,'2) หลักการคำนวน Table'!$D$1:$M$5,5,TRUE),0),
IF($C25="SF WH",VLOOKUP($B25,'2) หลักการคำนวน Table'!$D$93:$M$108,HLOOKUP(AG25,'2) หลักการคำนวน Table'!$D$1:$M$5,5,TRUE),0))))),0)</f>
        <v>180</v>
      </c>
      <c r="BF25" s="167">
        <f>IFERROR(IF($C25="Top WS",VLOOKUP($B25,'2) หลักการคำนวน Table'!$D$5:$M$20,HLOOKUP(AH25,'2) หลักการคำนวน Table'!$D$1:$M$5,5,TRUE),0),
IF($C25="WS SF",VLOOKUP($B25,'2) หลักการคำนวน Table'!$D$33:$M$48,HLOOKUP(AH25,'2) หลักการคำนวน Table'!$D$1:$M$5,5,TRUE),0),
IF($C25="WS WH",VLOOKUP($B25,'2) หลักการคำนวน Table'!$D$63:$M$78,HLOOKUP(AH25,'2) หลักการคำนวน Table'!$D$1:$M$5,5,TRUE),0),
IF($C25="SF WH",VLOOKUP($B25,'2) หลักการคำนวน Table'!$D$93:$M$108,HLOOKUP(AH25,'2) หลักการคำนวน Table'!$D$1:$M$5,5,TRUE),0))))),0)</f>
        <v>180</v>
      </c>
      <c r="BG25" s="167">
        <f>IFERROR(IF($C25="Top WS",VLOOKUP($B25,'2) หลักการคำนวน Table'!$D$5:$M$20,HLOOKUP(AI25,'2) หลักการคำนวน Table'!$D$1:$M$5,5,TRUE),0),
IF($C25="WS SF",VLOOKUP($B25,'2) หลักการคำนวน Table'!$D$33:$M$48,HLOOKUP(AI25,'2) หลักการคำนวน Table'!$D$1:$M$5,5,TRUE),0),
IF($C25="WS WH",VLOOKUP($B25,'2) หลักการคำนวน Table'!$D$63:$M$78,HLOOKUP(AI25,'2) หลักการคำนวน Table'!$D$1:$M$5,5,TRUE),0),
IF($C25="SF WH",VLOOKUP($B25,'2) หลักการคำนวน Table'!$D$93:$M$108,HLOOKUP(AI25,'2) หลักการคำนวน Table'!$D$1:$M$5,5,TRUE),0))))),0)</f>
        <v>180</v>
      </c>
      <c r="BH25" s="167">
        <f>IFERROR(IF($C25="Top WS",VLOOKUP($B25,'2) หลักการคำนวน Table'!$D$5:$M$20,HLOOKUP(AP25,'2) หลักการคำนวน Table'!$D$1:$M$5,5,TRUE),0),
IF($C25="WS SF",VLOOKUP($B25,'2) หลักการคำนวน Table'!$D$33:$M$48,HLOOKUP(AP25,'2) หลักการคำนวน Table'!$D$1:$M$5,5,TRUE),0),
IF($C25="WS WH",VLOOKUP($B25,'2) หลักการคำนวน Table'!$D$63:$M$78,HLOOKUP(AP25,'2) หลักการคำนวน Table'!$D$1:$M$5,5,TRUE),0),
IF($C25="SF WH",VLOOKUP($B25,'2) หลักการคำนวน Table'!$D$93:$M$108,HLOOKUP(AP25,'2) หลักการคำนวน Table'!$D$1:$M$5,5,TRUE),0))))),0)</f>
        <v>180</v>
      </c>
      <c r="BI25" s="167">
        <f>IFERROR(IF($C25="Top WS",VLOOKUP($B25,'2) หลักการคำนวน Table'!$D$5:$M$20,HLOOKUP(AK25,'2) หลักการคำนวน Table'!$D$1:$M$5,5,TRUE),0),
IF($C25="WS SF",VLOOKUP($B25,'2) หลักการคำนวน Table'!$D$33:$M$48,HLOOKUP(AK25,'2) หลักการคำนวน Table'!$D$1:$M$5,5,TRUE),0),
IF($C25="WS WH",VLOOKUP($B25,'2) หลักการคำนวน Table'!$D$63:$M$78,HLOOKUP(AK25,'2) หลักการคำนวน Table'!$D$1:$M$5,5,TRUE),0),
IF($C25="SF WH",VLOOKUP($B25,'2) หลักการคำนวน Table'!$D$93:$M$108,HLOOKUP(AK25,'2) หลักการคำนวน Table'!$D$1:$M$5,5,TRUE),0))))),0)</f>
        <v>180</v>
      </c>
      <c r="BJ25" s="167">
        <f>IFERROR(IF($C25="Top WS",VLOOKUP($B25,'2) หลักการคำนวน Table'!$D$5:$M$20,HLOOKUP(AL25,'2) หลักการคำนวน Table'!$D$1:$M$5,5,TRUE),0),
IF($C25="WS SF",VLOOKUP($B25,'2) หลักการคำนวน Table'!$D$33:$M$48,HLOOKUP(AL25,'2) หลักการคำนวน Table'!$D$1:$M$5,5,TRUE),0),
IF($C25="WS WH",VLOOKUP($B25,'2) หลักการคำนวน Table'!$D$63:$M$78,HLOOKUP(AL25,'2) หลักการคำนวน Table'!$D$1:$M$5,5,TRUE),0),
IF($C25="SF WH",VLOOKUP($B25,'2) หลักการคำนวน Table'!$D$93:$M$108,HLOOKUP(AL25,'2) หลักการคำนวน Table'!$D$1:$M$5,5,TRUE),0))))),0)</f>
        <v>180</v>
      </c>
      <c r="BK25" s="167">
        <f>IFERROR(IF($C25="Top WS",VLOOKUP($B25,'2) หลักการคำนวน Table'!$D$5:$M$20,HLOOKUP(AM25,'2) หลักการคำนวน Table'!$D$1:$M$5,5,TRUE),0),
IF($C25="WS SF",VLOOKUP($B25,'2) หลักการคำนวน Table'!$D$33:$M$48,HLOOKUP(AM25,'2) หลักการคำนวน Table'!$D$1:$M$5,5,TRUE),0),
IF($C25="WS WH",VLOOKUP($B25,'2) หลักการคำนวน Table'!$D$63:$M$78,HLOOKUP(AM25,'2) หลักการคำนวน Table'!$D$1:$M$5,5,TRUE),0),
IF($C25="SF WH",VLOOKUP($B25,'2) หลักการคำนวน Table'!$D$93:$M$108,HLOOKUP(AM25,'2) หลักการคำนวน Table'!$D$1:$M$5,5,TRUE),0))))),0)</f>
        <v>180</v>
      </c>
      <c r="BM25" s="119">
        <f>VLOOKUP(VLOOKUP(A25,ASTBase!E:S,13,FALSE),ASTBase!F:P,11,FALSE)</f>
        <v>160000</v>
      </c>
      <c r="BN25" s="196" cm="1">
        <f t="array" ref="BN25">INDEX(AN25:AY25,,Period!$D$2)</f>
        <v>0.95</v>
      </c>
    </row>
    <row r="26" spans="1:66" x14ac:dyDescent="0.25">
      <c r="A26" s="117">
        <v>120001</v>
      </c>
      <c r="B26" s="117" t="s">
        <v>388</v>
      </c>
      <c r="C26" s="117" t="s">
        <v>178</v>
      </c>
      <c r="D26" s="118">
        <v>73933</v>
      </c>
      <c r="E26" s="118">
        <v>83100</v>
      </c>
      <c r="F26" s="118">
        <v>81868</v>
      </c>
      <c r="G26" s="118">
        <v>76579</v>
      </c>
      <c r="H26" s="118">
        <v>82204</v>
      </c>
      <c r="I26" s="118">
        <v>83633</v>
      </c>
      <c r="J26" s="118">
        <v>81703</v>
      </c>
      <c r="K26" s="118">
        <v>86714</v>
      </c>
      <c r="L26" s="118">
        <v>84987</v>
      </c>
      <c r="M26" s="118">
        <v>94861</v>
      </c>
      <c r="N26" s="118">
        <v>82962</v>
      </c>
      <c r="O26" s="118">
        <v>82963</v>
      </c>
      <c r="P26" s="117">
        <f>SUMIFS(Actual!C:C,Actual!$A:$A,'3)Target &amp; Cal'!$A26,Actual!$B:$B,'3)Target &amp; Cal'!$B26)</f>
        <v>55762.3</v>
      </c>
      <c r="Q26" s="117">
        <f>SUMIFS(Actual!D:D,Actual!$A:$A,'3)Target &amp; Cal'!$A26,Actual!$B:$B,'3)Target &amp; Cal'!$B26)</f>
        <v>73122.2</v>
      </c>
      <c r="R26" s="117">
        <f>SUMIFS(Actual!E:E,Actual!$A:$A,'3)Target &amp; Cal'!$A26,Actual!$B:$B,'3)Target &amp; Cal'!$B26)</f>
        <v>0</v>
      </c>
      <c r="S26" s="117">
        <f>SUMIFS(Actual!F:F,Actual!$A:$A,'3)Target &amp; Cal'!$A26,Actual!$B:$B,'3)Target &amp; Cal'!$B26)</f>
        <v>0</v>
      </c>
      <c r="T26" s="117">
        <f>SUMIFS(Actual!G:G,Actual!$A:$A,'3)Target &amp; Cal'!$A26,Actual!$B:$B,'3)Target &amp; Cal'!$B26)</f>
        <v>0</v>
      </c>
      <c r="U26" s="117">
        <f>SUMIFS(Actual!H:H,Actual!$A:$A,'3)Target &amp; Cal'!$A26,Actual!$B:$B,'3)Target &amp; Cal'!$B26)</f>
        <v>0</v>
      </c>
      <c r="V26" s="117">
        <f>SUMIFS(Actual!I:I,Actual!$A:$A,'3)Target &amp; Cal'!$A26,Actual!$B:$B,'3)Target &amp; Cal'!$B26)</f>
        <v>0</v>
      </c>
      <c r="W26" s="117">
        <f>SUMIFS(Actual!J:J,Actual!$A:$A,'3)Target &amp; Cal'!$A26,Actual!$B:$B,'3)Target &amp; Cal'!$B26)</f>
        <v>0</v>
      </c>
      <c r="X26" s="117">
        <f>SUMIFS(Actual!K:K,Actual!$A:$A,'3)Target &amp; Cal'!$A26,Actual!$B:$B,'3)Target &amp; Cal'!$B26)</f>
        <v>0</v>
      </c>
      <c r="Y26" s="117">
        <f>SUMIFS(Actual!L:L,Actual!$A:$A,'3)Target &amp; Cal'!$A26,Actual!$B:$B,'3)Target &amp; Cal'!$B26)</f>
        <v>0</v>
      </c>
      <c r="Z26" s="117">
        <f>SUMIFS(Actual!M:M,Actual!$A:$A,'3)Target &amp; Cal'!$A26,Actual!$B:$B,'3)Target &amp; Cal'!$B26)</f>
        <v>0</v>
      </c>
      <c r="AA26" s="117">
        <f>SUMIFS(Actual!N:N,Actual!$A:$A,'3)Target &amp; Cal'!$A26,Actual!$B:$B,'3)Target &amp; Cal'!$B26)</f>
        <v>0</v>
      </c>
      <c r="AB26" s="123">
        <f>IFERROR(IF(VLOOKUP($B26,Shortage!$A:$M,AB$2,FALSE)="Shortage",1,IFERROR(ROUND(P26/D26,4),0)),IFERROR(ROUND(P26/D26,4),0))</f>
        <v>1</v>
      </c>
      <c r="AC26" s="123">
        <f>IFERROR(IF(VLOOKUP($B26,Shortage!$A:$M,AC$2,FALSE)="Shortage",1,IFERROR(ROUND(Q26/E26,4),0)),IFERROR(ROUND(Q26/E26,4),0))</f>
        <v>0.87990000000000002</v>
      </c>
      <c r="AD26" s="123">
        <f>IFERROR(IF(VLOOKUP($B26,Shortage!$A:$M,AD$2,FALSE)="Shortage",1,IFERROR(ROUND(R26/F26,4),0)),IFERROR(ROUND(R26/F26,4),0))</f>
        <v>0</v>
      </c>
      <c r="AE26" s="123">
        <f>IFERROR(IF(VLOOKUP($B26,Shortage!$A:$M,AE$2,FALSE)="Shortage",1,IFERROR(ROUND(S26/G26,4),0)),IFERROR(ROUND(S26/G26,4),0))</f>
        <v>0</v>
      </c>
      <c r="AF26" s="123">
        <f>IFERROR(IF(VLOOKUP($B26,Shortage!$A:$M,AF$2,FALSE)="Shortage",1,IFERROR(ROUND(T26/H26,4),0)),IFERROR(ROUND(T26/H26,4),0))</f>
        <v>0</v>
      </c>
      <c r="AG26" s="123">
        <f>IFERROR(IF(VLOOKUP($B26,Shortage!$A:$M,AG$2,FALSE)="Shortage",1,IFERROR(ROUND(U26/I26,4),0)),IFERROR(ROUND(U26/I26,4),0))</f>
        <v>0</v>
      </c>
      <c r="AH26" s="123">
        <f>IFERROR(IF(VLOOKUP($B26,Shortage!$A:$M,AH$2,FALSE)="Shortage",1,IFERROR(ROUND(V26/J26,4),0)),IFERROR(ROUND(V26/J26,4),0))</f>
        <v>0</v>
      </c>
      <c r="AI26" s="123">
        <f>IFERROR(IF(VLOOKUP($B26,Shortage!$A:$M,AI$2,FALSE)="Shortage",1,IFERROR(ROUND(W26/K26,4),0)),IFERROR(ROUND(W26/K26,4),0))</f>
        <v>0</v>
      </c>
      <c r="AJ26" s="123">
        <f>IFERROR(IF(VLOOKUP($B26,Shortage!$A:$M,AP$2,FALSE)="Shortage",1,IFERROR(ROUND(X26/L26,4),0)),IFERROR(ROUND(X26/L26,4),0))</f>
        <v>0</v>
      </c>
      <c r="AK26" s="123">
        <f>IFERROR(IF(VLOOKUP($B26,Shortage!$A:$M,AK$2,FALSE)="Shortage",1,IFERROR(ROUND(Y26/M26,4),0)),IFERROR(ROUND(Y26/M26,4),0))</f>
        <v>0</v>
      </c>
      <c r="AL26" s="123">
        <f>IFERROR(IF(VLOOKUP($B26,Shortage!$A:$M,AL$2,FALSE)="Shortage",1,IFERROR(ROUND(Z26/N26,4),0)),IFERROR(ROUND(Z26/N26,4),0))</f>
        <v>0</v>
      </c>
      <c r="AM26" s="123">
        <f>IFERROR(IF(VLOOKUP($B26,Shortage!$A:$M,AM$2,FALSE)="Shortage",1,IFERROR(ROUND(AA26/O26,4),0)),IFERROR(ROUND(AA26/O26,4),0))</f>
        <v>0</v>
      </c>
      <c r="AN26" s="232">
        <f>IFERROR(IF($C26="Top WS",VLOOKUP("GOAL",'2) หลักการคำนวน Table'!$D$4:$M$4,HLOOKUP(AB26,'2) หลักการคำนวน Table'!$D$1:$M$5,5,TRUE),0),
IF($C26="WS SF",VLOOKUP("GOAL",'2) หลักการคำนวน Table'!$D$32:$M$32,HLOOKUP(AB26,'2) หลักการคำนวน Table'!$D$1:$M$5,5,TRUE),0),
IF($C26="WS WH",VLOOKUP("GOAL",'2) หลักการคำนวน Table'!$D$62:$M$62,HLOOKUP(AB26,'2) หลักการคำนวน Table'!$D$1:$M$5,5,TRUE),0),
IF($C26="SF WH",VLOOKUP("GOAL",'2) หลักการคำนวน Table'!$D$92:$M$92,HLOOKUP(AB26,'2) หลักการคำนวน Table'!$D$1:$M$5,5,TRUE),0))))),0)</f>
        <v>1</v>
      </c>
      <c r="AO26" s="232">
        <f>IFERROR(IF($C26="Top WS",VLOOKUP("GOAL",'2) หลักการคำนวน Table'!$D$4:$M$4,HLOOKUP(AC26,'2) หลักการคำนวน Table'!$D$1:$M$5,5,TRUE),0),
IF($C26="WS SF",VLOOKUP("GOAL",'2) หลักการคำนวน Table'!$D$32:$M$32,HLOOKUP(AC26,'2) หลักการคำนวน Table'!$D$1:$M$5,5,TRUE),0),
IF($C26="WS WH",VLOOKUP("GOAL",'2) หลักการคำนวน Table'!$D$62:$M$62,HLOOKUP(AC26,'2) หลักการคำนวน Table'!$D$1:$M$5,5,TRUE),0),
IF($C26="SF WH",VLOOKUP("GOAL",'2) หลักการคำนวน Table'!$D$92:$M$92,HLOOKUP(AC26,'2) หลักการคำนวน Table'!$D$1:$M$5,5,TRUE),0))))),0)</f>
        <v>0.9</v>
      </c>
      <c r="AP26" s="232">
        <f>IFERROR(IF($C26="Top WS",VLOOKUP("GOAL",'2) หลักการคำนวน Table'!$D$4:$M$4,HLOOKUP(AD26,'2) หลักการคำนวน Table'!$D$1:$M$5,5,TRUE),0),
IF($C26="WS SF",VLOOKUP("GOAL",'2) หลักการคำนวน Table'!$D$32:$M$32,HLOOKUP(AD26,'2) หลักการคำนวน Table'!$D$1:$M$5,5,TRUE),0),
IF($C26="WS WH",VLOOKUP("GOAL",'2) หลักการคำนวน Table'!$D$62:$M$62,HLOOKUP(AD26,'2) หลักการคำนวน Table'!$D$1:$M$5,5,TRUE),0),
IF($C26="SF WH",VLOOKUP("GOAL",'2) หลักการคำนวน Table'!$D$92:$M$92,HLOOKUP(AD26,'2) หลักการคำนวน Table'!$D$1:$M$5,5,TRUE),0))))),0)</f>
        <v>0.9</v>
      </c>
      <c r="AQ26" s="232">
        <f>IFERROR(IF($C26="Top WS",VLOOKUP("GOAL",'2) หลักการคำนวน Table'!$D$4:$M$4,HLOOKUP(AE26,'2) หลักการคำนวน Table'!$D$1:$M$5,5,TRUE),0),
IF($C26="WS SF",VLOOKUP("GOAL",'2) หลักการคำนวน Table'!$D$32:$M$32,HLOOKUP(AE26,'2) หลักการคำนวน Table'!$D$1:$M$5,5,TRUE),0),
IF($C26="WS WH",VLOOKUP("GOAL",'2) หลักการคำนวน Table'!$D$62:$M$62,HLOOKUP(AE26,'2) หลักการคำนวน Table'!$D$1:$M$5,5,TRUE),0),
IF($C26="SF WH",VLOOKUP("GOAL",'2) หลักการคำนวน Table'!$D$92:$M$92,HLOOKUP(AE26,'2) หลักการคำนวน Table'!$D$1:$M$5,5,TRUE),0))))),0)</f>
        <v>0.9</v>
      </c>
      <c r="AR26" s="232">
        <f>IFERROR(IF($C26="Top WS",VLOOKUP("GOAL",'2) หลักการคำนวน Table'!$D$4:$M$4,HLOOKUP(AF26,'2) หลักการคำนวน Table'!$D$1:$M$5,5,TRUE),0),
IF($C26="WS SF",VLOOKUP("GOAL",'2) หลักการคำนวน Table'!$D$32:$M$32,HLOOKUP(AF26,'2) หลักการคำนวน Table'!$D$1:$M$5,5,TRUE),0),
IF($C26="WS WH",VLOOKUP("GOAL",'2) หลักการคำนวน Table'!$D$62:$M$62,HLOOKUP(AF26,'2) หลักการคำนวน Table'!$D$1:$M$5,5,TRUE),0),
IF($C26="SF WH",VLOOKUP("GOAL",'2) หลักการคำนวน Table'!$D$92:$M$92,HLOOKUP(AF26,'2) หลักการคำนวน Table'!$D$1:$M$5,5,TRUE),0))))),0)</f>
        <v>0.9</v>
      </c>
      <c r="AS26" s="232">
        <f>IFERROR(IF($C26="Top WS",VLOOKUP("GOAL",'2) หลักการคำนวน Table'!$D$4:$M$4,HLOOKUP(AG26,'2) หลักการคำนวน Table'!$D$1:$M$5,5,TRUE),0),
IF($C26="WS SF",VLOOKUP("GOAL",'2) หลักการคำนวน Table'!$D$32:$M$32,HLOOKUP(AG26,'2) หลักการคำนวน Table'!$D$1:$M$5,5,TRUE),0),
IF($C26="WS WH",VLOOKUP("GOAL",'2) หลักการคำนวน Table'!$D$62:$M$62,HLOOKUP(AG26,'2) หลักการคำนวน Table'!$D$1:$M$5,5,TRUE),0),
IF($C26="SF WH",VLOOKUP("GOAL",'2) หลักการคำนวน Table'!$D$92:$M$92,HLOOKUP(AG26,'2) หลักการคำนวน Table'!$D$1:$M$5,5,TRUE),0))))),0)</f>
        <v>0.9</v>
      </c>
      <c r="AT26" s="232">
        <f>IFERROR(IF($C26="Top WS",VLOOKUP("GOAL",'2) หลักการคำนวน Table'!$D$4:$M$4,HLOOKUP(AH26,'2) หลักการคำนวน Table'!$D$1:$M$5,5,TRUE),0),
IF($C26="WS SF",VLOOKUP("GOAL",'2) หลักการคำนวน Table'!$D$32:$M$32,HLOOKUP(AH26,'2) หลักการคำนวน Table'!$D$1:$M$5,5,TRUE),0),
IF($C26="WS WH",VLOOKUP("GOAL",'2) หลักการคำนวน Table'!$D$62:$M$62,HLOOKUP(AH26,'2) หลักการคำนวน Table'!$D$1:$M$5,5,TRUE),0),
IF($C26="SF WH",VLOOKUP("GOAL",'2) หลักการคำนวน Table'!$D$92:$M$92,HLOOKUP(AH26,'2) หลักการคำนวน Table'!$D$1:$M$5,5,TRUE),0))))),0)</f>
        <v>0.9</v>
      </c>
      <c r="AU26" s="232">
        <f>IFERROR(IF($C26="Top WS",VLOOKUP("GOAL",'2) หลักการคำนวน Table'!$D$4:$M$4,HLOOKUP(AI26,'2) หลักการคำนวน Table'!$D$1:$M$5,5,TRUE),0),
IF($C26="WS SF",VLOOKUP("GOAL",'2) หลักการคำนวน Table'!$D$32:$M$32,HLOOKUP(AI26,'2) หลักการคำนวน Table'!$D$1:$M$5,5,TRUE),0),
IF($C26="WS WH",VLOOKUP("GOAL",'2) หลักการคำนวน Table'!$D$62:$M$62,HLOOKUP(AI26,'2) หลักการคำนวน Table'!$D$1:$M$5,5,TRUE),0),
IF($C26="SF WH",VLOOKUP("GOAL",'2) หลักการคำนวน Table'!$D$92:$M$92,HLOOKUP(AI26,'2) หลักการคำนวน Table'!$D$1:$M$5,5,TRUE),0))))),0)</f>
        <v>0.9</v>
      </c>
      <c r="AV26" s="232">
        <f>IFERROR(IF($C26="Top WS",VLOOKUP("GOAL",'2) หลักการคำนวน Table'!$D$4:$M$4,HLOOKUP(AP26,'2) หลักการคำนวน Table'!$D$1:$M$5,5,TRUE),0),
IF($C26="WS SF",VLOOKUP("GOAL",'2) หลักการคำนวน Table'!$D$32:$M$32,HLOOKUP(AP26,'2) หลักการคำนวน Table'!$D$1:$M$5,5,TRUE),0),
IF($C26="WS WH",VLOOKUP("GOAL",'2) หลักการคำนวน Table'!$D$62:$M$62,HLOOKUP(AP26,'2) หลักการคำนวน Table'!$D$1:$M$5,5,TRUE),0),
IF($C26="SF WH",VLOOKUP("GOAL",'2) หลักการคำนวน Table'!$D$92:$M$92,HLOOKUP(AP26,'2) หลักการคำนวน Table'!$D$1:$M$5,5,TRUE),0))))),0)</f>
        <v>0.9</v>
      </c>
      <c r="AW26" s="232">
        <f>IFERROR(IF($C26="Top WS",VLOOKUP("GOAL",'2) หลักการคำนวน Table'!$D$4:$M$4,HLOOKUP(AK26,'2) หลักการคำนวน Table'!$D$1:$M$5,5,TRUE),0),
IF($C26="WS SF",VLOOKUP("GOAL",'2) หลักการคำนวน Table'!$D$32:$M$32,HLOOKUP(AK26,'2) หลักการคำนวน Table'!$D$1:$M$5,5,TRUE),0),
IF($C26="WS WH",VLOOKUP("GOAL",'2) หลักการคำนวน Table'!$D$62:$M$62,HLOOKUP(AK26,'2) หลักการคำนวน Table'!$D$1:$M$5,5,TRUE),0),
IF($C26="SF WH",VLOOKUP("GOAL",'2) หลักการคำนวน Table'!$D$92:$M$92,HLOOKUP(AK26,'2) หลักการคำนวน Table'!$D$1:$M$5,5,TRUE),0))))),0)</f>
        <v>0.9</v>
      </c>
      <c r="AX26" s="232">
        <f>IFERROR(IF($C26="Top WS",VLOOKUP("GOAL",'2) หลักการคำนวน Table'!$D$4:$M$4,HLOOKUP(AL26,'2) หลักการคำนวน Table'!$D$1:$M$5,5,TRUE),0),
IF($C26="WS SF",VLOOKUP("GOAL",'2) หลักการคำนวน Table'!$D$32:$M$32,HLOOKUP(AL26,'2) หลักการคำนวน Table'!$D$1:$M$5,5,TRUE),0),
IF($C26="WS WH",VLOOKUP("GOAL",'2) หลักการคำนวน Table'!$D$62:$M$62,HLOOKUP(AL26,'2) หลักการคำนวน Table'!$D$1:$M$5,5,TRUE),0),
IF($C26="SF WH",VLOOKUP("GOAL",'2) หลักการคำนวน Table'!$D$92:$M$92,HLOOKUP(AL26,'2) หลักการคำนวน Table'!$D$1:$M$5,5,TRUE),0))))),0)</f>
        <v>0.9</v>
      </c>
      <c r="AY26" s="232">
        <f>IFERROR(IF($C26="Top WS",VLOOKUP("GOAL",'2) หลักการคำนวน Table'!$D$4:$M$4,HLOOKUP(AM26,'2) หลักการคำนวน Table'!$D$1:$M$5,5,TRUE),0),
IF($C26="WS SF",VLOOKUP("GOAL",'2) หลักการคำนวน Table'!$D$32:$M$32,HLOOKUP(AM26,'2) หลักการคำนวน Table'!$D$1:$M$5,5,TRUE),0),
IF($C26="WS WH",VLOOKUP("GOAL",'2) หลักการคำนวน Table'!$D$62:$M$62,HLOOKUP(AM26,'2) หลักการคำนวน Table'!$D$1:$M$5,5,TRUE),0),
IF($C26="SF WH",VLOOKUP("GOAL",'2) หลักการคำนวน Table'!$D$92:$M$92,HLOOKUP(AM26,'2) หลักการคำนวน Table'!$D$1:$M$5,5,TRUE),0))))),0)</f>
        <v>0.9</v>
      </c>
      <c r="AZ26" s="167">
        <f>IFERROR(IF($C26="Top WS",VLOOKUP($B26,'2) หลักการคำนวน Table'!$D$5:$M$20,HLOOKUP(AB26,'2) หลักการคำนวน Table'!$D$1:$M$5,5,TRUE),0),
IF($C26="WS SF",VLOOKUP($B26,'2) หลักการคำนวน Table'!$D$33:$M$48,HLOOKUP(AB26,'2) หลักการคำนวน Table'!$D$1:$M$5,5,TRUE),0),
IF($C26="WS WH",VLOOKUP($B26,'2) หลักการคำนวน Table'!$D$63:$M$78,HLOOKUP(AB26,'2) หลักการคำนวน Table'!$D$1:$M$5,5,TRUE),0),
IF($C26="SF WH",VLOOKUP($B26,'2) หลักการคำนวน Table'!$D$93:$M$108,HLOOKUP(AB26,'2) หลักการคำนวน Table'!$D$1:$M$5,5,TRUE),0))))),0)</f>
        <v>200</v>
      </c>
      <c r="BA26" s="167">
        <f>IFERROR(IF($C26="Top WS",VLOOKUP($B26,'2) หลักการคำนวน Table'!$D$5:$M$20,HLOOKUP(AC26,'2) หลักการคำนวน Table'!$D$1:$M$5,5,TRUE),0),
IF($C26="WS SF",VLOOKUP($B26,'2) หลักการคำนวน Table'!$D$33:$M$48,HLOOKUP(AC26,'2) หลักการคำนวน Table'!$D$1:$M$5,5,TRUE),0),
IF($C26="WS WH",VLOOKUP($B26,'2) หลักการคำนวน Table'!$D$63:$M$78,HLOOKUP(AC26,'2) หลักการคำนวน Table'!$D$1:$M$5,5,TRUE),0),
IF($C26="SF WH",VLOOKUP($B26,'2) หลักการคำนวน Table'!$D$93:$M$108,HLOOKUP(AC26,'2) หลักการคำนวน Table'!$D$1:$M$5,5,TRUE),0))))),0)</f>
        <v>180</v>
      </c>
      <c r="BB26" s="167">
        <f>IFERROR(IF($C26="Top WS",VLOOKUP($B26,'2) หลักการคำนวน Table'!$D$5:$M$20,HLOOKUP(AD26,'2) หลักการคำนวน Table'!$D$1:$M$5,5,TRUE),0),
IF($C26="WS SF",VLOOKUP($B26,'2) หลักการคำนวน Table'!$D$33:$M$48,HLOOKUP(AD26,'2) หลักการคำนวน Table'!$D$1:$M$5,5,TRUE),0),
IF($C26="WS WH",VLOOKUP($B26,'2) หลักการคำนวน Table'!$D$63:$M$78,HLOOKUP(AD26,'2) หลักการคำนวน Table'!$D$1:$M$5,5,TRUE),0),
IF($C26="SF WH",VLOOKUP($B26,'2) หลักการคำนวน Table'!$D$93:$M$108,HLOOKUP(AD26,'2) หลักการคำนวน Table'!$D$1:$M$5,5,TRUE),0))))),0)</f>
        <v>180</v>
      </c>
      <c r="BC26" s="167">
        <f>IFERROR(IF($C26="Top WS",VLOOKUP($B26,'2) หลักการคำนวน Table'!$D$5:$M$20,HLOOKUP(AE26,'2) หลักการคำนวน Table'!$D$1:$M$5,5,TRUE),0),
IF($C26="WS SF",VLOOKUP($B26,'2) หลักการคำนวน Table'!$D$33:$M$48,HLOOKUP(AE26,'2) หลักการคำนวน Table'!$D$1:$M$5,5,TRUE),0),
IF($C26="WS WH",VLOOKUP($B26,'2) หลักการคำนวน Table'!$D$63:$M$78,HLOOKUP(AE26,'2) หลักการคำนวน Table'!$D$1:$M$5,5,TRUE),0),
IF($C26="SF WH",VLOOKUP($B26,'2) หลักการคำนวน Table'!$D$93:$M$108,HLOOKUP(AE26,'2) หลักการคำนวน Table'!$D$1:$M$5,5,TRUE),0))))),0)</f>
        <v>180</v>
      </c>
      <c r="BD26" s="167">
        <f>IFERROR(IF($C26="Top WS",VLOOKUP($B26,'2) หลักการคำนวน Table'!$D$5:$M$20,HLOOKUP(AF26,'2) หลักการคำนวน Table'!$D$1:$M$5,5,TRUE),0),
IF($C26="WS SF",VLOOKUP($B26,'2) หลักการคำนวน Table'!$D$33:$M$48,HLOOKUP(AF26,'2) หลักการคำนวน Table'!$D$1:$M$5,5,TRUE),0),
IF($C26="WS WH",VLOOKUP($B26,'2) หลักการคำนวน Table'!$D$63:$M$78,HLOOKUP(AF26,'2) หลักการคำนวน Table'!$D$1:$M$5,5,TRUE),0),
IF($C26="SF WH",VLOOKUP($B26,'2) หลักการคำนวน Table'!$D$93:$M$108,HLOOKUP(AF26,'2) หลักการคำนวน Table'!$D$1:$M$5,5,TRUE),0))))),0)</f>
        <v>180</v>
      </c>
      <c r="BE26" s="167">
        <f>IFERROR(IF($C26="Top WS",VLOOKUP($B26,'2) หลักการคำนวน Table'!$D$5:$M$20,HLOOKUP(AG26,'2) หลักการคำนวน Table'!$D$1:$M$5,5,TRUE),0),
IF($C26="WS SF",VLOOKUP($B26,'2) หลักการคำนวน Table'!$D$33:$M$48,HLOOKUP(AG26,'2) หลักการคำนวน Table'!$D$1:$M$5,5,TRUE),0),
IF($C26="WS WH",VLOOKUP($B26,'2) หลักการคำนวน Table'!$D$63:$M$78,HLOOKUP(AG26,'2) หลักการคำนวน Table'!$D$1:$M$5,5,TRUE),0),
IF($C26="SF WH",VLOOKUP($B26,'2) หลักการคำนวน Table'!$D$93:$M$108,HLOOKUP(AG26,'2) หลักการคำนวน Table'!$D$1:$M$5,5,TRUE),0))))),0)</f>
        <v>180</v>
      </c>
      <c r="BF26" s="167">
        <f>IFERROR(IF($C26="Top WS",VLOOKUP($B26,'2) หลักการคำนวน Table'!$D$5:$M$20,HLOOKUP(AH26,'2) หลักการคำนวน Table'!$D$1:$M$5,5,TRUE),0),
IF($C26="WS SF",VLOOKUP($B26,'2) หลักการคำนวน Table'!$D$33:$M$48,HLOOKUP(AH26,'2) หลักการคำนวน Table'!$D$1:$M$5,5,TRUE),0),
IF($C26="WS WH",VLOOKUP($B26,'2) หลักการคำนวน Table'!$D$63:$M$78,HLOOKUP(AH26,'2) หลักการคำนวน Table'!$D$1:$M$5,5,TRUE),0),
IF($C26="SF WH",VLOOKUP($B26,'2) หลักการคำนวน Table'!$D$93:$M$108,HLOOKUP(AH26,'2) หลักการคำนวน Table'!$D$1:$M$5,5,TRUE),0))))),0)</f>
        <v>180</v>
      </c>
      <c r="BG26" s="167">
        <f>IFERROR(IF($C26="Top WS",VLOOKUP($B26,'2) หลักการคำนวน Table'!$D$5:$M$20,HLOOKUP(AI26,'2) หลักการคำนวน Table'!$D$1:$M$5,5,TRUE),0),
IF($C26="WS SF",VLOOKUP($B26,'2) หลักการคำนวน Table'!$D$33:$M$48,HLOOKUP(AI26,'2) หลักการคำนวน Table'!$D$1:$M$5,5,TRUE),0),
IF($C26="WS WH",VLOOKUP($B26,'2) หลักการคำนวน Table'!$D$63:$M$78,HLOOKUP(AI26,'2) หลักการคำนวน Table'!$D$1:$M$5,5,TRUE),0),
IF($C26="SF WH",VLOOKUP($B26,'2) หลักการคำนวน Table'!$D$93:$M$108,HLOOKUP(AI26,'2) หลักการคำนวน Table'!$D$1:$M$5,5,TRUE),0))))),0)</f>
        <v>180</v>
      </c>
      <c r="BH26" s="167">
        <f>IFERROR(IF($C26="Top WS",VLOOKUP($B26,'2) หลักการคำนวน Table'!$D$5:$M$20,HLOOKUP(AP26,'2) หลักการคำนวน Table'!$D$1:$M$5,5,TRUE),0),
IF($C26="WS SF",VLOOKUP($B26,'2) หลักการคำนวน Table'!$D$33:$M$48,HLOOKUP(AP26,'2) หลักการคำนวน Table'!$D$1:$M$5,5,TRUE),0),
IF($C26="WS WH",VLOOKUP($B26,'2) หลักการคำนวน Table'!$D$63:$M$78,HLOOKUP(AP26,'2) หลักการคำนวน Table'!$D$1:$M$5,5,TRUE),0),
IF($C26="SF WH",VLOOKUP($B26,'2) หลักการคำนวน Table'!$D$93:$M$108,HLOOKUP(AP26,'2) หลักการคำนวน Table'!$D$1:$M$5,5,TRUE),0))))),0)</f>
        <v>180</v>
      </c>
      <c r="BI26" s="167">
        <f>IFERROR(IF($C26="Top WS",VLOOKUP($B26,'2) หลักการคำนวน Table'!$D$5:$M$20,HLOOKUP(AK26,'2) หลักการคำนวน Table'!$D$1:$M$5,5,TRUE),0),
IF($C26="WS SF",VLOOKUP($B26,'2) หลักการคำนวน Table'!$D$33:$M$48,HLOOKUP(AK26,'2) หลักการคำนวน Table'!$D$1:$M$5,5,TRUE),0),
IF($C26="WS WH",VLOOKUP($B26,'2) หลักการคำนวน Table'!$D$63:$M$78,HLOOKUP(AK26,'2) หลักการคำนวน Table'!$D$1:$M$5,5,TRUE),0),
IF($C26="SF WH",VLOOKUP($B26,'2) หลักการคำนวน Table'!$D$93:$M$108,HLOOKUP(AK26,'2) หลักการคำนวน Table'!$D$1:$M$5,5,TRUE),0))))),0)</f>
        <v>180</v>
      </c>
      <c r="BJ26" s="167">
        <f>IFERROR(IF($C26="Top WS",VLOOKUP($B26,'2) หลักการคำนวน Table'!$D$5:$M$20,HLOOKUP(AL26,'2) หลักการคำนวน Table'!$D$1:$M$5,5,TRUE),0),
IF($C26="WS SF",VLOOKUP($B26,'2) หลักการคำนวน Table'!$D$33:$M$48,HLOOKUP(AL26,'2) หลักการคำนวน Table'!$D$1:$M$5,5,TRUE),0),
IF($C26="WS WH",VLOOKUP($B26,'2) หลักการคำนวน Table'!$D$63:$M$78,HLOOKUP(AL26,'2) หลักการคำนวน Table'!$D$1:$M$5,5,TRUE),0),
IF($C26="SF WH",VLOOKUP($B26,'2) หลักการคำนวน Table'!$D$93:$M$108,HLOOKUP(AL26,'2) หลักการคำนวน Table'!$D$1:$M$5,5,TRUE),0))))),0)</f>
        <v>180</v>
      </c>
      <c r="BK26" s="167">
        <f>IFERROR(IF($C26="Top WS",VLOOKUP($B26,'2) หลักการคำนวน Table'!$D$5:$M$20,HLOOKUP(AM26,'2) หลักการคำนวน Table'!$D$1:$M$5,5,TRUE),0),
IF($C26="WS SF",VLOOKUP($B26,'2) หลักการคำนวน Table'!$D$33:$M$48,HLOOKUP(AM26,'2) หลักการคำนวน Table'!$D$1:$M$5,5,TRUE),0),
IF($C26="WS WH",VLOOKUP($B26,'2) หลักการคำนวน Table'!$D$63:$M$78,HLOOKUP(AM26,'2) หลักการคำนวน Table'!$D$1:$M$5,5,TRUE),0),
IF($C26="SF WH",VLOOKUP($B26,'2) หลักการคำนวน Table'!$D$93:$M$108,HLOOKUP(AM26,'2) หลักการคำนวน Table'!$D$1:$M$5,5,TRUE),0))))),0)</f>
        <v>180</v>
      </c>
      <c r="BM26" s="119">
        <f>VLOOKUP(VLOOKUP(A26,ASTBase!E:S,13,FALSE),ASTBase!F:P,11,FALSE)</f>
        <v>120000</v>
      </c>
      <c r="BN26" s="196" cm="1">
        <f t="array" ref="BN26">INDEX(AN26:AY26,,Period!$D$2)</f>
        <v>0.9</v>
      </c>
    </row>
    <row r="27" spans="1:66" x14ac:dyDescent="0.25">
      <c r="A27" s="117">
        <v>120001</v>
      </c>
      <c r="B27" s="117" t="s">
        <v>389</v>
      </c>
      <c r="C27" s="117" t="s">
        <v>178</v>
      </c>
      <c r="D27" s="118">
        <v>35699</v>
      </c>
      <c r="E27" s="118">
        <v>33670</v>
      </c>
      <c r="F27" s="118">
        <v>38943</v>
      </c>
      <c r="G27" s="118">
        <v>31930</v>
      </c>
      <c r="H27" s="118">
        <v>26713</v>
      </c>
      <c r="I27" s="118">
        <v>33891</v>
      </c>
      <c r="J27" s="118">
        <v>31108</v>
      </c>
      <c r="K27" s="118">
        <v>35351</v>
      </c>
      <c r="L27" s="118">
        <v>35453</v>
      </c>
      <c r="M27" s="118">
        <v>39461</v>
      </c>
      <c r="N27" s="118">
        <v>31919</v>
      </c>
      <c r="O27" s="118">
        <v>31928</v>
      </c>
      <c r="P27" s="117">
        <f>SUMIFS(Actual!C:C,Actual!$A:$A,'3)Target &amp; Cal'!$A27,Actual!$B:$B,'3)Target &amp; Cal'!$B27)</f>
        <v>30180.600000000002</v>
      </c>
      <c r="Q27" s="117">
        <f>SUMIFS(Actual!D:D,Actual!$A:$A,'3)Target &amp; Cal'!$A27,Actual!$B:$B,'3)Target &amp; Cal'!$B27)</f>
        <v>31637.300000000003</v>
      </c>
      <c r="R27" s="117">
        <f>SUMIFS(Actual!E:E,Actual!$A:$A,'3)Target &amp; Cal'!$A27,Actual!$B:$B,'3)Target &amp; Cal'!$B27)</f>
        <v>0</v>
      </c>
      <c r="S27" s="117">
        <f>SUMIFS(Actual!F:F,Actual!$A:$A,'3)Target &amp; Cal'!$A27,Actual!$B:$B,'3)Target &amp; Cal'!$B27)</f>
        <v>0</v>
      </c>
      <c r="T27" s="117">
        <f>SUMIFS(Actual!G:G,Actual!$A:$A,'3)Target &amp; Cal'!$A27,Actual!$B:$B,'3)Target &amp; Cal'!$B27)</f>
        <v>0</v>
      </c>
      <c r="U27" s="117">
        <f>SUMIFS(Actual!H:H,Actual!$A:$A,'3)Target &amp; Cal'!$A27,Actual!$B:$B,'3)Target &amp; Cal'!$B27)</f>
        <v>0</v>
      </c>
      <c r="V27" s="117">
        <f>SUMIFS(Actual!I:I,Actual!$A:$A,'3)Target &amp; Cal'!$A27,Actual!$B:$B,'3)Target &amp; Cal'!$B27)</f>
        <v>0</v>
      </c>
      <c r="W27" s="117">
        <f>SUMIFS(Actual!J:J,Actual!$A:$A,'3)Target &amp; Cal'!$A27,Actual!$B:$B,'3)Target &amp; Cal'!$B27)</f>
        <v>0</v>
      </c>
      <c r="X27" s="117">
        <f>SUMIFS(Actual!K:K,Actual!$A:$A,'3)Target &amp; Cal'!$A27,Actual!$B:$B,'3)Target &amp; Cal'!$B27)</f>
        <v>0</v>
      </c>
      <c r="Y27" s="117">
        <f>SUMIFS(Actual!L:L,Actual!$A:$A,'3)Target &amp; Cal'!$A27,Actual!$B:$B,'3)Target &amp; Cal'!$B27)</f>
        <v>0</v>
      </c>
      <c r="Z27" s="117">
        <f>SUMIFS(Actual!M:M,Actual!$A:$A,'3)Target &amp; Cal'!$A27,Actual!$B:$B,'3)Target &amp; Cal'!$B27)</f>
        <v>0</v>
      </c>
      <c r="AA27" s="117">
        <f>SUMIFS(Actual!N:N,Actual!$A:$A,'3)Target &amp; Cal'!$A27,Actual!$B:$B,'3)Target &amp; Cal'!$B27)</f>
        <v>0</v>
      </c>
      <c r="AB27" s="123">
        <f>IFERROR(IF(VLOOKUP($B27,Shortage!$A:$M,AB$2,FALSE)="Shortage",1,IFERROR(ROUND(P27/D27,4),0)),IFERROR(ROUND(P27/D27,4),0))</f>
        <v>1</v>
      </c>
      <c r="AC27" s="123">
        <f>IFERROR(IF(VLOOKUP($B27,Shortage!$A:$M,AC$2,FALSE)="Shortage",1,IFERROR(ROUND(Q27/E27,4),0)),IFERROR(ROUND(Q27/E27,4),0))</f>
        <v>1</v>
      </c>
      <c r="AD27" s="123">
        <f>IFERROR(IF(VLOOKUP($B27,Shortage!$A:$M,AD$2,FALSE)="Shortage",1,IFERROR(ROUND(R27/F27,4),0)),IFERROR(ROUND(R27/F27,4),0))</f>
        <v>0</v>
      </c>
      <c r="AE27" s="123">
        <f>IFERROR(IF(VLOOKUP($B27,Shortage!$A:$M,AE$2,FALSE)="Shortage",1,IFERROR(ROUND(S27/G27,4),0)),IFERROR(ROUND(S27/G27,4),0))</f>
        <v>0</v>
      </c>
      <c r="AF27" s="123">
        <f>IFERROR(IF(VLOOKUP($B27,Shortage!$A:$M,AF$2,FALSE)="Shortage",1,IFERROR(ROUND(T27/H27,4),0)),IFERROR(ROUND(T27/H27,4),0))</f>
        <v>0</v>
      </c>
      <c r="AG27" s="123">
        <f>IFERROR(IF(VLOOKUP($B27,Shortage!$A:$M,AG$2,FALSE)="Shortage",1,IFERROR(ROUND(U27/I27,4),0)),IFERROR(ROUND(U27/I27,4),0))</f>
        <v>0</v>
      </c>
      <c r="AH27" s="123">
        <f>IFERROR(IF(VLOOKUP($B27,Shortage!$A:$M,AH$2,FALSE)="Shortage",1,IFERROR(ROUND(V27/J27,4),0)),IFERROR(ROUND(V27/J27,4),0))</f>
        <v>0</v>
      </c>
      <c r="AI27" s="123">
        <f>IFERROR(IF(VLOOKUP($B27,Shortage!$A:$M,AI$2,FALSE)="Shortage",1,IFERROR(ROUND(W27/K27,4),0)),IFERROR(ROUND(W27/K27,4),0))</f>
        <v>0</v>
      </c>
      <c r="AJ27" s="123">
        <f>IFERROR(IF(VLOOKUP($B27,Shortage!$A:$M,AP$2,FALSE)="Shortage",1,IFERROR(ROUND(X27/L27,4),0)),IFERROR(ROUND(X27/L27,4),0))</f>
        <v>0</v>
      </c>
      <c r="AK27" s="123">
        <f>IFERROR(IF(VLOOKUP($B27,Shortage!$A:$M,AK$2,FALSE)="Shortage",1,IFERROR(ROUND(Y27/M27,4),0)),IFERROR(ROUND(Y27/M27,4),0))</f>
        <v>0</v>
      </c>
      <c r="AL27" s="123">
        <f>IFERROR(IF(VLOOKUP($B27,Shortage!$A:$M,AL$2,FALSE)="Shortage",1,IFERROR(ROUND(Z27/N27,4),0)),IFERROR(ROUND(Z27/N27,4),0))</f>
        <v>0</v>
      </c>
      <c r="AM27" s="123">
        <f>IFERROR(IF(VLOOKUP($B27,Shortage!$A:$M,AM$2,FALSE)="Shortage",1,IFERROR(ROUND(AA27/O27,4),0)),IFERROR(ROUND(AA27/O27,4),0))</f>
        <v>0</v>
      </c>
      <c r="AN27" s="232">
        <f>IFERROR(IF($C27="Top WS",VLOOKUP("GOAL",'2) หลักการคำนวน Table'!$D$4:$M$4,HLOOKUP(AB27,'2) หลักการคำนวน Table'!$D$1:$M$5,5,TRUE),0),
IF($C27="WS SF",VLOOKUP("GOAL",'2) หลักการคำนวน Table'!$D$32:$M$32,HLOOKUP(AB27,'2) หลักการคำนวน Table'!$D$1:$M$5,5,TRUE),0),
IF($C27="WS WH",VLOOKUP("GOAL",'2) หลักการคำนวน Table'!$D$62:$M$62,HLOOKUP(AB27,'2) หลักการคำนวน Table'!$D$1:$M$5,5,TRUE),0),
IF($C27="SF WH",VLOOKUP("GOAL",'2) หลักการคำนวน Table'!$D$92:$M$92,HLOOKUP(AB27,'2) หลักการคำนวน Table'!$D$1:$M$5,5,TRUE),0))))),0)</f>
        <v>1</v>
      </c>
      <c r="AO27" s="232">
        <f>IFERROR(IF($C27="Top WS",VLOOKUP("GOAL",'2) หลักการคำนวน Table'!$D$4:$M$4,HLOOKUP(AC27,'2) หลักการคำนวน Table'!$D$1:$M$5,5,TRUE),0),
IF($C27="WS SF",VLOOKUP("GOAL",'2) หลักการคำนวน Table'!$D$32:$M$32,HLOOKUP(AC27,'2) หลักการคำนวน Table'!$D$1:$M$5,5,TRUE),0),
IF($C27="WS WH",VLOOKUP("GOAL",'2) หลักการคำนวน Table'!$D$62:$M$62,HLOOKUP(AC27,'2) หลักการคำนวน Table'!$D$1:$M$5,5,TRUE),0),
IF($C27="SF WH",VLOOKUP("GOAL",'2) หลักการคำนวน Table'!$D$92:$M$92,HLOOKUP(AC27,'2) หลักการคำนวน Table'!$D$1:$M$5,5,TRUE),0))))),0)</f>
        <v>1</v>
      </c>
      <c r="AP27" s="232">
        <f>IFERROR(IF($C27="Top WS",VLOOKUP("GOAL",'2) หลักการคำนวน Table'!$D$4:$M$4,HLOOKUP(AD27,'2) หลักการคำนวน Table'!$D$1:$M$5,5,TRUE),0),
IF($C27="WS SF",VLOOKUP("GOAL",'2) หลักการคำนวน Table'!$D$32:$M$32,HLOOKUP(AD27,'2) หลักการคำนวน Table'!$D$1:$M$5,5,TRUE),0),
IF($C27="WS WH",VLOOKUP("GOAL",'2) หลักการคำนวน Table'!$D$62:$M$62,HLOOKUP(AD27,'2) หลักการคำนวน Table'!$D$1:$M$5,5,TRUE),0),
IF($C27="SF WH",VLOOKUP("GOAL",'2) หลักการคำนวน Table'!$D$92:$M$92,HLOOKUP(AD27,'2) หลักการคำนวน Table'!$D$1:$M$5,5,TRUE),0))))),0)</f>
        <v>0.9</v>
      </c>
      <c r="AQ27" s="232">
        <f>IFERROR(IF($C27="Top WS",VLOOKUP("GOAL",'2) หลักการคำนวน Table'!$D$4:$M$4,HLOOKUP(AE27,'2) หลักการคำนวน Table'!$D$1:$M$5,5,TRUE),0),
IF($C27="WS SF",VLOOKUP("GOAL",'2) หลักการคำนวน Table'!$D$32:$M$32,HLOOKUP(AE27,'2) หลักการคำนวน Table'!$D$1:$M$5,5,TRUE),0),
IF($C27="WS WH",VLOOKUP("GOAL",'2) หลักการคำนวน Table'!$D$62:$M$62,HLOOKUP(AE27,'2) หลักการคำนวน Table'!$D$1:$M$5,5,TRUE),0),
IF($C27="SF WH",VLOOKUP("GOAL",'2) หลักการคำนวน Table'!$D$92:$M$92,HLOOKUP(AE27,'2) หลักการคำนวน Table'!$D$1:$M$5,5,TRUE),0))))),0)</f>
        <v>0.9</v>
      </c>
      <c r="AR27" s="232">
        <f>IFERROR(IF($C27="Top WS",VLOOKUP("GOAL",'2) หลักการคำนวน Table'!$D$4:$M$4,HLOOKUP(AF27,'2) หลักการคำนวน Table'!$D$1:$M$5,5,TRUE),0),
IF($C27="WS SF",VLOOKUP("GOAL",'2) หลักการคำนวน Table'!$D$32:$M$32,HLOOKUP(AF27,'2) หลักการคำนวน Table'!$D$1:$M$5,5,TRUE),0),
IF($C27="WS WH",VLOOKUP("GOAL",'2) หลักการคำนวน Table'!$D$62:$M$62,HLOOKUP(AF27,'2) หลักการคำนวน Table'!$D$1:$M$5,5,TRUE),0),
IF($C27="SF WH",VLOOKUP("GOAL",'2) หลักการคำนวน Table'!$D$92:$M$92,HLOOKUP(AF27,'2) หลักการคำนวน Table'!$D$1:$M$5,5,TRUE),0))))),0)</f>
        <v>0.9</v>
      </c>
      <c r="AS27" s="232">
        <f>IFERROR(IF($C27="Top WS",VLOOKUP("GOAL",'2) หลักการคำนวน Table'!$D$4:$M$4,HLOOKUP(AG27,'2) หลักการคำนวน Table'!$D$1:$M$5,5,TRUE),0),
IF($C27="WS SF",VLOOKUP("GOAL",'2) หลักการคำนวน Table'!$D$32:$M$32,HLOOKUP(AG27,'2) หลักการคำนวน Table'!$D$1:$M$5,5,TRUE),0),
IF($C27="WS WH",VLOOKUP("GOAL",'2) หลักการคำนวน Table'!$D$62:$M$62,HLOOKUP(AG27,'2) หลักการคำนวน Table'!$D$1:$M$5,5,TRUE),0),
IF($C27="SF WH",VLOOKUP("GOAL",'2) หลักการคำนวน Table'!$D$92:$M$92,HLOOKUP(AG27,'2) หลักการคำนวน Table'!$D$1:$M$5,5,TRUE),0))))),0)</f>
        <v>0.9</v>
      </c>
      <c r="AT27" s="232">
        <f>IFERROR(IF($C27="Top WS",VLOOKUP("GOAL",'2) หลักการคำนวน Table'!$D$4:$M$4,HLOOKUP(AH27,'2) หลักการคำนวน Table'!$D$1:$M$5,5,TRUE),0),
IF($C27="WS SF",VLOOKUP("GOAL",'2) หลักการคำนวน Table'!$D$32:$M$32,HLOOKUP(AH27,'2) หลักการคำนวน Table'!$D$1:$M$5,5,TRUE),0),
IF($C27="WS WH",VLOOKUP("GOAL",'2) หลักการคำนวน Table'!$D$62:$M$62,HLOOKUP(AH27,'2) หลักการคำนวน Table'!$D$1:$M$5,5,TRUE),0),
IF($C27="SF WH",VLOOKUP("GOAL",'2) หลักการคำนวน Table'!$D$92:$M$92,HLOOKUP(AH27,'2) หลักการคำนวน Table'!$D$1:$M$5,5,TRUE),0))))),0)</f>
        <v>0.9</v>
      </c>
      <c r="AU27" s="232">
        <f>IFERROR(IF($C27="Top WS",VLOOKUP("GOAL",'2) หลักการคำนวน Table'!$D$4:$M$4,HLOOKUP(AI27,'2) หลักการคำนวน Table'!$D$1:$M$5,5,TRUE),0),
IF($C27="WS SF",VLOOKUP("GOAL",'2) หลักการคำนวน Table'!$D$32:$M$32,HLOOKUP(AI27,'2) หลักการคำนวน Table'!$D$1:$M$5,5,TRUE),0),
IF($C27="WS WH",VLOOKUP("GOAL",'2) หลักการคำนวน Table'!$D$62:$M$62,HLOOKUP(AI27,'2) หลักการคำนวน Table'!$D$1:$M$5,5,TRUE),0),
IF($C27="SF WH",VLOOKUP("GOAL",'2) หลักการคำนวน Table'!$D$92:$M$92,HLOOKUP(AI27,'2) หลักการคำนวน Table'!$D$1:$M$5,5,TRUE),0))))),0)</f>
        <v>0.9</v>
      </c>
      <c r="AV27" s="232">
        <f>IFERROR(IF($C27="Top WS",VLOOKUP("GOAL",'2) หลักการคำนวน Table'!$D$4:$M$4,HLOOKUP(AP27,'2) หลักการคำนวน Table'!$D$1:$M$5,5,TRUE),0),
IF($C27="WS SF",VLOOKUP("GOAL",'2) หลักการคำนวน Table'!$D$32:$M$32,HLOOKUP(AP27,'2) หลักการคำนวน Table'!$D$1:$M$5,5,TRUE),0),
IF($C27="WS WH",VLOOKUP("GOAL",'2) หลักการคำนวน Table'!$D$62:$M$62,HLOOKUP(AP27,'2) หลักการคำนวน Table'!$D$1:$M$5,5,TRUE),0),
IF($C27="SF WH",VLOOKUP("GOAL",'2) หลักการคำนวน Table'!$D$92:$M$92,HLOOKUP(AP27,'2) หลักการคำนวน Table'!$D$1:$M$5,5,TRUE),0))))),0)</f>
        <v>0.9</v>
      </c>
      <c r="AW27" s="232">
        <f>IFERROR(IF($C27="Top WS",VLOOKUP("GOAL",'2) หลักการคำนวน Table'!$D$4:$M$4,HLOOKUP(AK27,'2) หลักการคำนวน Table'!$D$1:$M$5,5,TRUE),0),
IF($C27="WS SF",VLOOKUP("GOAL",'2) หลักการคำนวน Table'!$D$32:$M$32,HLOOKUP(AK27,'2) หลักการคำนวน Table'!$D$1:$M$5,5,TRUE),0),
IF($C27="WS WH",VLOOKUP("GOAL",'2) หลักการคำนวน Table'!$D$62:$M$62,HLOOKUP(AK27,'2) หลักการคำนวน Table'!$D$1:$M$5,5,TRUE),0),
IF($C27="SF WH",VLOOKUP("GOAL",'2) หลักการคำนวน Table'!$D$92:$M$92,HLOOKUP(AK27,'2) หลักการคำนวน Table'!$D$1:$M$5,5,TRUE),0))))),0)</f>
        <v>0.9</v>
      </c>
      <c r="AX27" s="232">
        <f>IFERROR(IF($C27="Top WS",VLOOKUP("GOAL",'2) หลักการคำนวน Table'!$D$4:$M$4,HLOOKUP(AL27,'2) หลักการคำนวน Table'!$D$1:$M$5,5,TRUE),0),
IF($C27="WS SF",VLOOKUP("GOAL",'2) หลักการคำนวน Table'!$D$32:$M$32,HLOOKUP(AL27,'2) หลักการคำนวน Table'!$D$1:$M$5,5,TRUE),0),
IF($C27="WS WH",VLOOKUP("GOAL",'2) หลักการคำนวน Table'!$D$62:$M$62,HLOOKUP(AL27,'2) หลักการคำนวน Table'!$D$1:$M$5,5,TRUE),0),
IF($C27="SF WH",VLOOKUP("GOAL",'2) หลักการคำนวน Table'!$D$92:$M$92,HLOOKUP(AL27,'2) หลักการคำนวน Table'!$D$1:$M$5,5,TRUE),0))))),0)</f>
        <v>0.9</v>
      </c>
      <c r="AY27" s="232">
        <f>IFERROR(IF($C27="Top WS",VLOOKUP("GOAL",'2) หลักการคำนวน Table'!$D$4:$M$4,HLOOKUP(AM27,'2) หลักการคำนวน Table'!$D$1:$M$5,5,TRUE),0),
IF($C27="WS SF",VLOOKUP("GOAL",'2) หลักการคำนวน Table'!$D$32:$M$32,HLOOKUP(AM27,'2) หลักการคำนวน Table'!$D$1:$M$5,5,TRUE),0),
IF($C27="WS WH",VLOOKUP("GOAL",'2) หลักการคำนวน Table'!$D$62:$M$62,HLOOKUP(AM27,'2) หลักการคำนวน Table'!$D$1:$M$5,5,TRUE),0),
IF($C27="SF WH",VLOOKUP("GOAL",'2) หลักการคำนวน Table'!$D$92:$M$92,HLOOKUP(AM27,'2) หลักการคำนวน Table'!$D$1:$M$5,5,TRUE),0))))),0)</f>
        <v>0.9</v>
      </c>
      <c r="AZ27" s="167">
        <f>IFERROR(IF($C27="Top WS",VLOOKUP($B27,'2) หลักการคำนวน Table'!$D$5:$M$20,HLOOKUP(AB27,'2) หลักการคำนวน Table'!$D$1:$M$5,5,TRUE),0),
IF($C27="WS SF",VLOOKUP($B27,'2) หลักการคำนวน Table'!$D$33:$M$48,HLOOKUP(AB27,'2) หลักการคำนวน Table'!$D$1:$M$5,5,TRUE),0),
IF($C27="WS WH",VLOOKUP($B27,'2) หลักการคำนวน Table'!$D$63:$M$78,HLOOKUP(AB27,'2) หลักการคำนวน Table'!$D$1:$M$5,5,TRUE),0),
IF($C27="SF WH",VLOOKUP($B27,'2) หลักการคำนวน Table'!$D$93:$M$108,HLOOKUP(AB27,'2) หลักการคำนวน Table'!$D$1:$M$5,5,TRUE),0))))),0)</f>
        <v>400</v>
      </c>
      <c r="BA27" s="167">
        <f>IFERROR(IF($C27="Top WS",VLOOKUP($B27,'2) หลักการคำนวน Table'!$D$5:$M$20,HLOOKUP(AC27,'2) หลักการคำนวน Table'!$D$1:$M$5,5,TRUE),0),
IF($C27="WS SF",VLOOKUP($B27,'2) หลักการคำนวน Table'!$D$33:$M$48,HLOOKUP(AC27,'2) หลักการคำนวน Table'!$D$1:$M$5,5,TRUE),0),
IF($C27="WS WH",VLOOKUP($B27,'2) หลักการคำนวน Table'!$D$63:$M$78,HLOOKUP(AC27,'2) หลักการคำนวน Table'!$D$1:$M$5,5,TRUE),0),
IF($C27="SF WH",VLOOKUP($B27,'2) หลักการคำนวน Table'!$D$93:$M$108,HLOOKUP(AC27,'2) หลักการคำนวน Table'!$D$1:$M$5,5,TRUE),0))))),0)</f>
        <v>400</v>
      </c>
      <c r="BB27" s="167">
        <f>IFERROR(IF($C27="Top WS",VLOOKUP($B27,'2) หลักการคำนวน Table'!$D$5:$M$20,HLOOKUP(AD27,'2) หลักการคำนวน Table'!$D$1:$M$5,5,TRUE),0),
IF($C27="WS SF",VLOOKUP($B27,'2) หลักการคำนวน Table'!$D$33:$M$48,HLOOKUP(AD27,'2) หลักการคำนวน Table'!$D$1:$M$5,5,TRUE),0),
IF($C27="WS WH",VLOOKUP($B27,'2) หลักการคำนวน Table'!$D$63:$M$78,HLOOKUP(AD27,'2) หลักการคำนวน Table'!$D$1:$M$5,5,TRUE),0),
IF($C27="SF WH",VLOOKUP($B27,'2) หลักการคำนวน Table'!$D$93:$M$108,HLOOKUP(AD27,'2) หลักการคำนวน Table'!$D$1:$M$5,5,TRUE),0))))),0)</f>
        <v>360</v>
      </c>
      <c r="BC27" s="167">
        <f>IFERROR(IF($C27="Top WS",VLOOKUP($B27,'2) หลักการคำนวน Table'!$D$5:$M$20,HLOOKUP(AE27,'2) หลักการคำนวน Table'!$D$1:$M$5,5,TRUE),0),
IF($C27="WS SF",VLOOKUP($B27,'2) หลักการคำนวน Table'!$D$33:$M$48,HLOOKUP(AE27,'2) หลักการคำนวน Table'!$D$1:$M$5,5,TRUE),0),
IF($C27="WS WH",VLOOKUP($B27,'2) หลักการคำนวน Table'!$D$63:$M$78,HLOOKUP(AE27,'2) หลักการคำนวน Table'!$D$1:$M$5,5,TRUE),0),
IF($C27="SF WH",VLOOKUP($B27,'2) หลักการคำนวน Table'!$D$93:$M$108,HLOOKUP(AE27,'2) หลักการคำนวน Table'!$D$1:$M$5,5,TRUE),0))))),0)</f>
        <v>360</v>
      </c>
      <c r="BD27" s="167">
        <f>IFERROR(IF($C27="Top WS",VLOOKUP($B27,'2) หลักการคำนวน Table'!$D$5:$M$20,HLOOKUP(AF27,'2) หลักการคำนวน Table'!$D$1:$M$5,5,TRUE),0),
IF($C27="WS SF",VLOOKUP($B27,'2) หลักการคำนวน Table'!$D$33:$M$48,HLOOKUP(AF27,'2) หลักการคำนวน Table'!$D$1:$M$5,5,TRUE),0),
IF($C27="WS WH",VLOOKUP($B27,'2) หลักการคำนวน Table'!$D$63:$M$78,HLOOKUP(AF27,'2) หลักการคำนวน Table'!$D$1:$M$5,5,TRUE),0),
IF($C27="SF WH",VLOOKUP($B27,'2) หลักการคำนวน Table'!$D$93:$M$108,HLOOKUP(AF27,'2) หลักการคำนวน Table'!$D$1:$M$5,5,TRUE),0))))),0)</f>
        <v>360</v>
      </c>
      <c r="BE27" s="167">
        <f>IFERROR(IF($C27="Top WS",VLOOKUP($B27,'2) หลักการคำนวน Table'!$D$5:$M$20,HLOOKUP(AG27,'2) หลักการคำนวน Table'!$D$1:$M$5,5,TRUE),0),
IF($C27="WS SF",VLOOKUP($B27,'2) หลักการคำนวน Table'!$D$33:$M$48,HLOOKUP(AG27,'2) หลักการคำนวน Table'!$D$1:$M$5,5,TRUE),0),
IF($C27="WS WH",VLOOKUP($B27,'2) หลักการคำนวน Table'!$D$63:$M$78,HLOOKUP(AG27,'2) หลักการคำนวน Table'!$D$1:$M$5,5,TRUE),0),
IF($C27="SF WH",VLOOKUP($B27,'2) หลักการคำนวน Table'!$D$93:$M$108,HLOOKUP(AG27,'2) หลักการคำนวน Table'!$D$1:$M$5,5,TRUE),0))))),0)</f>
        <v>360</v>
      </c>
      <c r="BF27" s="167">
        <f>IFERROR(IF($C27="Top WS",VLOOKUP($B27,'2) หลักการคำนวน Table'!$D$5:$M$20,HLOOKUP(AH27,'2) หลักการคำนวน Table'!$D$1:$M$5,5,TRUE),0),
IF($C27="WS SF",VLOOKUP($B27,'2) หลักการคำนวน Table'!$D$33:$M$48,HLOOKUP(AH27,'2) หลักการคำนวน Table'!$D$1:$M$5,5,TRUE),0),
IF($C27="WS WH",VLOOKUP($B27,'2) หลักการคำนวน Table'!$D$63:$M$78,HLOOKUP(AH27,'2) หลักการคำนวน Table'!$D$1:$M$5,5,TRUE),0),
IF($C27="SF WH",VLOOKUP($B27,'2) หลักการคำนวน Table'!$D$93:$M$108,HLOOKUP(AH27,'2) หลักการคำนวน Table'!$D$1:$M$5,5,TRUE),0))))),0)</f>
        <v>360</v>
      </c>
      <c r="BG27" s="167">
        <f>IFERROR(IF($C27="Top WS",VLOOKUP($B27,'2) หลักการคำนวน Table'!$D$5:$M$20,HLOOKUP(AI27,'2) หลักการคำนวน Table'!$D$1:$M$5,5,TRUE),0),
IF($C27="WS SF",VLOOKUP($B27,'2) หลักการคำนวน Table'!$D$33:$M$48,HLOOKUP(AI27,'2) หลักการคำนวน Table'!$D$1:$M$5,5,TRUE),0),
IF($C27="WS WH",VLOOKUP($B27,'2) หลักการคำนวน Table'!$D$63:$M$78,HLOOKUP(AI27,'2) หลักการคำนวน Table'!$D$1:$M$5,5,TRUE),0),
IF($C27="SF WH",VLOOKUP($B27,'2) หลักการคำนวน Table'!$D$93:$M$108,HLOOKUP(AI27,'2) หลักการคำนวน Table'!$D$1:$M$5,5,TRUE),0))))),0)</f>
        <v>360</v>
      </c>
      <c r="BH27" s="167">
        <f>IFERROR(IF($C27="Top WS",VLOOKUP($B27,'2) หลักการคำนวน Table'!$D$5:$M$20,HLOOKUP(AP27,'2) หลักการคำนวน Table'!$D$1:$M$5,5,TRUE),0),
IF($C27="WS SF",VLOOKUP($B27,'2) หลักการคำนวน Table'!$D$33:$M$48,HLOOKUP(AP27,'2) หลักการคำนวน Table'!$D$1:$M$5,5,TRUE),0),
IF($C27="WS WH",VLOOKUP($B27,'2) หลักการคำนวน Table'!$D$63:$M$78,HLOOKUP(AP27,'2) หลักการคำนวน Table'!$D$1:$M$5,5,TRUE),0),
IF($C27="SF WH",VLOOKUP($B27,'2) หลักการคำนวน Table'!$D$93:$M$108,HLOOKUP(AP27,'2) หลักการคำนวน Table'!$D$1:$M$5,5,TRUE),0))))),0)</f>
        <v>360</v>
      </c>
      <c r="BI27" s="167">
        <f>IFERROR(IF($C27="Top WS",VLOOKUP($B27,'2) หลักการคำนวน Table'!$D$5:$M$20,HLOOKUP(AK27,'2) หลักการคำนวน Table'!$D$1:$M$5,5,TRUE),0),
IF($C27="WS SF",VLOOKUP($B27,'2) หลักการคำนวน Table'!$D$33:$M$48,HLOOKUP(AK27,'2) หลักการคำนวน Table'!$D$1:$M$5,5,TRUE),0),
IF($C27="WS WH",VLOOKUP($B27,'2) หลักการคำนวน Table'!$D$63:$M$78,HLOOKUP(AK27,'2) หลักการคำนวน Table'!$D$1:$M$5,5,TRUE),0),
IF($C27="SF WH",VLOOKUP($B27,'2) หลักการคำนวน Table'!$D$93:$M$108,HLOOKUP(AK27,'2) หลักการคำนวน Table'!$D$1:$M$5,5,TRUE),0))))),0)</f>
        <v>360</v>
      </c>
      <c r="BJ27" s="167">
        <f>IFERROR(IF($C27="Top WS",VLOOKUP($B27,'2) หลักการคำนวน Table'!$D$5:$M$20,HLOOKUP(AL27,'2) หลักการคำนวน Table'!$D$1:$M$5,5,TRUE),0),
IF($C27="WS SF",VLOOKUP($B27,'2) หลักการคำนวน Table'!$D$33:$M$48,HLOOKUP(AL27,'2) หลักการคำนวน Table'!$D$1:$M$5,5,TRUE),0),
IF($C27="WS WH",VLOOKUP($B27,'2) หลักการคำนวน Table'!$D$63:$M$78,HLOOKUP(AL27,'2) หลักการคำนวน Table'!$D$1:$M$5,5,TRUE),0),
IF($C27="SF WH",VLOOKUP($B27,'2) หลักการคำนวน Table'!$D$93:$M$108,HLOOKUP(AL27,'2) หลักการคำนวน Table'!$D$1:$M$5,5,TRUE),0))))),0)</f>
        <v>360</v>
      </c>
      <c r="BK27" s="167">
        <f>IFERROR(IF($C27="Top WS",VLOOKUP($B27,'2) หลักการคำนวน Table'!$D$5:$M$20,HLOOKUP(AM27,'2) หลักการคำนวน Table'!$D$1:$M$5,5,TRUE),0),
IF($C27="WS SF",VLOOKUP($B27,'2) หลักการคำนวน Table'!$D$33:$M$48,HLOOKUP(AM27,'2) หลักการคำนวน Table'!$D$1:$M$5,5,TRUE),0),
IF($C27="WS WH",VLOOKUP($B27,'2) หลักการคำนวน Table'!$D$63:$M$78,HLOOKUP(AM27,'2) หลักการคำนวน Table'!$D$1:$M$5,5,TRUE),0),
IF($C27="SF WH",VLOOKUP($B27,'2) หลักการคำนวน Table'!$D$93:$M$108,HLOOKUP(AM27,'2) หลักการคำนวน Table'!$D$1:$M$5,5,TRUE),0))))),0)</f>
        <v>360</v>
      </c>
      <c r="BM27" s="119">
        <f>VLOOKUP(VLOOKUP(A27,ASTBase!E:S,13,FALSE),ASTBase!F:P,11,FALSE)</f>
        <v>120000</v>
      </c>
      <c r="BN27" s="196" cm="1">
        <f t="array" ref="BN27">INDEX(AN27:AY27,,Period!$D$2)</f>
        <v>1</v>
      </c>
    </row>
    <row r="28" spans="1:66" x14ac:dyDescent="0.25">
      <c r="A28" s="117">
        <v>120001</v>
      </c>
      <c r="B28" s="117" t="s">
        <v>390</v>
      </c>
      <c r="C28" s="117" t="s">
        <v>178</v>
      </c>
      <c r="D28" s="118">
        <v>1394</v>
      </c>
      <c r="E28" s="118">
        <v>784</v>
      </c>
      <c r="F28" s="118">
        <v>878</v>
      </c>
      <c r="G28" s="118">
        <v>1290</v>
      </c>
      <c r="H28" s="118">
        <v>1195</v>
      </c>
      <c r="I28" s="118">
        <v>1393</v>
      </c>
      <c r="J28" s="118">
        <v>1277</v>
      </c>
      <c r="K28" s="118">
        <v>1331</v>
      </c>
      <c r="L28" s="118">
        <v>1257</v>
      </c>
      <c r="M28" s="118">
        <v>1232</v>
      </c>
      <c r="N28" s="118">
        <v>1257</v>
      </c>
      <c r="O28" s="118">
        <v>1277</v>
      </c>
      <c r="P28" s="117">
        <f>SUMIFS(Actual!C:C,Actual!$A:$A,'3)Target &amp; Cal'!$A28,Actual!$B:$B,'3)Target &amp; Cal'!$B28)</f>
        <v>555.99999999444003</v>
      </c>
      <c r="Q28" s="117">
        <f>SUMIFS(Actual!D:D,Actual!$A:$A,'3)Target &amp; Cal'!$A28,Actual!$B:$B,'3)Target &amp; Cal'!$B28)</f>
        <v>251.99999999748002</v>
      </c>
      <c r="R28" s="117">
        <f>SUMIFS(Actual!E:E,Actual!$A:$A,'3)Target &amp; Cal'!$A28,Actual!$B:$B,'3)Target &amp; Cal'!$B28)</f>
        <v>0</v>
      </c>
      <c r="S28" s="117">
        <f>SUMIFS(Actual!F:F,Actual!$A:$A,'3)Target &amp; Cal'!$A28,Actual!$B:$B,'3)Target &amp; Cal'!$B28)</f>
        <v>0</v>
      </c>
      <c r="T28" s="117">
        <f>SUMIFS(Actual!G:G,Actual!$A:$A,'3)Target &amp; Cal'!$A28,Actual!$B:$B,'3)Target &amp; Cal'!$B28)</f>
        <v>0</v>
      </c>
      <c r="U28" s="117">
        <f>SUMIFS(Actual!H:H,Actual!$A:$A,'3)Target &amp; Cal'!$A28,Actual!$B:$B,'3)Target &amp; Cal'!$B28)</f>
        <v>0</v>
      </c>
      <c r="V28" s="117">
        <f>SUMIFS(Actual!I:I,Actual!$A:$A,'3)Target &amp; Cal'!$A28,Actual!$B:$B,'3)Target &amp; Cal'!$B28)</f>
        <v>0</v>
      </c>
      <c r="W28" s="117">
        <f>SUMIFS(Actual!J:J,Actual!$A:$A,'3)Target &amp; Cal'!$A28,Actual!$B:$B,'3)Target &amp; Cal'!$B28)</f>
        <v>0</v>
      </c>
      <c r="X28" s="117">
        <f>SUMIFS(Actual!K:K,Actual!$A:$A,'3)Target &amp; Cal'!$A28,Actual!$B:$B,'3)Target &amp; Cal'!$B28)</f>
        <v>0</v>
      </c>
      <c r="Y28" s="117">
        <f>SUMIFS(Actual!L:L,Actual!$A:$A,'3)Target &amp; Cal'!$A28,Actual!$B:$B,'3)Target &amp; Cal'!$B28)</f>
        <v>0</v>
      </c>
      <c r="Z28" s="117">
        <f>SUMIFS(Actual!M:M,Actual!$A:$A,'3)Target &amp; Cal'!$A28,Actual!$B:$B,'3)Target &amp; Cal'!$B28)</f>
        <v>0</v>
      </c>
      <c r="AA28" s="117">
        <f>SUMIFS(Actual!N:N,Actual!$A:$A,'3)Target &amp; Cal'!$A28,Actual!$B:$B,'3)Target &amp; Cal'!$B28)</f>
        <v>0</v>
      </c>
      <c r="AB28" s="123">
        <f>IFERROR(IF(VLOOKUP($B28,Shortage!$A:$M,AB$2,FALSE)="Shortage",1,IFERROR(ROUND(P28/D28,4),0)),IFERROR(ROUND(P28/D28,4),0))</f>
        <v>0.39889999999999998</v>
      </c>
      <c r="AC28" s="123">
        <f>IFERROR(IF(VLOOKUP($B28,Shortage!$A:$M,AC$2,FALSE)="Shortage",1,IFERROR(ROUND(Q28/E28,4),0)),IFERROR(ROUND(Q28/E28,4),0))</f>
        <v>0.32140000000000002</v>
      </c>
      <c r="AD28" s="123">
        <f>IFERROR(IF(VLOOKUP($B28,Shortage!$A:$M,AD$2,FALSE)="Shortage",1,IFERROR(ROUND(R28/F28,4),0)),IFERROR(ROUND(R28/F28,4),0))</f>
        <v>0</v>
      </c>
      <c r="AE28" s="123">
        <f>IFERROR(IF(VLOOKUP($B28,Shortage!$A:$M,AE$2,FALSE)="Shortage",1,IFERROR(ROUND(S28/G28,4),0)),IFERROR(ROUND(S28/G28,4),0))</f>
        <v>0</v>
      </c>
      <c r="AF28" s="123">
        <f>IFERROR(IF(VLOOKUP($B28,Shortage!$A:$M,AF$2,FALSE)="Shortage",1,IFERROR(ROUND(T28/H28,4),0)),IFERROR(ROUND(T28/H28,4),0))</f>
        <v>0</v>
      </c>
      <c r="AG28" s="123">
        <f>IFERROR(IF(VLOOKUP($B28,Shortage!$A:$M,AG$2,FALSE)="Shortage",1,IFERROR(ROUND(U28/I28,4),0)),IFERROR(ROUND(U28/I28,4),0))</f>
        <v>0</v>
      </c>
      <c r="AH28" s="123">
        <f>IFERROR(IF(VLOOKUP($B28,Shortage!$A:$M,AH$2,FALSE)="Shortage",1,IFERROR(ROUND(V28/J28,4),0)),IFERROR(ROUND(V28/J28,4),0))</f>
        <v>0</v>
      </c>
      <c r="AI28" s="123">
        <f>IFERROR(IF(VLOOKUP($B28,Shortage!$A:$M,AI$2,FALSE)="Shortage",1,IFERROR(ROUND(W28/K28,4),0)),IFERROR(ROUND(W28/K28,4),0))</f>
        <v>0</v>
      </c>
      <c r="AJ28" s="123">
        <f>IFERROR(IF(VLOOKUP($B28,Shortage!$A:$M,AP$2,FALSE)="Shortage",1,IFERROR(ROUND(X28/L28,4),0)),IFERROR(ROUND(X28/L28,4),0))</f>
        <v>0</v>
      </c>
      <c r="AK28" s="123">
        <f>IFERROR(IF(VLOOKUP($B28,Shortage!$A:$M,AK$2,FALSE)="Shortage",1,IFERROR(ROUND(Y28/M28,4),0)),IFERROR(ROUND(Y28/M28,4),0))</f>
        <v>0</v>
      </c>
      <c r="AL28" s="123">
        <f>IFERROR(IF(VLOOKUP($B28,Shortage!$A:$M,AL$2,FALSE)="Shortage",1,IFERROR(ROUND(Z28/N28,4),0)),IFERROR(ROUND(Z28/N28,4),0))</f>
        <v>0</v>
      </c>
      <c r="AM28" s="123">
        <f>IFERROR(IF(VLOOKUP($B28,Shortage!$A:$M,AM$2,FALSE)="Shortage",1,IFERROR(ROUND(AA28/O28,4),0)),IFERROR(ROUND(AA28/O28,4),0))</f>
        <v>0</v>
      </c>
      <c r="AN28" s="232">
        <f>IFERROR(IF($C28="Top WS",VLOOKUP("GOAL",'2) หลักการคำนวน Table'!$D$4:$M$4,HLOOKUP(AB28,'2) หลักการคำนวน Table'!$D$1:$M$5,5,TRUE),0),
IF($C28="WS SF",VLOOKUP("GOAL",'2) หลักการคำนวน Table'!$D$32:$M$32,HLOOKUP(AB28,'2) หลักการคำนวน Table'!$D$1:$M$5,5,TRUE),0),
IF($C28="WS WH",VLOOKUP("GOAL",'2) หลักการคำนวน Table'!$D$62:$M$62,HLOOKUP(AB28,'2) หลักการคำนวน Table'!$D$1:$M$5,5,TRUE),0),
IF($C28="SF WH",VLOOKUP("GOAL",'2) หลักการคำนวน Table'!$D$92:$M$92,HLOOKUP(AB28,'2) หลักการคำนวน Table'!$D$1:$M$5,5,TRUE),0))))),0)</f>
        <v>0.9</v>
      </c>
      <c r="AO28" s="232">
        <f>IFERROR(IF($C28="Top WS",VLOOKUP("GOAL",'2) หลักการคำนวน Table'!$D$4:$M$4,HLOOKUP(AC28,'2) หลักการคำนวน Table'!$D$1:$M$5,5,TRUE),0),
IF($C28="WS SF",VLOOKUP("GOAL",'2) หลักการคำนวน Table'!$D$32:$M$32,HLOOKUP(AC28,'2) หลักการคำนวน Table'!$D$1:$M$5,5,TRUE),0),
IF($C28="WS WH",VLOOKUP("GOAL",'2) หลักการคำนวน Table'!$D$62:$M$62,HLOOKUP(AC28,'2) หลักการคำนวน Table'!$D$1:$M$5,5,TRUE),0),
IF($C28="SF WH",VLOOKUP("GOAL",'2) หลักการคำนวน Table'!$D$92:$M$92,HLOOKUP(AC28,'2) หลักการคำนวน Table'!$D$1:$M$5,5,TRUE),0))))),0)</f>
        <v>0.9</v>
      </c>
      <c r="AP28" s="232">
        <f>IFERROR(IF($C28="Top WS",VLOOKUP("GOAL",'2) หลักการคำนวน Table'!$D$4:$M$4,HLOOKUP(AD28,'2) หลักการคำนวน Table'!$D$1:$M$5,5,TRUE),0),
IF($C28="WS SF",VLOOKUP("GOAL",'2) หลักการคำนวน Table'!$D$32:$M$32,HLOOKUP(AD28,'2) หลักการคำนวน Table'!$D$1:$M$5,5,TRUE),0),
IF($C28="WS WH",VLOOKUP("GOAL",'2) หลักการคำนวน Table'!$D$62:$M$62,HLOOKUP(AD28,'2) หลักการคำนวน Table'!$D$1:$M$5,5,TRUE),0),
IF($C28="SF WH",VLOOKUP("GOAL",'2) หลักการคำนวน Table'!$D$92:$M$92,HLOOKUP(AD28,'2) หลักการคำนวน Table'!$D$1:$M$5,5,TRUE),0))))),0)</f>
        <v>0.9</v>
      </c>
      <c r="AQ28" s="232">
        <f>IFERROR(IF($C28="Top WS",VLOOKUP("GOAL",'2) หลักการคำนวน Table'!$D$4:$M$4,HLOOKUP(AE28,'2) หลักการคำนวน Table'!$D$1:$M$5,5,TRUE),0),
IF($C28="WS SF",VLOOKUP("GOAL",'2) หลักการคำนวน Table'!$D$32:$M$32,HLOOKUP(AE28,'2) หลักการคำนวน Table'!$D$1:$M$5,5,TRUE),0),
IF($C28="WS WH",VLOOKUP("GOAL",'2) หลักการคำนวน Table'!$D$62:$M$62,HLOOKUP(AE28,'2) หลักการคำนวน Table'!$D$1:$M$5,5,TRUE),0),
IF($C28="SF WH",VLOOKUP("GOAL",'2) หลักการคำนวน Table'!$D$92:$M$92,HLOOKUP(AE28,'2) หลักการคำนวน Table'!$D$1:$M$5,5,TRUE),0))))),0)</f>
        <v>0.9</v>
      </c>
      <c r="AR28" s="232">
        <f>IFERROR(IF($C28="Top WS",VLOOKUP("GOAL",'2) หลักการคำนวน Table'!$D$4:$M$4,HLOOKUP(AF28,'2) หลักการคำนวน Table'!$D$1:$M$5,5,TRUE),0),
IF($C28="WS SF",VLOOKUP("GOAL",'2) หลักการคำนวน Table'!$D$32:$M$32,HLOOKUP(AF28,'2) หลักการคำนวน Table'!$D$1:$M$5,5,TRUE),0),
IF($C28="WS WH",VLOOKUP("GOAL",'2) หลักการคำนวน Table'!$D$62:$M$62,HLOOKUP(AF28,'2) หลักการคำนวน Table'!$D$1:$M$5,5,TRUE),0),
IF($C28="SF WH",VLOOKUP("GOAL",'2) หลักการคำนวน Table'!$D$92:$M$92,HLOOKUP(AF28,'2) หลักการคำนวน Table'!$D$1:$M$5,5,TRUE),0))))),0)</f>
        <v>0.9</v>
      </c>
      <c r="AS28" s="232">
        <f>IFERROR(IF($C28="Top WS",VLOOKUP("GOAL",'2) หลักการคำนวน Table'!$D$4:$M$4,HLOOKUP(AG28,'2) หลักการคำนวน Table'!$D$1:$M$5,5,TRUE),0),
IF($C28="WS SF",VLOOKUP("GOAL",'2) หลักการคำนวน Table'!$D$32:$M$32,HLOOKUP(AG28,'2) หลักการคำนวน Table'!$D$1:$M$5,5,TRUE),0),
IF($C28="WS WH",VLOOKUP("GOAL",'2) หลักการคำนวน Table'!$D$62:$M$62,HLOOKUP(AG28,'2) หลักการคำนวน Table'!$D$1:$M$5,5,TRUE),0),
IF($C28="SF WH",VLOOKUP("GOAL",'2) หลักการคำนวน Table'!$D$92:$M$92,HLOOKUP(AG28,'2) หลักการคำนวน Table'!$D$1:$M$5,5,TRUE),0))))),0)</f>
        <v>0.9</v>
      </c>
      <c r="AT28" s="232">
        <f>IFERROR(IF($C28="Top WS",VLOOKUP("GOAL",'2) หลักการคำนวน Table'!$D$4:$M$4,HLOOKUP(AH28,'2) หลักการคำนวน Table'!$D$1:$M$5,5,TRUE),0),
IF($C28="WS SF",VLOOKUP("GOAL",'2) หลักการคำนวน Table'!$D$32:$M$32,HLOOKUP(AH28,'2) หลักการคำนวน Table'!$D$1:$M$5,5,TRUE),0),
IF($C28="WS WH",VLOOKUP("GOAL",'2) หลักการคำนวน Table'!$D$62:$M$62,HLOOKUP(AH28,'2) หลักการคำนวน Table'!$D$1:$M$5,5,TRUE),0),
IF($C28="SF WH",VLOOKUP("GOAL",'2) หลักการคำนวน Table'!$D$92:$M$92,HLOOKUP(AH28,'2) หลักการคำนวน Table'!$D$1:$M$5,5,TRUE),0))))),0)</f>
        <v>0.9</v>
      </c>
      <c r="AU28" s="232">
        <f>IFERROR(IF($C28="Top WS",VLOOKUP("GOAL",'2) หลักการคำนวน Table'!$D$4:$M$4,HLOOKUP(AI28,'2) หลักการคำนวน Table'!$D$1:$M$5,5,TRUE),0),
IF($C28="WS SF",VLOOKUP("GOAL",'2) หลักการคำนวน Table'!$D$32:$M$32,HLOOKUP(AI28,'2) หลักการคำนวน Table'!$D$1:$M$5,5,TRUE),0),
IF($C28="WS WH",VLOOKUP("GOAL",'2) หลักการคำนวน Table'!$D$62:$M$62,HLOOKUP(AI28,'2) หลักการคำนวน Table'!$D$1:$M$5,5,TRUE),0),
IF($C28="SF WH",VLOOKUP("GOAL",'2) หลักการคำนวน Table'!$D$92:$M$92,HLOOKUP(AI28,'2) หลักการคำนวน Table'!$D$1:$M$5,5,TRUE),0))))),0)</f>
        <v>0.9</v>
      </c>
      <c r="AV28" s="232">
        <f>IFERROR(IF($C28="Top WS",VLOOKUP("GOAL",'2) หลักการคำนวน Table'!$D$4:$M$4,HLOOKUP(AP28,'2) หลักการคำนวน Table'!$D$1:$M$5,5,TRUE),0),
IF($C28="WS SF",VLOOKUP("GOAL",'2) หลักการคำนวน Table'!$D$32:$M$32,HLOOKUP(AP28,'2) หลักการคำนวน Table'!$D$1:$M$5,5,TRUE),0),
IF($C28="WS WH",VLOOKUP("GOAL",'2) หลักการคำนวน Table'!$D$62:$M$62,HLOOKUP(AP28,'2) หลักการคำนวน Table'!$D$1:$M$5,5,TRUE),0),
IF($C28="SF WH",VLOOKUP("GOAL",'2) หลักการคำนวน Table'!$D$92:$M$92,HLOOKUP(AP28,'2) หลักการคำนวน Table'!$D$1:$M$5,5,TRUE),0))))),0)</f>
        <v>0.9</v>
      </c>
      <c r="AW28" s="232">
        <f>IFERROR(IF($C28="Top WS",VLOOKUP("GOAL",'2) หลักการคำนวน Table'!$D$4:$M$4,HLOOKUP(AK28,'2) หลักการคำนวน Table'!$D$1:$M$5,5,TRUE),0),
IF($C28="WS SF",VLOOKUP("GOAL",'2) หลักการคำนวน Table'!$D$32:$M$32,HLOOKUP(AK28,'2) หลักการคำนวน Table'!$D$1:$M$5,5,TRUE),0),
IF($C28="WS WH",VLOOKUP("GOAL",'2) หลักการคำนวน Table'!$D$62:$M$62,HLOOKUP(AK28,'2) หลักการคำนวน Table'!$D$1:$M$5,5,TRUE),0),
IF($C28="SF WH",VLOOKUP("GOAL",'2) หลักการคำนวน Table'!$D$92:$M$92,HLOOKUP(AK28,'2) หลักการคำนวน Table'!$D$1:$M$5,5,TRUE),0))))),0)</f>
        <v>0.9</v>
      </c>
      <c r="AX28" s="232">
        <f>IFERROR(IF($C28="Top WS",VLOOKUP("GOAL",'2) หลักการคำนวน Table'!$D$4:$M$4,HLOOKUP(AL28,'2) หลักการคำนวน Table'!$D$1:$M$5,5,TRUE),0),
IF($C28="WS SF",VLOOKUP("GOAL",'2) หลักการคำนวน Table'!$D$32:$M$32,HLOOKUP(AL28,'2) หลักการคำนวน Table'!$D$1:$M$5,5,TRUE),0),
IF($C28="WS WH",VLOOKUP("GOAL",'2) หลักการคำนวน Table'!$D$62:$M$62,HLOOKUP(AL28,'2) หลักการคำนวน Table'!$D$1:$M$5,5,TRUE),0),
IF($C28="SF WH",VLOOKUP("GOAL",'2) หลักการคำนวน Table'!$D$92:$M$92,HLOOKUP(AL28,'2) หลักการคำนวน Table'!$D$1:$M$5,5,TRUE),0))))),0)</f>
        <v>0.9</v>
      </c>
      <c r="AY28" s="232">
        <f>IFERROR(IF($C28="Top WS",VLOOKUP("GOAL",'2) หลักการคำนวน Table'!$D$4:$M$4,HLOOKUP(AM28,'2) หลักการคำนวน Table'!$D$1:$M$5,5,TRUE),0),
IF($C28="WS SF",VLOOKUP("GOAL",'2) หลักการคำนวน Table'!$D$32:$M$32,HLOOKUP(AM28,'2) หลักการคำนวน Table'!$D$1:$M$5,5,TRUE),0),
IF($C28="WS WH",VLOOKUP("GOAL",'2) หลักการคำนวน Table'!$D$62:$M$62,HLOOKUP(AM28,'2) หลักการคำนวน Table'!$D$1:$M$5,5,TRUE),0),
IF($C28="SF WH",VLOOKUP("GOAL",'2) หลักการคำนวน Table'!$D$92:$M$92,HLOOKUP(AM28,'2) หลักการคำนวน Table'!$D$1:$M$5,5,TRUE),0))))),0)</f>
        <v>0.9</v>
      </c>
      <c r="AZ28" s="167">
        <f>IFERROR(IF($C28="Top WS",VLOOKUP($B28,'2) หลักการคำนวน Table'!$D$5:$M$20,HLOOKUP(AB28,'2) หลักการคำนวน Table'!$D$1:$M$5,5,TRUE),0),
IF($C28="WS SF",VLOOKUP($B28,'2) หลักการคำนวน Table'!$D$33:$M$48,HLOOKUP(AB28,'2) หลักการคำนวน Table'!$D$1:$M$5,5,TRUE),0),
IF($C28="WS WH",VLOOKUP($B28,'2) หลักการคำนวน Table'!$D$63:$M$78,HLOOKUP(AB28,'2) หลักการคำนวน Table'!$D$1:$M$5,5,TRUE),0),
IF($C28="SF WH",VLOOKUP($B28,'2) หลักการคำนวน Table'!$D$93:$M$108,HLOOKUP(AB28,'2) หลักการคำนวน Table'!$D$1:$M$5,5,TRUE),0))))),0)</f>
        <v>720</v>
      </c>
      <c r="BA28" s="167">
        <f>IFERROR(IF($C28="Top WS",VLOOKUP($B28,'2) หลักการคำนวน Table'!$D$5:$M$20,HLOOKUP(AC28,'2) หลักการคำนวน Table'!$D$1:$M$5,5,TRUE),0),
IF($C28="WS SF",VLOOKUP($B28,'2) หลักการคำนวน Table'!$D$33:$M$48,HLOOKUP(AC28,'2) หลักการคำนวน Table'!$D$1:$M$5,5,TRUE),0),
IF($C28="WS WH",VLOOKUP($B28,'2) หลักการคำนวน Table'!$D$63:$M$78,HLOOKUP(AC28,'2) หลักการคำนวน Table'!$D$1:$M$5,5,TRUE),0),
IF($C28="SF WH",VLOOKUP($B28,'2) หลักการคำนวน Table'!$D$93:$M$108,HLOOKUP(AC28,'2) หลักการคำนวน Table'!$D$1:$M$5,5,TRUE),0))))),0)</f>
        <v>720</v>
      </c>
      <c r="BB28" s="167">
        <f>IFERROR(IF($C28="Top WS",VLOOKUP($B28,'2) หลักการคำนวน Table'!$D$5:$M$20,HLOOKUP(AD28,'2) หลักการคำนวน Table'!$D$1:$M$5,5,TRUE),0),
IF($C28="WS SF",VLOOKUP($B28,'2) หลักการคำนวน Table'!$D$33:$M$48,HLOOKUP(AD28,'2) หลักการคำนวน Table'!$D$1:$M$5,5,TRUE),0),
IF($C28="WS WH",VLOOKUP($B28,'2) หลักการคำนวน Table'!$D$63:$M$78,HLOOKUP(AD28,'2) หลักการคำนวน Table'!$D$1:$M$5,5,TRUE),0),
IF($C28="SF WH",VLOOKUP($B28,'2) หลักการคำนวน Table'!$D$93:$M$108,HLOOKUP(AD28,'2) หลักการคำนวน Table'!$D$1:$M$5,5,TRUE),0))))),0)</f>
        <v>720</v>
      </c>
      <c r="BC28" s="167">
        <f>IFERROR(IF($C28="Top WS",VLOOKUP($B28,'2) หลักการคำนวน Table'!$D$5:$M$20,HLOOKUP(AE28,'2) หลักการคำนวน Table'!$D$1:$M$5,5,TRUE),0),
IF($C28="WS SF",VLOOKUP($B28,'2) หลักการคำนวน Table'!$D$33:$M$48,HLOOKUP(AE28,'2) หลักการคำนวน Table'!$D$1:$M$5,5,TRUE),0),
IF($C28="WS WH",VLOOKUP($B28,'2) หลักการคำนวน Table'!$D$63:$M$78,HLOOKUP(AE28,'2) หลักการคำนวน Table'!$D$1:$M$5,5,TRUE),0),
IF($C28="SF WH",VLOOKUP($B28,'2) หลักการคำนวน Table'!$D$93:$M$108,HLOOKUP(AE28,'2) หลักการคำนวน Table'!$D$1:$M$5,5,TRUE),0))))),0)</f>
        <v>720</v>
      </c>
      <c r="BD28" s="167">
        <f>IFERROR(IF($C28="Top WS",VLOOKUP($B28,'2) หลักการคำนวน Table'!$D$5:$M$20,HLOOKUP(AF28,'2) หลักการคำนวน Table'!$D$1:$M$5,5,TRUE),0),
IF($C28="WS SF",VLOOKUP($B28,'2) หลักการคำนวน Table'!$D$33:$M$48,HLOOKUP(AF28,'2) หลักการคำนวน Table'!$D$1:$M$5,5,TRUE),0),
IF($C28="WS WH",VLOOKUP($B28,'2) หลักการคำนวน Table'!$D$63:$M$78,HLOOKUP(AF28,'2) หลักการคำนวน Table'!$D$1:$M$5,5,TRUE),0),
IF($C28="SF WH",VLOOKUP($B28,'2) หลักการคำนวน Table'!$D$93:$M$108,HLOOKUP(AF28,'2) หลักการคำนวน Table'!$D$1:$M$5,5,TRUE),0))))),0)</f>
        <v>720</v>
      </c>
      <c r="BE28" s="167">
        <f>IFERROR(IF($C28="Top WS",VLOOKUP($B28,'2) หลักการคำนวน Table'!$D$5:$M$20,HLOOKUP(AG28,'2) หลักการคำนวน Table'!$D$1:$M$5,5,TRUE),0),
IF($C28="WS SF",VLOOKUP($B28,'2) หลักการคำนวน Table'!$D$33:$M$48,HLOOKUP(AG28,'2) หลักการคำนวน Table'!$D$1:$M$5,5,TRUE),0),
IF($C28="WS WH",VLOOKUP($B28,'2) หลักการคำนวน Table'!$D$63:$M$78,HLOOKUP(AG28,'2) หลักการคำนวน Table'!$D$1:$M$5,5,TRUE),0),
IF($C28="SF WH",VLOOKUP($B28,'2) หลักการคำนวน Table'!$D$93:$M$108,HLOOKUP(AG28,'2) หลักการคำนวน Table'!$D$1:$M$5,5,TRUE),0))))),0)</f>
        <v>720</v>
      </c>
      <c r="BF28" s="167">
        <f>IFERROR(IF($C28="Top WS",VLOOKUP($B28,'2) หลักการคำนวน Table'!$D$5:$M$20,HLOOKUP(AH28,'2) หลักการคำนวน Table'!$D$1:$M$5,5,TRUE),0),
IF($C28="WS SF",VLOOKUP($B28,'2) หลักการคำนวน Table'!$D$33:$M$48,HLOOKUP(AH28,'2) หลักการคำนวน Table'!$D$1:$M$5,5,TRUE),0),
IF($C28="WS WH",VLOOKUP($B28,'2) หลักการคำนวน Table'!$D$63:$M$78,HLOOKUP(AH28,'2) หลักการคำนวน Table'!$D$1:$M$5,5,TRUE),0),
IF($C28="SF WH",VLOOKUP($B28,'2) หลักการคำนวน Table'!$D$93:$M$108,HLOOKUP(AH28,'2) หลักการคำนวน Table'!$D$1:$M$5,5,TRUE),0))))),0)</f>
        <v>720</v>
      </c>
      <c r="BG28" s="167">
        <f>IFERROR(IF($C28="Top WS",VLOOKUP($B28,'2) หลักการคำนวน Table'!$D$5:$M$20,HLOOKUP(AI28,'2) หลักการคำนวน Table'!$D$1:$M$5,5,TRUE),0),
IF($C28="WS SF",VLOOKUP($B28,'2) หลักการคำนวน Table'!$D$33:$M$48,HLOOKUP(AI28,'2) หลักการคำนวน Table'!$D$1:$M$5,5,TRUE),0),
IF($C28="WS WH",VLOOKUP($B28,'2) หลักการคำนวน Table'!$D$63:$M$78,HLOOKUP(AI28,'2) หลักการคำนวน Table'!$D$1:$M$5,5,TRUE),0),
IF($C28="SF WH",VLOOKUP($B28,'2) หลักการคำนวน Table'!$D$93:$M$108,HLOOKUP(AI28,'2) หลักการคำนวน Table'!$D$1:$M$5,5,TRUE),0))))),0)</f>
        <v>720</v>
      </c>
      <c r="BH28" s="167">
        <f>IFERROR(IF($C28="Top WS",VLOOKUP($B28,'2) หลักการคำนวน Table'!$D$5:$M$20,HLOOKUP(AP28,'2) หลักการคำนวน Table'!$D$1:$M$5,5,TRUE),0),
IF($C28="WS SF",VLOOKUP($B28,'2) หลักการคำนวน Table'!$D$33:$M$48,HLOOKUP(AP28,'2) หลักการคำนวน Table'!$D$1:$M$5,5,TRUE),0),
IF($C28="WS WH",VLOOKUP($B28,'2) หลักการคำนวน Table'!$D$63:$M$78,HLOOKUP(AP28,'2) หลักการคำนวน Table'!$D$1:$M$5,5,TRUE),0),
IF($C28="SF WH",VLOOKUP($B28,'2) หลักการคำนวน Table'!$D$93:$M$108,HLOOKUP(AP28,'2) หลักการคำนวน Table'!$D$1:$M$5,5,TRUE),0))))),0)</f>
        <v>720</v>
      </c>
      <c r="BI28" s="167">
        <f>IFERROR(IF($C28="Top WS",VLOOKUP($B28,'2) หลักการคำนวน Table'!$D$5:$M$20,HLOOKUP(AK28,'2) หลักการคำนวน Table'!$D$1:$M$5,5,TRUE),0),
IF($C28="WS SF",VLOOKUP($B28,'2) หลักการคำนวน Table'!$D$33:$M$48,HLOOKUP(AK28,'2) หลักการคำนวน Table'!$D$1:$M$5,5,TRUE),0),
IF($C28="WS WH",VLOOKUP($B28,'2) หลักการคำนวน Table'!$D$63:$M$78,HLOOKUP(AK28,'2) หลักการคำนวน Table'!$D$1:$M$5,5,TRUE),0),
IF($C28="SF WH",VLOOKUP($B28,'2) หลักการคำนวน Table'!$D$93:$M$108,HLOOKUP(AK28,'2) หลักการคำนวน Table'!$D$1:$M$5,5,TRUE),0))))),0)</f>
        <v>720</v>
      </c>
      <c r="BJ28" s="167">
        <f>IFERROR(IF($C28="Top WS",VLOOKUP($B28,'2) หลักการคำนวน Table'!$D$5:$M$20,HLOOKUP(AL28,'2) หลักการคำนวน Table'!$D$1:$M$5,5,TRUE),0),
IF($C28="WS SF",VLOOKUP($B28,'2) หลักการคำนวน Table'!$D$33:$M$48,HLOOKUP(AL28,'2) หลักการคำนวน Table'!$D$1:$M$5,5,TRUE),0),
IF($C28="WS WH",VLOOKUP($B28,'2) หลักการคำนวน Table'!$D$63:$M$78,HLOOKUP(AL28,'2) หลักการคำนวน Table'!$D$1:$M$5,5,TRUE),0),
IF($C28="SF WH",VLOOKUP($B28,'2) หลักการคำนวน Table'!$D$93:$M$108,HLOOKUP(AL28,'2) หลักการคำนวน Table'!$D$1:$M$5,5,TRUE),0))))),0)</f>
        <v>720</v>
      </c>
      <c r="BK28" s="167">
        <f>IFERROR(IF($C28="Top WS",VLOOKUP($B28,'2) หลักการคำนวน Table'!$D$5:$M$20,HLOOKUP(AM28,'2) หลักการคำนวน Table'!$D$1:$M$5,5,TRUE),0),
IF($C28="WS SF",VLOOKUP($B28,'2) หลักการคำนวน Table'!$D$33:$M$48,HLOOKUP(AM28,'2) หลักการคำนวน Table'!$D$1:$M$5,5,TRUE),0),
IF($C28="WS WH",VLOOKUP($B28,'2) หลักการคำนวน Table'!$D$63:$M$78,HLOOKUP(AM28,'2) หลักการคำนวน Table'!$D$1:$M$5,5,TRUE),0),
IF($C28="SF WH",VLOOKUP($B28,'2) หลักการคำนวน Table'!$D$93:$M$108,HLOOKUP(AM28,'2) หลักการคำนวน Table'!$D$1:$M$5,5,TRUE),0))))),0)</f>
        <v>720</v>
      </c>
      <c r="BM28" s="119">
        <f>VLOOKUP(VLOOKUP(A28,ASTBase!E:S,13,FALSE),ASTBase!F:P,11,FALSE)</f>
        <v>120000</v>
      </c>
      <c r="BN28" s="196" cm="1">
        <f t="array" ref="BN28">INDEX(AN28:AY28,,Period!$D$2)</f>
        <v>0.9</v>
      </c>
    </row>
    <row r="29" spans="1:66" x14ac:dyDescent="0.25">
      <c r="A29" s="117">
        <v>120001</v>
      </c>
      <c r="B29" s="117" t="s">
        <v>392</v>
      </c>
      <c r="C29" s="117" t="s">
        <v>178</v>
      </c>
      <c r="D29" s="118">
        <v>2075</v>
      </c>
      <c r="E29" s="118">
        <v>915</v>
      </c>
      <c r="F29" s="118">
        <v>922</v>
      </c>
      <c r="G29" s="118">
        <v>1534</v>
      </c>
      <c r="H29" s="118">
        <v>1256</v>
      </c>
      <c r="I29" s="118">
        <v>778</v>
      </c>
      <c r="J29" s="118">
        <v>1992</v>
      </c>
      <c r="K29" s="118">
        <v>1140</v>
      </c>
      <c r="L29" s="118">
        <v>1288</v>
      </c>
      <c r="M29" s="118">
        <v>1695</v>
      </c>
      <c r="N29" s="118">
        <v>1774</v>
      </c>
      <c r="O29" s="118">
        <v>1767</v>
      </c>
      <c r="P29" s="117">
        <f>SUMIFS(Actual!C:C,Actual!$A:$A,'3)Target &amp; Cal'!$A29,Actual!$B:$B,'3)Target &amp; Cal'!$B29)</f>
        <v>310.62419999999997</v>
      </c>
      <c r="Q29" s="117">
        <f>SUMIFS(Actual!D:D,Actual!$A:$A,'3)Target &amp; Cal'!$A29,Actual!$B:$B,'3)Target &amp; Cal'!$B29)</f>
        <v>1488.6593999999998</v>
      </c>
      <c r="R29" s="117">
        <f>SUMIFS(Actual!E:E,Actual!$A:$A,'3)Target &amp; Cal'!$A29,Actual!$B:$B,'3)Target &amp; Cal'!$B29)</f>
        <v>0</v>
      </c>
      <c r="S29" s="117">
        <f>SUMIFS(Actual!F:F,Actual!$A:$A,'3)Target &amp; Cal'!$A29,Actual!$B:$B,'3)Target &amp; Cal'!$B29)</f>
        <v>0</v>
      </c>
      <c r="T29" s="117">
        <f>SUMIFS(Actual!G:G,Actual!$A:$A,'3)Target &amp; Cal'!$A29,Actual!$B:$B,'3)Target &amp; Cal'!$B29)</f>
        <v>0</v>
      </c>
      <c r="U29" s="117">
        <f>SUMIFS(Actual!H:H,Actual!$A:$A,'3)Target &amp; Cal'!$A29,Actual!$B:$B,'3)Target &amp; Cal'!$B29)</f>
        <v>0</v>
      </c>
      <c r="V29" s="117">
        <f>SUMIFS(Actual!I:I,Actual!$A:$A,'3)Target &amp; Cal'!$A29,Actual!$B:$B,'3)Target &amp; Cal'!$B29)</f>
        <v>0</v>
      </c>
      <c r="W29" s="117">
        <f>SUMIFS(Actual!J:J,Actual!$A:$A,'3)Target &amp; Cal'!$A29,Actual!$B:$B,'3)Target &amp; Cal'!$B29)</f>
        <v>0</v>
      </c>
      <c r="X29" s="117">
        <f>SUMIFS(Actual!K:K,Actual!$A:$A,'3)Target &amp; Cal'!$A29,Actual!$B:$B,'3)Target &amp; Cal'!$B29)</f>
        <v>0</v>
      </c>
      <c r="Y29" s="117">
        <f>SUMIFS(Actual!L:L,Actual!$A:$A,'3)Target &amp; Cal'!$A29,Actual!$B:$B,'3)Target &amp; Cal'!$B29)</f>
        <v>0</v>
      </c>
      <c r="Z29" s="117">
        <f>SUMIFS(Actual!M:M,Actual!$A:$A,'3)Target &amp; Cal'!$A29,Actual!$B:$B,'3)Target &amp; Cal'!$B29)</f>
        <v>0</v>
      </c>
      <c r="AA29" s="117">
        <f>SUMIFS(Actual!N:N,Actual!$A:$A,'3)Target &amp; Cal'!$A29,Actual!$B:$B,'3)Target &amp; Cal'!$B29)</f>
        <v>0</v>
      </c>
      <c r="AB29" s="123">
        <f>IFERROR(IF(VLOOKUP($B29,Shortage!$A:$M,AB$2,FALSE)="Shortage",1,IFERROR(ROUND(P29/D29,4),0)),IFERROR(ROUND(P29/D29,4),0))</f>
        <v>0.1497</v>
      </c>
      <c r="AC29" s="123">
        <f>IFERROR(IF(VLOOKUP($B29,Shortage!$A:$M,AC$2,FALSE)="Shortage",1,IFERROR(ROUND(Q29/E29,4),0)),IFERROR(ROUND(Q29/E29,4),0))</f>
        <v>1.627</v>
      </c>
      <c r="AD29" s="123">
        <f>IFERROR(IF(VLOOKUP($B29,Shortage!$A:$M,AD$2,FALSE)="Shortage",1,IFERROR(ROUND(R29/F29,4),0)),IFERROR(ROUND(R29/F29,4),0))</f>
        <v>0</v>
      </c>
      <c r="AE29" s="123">
        <f>IFERROR(IF(VLOOKUP($B29,Shortage!$A:$M,AE$2,FALSE)="Shortage",1,IFERROR(ROUND(S29/G29,4),0)),IFERROR(ROUND(S29/G29,4),0))</f>
        <v>0</v>
      </c>
      <c r="AF29" s="123">
        <f>IFERROR(IF(VLOOKUP($B29,Shortage!$A:$M,AF$2,FALSE)="Shortage",1,IFERROR(ROUND(T29/H29,4),0)),IFERROR(ROUND(T29/H29,4),0))</f>
        <v>0</v>
      </c>
      <c r="AG29" s="123">
        <f>IFERROR(IF(VLOOKUP($B29,Shortage!$A:$M,AG$2,FALSE)="Shortage",1,IFERROR(ROUND(U29/I29,4),0)),IFERROR(ROUND(U29/I29,4),0))</f>
        <v>0</v>
      </c>
      <c r="AH29" s="123">
        <f>IFERROR(IF(VLOOKUP($B29,Shortage!$A:$M,AH$2,FALSE)="Shortage",1,IFERROR(ROUND(V29/J29,4),0)),IFERROR(ROUND(V29/J29,4),0))</f>
        <v>0</v>
      </c>
      <c r="AI29" s="123">
        <f>IFERROR(IF(VLOOKUP($B29,Shortage!$A:$M,AI$2,FALSE)="Shortage",1,IFERROR(ROUND(W29/K29,4),0)),IFERROR(ROUND(W29/K29,4),0))</f>
        <v>0</v>
      </c>
      <c r="AJ29" s="123">
        <f>IFERROR(IF(VLOOKUP($B29,Shortage!$A:$M,AP$2,FALSE)="Shortage",1,IFERROR(ROUND(X29/L29,4),0)),IFERROR(ROUND(X29/L29,4),0))</f>
        <v>0</v>
      </c>
      <c r="AK29" s="123">
        <f>IFERROR(IF(VLOOKUP($B29,Shortage!$A:$M,AK$2,FALSE)="Shortage",1,IFERROR(ROUND(Y29/M29,4),0)),IFERROR(ROUND(Y29/M29,4),0))</f>
        <v>0</v>
      </c>
      <c r="AL29" s="123">
        <f>IFERROR(IF(VLOOKUP($B29,Shortage!$A:$M,AL$2,FALSE)="Shortage",1,IFERROR(ROUND(Z29/N29,4),0)),IFERROR(ROUND(Z29/N29,4),0))</f>
        <v>0</v>
      </c>
      <c r="AM29" s="123">
        <f>IFERROR(IF(VLOOKUP($B29,Shortage!$A:$M,AM$2,FALSE)="Shortage",1,IFERROR(ROUND(AA29/O29,4),0)),IFERROR(ROUND(AA29/O29,4),0))</f>
        <v>0</v>
      </c>
      <c r="AN29" s="232">
        <f>IFERROR(IF($C29="Top WS",VLOOKUP("GOAL",'2) หลักการคำนวน Table'!$D$4:$M$4,HLOOKUP(AB29,'2) หลักการคำนวน Table'!$D$1:$M$5,5,TRUE),0),
IF($C29="WS SF",VLOOKUP("GOAL",'2) หลักการคำนวน Table'!$D$32:$M$32,HLOOKUP(AB29,'2) หลักการคำนวน Table'!$D$1:$M$5,5,TRUE),0),
IF($C29="WS WH",VLOOKUP("GOAL",'2) หลักการคำนวน Table'!$D$62:$M$62,HLOOKUP(AB29,'2) หลักการคำนวน Table'!$D$1:$M$5,5,TRUE),0),
IF($C29="SF WH",VLOOKUP("GOAL",'2) หลักการคำนวน Table'!$D$92:$M$92,HLOOKUP(AB29,'2) หลักการคำนวน Table'!$D$1:$M$5,5,TRUE),0))))),0)</f>
        <v>0.9</v>
      </c>
      <c r="AO29" s="232">
        <f>IFERROR(IF($C29="Top WS",VLOOKUP("GOAL",'2) หลักการคำนวน Table'!$D$4:$M$4,HLOOKUP(AC29,'2) หลักการคำนวน Table'!$D$1:$M$5,5,TRUE),0),
IF($C29="WS SF",VLOOKUP("GOAL",'2) หลักการคำนวน Table'!$D$32:$M$32,HLOOKUP(AC29,'2) หลักการคำนวน Table'!$D$1:$M$5,5,TRUE),0),
IF($C29="WS WH",VLOOKUP("GOAL",'2) หลักการคำนวน Table'!$D$62:$M$62,HLOOKUP(AC29,'2) หลักการคำนวน Table'!$D$1:$M$5,5,TRUE),0),
IF($C29="SF WH",VLOOKUP("GOAL",'2) หลักการคำนวน Table'!$D$92:$M$92,HLOOKUP(AC29,'2) หลักการคำนวน Table'!$D$1:$M$5,5,TRUE),0))))),0)</f>
        <v>1.3</v>
      </c>
      <c r="AP29" s="232">
        <f>IFERROR(IF($C29="Top WS",VLOOKUP("GOAL",'2) หลักการคำนวน Table'!$D$4:$M$4,HLOOKUP(AD29,'2) หลักการคำนวน Table'!$D$1:$M$5,5,TRUE),0),
IF($C29="WS SF",VLOOKUP("GOAL",'2) หลักการคำนวน Table'!$D$32:$M$32,HLOOKUP(AD29,'2) หลักการคำนวน Table'!$D$1:$M$5,5,TRUE),0),
IF($C29="WS WH",VLOOKUP("GOAL",'2) หลักการคำนวน Table'!$D$62:$M$62,HLOOKUP(AD29,'2) หลักการคำนวน Table'!$D$1:$M$5,5,TRUE),0),
IF($C29="SF WH",VLOOKUP("GOAL",'2) หลักการคำนวน Table'!$D$92:$M$92,HLOOKUP(AD29,'2) หลักการคำนวน Table'!$D$1:$M$5,5,TRUE),0))))),0)</f>
        <v>0.9</v>
      </c>
      <c r="AQ29" s="232">
        <f>IFERROR(IF($C29="Top WS",VLOOKUP("GOAL",'2) หลักการคำนวน Table'!$D$4:$M$4,HLOOKUP(AE29,'2) หลักการคำนวน Table'!$D$1:$M$5,5,TRUE),0),
IF($C29="WS SF",VLOOKUP("GOAL",'2) หลักการคำนวน Table'!$D$32:$M$32,HLOOKUP(AE29,'2) หลักการคำนวน Table'!$D$1:$M$5,5,TRUE),0),
IF($C29="WS WH",VLOOKUP("GOAL",'2) หลักการคำนวน Table'!$D$62:$M$62,HLOOKUP(AE29,'2) หลักการคำนวน Table'!$D$1:$M$5,5,TRUE),0),
IF($C29="SF WH",VLOOKUP("GOAL",'2) หลักการคำนวน Table'!$D$92:$M$92,HLOOKUP(AE29,'2) หลักการคำนวน Table'!$D$1:$M$5,5,TRUE),0))))),0)</f>
        <v>0.9</v>
      </c>
      <c r="AR29" s="232">
        <f>IFERROR(IF($C29="Top WS",VLOOKUP("GOAL",'2) หลักการคำนวน Table'!$D$4:$M$4,HLOOKUP(AF29,'2) หลักการคำนวน Table'!$D$1:$M$5,5,TRUE),0),
IF($C29="WS SF",VLOOKUP("GOAL",'2) หลักการคำนวน Table'!$D$32:$M$32,HLOOKUP(AF29,'2) หลักการคำนวน Table'!$D$1:$M$5,5,TRUE),0),
IF($C29="WS WH",VLOOKUP("GOAL",'2) หลักการคำนวน Table'!$D$62:$M$62,HLOOKUP(AF29,'2) หลักการคำนวน Table'!$D$1:$M$5,5,TRUE),0),
IF($C29="SF WH",VLOOKUP("GOAL",'2) หลักการคำนวน Table'!$D$92:$M$92,HLOOKUP(AF29,'2) หลักการคำนวน Table'!$D$1:$M$5,5,TRUE),0))))),0)</f>
        <v>0.9</v>
      </c>
      <c r="AS29" s="232">
        <f>IFERROR(IF($C29="Top WS",VLOOKUP("GOAL",'2) หลักการคำนวน Table'!$D$4:$M$4,HLOOKUP(AG29,'2) หลักการคำนวน Table'!$D$1:$M$5,5,TRUE),0),
IF($C29="WS SF",VLOOKUP("GOAL",'2) หลักการคำนวน Table'!$D$32:$M$32,HLOOKUP(AG29,'2) หลักการคำนวน Table'!$D$1:$M$5,5,TRUE),0),
IF($C29="WS WH",VLOOKUP("GOAL",'2) หลักการคำนวน Table'!$D$62:$M$62,HLOOKUP(AG29,'2) หลักการคำนวน Table'!$D$1:$M$5,5,TRUE),0),
IF($C29="SF WH",VLOOKUP("GOAL",'2) หลักการคำนวน Table'!$D$92:$M$92,HLOOKUP(AG29,'2) หลักการคำนวน Table'!$D$1:$M$5,5,TRUE),0))))),0)</f>
        <v>0.9</v>
      </c>
      <c r="AT29" s="232">
        <f>IFERROR(IF($C29="Top WS",VLOOKUP("GOAL",'2) หลักการคำนวน Table'!$D$4:$M$4,HLOOKUP(AH29,'2) หลักการคำนวน Table'!$D$1:$M$5,5,TRUE),0),
IF($C29="WS SF",VLOOKUP("GOAL",'2) หลักการคำนวน Table'!$D$32:$M$32,HLOOKUP(AH29,'2) หลักการคำนวน Table'!$D$1:$M$5,5,TRUE),0),
IF($C29="WS WH",VLOOKUP("GOAL",'2) หลักการคำนวน Table'!$D$62:$M$62,HLOOKUP(AH29,'2) หลักการคำนวน Table'!$D$1:$M$5,5,TRUE),0),
IF($C29="SF WH",VLOOKUP("GOAL",'2) หลักการคำนวน Table'!$D$92:$M$92,HLOOKUP(AH29,'2) หลักการคำนวน Table'!$D$1:$M$5,5,TRUE),0))))),0)</f>
        <v>0.9</v>
      </c>
      <c r="AU29" s="232">
        <f>IFERROR(IF($C29="Top WS",VLOOKUP("GOAL",'2) หลักการคำนวน Table'!$D$4:$M$4,HLOOKUP(AI29,'2) หลักการคำนวน Table'!$D$1:$M$5,5,TRUE),0),
IF($C29="WS SF",VLOOKUP("GOAL",'2) หลักการคำนวน Table'!$D$32:$M$32,HLOOKUP(AI29,'2) หลักการคำนวน Table'!$D$1:$M$5,5,TRUE),0),
IF($C29="WS WH",VLOOKUP("GOAL",'2) หลักการคำนวน Table'!$D$62:$M$62,HLOOKUP(AI29,'2) หลักการคำนวน Table'!$D$1:$M$5,5,TRUE),0),
IF($C29="SF WH",VLOOKUP("GOAL",'2) หลักการคำนวน Table'!$D$92:$M$92,HLOOKUP(AI29,'2) หลักการคำนวน Table'!$D$1:$M$5,5,TRUE),0))))),0)</f>
        <v>0.9</v>
      </c>
      <c r="AV29" s="232">
        <f>IFERROR(IF($C29="Top WS",VLOOKUP("GOAL",'2) หลักการคำนวน Table'!$D$4:$M$4,HLOOKUP(AP29,'2) หลักการคำนวน Table'!$D$1:$M$5,5,TRUE),0),
IF($C29="WS SF",VLOOKUP("GOAL",'2) หลักการคำนวน Table'!$D$32:$M$32,HLOOKUP(AP29,'2) หลักการคำนวน Table'!$D$1:$M$5,5,TRUE),0),
IF($C29="WS WH",VLOOKUP("GOAL",'2) หลักการคำนวน Table'!$D$62:$M$62,HLOOKUP(AP29,'2) หลักการคำนวน Table'!$D$1:$M$5,5,TRUE),0),
IF($C29="SF WH",VLOOKUP("GOAL",'2) หลักการคำนวน Table'!$D$92:$M$92,HLOOKUP(AP29,'2) หลักการคำนวน Table'!$D$1:$M$5,5,TRUE),0))))),0)</f>
        <v>0.9</v>
      </c>
      <c r="AW29" s="232">
        <f>IFERROR(IF($C29="Top WS",VLOOKUP("GOAL",'2) หลักการคำนวน Table'!$D$4:$M$4,HLOOKUP(AK29,'2) หลักการคำนวน Table'!$D$1:$M$5,5,TRUE),0),
IF($C29="WS SF",VLOOKUP("GOAL",'2) หลักการคำนวน Table'!$D$32:$M$32,HLOOKUP(AK29,'2) หลักการคำนวน Table'!$D$1:$M$5,5,TRUE),0),
IF($C29="WS WH",VLOOKUP("GOAL",'2) หลักการคำนวน Table'!$D$62:$M$62,HLOOKUP(AK29,'2) หลักการคำนวน Table'!$D$1:$M$5,5,TRUE),0),
IF($C29="SF WH",VLOOKUP("GOAL",'2) หลักการคำนวน Table'!$D$92:$M$92,HLOOKUP(AK29,'2) หลักการคำนวน Table'!$D$1:$M$5,5,TRUE),0))))),0)</f>
        <v>0.9</v>
      </c>
      <c r="AX29" s="232">
        <f>IFERROR(IF($C29="Top WS",VLOOKUP("GOAL",'2) หลักการคำนวน Table'!$D$4:$M$4,HLOOKUP(AL29,'2) หลักการคำนวน Table'!$D$1:$M$5,5,TRUE),0),
IF($C29="WS SF",VLOOKUP("GOAL",'2) หลักการคำนวน Table'!$D$32:$M$32,HLOOKUP(AL29,'2) หลักการคำนวน Table'!$D$1:$M$5,5,TRUE),0),
IF($C29="WS WH",VLOOKUP("GOAL",'2) หลักการคำนวน Table'!$D$62:$M$62,HLOOKUP(AL29,'2) หลักการคำนวน Table'!$D$1:$M$5,5,TRUE),0),
IF($C29="SF WH",VLOOKUP("GOAL",'2) หลักการคำนวน Table'!$D$92:$M$92,HLOOKUP(AL29,'2) หลักการคำนวน Table'!$D$1:$M$5,5,TRUE),0))))),0)</f>
        <v>0.9</v>
      </c>
      <c r="AY29" s="232">
        <f>IFERROR(IF($C29="Top WS",VLOOKUP("GOAL",'2) หลักการคำนวน Table'!$D$4:$M$4,HLOOKUP(AM29,'2) หลักการคำนวน Table'!$D$1:$M$5,5,TRUE),0),
IF($C29="WS SF",VLOOKUP("GOAL",'2) หลักการคำนวน Table'!$D$32:$M$32,HLOOKUP(AM29,'2) หลักการคำนวน Table'!$D$1:$M$5,5,TRUE),0),
IF($C29="WS WH",VLOOKUP("GOAL",'2) หลักการคำนวน Table'!$D$62:$M$62,HLOOKUP(AM29,'2) หลักการคำนวน Table'!$D$1:$M$5,5,TRUE),0),
IF($C29="SF WH",VLOOKUP("GOAL",'2) หลักการคำนวน Table'!$D$92:$M$92,HLOOKUP(AM29,'2) หลักการคำนวน Table'!$D$1:$M$5,5,TRUE),0))))),0)</f>
        <v>0.9</v>
      </c>
      <c r="AZ29" s="167">
        <f>IFERROR(IF($C29="Top WS",VLOOKUP($B29,'2) หลักการคำนวน Table'!$D$5:$M$20,HLOOKUP(AB29,'2) หลักการคำนวน Table'!$D$1:$M$5,5,TRUE),0),
IF($C29="WS SF",VLOOKUP($B29,'2) หลักการคำนวน Table'!$D$33:$M$48,HLOOKUP(AB29,'2) หลักการคำนวน Table'!$D$1:$M$5,5,TRUE),0),
IF($C29="WS WH",VLOOKUP($B29,'2) หลักการคำนวน Table'!$D$63:$M$78,HLOOKUP(AB29,'2) หลักการคำนวน Table'!$D$1:$M$5,5,TRUE),0),
IF($C29="SF WH",VLOOKUP($B29,'2) หลักการคำนวน Table'!$D$93:$M$108,HLOOKUP(AB29,'2) หลักการคำนวน Table'!$D$1:$M$5,5,TRUE),0))))),0)</f>
        <v>360</v>
      </c>
      <c r="BA29" s="167">
        <f>IFERROR(IF($C29="Top WS",VLOOKUP($B29,'2) หลักการคำนวน Table'!$D$5:$M$20,HLOOKUP(AC29,'2) หลักการคำนวน Table'!$D$1:$M$5,5,TRUE),0),
IF($C29="WS SF",VLOOKUP($B29,'2) หลักการคำนวน Table'!$D$33:$M$48,HLOOKUP(AC29,'2) หลักการคำนวน Table'!$D$1:$M$5,5,TRUE),0),
IF($C29="WS WH",VLOOKUP($B29,'2) หลักการคำนวน Table'!$D$63:$M$78,HLOOKUP(AC29,'2) หลักการคำนวน Table'!$D$1:$M$5,5,TRUE),0),
IF($C29="SF WH",VLOOKUP($B29,'2) หลักการคำนวน Table'!$D$93:$M$108,HLOOKUP(AC29,'2) หลักการคำนวน Table'!$D$1:$M$5,5,TRUE),0))))),0)</f>
        <v>520</v>
      </c>
      <c r="BB29" s="167">
        <f>IFERROR(IF($C29="Top WS",VLOOKUP($B29,'2) หลักการคำนวน Table'!$D$5:$M$20,HLOOKUP(AD29,'2) หลักการคำนวน Table'!$D$1:$M$5,5,TRUE),0),
IF($C29="WS SF",VLOOKUP($B29,'2) หลักการคำนวน Table'!$D$33:$M$48,HLOOKUP(AD29,'2) หลักการคำนวน Table'!$D$1:$M$5,5,TRUE),0),
IF($C29="WS WH",VLOOKUP($B29,'2) หลักการคำนวน Table'!$D$63:$M$78,HLOOKUP(AD29,'2) หลักการคำนวน Table'!$D$1:$M$5,5,TRUE),0),
IF($C29="SF WH",VLOOKUP($B29,'2) หลักการคำนวน Table'!$D$93:$M$108,HLOOKUP(AD29,'2) หลักการคำนวน Table'!$D$1:$M$5,5,TRUE),0))))),0)</f>
        <v>360</v>
      </c>
      <c r="BC29" s="167">
        <f>IFERROR(IF($C29="Top WS",VLOOKUP($B29,'2) หลักการคำนวน Table'!$D$5:$M$20,HLOOKUP(AE29,'2) หลักการคำนวน Table'!$D$1:$M$5,5,TRUE),0),
IF($C29="WS SF",VLOOKUP($B29,'2) หลักการคำนวน Table'!$D$33:$M$48,HLOOKUP(AE29,'2) หลักการคำนวน Table'!$D$1:$M$5,5,TRUE),0),
IF($C29="WS WH",VLOOKUP($B29,'2) หลักการคำนวน Table'!$D$63:$M$78,HLOOKUP(AE29,'2) หลักการคำนวน Table'!$D$1:$M$5,5,TRUE),0),
IF($C29="SF WH",VLOOKUP($B29,'2) หลักการคำนวน Table'!$D$93:$M$108,HLOOKUP(AE29,'2) หลักการคำนวน Table'!$D$1:$M$5,5,TRUE),0))))),0)</f>
        <v>360</v>
      </c>
      <c r="BD29" s="167">
        <f>IFERROR(IF($C29="Top WS",VLOOKUP($B29,'2) หลักการคำนวน Table'!$D$5:$M$20,HLOOKUP(AF29,'2) หลักการคำนวน Table'!$D$1:$M$5,5,TRUE),0),
IF($C29="WS SF",VLOOKUP($B29,'2) หลักการคำนวน Table'!$D$33:$M$48,HLOOKUP(AF29,'2) หลักการคำนวน Table'!$D$1:$M$5,5,TRUE),0),
IF($C29="WS WH",VLOOKUP($B29,'2) หลักการคำนวน Table'!$D$63:$M$78,HLOOKUP(AF29,'2) หลักการคำนวน Table'!$D$1:$M$5,5,TRUE),0),
IF($C29="SF WH",VLOOKUP($B29,'2) หลักการคำนวน Table'!$D$93:$M$108,HLOOKUP(AF29,'2) หลักการคำนวน Table'!$D$1:$M$5,5,TRUE),0))))),0)</f>
        <v>360</v>
      </c>
      <c r="BE29" s="167">
        <f>IFERROR(IF($C29="Top WS",VLOOKUP($B29,'2) หลักการคำนวน Table'!$D$5:$M$20,HLOOKUP(AG29,'2) หลักการคำนวน Table'!$D$1:$M$5,5,TRUE),0),
IF($C29="WS SF",VLOOKUP($B29,'2) หลักการคำนวน Table'!$D$33:$M$48,HLOOKUP(AG29,'2) หลักการคำนวน Table'!$D$1:$M$5,5,TRUE),0),
IF($C29="WS WH",VLOOKUP($B29,'2) หลักการคำนวน Table'!$D$63:$M$78,HLOOKUP(AG29,'2) หลักการคำนวน Table'!$D$1:$M$5,5,TRUE),0),
IF($C29="SF WH",VLOOKUP($B29,'2) หลักการคำนวน Table'!$D$93:$M$108,HLOOKUP(AG29,'2) หลักการคำนวน Table'!$D$1:$M$5,5,TRUE),0))))),0)</f>
        <v>360</v>
      </c>
      <c r="BF29" s="167">
        <f>IFERROR(IF($C29="Top WS",VLOOKUP($B29,'2) หลักการคำนวน Table'!$D$5:$M$20,HLOOKUP(AH29,'2) หลักการคำนวน Table'!$D$1:$M$5,5,TRUE),0),
IF($C29="WS SF",VLOOKUP($B29,'2) หลักการคำนวน Table'!$D$33:$M$48,HLOOKUP(AH29,'2) หลักการคำนวน Table'!$D$1:$M$5,5,TRUE),0),
IF($C29="WS WH",VLOOKUP($B29,'2) หลักการคำนวน Table'!$D$63:$M$78,HLOOKUP(AH29,'2) หลักการคำนวน Table'!$D$1:$M$5,5,TRUE),0),
IF($C29="SF WH",VLOOKUP($B29,'2) หลักการคำนวน Table'!$D$93:$M$108,HLOOKUP(AH29,'2) หลักการคำนวน Table'!$D$1:$M$5,5,TRUE),0))))),0)</f>
        <v>360</v>
      </c>
      <c r="BG29" s="167">
        <f>IFERROR(IF($C29="Top WS",VLOOKUP($B29,'2) หลักการคำนวน Table'!$D$5:$M$20,HLOOKUP(AI29,'2) หลักการคำนวน Table'!$D$1:$M$5,5,TRUE),0),
IF($C29="WS SF",VLOOKUP($B29,'2) หลักการคำนวน Table'!$D$33:$M$48,HLOOKUP(AI29,'2) หลักการคำนวน Table'!$D$1:$M$5,5,TRUE),0),
IF($C29="WS WH",VLOOKUP($B29,'2) หลักการคำนวน Table'!$D$63:$M$78,HLOOKUP(AI29,'2) หลักการคำนวน Table'!$D$1:$M$5,5,TRUE),0),
IF($C29="SF WH",VLOOKUP($B29,'2) หลักการคำนวน Table'!$D$93:$M$108,HLOOKUP(AI29,'2) หลักการคำนวน Table'!$D$1:$M$5,5,TRUE),0))))),0)</f>
        <v>360</v>
      </c>
      <c r="BH29" s="167">
        <f>IFERROR(IF($C29="Top WS",VLOOKUP($B29,'2) หลักการคำนวน Table'!$D$5:$M$20,HLOOKUP(AP29,'2) หลักการคำนวน Table'!$D$1:$M$5,5,TRUE),0),
IF($C29="WS SF",VLOOKUP($B29,'2) หลักการคำนวน Table'!$D$33:$M$48,HLOOKUP(AP29,'2) หลักการคำนวน Table'!$D$1:$M$5,5,TRUE),0),
IF($C29="WS WH",VLOOKUP($B29,'2) หลักการคำนวน Table'!$D$63:$M$78,HLOOKUP(AP29,'2) หลักการคำนวน Table'!$D$1:$M$5,5,TRUE),0),
IF($C29="SF WH",VLOOKUP($B29,'2) หลักการคำนวน Table'!$D$93:$M$108,HLOOKUP(AP29,'2) หลักการคำนวน Table'!$D$1:$M$5,5,TRUE),0))))),0)</f>
        <v>360</v>
      </c>
      <c r="BI29" s="167">
        <f>IFERROR(IF($C29="Top WS",VLOOKUP($B29,'2) หลักการคำนวน Table'!$D$5:$M$20,HLOOKUP(AK29,'2) หลักการคำนวน Table'!$D$1:$M$5,5,TRUE),0),
IF($C29="WS SF",VLOOKUP($B29,'2) หลักการคำนวน Table'!$D$33:$M$48,HLOOKUP(AK29,'2) หลักการคำนวน Table'!$D$1:$M$5,5,TRUE),0),
IF($C29="WS WH",VLOOKUP($B29,'2) หลักการคำนวน Table'!$D$63:$M$78,HLOOKUP(AK29,'2) หลักการคำนวน Table'!$D$1:$M$5,5,TRUE),0),
IF($C29="SF WH",VLOOKUP($B29,'2) หลักการคำนวน Table'!$D$93:$M$108,HLOOKUP(AK29,'2) หลักการคำนวน Table'!$D$1:$M$5,5,TRUE),0))))),0)</f>
        <v>360</v>
      </c>
      <c r="BJ29" s="167">
        <f>IFERROR(IF($C29="Top WS",VLOOKUP($B29,'2) หลักการคำนวน Table'!$D$5:$M$20,HLOOKUP(AL29,'2) หลักการคำนวน Table'!$D$1:$M$5,5,TRUE),0),
IF($C29="WS SF",VLOOKUP($B29,'2) หลักการคำนวน Table'!$D$33:$M$48,HLOOKUP(AL29,'2) หลักการคำนวน Table'!$D$1:$M$5,5,TRUE),0),
IF($C29="WS WH",VLOOKUP($B29,'2) หลักการคำนวน Table'!$D$63:$M$78,HLOOKUP(AL29,'2) หลักการคำนวน Table'!$D$1:$M$5,5,TRUE),0),
IF($C29="SF WH",VLOOKUP($B29,'2) หลักการคำนวน Table'!$D$93:$M$108,HLOOKUP(AL29,'2) หลักการคำนวน Table'!$D$1:$M$5,5,TRUE),0))))),0)</f>
        <v>360</v>
      </c>
      <c r="BK29" s="167">
        <f>IFERROR(IF($C29="Top WS",VLOOKUP($B29,'2) หลักการคำนวน Table'!$D$5:$M$20,HLOOKUP(AM29,'2) หลักการคำนวน Table'!$D$1:$M$5,5,TRUE),0),
IF($C29="WS SF",VLOOKUP($B29,'2) หลักการคำนวน Table'!$D$33:$M$48,HLOOKUP(AM29,'2) หลักการคำนวน Table'!$D$1:$M$5,5,TRUE),0),
IF($C29="WS WH",VLOOKUP($B29,'2) หลักการคำนวน Table'!$D$63:$M$78,HLOOKUP(AM29,'2) หลักการคำนวน Table'!$D$1:$M$5,5,TRUE),0),
IF($C29="SF WH",VLOOKUP($B29,'2) หลักการคำนวน Table'!$D$93:$M$108,HLOOKUP(AM29,'2) หลักการคำนวน Table'!$D$1:$M$5,5,TRUE),0))))),0)</f>
        <v>360</v>
      </c>
      <c r="BM29" s="119">
        <f>VLOOKUP(VLOOKUP(A29,ASTBase!E:S,13,FALSE),ASTBase!F:P,11,FALSE)</f>
        <v>120000</v>
      </c>
      <c r="BN29" s="196" cm="1">
        <f t="array" ref="BN29">INDEX(AN29:AY29,,Period!$D$2)</f>
        <v>1.3</v>
      </c>
    </row>
    <row r="30" spans="1:66" x14ac:dyDescent="0.25">
      <c r="A30" s="117">
        <v>120001</v>
      </c>
      <c r="B30" s="117" t="s">
        <v>391</v>
      </c>
      <c r="C30" s="117" t="s">
        <v>178</v>
      </c>
      <c r="D30" s="118">
        <v>1889</v>
      </c>
      <c r="E30" s="118">
        <v>2222</v>
      </c>
      <c r="F30" s="118">
        <v>2403</v>
      </c>
      <c r="G30" s="118">
        <v>2698</v>
      </c>
      <c r="H30" s="118">
        <v>2485</v>
      </c>
      <c r="I30" s="118">
        <v>2453</v>
      </c>
      <c r="J30" s="118">
        <v>2734</v>
      </c>
      <c r="K30" s="118">
        <v>2833</v>
      </c>
      <c r="L30" s="118">
        <v>3249</v>
      </c>
      <c r="M30" s="118">
        <v>2430</v>
      </c>
      <c r="N30" s="118">
        <v>2040</v>
      </c>
      <c r="O30" s="118">
        <v>2041</v>
      </c>
      <c r="P30" s="117">
        <f>SUMIFS(Actual!C:C,Actual!$A:$A,'3)Target &amp; Cal'!$A30,Actual!$B:$B,'3)Target &amp; Cal'!$B30)</f>
        <v>562.9999999796878</v>
      </c>
      <c r="Q30" s="117">
        <f>SUMIFS(Actual!D:D,Actual!$A:$A,'3)Target &amp; Cal'!$A30,Actual!$B:$B,'3)Target &amp; Cal'!$B30)</f>
        <v>1799.9999999665192</v>
      </c>
      <c r="R30" s="117">
        <f>SUMIFS(Actual!E:E,Actual!$A:$A,'3)Target &amp; Cal'!$A30,Actual!$B:$B,'3)Target &amp; Cal'!$B30)</f>
        <v>0</v>
      </c>
      <c r="S30" s="117">
        <f>SUMIFS(Actual!F:F,Actual!$A:$A,'3)Target &amp; Cal'!$A30,Actual!$B:$B,'3)Target &amp; Cal'!$B30)</f>
        <v>0</v>
      </c>
      <c r="T30" s="117">
        <f>SUMIFS(Actual!G:G,Actual!$A:$A,'3)Target &amp; Cal'!$A30,Actual!$B:$B,'3)Target &amp; Cal'!$B30)</f>
        <v>0</v>
      </c>
      <c r="U30" s="117">
        <f>SUMIFS(Actual!H:H,Actual!$A:$A,'3)Target &amp; Cal'!$A30,Actual!$B:$B,'3)Target &amp; Cal'!$B30)</f>
        <v>0</v>
      </c>
      <c r="V30" s="117">
        <f>SUMIFS(Actual!I:I,Actual!$A:$A,'3)Target &amp; Cal'!$A30,Actual!$B:$B,'3)Target &amp; Cal'!$B30)</f>
        <v>0</v>
      </c>
      <c r="W30" s="117">
        <f>SUMIFS(Actual!J:J,Actual!$A:$A,'3)Target &amp; Cal'!$A30,Actual!$B:$B,'3)Target &amp; Cal'!$B30)</f>
        <v>0</v>
      </c>
      <c r="X30" s="117">
        <f>SUMIFS(Actual!K:K,Actual!$A:$A,'3)Target &amp; Cal'!$A30,Actual!$B:$B,'3)Target &amp; Cal'!$B30)</f>
        <v>0</v>
      </c>
      <c r="Y30" s="117">
        <f>SUMIFS(Actual!L:L,Actual!$A:$A,'3)Target &amp; Cal'!$A30,Actual!$B:$B,'3)Target &amp; Cal'!$B30)</f>
        <v>0</v>
      </c>
      <c r="Z30" s="117">
        <f>SUMIFS(Actual!M:M,Actual!$A:$A,'3)Target &amp; Cal'!$A30,Actual!$B:$B,'3)Target &amp; Cal'!$B30)</f>
        <v>0</v>
      </c>
      <c r="AA30" s="117">
        <f>SUMIFS(Actual!N:N,Actual!$A:$A,'3)Target &amp; Cal'!$A30,Actual!$B:$B,'3)Target &amp; Cal'!$B30)</f>
        <v>0</v>
      </c>
      <c r="AB30" s="123">
        <f>IFERROR(IF(VLOOKUP($B30,Shortage!$A:$M,AB$2,FALSE)="Shortage",1,IFERROR(ROUND(P30/D30,4),0)),IFERROR(ROUND(P30/D30,4),0))</f>
        <v>1</v>
      </c>
      <c r="AC30" s="123">
        <f>IFERROR(IF(VLOOKUP($B30,Shortage!$A:$M,AC$2,FALSE)="Shortage",1,IFERROR(ROUND(Q30/E30,4),0)),IFERROR(ROUND(Q30/E30,4),0))</f>
        <v>1</v>
      </c>
      <c r="AD30" s="123">
        <f>IFERROR(IF(VLOOKUP($B30,Shortage!$A:$M,AD$2,FALSE)="Shortage",1,IFERROR(ROUND(R30/F30,4),0)),IFERROR(ROUND(R30/F30,4),0))</f>
        <v>0</v>
      </c>
      <c r="AE30" s="123">
        <f>IFERROR(IF(VLOOKUP($B30,Shortage!$A:$M,AE$2,FALSE)="Shortage",1,IFERROR(ROUND(S30/G30,4),0)),IFERROR(ROUND(S30/G30,4),0))</f>
        <v>0</v>
      </c>
      <c r="AF30" s="123">
        <f>IFERROR(IF(VLOOKUP($B30,Shortage!$A:$M,AF$2,FALSE)="Shortage",1,IFERROR(ROUND(T30/H30,4),0)),IFERROR(ROUND(T30/H30,4),0))</f>
        <v>0</v>
      </c>
      <c r="AG30" s="123">
        <f>IFERROR(IF(VLOOKUP($B30,Shortage!$A:$M,AG$2,FALSE)="Shortage",1,IFERROR(ROUND(U30/I30,4),0)),IFERROR(ROUND(U30/I30,4),0))</f>
        <v>0</v>
      </c>
      <c r="AH30" s="123">
        <f>IFERROR(IF(VLOOKUP($B30,Shortage!$A:$M,AH$2,FALSE)="Shortage",1,IFERROR(ROUND(V30/J30,4),0)),IFERROR(ROUND(V30/J30,4),0))</f>
        <v>0</v>
      </c>
      <c r="AI30" s="123">
        <f>IFERROR(IF(VLOOKUP($B30,Shortage!$A:$M,AI$2,FALSE)="Shortage",1,IFERROR(ROUND(W30/K30,4),0)),IFERROR(ROUND(W30/K30,4),0))</f>
        <v>0</v>
      </c>
      <c r="AJ30" s="123">
        <f>IFERROR(IF(VLOOKUP($B30,Shortage!$A:$M,AP$2,FALSE)="Shortage",1,IFERROR(ROUND(X30/L30,4),0)),IFERROR(ROUND(X30/L30,4),0))</f>
        <v>0</v>
      </c>
      <c r="AK30" s="123">
        <f>IFERROR(IF(VLOOKUP($B30,Shortage!$A:$M,AK$2,FALSE)="Shortage",1,IFERROR(ROUND(Y30/M30,4),0)),IFERROR(ROUND(Y30/M30,4),0))</f>
        <v>0</v>
      </c>
      <c r="AL30" s="123">
        <f>IFERROR(IF(VLOOKUP($B30,Shortage!$A:$M,AL$2,FALSE)="Shortage",1,IFERROR(ROUND(Z30/N30,4),0)),IFERROR(ROUND(Z30/N30,4),0))</f>
        <v>0</v>
      </c>
      <c r="AM30" s="123">
        <f>IFERROR(IF(VLOOKUP($B30,Shortage!$A:$M,AM$2,FALSE)="Shortage",1,IFERROR(ROUND(AA30/O30,4),0)),IFERROR(ROUND(AA30/O30,4),0))</f>
        <v>0</v>
      </c>
      <c r="AN30" s="232">
        <f>IFERROR(IF($C30="Top WS",VLOOKUP("GOAL",'2) หลักการคำนวน Table'!$D$4:$M$4,HLOOKUP(AB30,'2) หลักการคำนวน Table'!$D$1:$M$5,5,TRUE),0),
IF($C30="WS SF",VLOOKUP("GOAL",'2) หลักการคำนวน Table'!$D$32:$M$32,HLOOKUP(AB30,'2) หลักการคำนวน Table'!$D$1:$M$5,5,TRUE),0),
IF($C30="WS WH",VLOOKUP("GOAL",'2) หลักการคำนวน Table'!$D$62:$M$62,HLOOKUP(AB30,'2) หลักการคำนวน Table'!$D$1:$M$5,5,TRUE),0),
IF($C30="SF WH",VLOOKUP("GOAL",'2) หลักการคำนวน Table'!$D$92:$M$92,HLOOKUP(AB30,'2) หลักการคำนวน Table'!$D$1:$M$5,5,TRUE),0))))),0)</f>
        <v>1</v>
      </c>
      <c r="AO30" s="232">
        <f>IFERROR(IF($C30="Top WS",VLOOKUP("GOAL",'2) หลักการคำนวน Table'!$D$4:$M$4,HLOOKUP(AC30,'2) หลักการคำนวน Table'!$D$1:$M$5,5,TRUE),0),
IF($C30="WS SF",VLOOKUP("GOAL",'2) หลักการคำนวน Table'!$D$32:$M$32,HLOOKUP(AC30,'2) หลักการคำนวน Table'!$D$1:$M$5,5,TRUE),0),
IF($C30="WS WH",VLOOKUP("GOAL",'2) หลักการคำนวน Table'!$D$62:$M$62,HLOOKUP(AC30,'2) หลักการคำนวน Table'!$D$1:$M$5,5,TRUE),0),
IF($C30="SF WH",VLOOKUP("GOAL",'2) หลักการคำนวน Table'!$D$92:$M$92,HLOOKUP(AC30,'2) หลักการคำนวน Table'!$D$1:$M$5,5,TRUE),0))))),0)</f>
        <v>1</v>
      </c>
      <c r="AP30" s="232">
        <f>IFERROR(IF($C30="Top WS",VLOOKUP("GOAL",'2) หลักการคำนวน Table'!$D$4:$M$4,HLOOKUP(AD30,'2) หลักการคำนวน Table'!$D$1:$M$5,5,TRUE),0),
IF($C30="WS SF",VLOOKUP("GOAL",'2) หลักการคำนวน Table'!$D$32:$M$32,HLOOKUP(AD30,'2) หลักการคำนวน Table'!$D$1:$M$5,5,TRUE),0),
IF($C30="WS WH",VLOOKUP("GOAL",'2) หลักการคำนวน Table'!$D$62:$M$62,HLOOKUP(AD30,'2) หลักการคำนวน Table'!$D$1:$M$5,5,TRUE),0),
IF($C30="SF WH",VLOOKUP("GOAL",'2) หลักการคำนวน Table'!$D$92:$M$92,HLOOKUP(AD30,'2) หลักการคำนวน Table'!$D$1:$M$5,5,TRUE),0))))),0)</f>
        <v>0.9</v>
      </c>
      <c r="AQ30" s="232">
        <f>IFERROR(IF($C30="Top WS",VLOOKUP("GOAL",'2) หลักการคำนวน Table'!$D$4:$M$4,HLOOKUP(AE30,'2) หลักการคำนวน Table'!$D$1:$M$5,5,TRUE),0),
IF($C30="WS SF",VLOOKUP("GOAL",'2) หลักการคำนวน Table'!$D$32:$M$32,HLOOKUP(AE30,'2) หลักการคำนวน Table'!$D$1:$M$5,5,TRUE),0),
IF($C30="WS WH",VLOOKUP("GOAL",'2) หลักการคำนวน Table'!$D$62:$M$62,HLOOKUP(AE30,'2) หลักการคำนวน Table'!$D$1:$M$5,5,TRUE),0),
IF($C30="SF WH",VLOOKUP("GOAL",'2) หลักการคำนวน Table'!$D$92:$M$92,HLOOKUP(AE30,'2) หลักการคำนวน Table'!$D$1:$M$5,5,TRUE),0))))),0)</f>
        <v>0.9</v>
      </c>
      <c r="AR30" s="232">
        <f>IFERROR(IF($C30="Top WS",VLOOKUP("GOAL",'2) หลักการคำนวน Table'!$D$4:$M$4,HLOOKUP(AF30,'2) หลักการคำนวน Table'!$D$1:$M$5,5,TRUE),0),
IF($C30="WS SF",VLOOKUP("GOAL",'2) หลักการคำนวน Table'!$D$32:$M$32,HLOOKUP(AF30,'2) หลักการคำนวน Table'!$D$1:$M$5,5,TRUE),0),
IF($C30="WS WH",VLOOKUP("GOAL",'2) หลักการคำนวน Table'!$D$62:$M$62,HLOOKUP(AF30,'2) หลักการคำนวน Table'!$D$1:$M$5,5,TRUE),0),
IF($C30="SF WH",VLOOKUP("GOAL",'2) หลักการคำนวน Table'!$D$92:$M$92,HLOOKUP(AF30,'2) หลักการคำนวน Table'!$D$1:$M$5,5,TRUE),0))))),0)</f>
        <v>0.9</v>
      </c>
      <c r="AS30" s="232">
        <f>IFERROR(IF($C30="Top WS",VLOOKUP("GOAL",'2) หลักการคำนวน Table'!$D$4:$M$4,HLOOKUP(AG30,'2) หลักการคำนวน Table'!$D$1:$M$5,5,TRUE),0),
IF($C30="WS SF",VLOOKUP("GOAL",'2) หลักการคำนวน Table'!$D$32:$M$32,HLOOKUP(AG30,'2) หลักการคำนวน Table'!$D$1:$M$5,5,TRUE),0),
IF($C30="WS WH",VLOOKUP("GOAL",'2) หลักการคำนวน Table'!$D$62:$M$62,HLOOKUP(AG30,'2) หลักการคำนวน Table'!$D$1:$M$5,5,TRUE),0),
IF($C30="SF WH",VLOOKUP("GOAL",'2) หลักการคำนวน Table'!$D$92:$M$92,HLOOKUP(AG30,'2) หลักการคำนวน Table'!$D$1:$M$5,5,TRUE),0))))),0)</f>
        <v>0.9</v>
      </c>
      <c r="AT30" s="232">
        <f>IFERROR(IF($C30="Top WS",VLOOKUP("GOAL",'2) หลักการคำนวน Table'!$D$4:$M$4,HLOOKUP(AH30,'2) หลักการคำนวน Table'!$D$1:$M$5,5,TRUE),0),
IF($C30="WS SF",VLOOKUP("GOAL",'2) หลักการคำนวน Table'!$D$32:$M$32,HLOOKUP(AH30,'2) หลักการคำนวน Table'!$D$1:$M$5,5,TRUE),0),
IF($C30="WS WH",VLOOKUP("GOAL",'2) หลักการคำนวน Table'!$D$62:$M$62,HLOOKUP(AH30,'2) หลักการคำนวน Table'!$D$1:$M$5,5,TRUE),0),
IF($C30="SF WH",VLOOKUP("GOAL",'2) หลักการคำนวน Table'!$D$92:$M$92,HLOOKUP(AH30,'2) หลักการคำนวน Table'!$D$1:$M$5,5,TRUE),0))))),0)</f>
        <v>0.9</v>
      </c>
      <c r="AU30" s="232">
        <f>IFERROR(IF($C30="Top WS",VLOOKUP("GOAL",'2) หลักการคำนวน Table'!$D$4:$M$4,HLOOKUP(AI30,'2) หลักการคำนวน Table'!$D$1:$M$5,5,TRUE),0),
IF($C30="WS SF",VLOOKUP("GOAL",'2) หลักการคำนวน Table'!$D$32:$M$32,HLOOKUP(AI30,'2) หลักการคำนวน Table'!$D$1:$M$5,5,TRUE),0),
IF($C30="WS WH",VLOOKUP("GOAL",'2) หลักการคำนวน Table'!$D$62:$M$62,HLOOKUP(AI30,'2) หลักการคำนวน Table'!$D$1:$M$5,5,TRUE),0),
IF($C30="SF WH",VLOOKUP("GOAL",'2) หลักการคำนวน Table'!$D$92:$M$92,HLOOKUP(AI30,'2) หลักการคำนวน Table'!$D$1:$M$5,5,TRUE),0))))),0)</f>
        <v>0.9</v>
      </c>
      <c r="AV30" s="232">
        <f>IFERROR(IF($C30="Top WS",VLOOKUP("GOAL",'2) หลักการคำนวน Table'!$D$4:$M$4,HLOOKUP(AP30,'2) หลักการคำนวน Table'!$D$1:$M$5,5,TRUE),0),
IF($C30="WS SF",VLOOKUP("GOAL",'2) หลักการคำนวน Table'!$D$32:$M$32,HLOOKUP(AP30,'2) หลักการคำนวน Table'!$D$1:$M$5,5,TRUE),0),
IF($C30="WS WH",VLOOKUP("GOAL",'2) หลักการคำนวน Table'!$D$62:$M$62,HLOOKUP(AP30,'2) หลักการคำนวน Table'!$D$1:$M$5,5,TRUE),0),
IF($C30="SF WH",VLOOKUP("GOAL",'2) หลักการคำนวน Table'!$D$92:$M$92,HLOOKUP(AP30,'2) หลักการคำนวน Table'!$D$1:$M$5,5,TRUE),0))))),0)</f>
        <v>0.9</v>
      </c>
      <c r="AW30" s="232">
        <f>IFERROR(IF($C30="Top WS",VLOOKUP("GOAL",'2) หลักการคำนวน Table'!$D$4:$M$4,HLOOKUP(AK30,'2) หลักการคำนวน Table'!$D$1:$M$5,5,TRUE),0),
IF($C30="WS SF",VLOOKUP("GOAL",'2) หลักการคำนวน Table'!$D$32:$M$32,HLOOKUP(AK30,'2) หลักการคำนวน Table'!$D$1:$M$5,5,TRUE),0),
IF($C30="WS WH",VLOOKUP("GOAL",'2) หลักการคำนวน Table'!$D$62:$M$62,HLOOKUP(AK30,'2) หลักการคำนวน Table'!$D$1:$M$5,5,TRUE),0),
IF($C30="SF WH",VLOOKUP("GOAL",'2) หลักการคำนวน Table'!$D$92:$M$92,HLOOKUP(AK30,'2) หลักการคำนวน Table'!$D$1:$M$5,5,TRUE),0))))),0)</f>
        <v>0.9</v>
      </c>
      <c r="AX30" s="232">
        <f>IFERROR(IF($C30="Top WS",VLOOKUP("GOAL",'2) หลักการคำนวน Table'!$D$4:$M$4,HLOOKUP(AL30,'2) หลักการคำนวน Table'!$D$1:$M$5,5,TRUE),0),
IF($C30="WS SF",VLOOKUP("GOAL",'2) หลักการคำนวน Table'!$D$32:$M$32,HLOOKUP(AL30,'2) หลักการคำนวน Table'!$D$1:$M$5,5,TRUE),0),
IF($C30="WS WH",VLOOKUP("GOAL",'2) หลักการคำนวน Table'!$D$62:$M$62,HLOOKUP(AL30,'2) หลักการคำนวน Table'!$D$1:$M$5,5,TRUE),0),
IF($C30="SF WH",VLOOKUP("GOAL",'2) หลักการคำนวน Table'!$D$92:$M$92,HLOOKUP(AL30,'2) หลักการคำนวน Table'!$D$1:$M$5,5,TRUE),0))))),0)</f>
        <v>0.9</v>
      </c>
      <c r="AY30" s="232">
        <f>IFERROR(IF($C30="Top WS",VLOOKUP("GOAL",'2) หลักการคำนวน Table'!$D$4:$M$4,HLOOKUP(AM30,'2) หลักการคำนวน Table'!$D$1:$M$5,5,TRUE),0),
IF($C30="WS SF",VLOOKUP("GOAL",'2) หลักการคำนวน Table'!$D$32:$M$32,HLOOKUP(AM30,'2) หลักการคำนวน Table'!$D$1:$M$5,5,TRUE),0),
IF($C30="WS WH",VLOOKUP("GOAL",'2) หลักการคำนวน Table'!$D$62:$M$62,HLOOKUP(AM30,'2) หลักการคำนวน Table'!$D$1:$M$5,5,TRUE),0),
IF($C30="SF WH",VLOOKUP("GOAL",'2) หลักการคำนวน Table'!$D$92:$M$92,HLOOKUP(AM30,'2) หลักการคำนวน Table'!$D$1:$M$5,5,TRUE),0))))),0)</f>
        <v>0.9</v>
      </c>
      <c r="AZ30" s="167">
        <f>IFERROR(IF($C30="Top WS",VLOOKUP($B30,'2) หลักการคำนวน Table'!$D$5:$M$20,HLOOKUP(AB30,'2) หลักการคำนวน Table'!$D$1:$M$5,5,TRUE),0),
IF($C30="WS SF",VLOOKUP($B30,'2) หลักการคำนวน Table'!$D$33:$M$48,HLOOKUP(AB30,'2) หลักการคำนวน Table'!$D$1:$M$5,5,TRUE),0),
IF($C30="WS WH",VLOOKUP($B30,'2) หลักการคำนวน Table'!$D$63:$M$78,HLOOKUP(AB30,'2) หลักการคำนวน Table'!$D$1:$M$5,5,TRUE),0),
IF($C30="SF WH",VLOOKUP($B30,'2) หลักการคำนวน Table'!$D$93:$M$108,HLOOKUP(AB30,'2) หลักการคำนวน Table'!$D$1:$M$5,5,TRUE),0))))),0)</f>
        <v>600</v>
      </c>
      <c r="BA30" s="167">
        <f>IFERROR(IF($C30="Top WS",VLOOKUP($B30,'2) หลักการคำนวน Table'!$D$5:$M$20,HLOOKUP(AC30,'2) หลักการคำนวน Table'!$D$1:$M$5,5,TRUE),0),
IF($C30="WS SF",VLOOKUP($B30,'2) หลักการคำนวน Table'!$D$33:$M$48,HLOOKUP(AC30,'2) หลักการคำนวน Table'!$D$1:$M$5,5,TRUE),0),
IF($C30="WS WH",VLOOKUP($B30,'2) หลักการคำนวน Table'!$D$63:$M$78,HLOOKUP(AC30,'2) หลักการคำนวน Table'!$D$1:$M$5,5,TRUE),0),
IF($C30="SF WH",VLOOKUP($B30,'2) หลักการคำนวน Table'!$D$93:$M$108,HLOOKUP(AC30,'2) หลักการคำนวน Table'!$D$1:$M$5,5,TRUE),0))))),0)</f>
        <v>600</v>
      </c>
      <c r="BB30" s="167">
        <f>IFERROR(IF($C30="Top WS",VLOOKUP($B30,'2) หลักการคำนวน Table'!$D$5:$M$20,HLOOKUP(AD30,'2) หลักการคำนวน Table'!$D$1:$M$5,5,TRUE),0),
IF($C30="WS SF",VLOOKUP($B30,'2) หลักการคำนวน Table'!$D$33:$M$48,HLOOKUP(AD30,'2) หลักการคำนวน Table'!$D$1:$M$5,5,TRUE),0),
IF($C30="WS WH",VLOOKUP($B30,'2) หลักการคำนวน Table'!$D$63:$M$78,HLOOKUP(AD30,'2) หลักการคำนวน Table'!$D$1:$M$5,5,TRUE),0),
IF($C30="SF WH",VLOOKUP($B30,'2) หลักการคำนวน Table'!$D$93:$M$108,HLOOKUP(AD30,'2) หลักการคำนวน Table'!$D$1:$M$5,5,TRUE),0))))),0)</f>
        <v>540</v>
      </c>
      <c r="BC30" s="167">
        <f>IFERROR(IF($C30="Top WS",VLOOKUP($B30,'2) หลักการคำนวน Table'!$D$5:$M$20,HLOOKUP(AE30,'2) หลักการคำนวน Table'!$D$1:$M$5,5,TRUE),0),
IF($C30="WS SF",VLOOKUP($B30,'2) หลักการคำนวน Table'!$D$33:$M$48,HLOOKUP(AE30,'2) หลักการคำนวน Table'!$D$1:$M$5,5,TRUE),0),
IF($C30="WS WH",VLOOKUP($B30,'2) หลักการคำนวน Table'!$D$63:$M$78,HLOOKUP(AE30,'2) หลักการคำนวน Table'!$D$1:$M$5,5,TRUE),0),
IF($C30="SF WH",VLOOKUP($B30,'2) หลักการคำนวน Table'!$D$93:$M$108,HLOOKUP(AE30,'2) หลักการคำนวน Table'!$D$1:$M$5,5,TRUE),0))))),0)</f>
        <v>540</v>
      </c>
      <c r="BD30" s="167">
        <f>IFERROR(IF($C30="Top WS",VLOOKUP($B30,'2) หลักการคำนวน Table'!$D$5:$M$20,HLOOKUP(AF30,'2) หลักการคำนวน Table'!$D$1:$M$5,5,TRUE),0),
IF($C30="WS SF",VLOOKUP($B30,'2) หลักการคำนวน Table'!$D$33:$M$48,HLOOKUP(AF30,'2) หลักการคำนวน Table'!$D$1:$M$5,5,TRUE),0),
IF($C30="WS WH",VLOOKUP($B30,'2) หลักการคำนวน Table'!$D$63:$M$78,HLOOKUP(AF30,'2) หลักการคำนวน Table'!$D$1:$M$5,5,TRUE),0),
IF($C30="SF WH",VLOOKUP($B30,'2) หลักการคำนวน Table'!$D$93:$M$108,HLOOKUP(AF30,'2) หลักการคำนวน Table'!$D$1:$M$5,5,TRUE),0))))),0)</f>
        <v>540</v>
      </c>
      <c r="BE30" s="167">
        <f>IFERROR(IF($C30="Top WS",VLOOKUP($B30,'2) หลักการคำนวน Table'!$D$5:$M$20,HLOOKUP(AG30,'2) หลักการคำนวน Table'!$D$1:$M$5,5,TRUE),0),
IF($C30="WS SF",VLOOKUP($B30,'2) หลักการคำนวน Table'!$D$33:$M$48,HLOOKUP(AG30,'2) หลักการคำนวน Table'!$D$1:$M$5,5,TRUE),0),
IF($C30="WS WH",VLOOKUP($B30,'2) หลักการคำนวน Table'!$D$63:$M$78,HLOOKUP(AG30,'2) หลักการคำนวน Table'!$D$1:$M$5,5,TRUE),0),
IF($C30="SF WH",VLOOKUP($B30,'2) หลักการคำนวน Table'!$D$93:$M$108,HLOOKUP(AG30,'2) หลักการคำนวน Table'!$D$1:$M$5,5,TRUE),0))))),0)</f>
        <v>540</v>
      </c>
      <c r="BF30" s="167">
        <f>IFERROR(IF($C30="Top WS",VLOOKUP($B30,'2) หลักการคำนวน Table'!$D$5:$M$20,HLOOKUP(AH30,'2) หลักการคำนวน Table'!$D$1:$M$5,5,TRUE),0),
IF($C30="WS SF",VLOOKUP($B30,'2) หลักการคำนวน Table'!$D$33:$M$48,HLOOKUP(AH30,'2) หลักการคำนวน Table'!$D$1:$M$5,5,TRUE),0),
IF($C30="WS WH",VLOOKUP($B30,'2) หลักการคำนวน Table'!$D$63:$M$78,HLOOKUP(AH30,'2) หลักการคำนวน Table'!$D$1:$M$5,5,TRUE),0),
IF($C30="SF WH",VLOOKUP($B30,'2) หลักการคำนวน Table'!$D$93:$M$108,HLOOKUP(AH30,'2) หลักการคำนวน Table'!$D$1:$M$5,5,TRUE),0))))),0)</f>
        <v>540</v>
      </c>
      <c r="BG30" s="167">
        <f>IFERROR(IF($C30="Top WS",VLOOKUP($B30,'2) หลักการคำนวน Table'!$D$5:$M$20,HLOOKUP(AI30,'2) หลักการคำนวน Table'!$D$1:$M$5,5,TRUE),0),
IF($C30="WS SF",VLOOKUP($B30,'2) หลักการคำนวน Table'!$D$33:$M$48,HLOOKUP(AI30,'2) หลักการคำนวน Table'!$D$1:$M$5,5,TRUE),0),
IF($C30="WS WH",VLOOKUP($B30,'2) หลักการคำนวน Table'!$D$63:$M$78,HLOOKUP(AI30,'2) หลักการคำนวน Table'!$D$1:$M$5,5,TRUE),0),
IF($C30="SF WH",VLOOKUP($B30,'2) หลักการคำนวน Table'!$D$93:$M$108,HLOOKUP(AI30,'2) หลักการคำนวน Table'!$D$1:$M$5,5,TRUE),0))))),0)</f>
        <v>540</v>
      </c>
      <c r="BH30" s="167">
        <f>IFERROR(IF($C30="Top WS",VLOOKUP($B30,'2) หลักการคำนวน Table'!$D$5:$M$20,HLOOKUP(AP30,'2) หลักการคำนวน Table'!$D$1:$M$5,5,TRUE),0),
IF($C30="WS SF",VLOOKUP($B30,'2) หลักการคำนวน Table'!$D$33:$M$48,HLOOKUP(AP30,'2) หลักการคำนวน Table'!$D$1:$M$5,5,TRUE),0),
IF($C30="WS WH",VLOOKUP($B30,'2) หลักการคำนวน Table'!$D$63:$M$78,HLOOKUP(AP30,'2) หลักการคำนวน Table'!$D$1:$M$5,5,TRUE),0),
IF($C30="SF WH",VLOOKUP($B30,'2) หลักการคำนวน Table'!$D$93:$M$108,HLOOKUP(AP30,'2) หลักการคำนวน Table'!$D$1:$M$5,5,TRUE),0))))),0)</f>
        <v>540</v>
      </c>
      <c r="BI30" s="167">
        <f>IFERROR(IF($C30="Top WS",VLOOKUP($B30,'2) หลักการคำนวน Table'!$D$5:$M$20,HLOOKUP(AK30,'2) หลักการคำนวน Table'!$D$1:$M$5,5,TRUE),0),
IF($C30="WS SF",VLOOKUP($B30,'2) หลักการคำนวน Table'!$D$33:$M$48,HLOOKUP(AK30,'2) หลักการคำนวน Table'!$D$1:$M$5,5,TRUE),0),
IF($C30="WS WH",VLOOKUP($B30,'2) หลักการคำนวน Table'!$D$63:$M$78,HLOOKUP(AK30,'2) หลักการคำนวน Table'!$D$1:$M$5,5,TRUE),0),
IF($C30="SF WH",VLOOKUP($B30,'2) หลักการคำนวน Table'!$D$93:$M$108,HLOOKUP(AK30,'2) หลักการคำนวน Table'!$D$1:$M$5,5,TRUE),0))))),0)</f>
        <v>540</v>
      </c>
      <c r="BJ30" s="167">
        <f>IFERROR(IF($C30="Top WS",VLOOKUP($B30,'2) หลักการคำนวน Table'!$D$5:$M$20,HLOOKUP(AL30,'2) หลักการคำนวน Table'!$D$1:$M$5,5,TRUE),0),
IF($C30="WS SF",VLOOKUP($B30,'2) หลักการคำนวน Table'!$D$33:$M$48,HLOOKUP(AL30,'2) หลักการคำนวน Table'!$D$1:$M$5,5,TRUE),0),
IF($C30="WS WH",VLOOKUP($B30,'2) หลักการคำนวน Table'!$D$63:$M$78,HLOOKUP(AL30,'2) หลักการคำนวน Table'!$D$1:$M$5,5,TRUE),0),
IF($C30="SF WH",VLOOKUP($B30,'2) หลักการคำนวน Table'!$D$93:$M$108,HLOOKUP(AL30,'2) หลักการคำนวน Table'!$D$1:$M$5,5,TRUE),0))))),0)</f>
        <v>540</v>
      </c>
      <c r="BK30" s="167">
        <f>IFERROR(IF($C30="Top WS",VLOOKUP($B30,'2) หลักการคำนวน Table'!$D$5:$M$20,HLOOKUP(AM30,'2) หลักการคำนวน Table'!$D$1:$M$5,5,TRUE),0),
IF($C30="WS SF",VLOOKUP($B30,'2) หลักการคำนวน Table'!$D$33:$M$48,HLOOKUP(AM30,'2) หลักการคำนวน Table'!$D$1:$M$5,5,TRUE),0),
IF($C30="WS WH",VLOOKUP($B30,'2) หลักการคำนวน Table'!$D$63:$M$78,HLOOKUP(AM30,'2) หลักการคำนวน Table'!$D$1:$M$5,5,TRUE),0),
IF($C30="SF WH",VLOOKUP($B30,'2) หลักการคำนวน Table'!$D$93:$M$108,HLOOKUP(AM30,'2) หลักการคำนวน Table'!$D$1:$M$5,5,TRUE),0))))),0)</f>
        <v>540</v>
      </c>
      <c r="BM30" s="119">
        <f>VLOOKUP(VLOOKUP(A30,ASTBase!E:S,13,FALSE),ASTBase!F:P,11,FALSE)</f>
        <v>120000</v>
      </c>
      <c r="BN30" s="196" cm="1">
        <f t="array" ref="BN30">INDEX(AN30:AY30,,Period!$D$2)</f>
        <v>1</v>
      </c>
    </row>
    <row r="31" spans="1:66" x14ac:dyDescent="0.25">
      <c r="A31" s="117">
        <v>120001</v>
      </c>
      <c r="B31" s="117" t="s">
        <v>395</v>
      </c>
      <c r="C31" s="117" t="s">
        <v>178</v>
      </c>
      <c r="D31" s="118">
        <v>7507</v>
      </c>
      <c r="E31" s="118">
        <v>8212</v>
      </c>
      <c r="F31" s="118">
        <v>9021</v>
      </c>
      <c r="G31" s="118">
        <v>10291</v>
      </c>
      <c r="H31" s="118">
        <v>8456</v>
      </c>
      <c r="I31" s="118">
        <v>7385</v>
      </c>
      <c r="J31" s="118">
        <v>10560</v>
      </c>
      <c r="K31" s="118">
        <v>11058</v>
      </c>
      <c r="L31" s="118">
        <v>8903</v>
      </c>
      <c r="M31" s="118">
        <v>9448</v>
      </c>
      <c r="N31" s="118">
        <v>7966</v>
      </c>
      <c r="O31" s="118">
        <v>7965</v>
      </c>
      <c r="P31" s="117">
        <f>SUMIFS(Actual!C:C,Actual!$A:$A,'3)Target &amp; Cal'!$A31,Actual!$B:$B,'3)Target &amp; Cal'!$B31)</f>
        <v>7963.2</v>
      </c>
      <c r="Q31" s="117">
        <f>SUMIFS(Actual!D:D,Actual!$A:$A,'3)Target &amp; Cal'!$A31,Actual!$B:$B,'3)Target &amp; Cal'!$B31)</f>
        <v>7816.4399999999978</v>
      </c>
      <c r="R31" s="117">
        <f>SUMIFS(Actual!E:E,Actual!$A:$A,'3)Target &amp; Cal'!$A31,Actual!$B:$B,'3)Target &amp; Cal'!$B31)</f>
        <v>0</v>
      </c>
      <c r="S31" s="117">
        <f>SUMIFS(Actual!F:F,Actual!$A:$A,'3)Target &amp; Cal'!$A31,Actual!$B:$B,'3)Target &amp; Cal'!$B31)</f>
        <v>0</v>
      </c>
      <c r="T31" s="117">
        <f>SUMIFS(Actual!G:G,Actual!$A:$A,'3)Target &amp; Cal'!$A31,Actual!$B:$B,'3)Target &amp; Cal'!$B31)</f>
        <v>0</v>
      </c>
      <c r="U31" s="117">
        <f>SUMIFS(Actual!H:H,Actual!$A:$A,'3)Target &amp; Cal'!$A31,Actual!$B:$B,'3)Target &amp; Cal'!$B31)</f>
        <v>0</v>
      </c>
      <c r="V31" s="117">
        <f>SUMIFS(Actual!I:I,Actual!$A:$A,'3)Target &amp; Cal'!$A31,Actual!$B:$B,'3)Target &amp; Cal'!$B31)</f>
        <v>0</v>
      </c>
      <c r="W31" s="117">
        <f>SUMIFS(Actual!J:J,Actual!$A:$A,'3)Target &amp; Cal'!$A31,Actual!$B:$B,'3)Target &amp; Cal'!$B31)</f>
        <v>0</v>
      </c>
      <c r="X31" s="117">
        <f>SUMIFS(Actual!K:K,Actual!$A:$A,'3)Target &amp; Cal'!$A31,Actual!$B:$B,'3)Target &amp; Cal'!$B31)</f>
        <v>0</v>
      </c>
      <c r="Y31" s="117">
        <f>SUMIFS(Actual!L:L,Actual!$A:$A,'3)Target &amp; Cal'!$A31,Actual!$B:$B,'3)Target &amp; Cal'!$B31)</f>
        <v>0</v>
      </c>
      <c r="Z31" s="117">
        <f>SUMIFS(Actual!M:M,Actual!$A:$A,'3)Target &amp; Cal'!$A31,Actual!$B:$B,'3)Target &amp; Cal'!$B31)</f>
        <v>0</v>
      </c>
      <c r="AA31" s="117">
        <f>SUMIFS(Actual!N:N,Actual!$A:$A,'3)Target &amp; Cal'!$A31,Actual!$B:$B,'3)Target &amp; Cal'!$B31)</f>
        <v>0</v>
      </c>
      <c r="AB31" s="123">
        <f>IFERROR(IF(VLOOKUP($B31,Shortage!$A:$M,AB$2,FALSE)="Shortage",1,IFERROR(ROUND(P31/D31,4),0)),IFERROR(ROUND(P31/D31,4),0))</f>
        <v>1.0608</v>
      </c>
      <c r="AC31" s="123">
        <f>IFERROR(IF(VLOOKUP($B31,Shortage!$A:$M,AC$2,FALSE)="Shortage",1,IFERROR(ROUND(Q31/E31,4),0)),IFERROR(ROUND(Q31/E31,4),0))</f>
        <v>0.95179999999999998</v>
      </c>
      <c r="AD31" s="123">
        <f>IFERROR(IF(VLOOKUP($B31,Shortage!$A:$M,AD$2,FALSE)="Shortage",1,IFERROR(ROUND(R31/F31,4),0)),IFERROR(ROUND(R31/F31,4),0))</f>
        <v>0</v>
      </c>
      <c r="AE31" s="123">
        <f>IFERROR(IF(VLOOKUP($B31,Shortage!$A:$M,AE$2,FALSE)="Shortage",1,IFERROR(ROUND(S31/G31,4),0)),IFERROR(ROUND(S31/G31,4),0))</f>
        <v>0</v>
      </c>
      <c r="AF31" s="123">
        <f>IFERROR(IF(VLOOKUP($B31,Shortage!$A:$M,AF$2,FALSE)="Shortage",1,IFERROR(ROUND(T31/H31,4),0)),IFERROR(ROUND(T31/H31,4),0))</f>
        <v>0</v>
      </c>
      <c r="AG31" s="123">
        <f>IFERROR(IF(VLOOKUP($B31,Shortage!$A:$M,AG$2,FALSE)="Shortage",1,IFERROR(ROUND(U31/I31,4),0)),IFERROR(ROUND(U31/I31,4),0))</f>
        <v>0</v>
      </c>
      <c r="AH31" s="123">
        <f>IFERROR(IF(VLOOKUP($B31,Shortage!$A:$M,AH$2,FALSE)="Shortage",1,IFERROR(ROUND(V31/J31,4),0)),IFERROR(ROUND(V31/J31,4),0))</f>
        <v>0</v>
      </c>
      <c r="AI31" s="123">
        <f>IFERROR(IF(VLOOKUP($B31,Shortage!$A:$M,AI$2,FALSE)="Shortage",1,IFERROR(ROUND(W31/K31,4),0)),IFERROR(ROUND(W31/K31,4),0))</f>
        <v>0</v>
      </c>
      <c r="AJ31" s="123">
        <f>IFERROR(IF(VLOOKUP($B31,Shortage!$A:$M,AP$2,FALSE)="Shortage",1,IFERROR(ROUND(X31/L31,4),0)),IFERROR(ROUND(X31/L31,4),0))</f>
        <v>0</v>
      </c>
      <c r="AK31" s="123">
        <f>IFERROR(IF(VLOOKUP($B31,Shortage!$A:$M,AK$2,FALSE)="Shortage",1,IFERROR(ROUND(Y31/M31,4),0)),IFERROR(ROUND(Y31/M31,4),0))</f>
        <v>0</v>
      </c>
      <c r="AL31" s="123">
        <f>IFERROR(IF(VLOOKUP($B31,Shortage!$A:$M,AL$2,FALSE)="Shortage",1,IFERROR(ROUND(Z31/N31,4),0)),IFERROR(ROUND(Z31/N31,4),0))</f>
        <v>0</v>
      </c>
      <c r="AM31" s="123">
        <f>IFERROR(IF(VLOOKUP($B31,Shortage!$A:$M,AM$2,FALSE)="Shortage",1,IFERROR(ROUND(AA31/O31,4),0)),IFERROR(ROUND(AA31/O31,4),0))</f>
        <v>0</v>
      </c>
      <c r="AN31" s="232">
        <f>IFERROR(IF($C31="Top WS",VLOOKUP("GOAL",'2) หลักการคำนวน Table'!$D$4:$M$4,HLOOKUP(AB31,'2) หลักการคำนวน Table'!$D$1:$M$5,5,TRUE),0),
IF($C31="WS SF",VLOOKUP("GOAL",'2) หลักการคำนวน Table'!$D$32:$M$32,HLOOKUP(AB31,'2) หลักการคำนวน Table'!$D$1:$M$5,5,TRUE),0),
IF($C31="WS WH",VLOOKUP("GOAL",'2) หลักการคำนวน Table'!$D$62:$M$62,HLOOKUP(AB31,'2) หลักการคำนวน Table'!$D$1:$M$5,5,TRUE),0),
IF($C31="SF WH",VLOOKUP("GOAL",'2) หลักการคำนวน Table'!$D$92:$M$92,HLOOKUP(AB31,'2) หลักการคำนวน Table'!$D$1:$M$5,5,TRUE),0))))),0)</f>
        <v>1.1000000000000001</v>
      </c>
      <c r="AO31" s="232">
        <f>IFERROR(IF($C31="Top WS",VLOOKUP("GOAL",'2) หลักการคำนวน Table'!$D$4:$M$4,HLOOKUP(AC31,'2) หลักการคำนวน Table'!$D$1:$M$5,5,TRUE),0),
IF($C31="WS SF",VLOOKUP("GOAL",'2) หลักการคำนวน Table'!$D$32:$M$32,HLOOKUP(AC31,'2) หลักการคำนวน Table'!$D$1:$M$5,5,TRUE),0),
IF($C31="WS WH",VLOOKUP("GOAL",'2) หลักการคำนวน Table'!$D$62:$M$62,HLOOKUP(AC31,'2) หลักการคำนวน Table'!$D$1:$M$5,5,TRUE),0),
IF($C31="SF WH",VLOOKUP("GOAL",'2) หลักการคำนวน Table'!$D$92:$M$92,HLOOKUP(AC31,'2) หลักการคำนวน Table'!$D$1:$M$5,5,TRUE),0))))),0)</f>
        <v>1</v>
      </c>
      <c r="AP31" s="232">
        <f>IFERROR(IF($C31="Top WS",VLOOKUP("GOAL",'2) หลักการคำนวน Table'!$D$4:$M$4,HLOOKUP(AD31,'2) หลักการคำนวน Table'!$D$1:$M$5,5,TRUE),0),
IF($C31="WS SF",VLOOKUP("GOAL",'2) หลักการคำนวน Table'!$D$32:$M$32,HLOOKUP(AD31,'2) หลักการคำนวน Table'!$D$1:$M$5,5,TRUE),0),
IF($C31="WS WH",VLOOKUP("GOAL",'2) หลักการคำนวน Table'!$D$62:$M$62,HLOOKUP(AD31,'2) หลักการคำนวน Table'!$D$1:$M$5,5,TRUE),0),
IF($C31="SF WH",VLOOKUP("GOAL",'2) หลักการคำนวน Table'!$D$92:$M$92,HLOOKUP(AD31,'2) หลักการคำนวน Table'!$D$1:$M$5,5,TRUE),0))))),0)</f>
        <v>0.9</v>
      </c>
      <c r="AQ31" s="232">
        <f>IFERROR(IF($C31="Top WS",VLOOKUP("GOAL",'2) หลักการคำนวน Table'!$D$4:$M$4,HLOOKUP(AE31,'2) หลักการคำนวน Table'!$D$1:$M$5,5,TRUE),0),
IF($C31="WS SF",VLOOKUP("GOAL",'2) หลักการคำนวน Table'!$D$32:$M$32,HLOOKUP(AE31,'2) หลักการคำนวน Table'!$D$1:$M$5,5,TRUE),0),
IF($C31="WS WH",VLOOKUP("GOAL",'2) หลักการคำนวน Table'!$D$62:$M$62,HLOOKUP(AE31,'2) หลักการคำนวน Table'!$D$1:$M$5,5,TRUE),0),
IF($C31="SF WH",VLOOKUP("GOAL",'2) หลักการคำนวน Table'!$D$92:$M$92,HLOOKUP(AE31,'2) หลักการคำนวน Table'!$D$1:$M$5,5,TRUE),0))))),0)</f>
        <v>0.9</v>
      </c>
      <c r="AR31" s="232">
        <f>IFERROR(IF($C31="Top WS",VLOOKUP("GOAL",'2) หลักการคำนวน Table'!$D$4:$M$4,HLOOKUP(AF31,'2) หลักการคำนวน Table'!$D$1:$M$5,5,TRUE),0),
IF($C31="WS SF",VLOOKUP("GOAL",'2) หลักการคำนวน Table'!$D$32:$M$32,HLOOKUP(AF31,'2) หลักการคำนวน Table'!$D$1:$M$5,5,TRUE),0),
IF($C31="WS WH",VLOOKUP("GOAL",'2) หลักการคำนวน Table'!$D$62:$M$62,HLOOKUP(AF31,'2) หลักการคำนวน Table'!$D$1:$M$5,5,TRUE),0),
IF($C31="SF WH",VLOOKUP("GOAL",'2) หลักการคำนวน Table'!$D$92:$M$92,HLOOKUP(AF31,'2) หลักการคำนวน Table'!$D$1:$M$5,5,TRUE),0))))),0)</f>
        <v>0.9</v>
      </c>
      <c r="AS31" s="232">
        <f>IFERROR(IF($C31="Top WS",VLOOKUP("GOAL",'2) หลักการคำนวน Table'!$D$4:$M$4,HLOOKUP(AG31,'2) หลักการคำนวน Table'!$D$1:$M$5,5,TRUE),0),
IF($C31="WS SF",VLOOKUP("GOAL",'2) หลักการคำนวน Table'!$D$32:$M$32,HLOOKUP(AG31,'2) หลักการคำนวน Table'!$D$1:$M$5,5,TRUE),0),
IF($C31="WS WH",VLOOKUP("GOAL",'2) หลักการคำนวน Table'!$D$62:$M$62,HLOOKUP(AG31,'2) หลักการคำนวน Table'!$D$1:$M$5,5,TRUE),0),
IF($C31="SF WH",VLOOKUP("GOAL",'2) หลักการคำนวน Table'!$D$92:$M$92,HLOOKUP(AG31,'2) หลักการคำนวน Table'!$D$1:$M$5,5,TRUE),0))))),0)</f>
        <v>0.9</v>
      </c>
      <c r="AT31" s="232">
        <f>IFERROR(IF($C31="Top WS",VLOOKUP("GOAL",'2) หลักการคำนวน Table'!$D$4:$M$4,HLOOKUP(AH31,'2) หลักการคำนวน Table'!$D$1:$M$5,5,TRUE),0),
IF($C31="WS SF",VLOOKUP("GOAL",'2) หลักการคำนวน Table'!$D$32:$M$32,HLOOKUP(AH31,'2) หลักการคำนวน Table'!$D$1:$M$5,5,TRUE),0),
IF($C31="WS WH",VLOOKUP("GOAL",'2) หลักการคำนวน Table'!$D$62:$M$62,HLOOKUP(AH31,'2) หลักการคำนวน Table'!$D$1:$M$5,5,TRUE),0),
IF($C31="SF WH",VLOOKUP("GOAL",'2) หลักการคำนวน Table'!$D$92:$M$92,HLOOKUP(AH31,'2) หลักการคำนวน Table'!$D$1:$M$5,5,TRUE),0))))),0)</f>
        <v>0.9</v>
      </c>
      <c r="AU31" s="232">
        <f>IFERROR(IF($C31="Top WS",VLOOKUP("GOAL",'2) หลักการคำนวน Table'!$D$4:$M$4,HLOOKUP(AI31,'2) หลักการคำนวน Table'!$D$1:$M$5,5,TRUE),0),
IF($C31="WS SF",VLOOKUP("GOAL",'2) หลักการคำนวน Table'!$D$32:$M$32,HLOOKUP(AI31,'2) หลักการคำนวน Table'!$D$1:$M$5,5,TRUE),0),
IF($C31="WS WH",VLOOKUP("GOAL",'2) หลักการคำนวน Table'!$D$62:$M$62,HLOOKUP(AI31,'2) หลักการคำนวน Table'!$D$1:$M$5,5,TRUE),0),
IF($C31="SF WH",VLOOKUP("GOAL",'2) หลักการคำนวน Table'!$D$92:$M$92,HLOOKUP(AI31,'2) หลักการคำนวน Table'!$D$1:$M$5,5,TRUE),0))))),0)</f>
        <v>0.9</v>
      </c>
      <c r="AV31" s="232">
        <f>IFERROR(IF($C31="Top WS",VLOOKUP("GOAL",'2) หลักการคำนวน Table'!$D$4:$M$4,HLOOKUP(AP31,'2) หลักการคำนวน Table'!$D$1:$M$5,5,TRUE),0),
IF($C31="WS SF",VLOOKUP("GOAL",'2) หลักการคำนวน Table'!$D$32:$M$32,HLOOKUP(AP31,'2) หลักการคำนวน Table'!$D$1:$M$5,5,TRUE),0),
IF($C31="WS WH",VLOOKUP("GOAL",'2) หลักการคำนวน Table'!$D$62:$M$62,HLOOKUP(AP31,'2) หลักการคำนวน Table'!$D$1:$M$5,5,TRUE),0),
IF($C31="SF WH",VLOOKUP("GOAL",'2) หลักการคำนวน Table'!$D$92:$M$92,HLOOKUP(AP31,'2) หลักการคำนวน Table'!$D$1:$M$5,5,TRUE),0))))),0)</f>
        <v>0.9</v>
      </c>
      <c r="AW31" s="232">
        <f>IFERROR(IF($C31="Top WS",VLOOKUP("GOAL",'2) หลักการคำนวน Table'!$D$4:$M$4,HLOOKUP(AK31,'2) หลักการคำนวน Table'!$D$1:$M$5,5,TRUE),0),
IF($C31="WS SF",VLOOKUP("GOAL",'2) หลักการคำนวน Table'!$D$32:$M$32,HLOOKUP(AK31,'2) หลักการคำนวน Table'!$D$1:$M$5,5,TRUE),0),
IF($C31="WS WH",VLOOKUP("GOAL",'2) หลักการคำนวน Table'!$D$62:$M$62,HLOOKUP(AK31,'2) หลักการคำนวน Table'!$D$1:$M$5,5,TRUE),0),
IF($C31="SF WH",VLOOKUP("GOAL",'2) หลักการคำนวน Table'!$D$92:$M$92,HLOOKUP(AK31,'2) หลักการคำนวน Table'!$D$1:$M$5,5,TRUE),0))))),0)</f>
        <v>0.9</v>
      </c>
      <c r="AX31" s="232">
        <f>IFERROR(IF($C31="Top WS",VLOOKUP("GOAL",'2) หลักการคำนวน Table'!$D$4:$M$4,HLOOKUP(AL31,'2) หลักการคำนวน Table'!$D$1:$M$5,5,TRUE),0),
IF($C31="WS SF",VLOOKUP("GOAL",'2) หลักการคำนวน Table'!$D$32:$M$32,HLOOKUP(AL31,'2) หลักการคำนวน Table'!$D$1:$M$5,5,TRUE),0),
IF($C31="WS WH",VLOOKUP("GOAL",'2) หลักการคำนวน Table'!$D$62:$M$62,HLOOKUP(AL31,'2) หลักการคำนวน Table'!$D$1:$M$5,5,TRUE),0),
IF($C31="SF WH",VLOOKUP("GOAL",'2) หลักการคำนวน Table'!$D$92:$M$92,HLOOKUP(AL31,'2) หลักการคำนวน Table'!$D$1:$M$5,5,TRUE),0))))),0)</f>
        <v>0.9</v>
      </c>
      <c r="AY31" s="232">
        <f>IFERROR(IF($C31="Top WS",VLOOKUP("GOAL",'2) หลักการคำนวน Table'!$D$4:$M$4,HLOOKUP(AM31,'2) หลักการคำนวน Table'!$D$1:$M$5,5,TRUE),0),
IF($C31="WS SF",VLOOKUP("GOAL",'2) หลักการคำนวน Table'!$D$32:$M$32,HLOOKUP(AM31,'2) หลักการคำนวน Table'!$D$1:$M$5,5,TRUE),0),
IF($C31="WS WH",VLOOKUP("GOAL",'2) หลักการคำนวน Table'!$D$62:$M$62,HLOOKUP(AM31,'2) หลักการคำนวน Table'!$D$1:$M$5,5,TRUE),0),
IF($C31="SF WH",VLOOKUP("GOAL",'2) หลักการคำนวน Table'!$D$92:$M$92,HLOOKUP(AM31,'2) หลักการคำนวน Table'!$D$1:$M$5,5,TRUE),0))))),0)</f>
        <v>0.9</v>
      </c>
      <c r="AZ31" s="167">
        <f>IFERROR(IF($C31="Top WS",VLOOKUP($B31,'2) หลักการคำนวน Table'!$D$5:$M$20,HLOOKUP(AB31,'2) หลักการคำนวน Table'!$D$1:$M$5,5,TRUE),0),
IF($C31="WS SF",VLOOKUP($B31,'2) หลักการคำนวน Table'!$D$33:$M$48,HLOOKUP(AB31,'2) หลักการคำนวน Table'!$D$1:$M$5,5,TRUE),0),
IF($C31="WS WH",VLOOKUP($B31,'2) หลักการคำนวน Table'!$D$63:$M$78,HLOOKUP(AB31,'2) หลักการคำนวน Table'!$D$1:$M$5,5,TRUE),0),
IF($C31="SF WH",VLOOKUP($B31,'2) หลักการคำนวน Table'!$D$93:$M$108,HLOOKUP(AB31,'2) หลักการคำนวน Table'!$D$1:$M$5,5,TRUE),0))))),0)</f>
        <v>220</v>
      </c>
      <c r="BA31" s="167">
        <f>IFERROR(IF($C31="Top WS",VLOOKUP($B31,'2) หลักการคำนวน Table'!$D$5:$M$20,HLOOKUP(AC31,'2) หลักการคำนวน Table'!$D$1:$M$5,5,TRUE),0),
IF($C31="WS SF",VLOOKUP($B31,'2) หลักการคำนวน Table'!$D$33:$M$48,HLOOKUP(AC31,'2) หลักการคำนวน Table'!$D$1:$M$5,5,TRUE),0),
IF($C31="WS WH",VLOOKUP($B31,'2) หลักการคำนวน Table'!$D$63:$M$78,HLOOKUP(AC31,'2) หลักการคำนวน Table'!$D$1:$M$5,5,TRUE),0),
IF($C31="SF WH",VLOOKUP($B31,'2) หลักการคำนวน Table'!$D$93:$M$108,HLOOKUP(AC31,'2) หลักการคำนวน Table'!$D$1:$M$5,5,TRUE),0))))),0)</f>
        <v>200</v>
      </c>
      <c r="BB31" s="167">
        <f>IFERROR(IF($C31="Top WS",VLOOKUP($B31,'2) หลักการคำนวน Table'!$D$5:$M$20,HLOOKUP(AD31,'2) หลักการคำนวน Table'!$D$1:$M$5,5,TRUE),0),
IF($C31="WS SF",VLOOKUP($B31,'2) หลักการคำนวน Table'!$D$33:$M$48,HLOOKUP(AD31,'2) หลักการคำนวน Table'!$D$1:$M$5,5,TRUE),0),
IF($C31="WS WH",VLOOKUP($B31,'2) หลักการคำนวน Table'!$D$63:$M$78,HLOOKUP(AD31,'2) หลักการคำนวน Table'!$D$1:$M$5,5,TRUE),0),
IF($C31="SF WH",VLOOKUP($B31,'2) หลักการคำนวน Table'!$D$93:$M$108,HLOOKUP(AD31,'2) หลักการคำนวน Table'!$D$1:$M$5,5,TRUE),0))))),0)</f>
        <v>180</v>
      </c>
      <c r="BC31" s="167">
        <f>IFERROR(IF($C31="Top WS",VLOOKUP($B31,'2) หลักการคำนวน Table'!$D$5:$M$20,HLOOKUP(AE31,'2) หลักการคำนวน Table'!$D$1:$M$5,5,TRUE),0),
IF($C31="WS SF",VLOOKUP($B31,'2) หลักการคำนวน Table'!$D$33:$M$48,HLOOKUP(AE31,'2) หลักการคำนวน Table'!$D$1:$M$5,5,TRUE),0),
IF($C31="WS WH",VLOOKUP($B31,'2) หลักการคำนวน Table'!$D$63:$M$78,HLOOKUP(AE31,'2) หลักการคำนวน Table'!$D$1:$M$5,5,TRUE),0),
IF($C31="SF WH",VLOOKUP($B31,'2) หลักการคำนวน Table'!$D$93:$M$108,HLOOKUP(AE31,'2) หลักการคำนวน Table'!$D$1:$M$5,5,TRUE),0))))),0)</f>
        <v>180</v>
      </c>
      <c r="BD31" s="167">
        <f>IFERROR(IF($C31="Top WS",VLOOKUP($B31,'2) หลักการคำนวน Table'!$D$5:$M$20,HLOOKUP(AF31,'2) หลักการคำนวน Table'!$D$1:$M$5,5,TRUE),0),
IF($C31="WS SF",VLOOKUP($B31,'2) หลักการคำนวน Table'!$D$33:$M$48,HLOOKUP(AF31,'2) หลักการคำนวน Table'!$D$1:$M$5,5,TRUE),0),
IF($C31="WS WH",VLOOKUP($B31,'2) หลักการคำนวน Table'!$D$63:$M$78,HLOOKUP(AF31,'2) หลักการคำนวน Table'!$D$1:$M$5,5,TRUE),0),
IF($C31="SF WH",VLOOKUP($B31,'2) หลักการคำนวน Table'!$D$93:$M$108,HLOOKUP(AF31,'2) หลักการคำนวน Table'!$D$1:$M$5,5,TRUE),0))))),0)</f>
        <v>180</v>
      </c>
      <c r="BE31" s="167">
        <f>IFERROR(IF($C31="Top WS",VLOOKUP($B31,'2) หลักการคำนวน Table'!$D$5:$M$20,HLOOKUP(AG31,'2) หลักการคำนวน Table'!$D$1:$M$5,5,TRUE),0),
IF($C31="WS SF",VLOOKUP($B31,'2) หลักการคำนวน Table'!$D$33:$M$48,HLOOKUP(AG31,'2) หลักการคำนวน Table'!$D$1:$M$5,5,TRUE),0),
IF($C31="WS WH",VLOOKUP($B31,'2) หลักการคำนวน Table'!$D$63:$M$78,HLOOKUP(AG31,'2) หลักการคำนวน Table'!$D$1:$M$5,5,TRUE),0),
IF($C31="SF WH",VLOOKUP($B31,'2) หลักการคำนวน Table'!$D$93:$M$108,HLOOKUP(AG31,'2) หลักการคำนวน Table'!$D$1:$M$5,5,TRUE),0))))),0)</f>
        <v>180</v>
      </c>
      <c r="BF31" s="167">
        <f>IFERROR(IF($C31="Top WS",VLOOKUP($B31,'2) หลักการคำนวน Table'!$D$5:$M$20,HLOOKUP(AH31,'2) หลักการคำนวน Table'!$D$1:$M$5,5,TRUE),0),
IF($C31="WS SF",VLOOKUP($B31,'2) หลักการคำนวน Table'!$D$33:$M$48,HLOOKUP(AH31,'2) หลักการคำนวน Table'!$D$1:$M$5,5,TRUE),0),
IF($C31="WS WH",VLOOKUP($B31,'2) หลักการคำนวน Table'!$D$63:$M$78,HLOOKUP(AH31,'2) หลักการคำนวน Table'!$D$1:$M$5,5,TRUE),0),
IF($C31="SF WH",VLOOKUP($B31,'2) หลักการคำนวน Table'!$D$93:$M$108,HLOOKUP(AH31,'2) หลักการคำนวน Table'!$D$1:$M$5,5,TRUE),0))))),0)</f>
        <v>180</v>
      </c>
      <c r="BG31" s="167">
        <f>IFERROR(IF($C31="Top WS",VLOOKUP($B31,'2) หลักการคำนวน Table'!$D$5:$M$20,HLOOKUP(AI31,'2) หลักการคำนวน Table'!$D$1:$M$5,5,TRUE),0),
IF($C31="WS SF",VLOOKUP($B31,'2) หลักการคำนวน Table'!$D$33:$M$48,HLOOKUP(AI31,'2) หลักการคำนวน Table'!$D$1:$M$5,5,TRUE),0),
IF($C31="WS WH",VLOOKUP($B31,'2) หลักการคำนวน Table'!$D$63:$M$78,HLOOKUP(AI31,'2) หลักการคำนวน Table'!$D$1:$M$5,5,TRUE),0),
IF($C31="SF WH",VLOOKUP($B31,'2) หลักการคำนวน Table'!$D$93:$M$108,HLOOKUP(AI31,'2) หลักการคำนวน Table'!$D$1:$M$5,5,TRUE),0))))),0)</f>
        <v>180</v>
      </c>
      <c r="BH31" s="167">
        <f>IFERROR(IF($C31="Top WS",VLOOKUP($B31,'2) หลักการคำนวน Table'!$D$5:$M$20,HLOOKUP(AP31,'2) หลักการคำนวน Table'!$D$1:$M$5,5,TRUE),0),
IF($C31="WS SF",VLOOKUP($B31,'2) หลักการคำนวน Table'!$D$33:$M$48,HLOOKUP(AP31,'2) หลักการคำนวน Table'!$D$1:$M$5,5,TRUE),0),
IF($C31="WS WH",VLOOKUP($B31,'2) หลักการคำนวน Table'!$D$63:$M$78,HLOOKUP(AP31,'2) หลักการคำนวน Table'!$D$1:$M$5,5,TRUE),0),
IF($C31="SF WH",VLOOKUP($B31,'2) หลักการคำนวน Table'!$D$93:$M$108,HLOOKUP(AP31,'2) หลักการคำนวน Table'!$D$1:$M$5,5,TRUE),0))))),0)</f>
        <v>180</v>
      </c>
      <c r="BI31" s="167">
        <f>IFERROR(IF($C31="Top WS",VLOOKUP($B31,'2) หลักการคำนวน Table'!$D$5:$M$20,HLOOKUP(AK31,'2) หลักการคำนวน Table'!$D$1:$M$5,5,TRUE),0),
IF($C31="WS SF",VLOOKUP($B31,'2) หลักการคำนวน Table'!$D$33:$M$48,HLOOKUP(AK31,'2) หลักการคำนวน Table'!$D$1:$M$5,5,TRUE),0),
IF($C31="WS WH",VLOOKUP($B31,'2) หลักการคำนวน Table'!$D$63:$M$78,HLOOKUP(AK31,'2) หลักการคำนวน Table'!$D$1:$M$5,5,TRUE),0),
IF($C31="SF WH",VLOOKUP($B31,'2) หลักการคำนวน Table'!$D$93:$M$108,HLOOKUP(AK31,'2) หลักการคำนวน Table'!$D$1:$M$5,5,TRUE),0))))),0)</f>
        <v>180</v>
      </c>
      <c r="BJ31" s="167">
        <f>IFERROR(IF($C31="Top WS",VLOOKUP($B31,'2) หลักการคำนวน Table'!$D$5:$M$20,HLOOKUP(AL31,'2) หลักการคำนวน Table'!$D$1:$M$5,5,TRUE),0),
IF($C31="WS SF",VLOOKUP($B31,'2) หลักการคำนวน Table'!$D$33:$M$48,HLOOKUP(AL31,'2) หลักการคำนวน Table'!$D$1:$M$5,5,TRUE),0),
IF($C31="WS WH",VLOOKUP($B31,'2) หลักการคำนวน Table'!$D$63:$M$78,HLOOKUP(AL31,'2) หลักการคำนวน Table'!$D$1:$M$5,5,TRUE),0),
IF($C31="SF WH",VLOOKUP($B31,'2) หลักการคำนวน Table'!$D$93:$M$108,HLOOKUP(AL31,'2) หลักการคำนวน Table'!$D$1:$M$5,5,TRUE),0))))),0)</f>
        <v>180</v>
      </c>
      <c r="BK31" s="167">
        <f>IFERROR(IF($C31="Top WS",VLOOKUP($B31,'2) หลักการคำนวน Table'!$D$5:$M$20,HLOOKUP(AM31,'2) หลักการคำนวน Table'!$D$1:$M$5,5,TRUE),0),
IF($C31="WS SF",VLOOKUP($B31,'2) หลักการคำนวน Table'!$D$33:$M$48,HLOOKUP(AM31,'2) หลักการคำนวน Table'!$D$1:$M$5,5,TRUE),0),
IF($C31="WS WH",VLOOKUP($B31,'2) หลักการคำนวน Table'!$D$63:$M$78,HLOOKUP(AM31,'2) หลักการคำนวน Table'!$D$1:$M$5,5,TRUE),0),
IF($C31="SF WH",VLOOKUP($B31,'2) หลักการคำนวน Table'!$D$93:$M$108,HLOOKUP(AM31,'2) หลักการคำนวน Table'!$D$1:$M$5,5,TRUE),0))))),0)</f>
        <v>180</v>
      </c>
      <c r="BM31" s="119">
        <f>VLOOKUP(VLOOKUP(A31,ASTBase!E:S,13,FALSE),ASTBase!F:P,11,FALSE)</f>
        <v>120000</v>
      </c>
      <c r="BN31" s="196" cm="1">
        <f t="array" ref="BN31">INDEX(AN31:AY31,,Period!$D$2)</f>
        <v>1</v>
      </c>
    </row>
    <row r="32" spans="1:66" x14ac:dyDescent="0.25">
      <c r="A32" s="117">
        <v>120001</v>
      </c>
      <c r="B32" s="117" t="s">
        <v>402</v>
      </c>
      <c r="C32" s="117" t="s">
        <v>178</v>
      </c>
      <c r="D32" s="118">
        <v>473</v>
      </c>
      <c r="E32" s="118">
        <v>534</v>
      </c>
      <c r="F32" s="118">
        <v>437</v>
      </c>
      <c r="G32" s="118">
        <v>459</v>
      </c>
      <c r="H32" s="118">
        <v>468</v>
      </c>
      <c r="I32" s="118">
        <v>486</v>
      </c>
      <c r="J32" s="118">
        <v>543</v>
      </c>
      <c r="K32" s="118">
        <v>807</v>
      </c>
      <c r="L32" s="118">
        <v>532</v>
      </c>
      <c r="M32" s="118">
        <v>483</v>
      </c>
      <c r="N32" s="118">
        <v>607</v>
      </c>
      <c r="O32" s="118">
        <v>610</v>
      </c>
      <c r="P32" s="117">
        <f>SUMIFS(Actual!C:C,Actual!$A:$A,'3)Target &amp; Cal'!$A32,Actual!$B:$B,'3)Target &amp; Cal'!$B32)</f>
        <v>58</v>
      </c>
      <c r="Q32" s="117">
        <f>SUMIFS(Actual!D:D,Actual!$A:$A,'3)Target &amp; Cal'!$A32,Actual!$B:$B,'3)Target &amp; Cal'!$B32)</f>
        <v>645.79999999999995</v>
      </c>
      <c r="R32" s="117">
        <f>SUMIFS(Actual!E:E,Actual!$A:$A,'3)Target &amp; Cal'!$A32,Actual!$B:$B,'3)Target &amp; Cal'!$B32)</f>
        <v>0</v>
      </c>
      <c r="S32" s="117">
        <f>SUMIFS(Actual!F:F,Actual!$A:$A,'3)Target &amp; Cal'!$A32,Actual!$B:$B,'3)Target &amp; Cal'!$B32)</f>
        <v>0</v>
      </c>
      <c r="T32" s="117">
        <f>SUMIFS(Actual!G:G,Actual!$A:$A,'3)Target &amp; Cal'!$A32,Actual!$B:$B,'3)Target &amp; Cal'!$B32)</f>
        <v>0</v>
      </c>
      <c r="U32" s="117">
        <f>SUMIFS(Actual!H:H,Actual!$A:$A,'3)Target &amp; Cal'!$A32,Actual!$B:$B,'3)Target &amp; Cal'!$B32)</f>
        <v>0</v>
      </c>
      <c r="V32" s="117">
        <f>SUMIFS(Actual!I:I,Actual!$A:$A,'3)Target &amp; Cal'!$A32,Actual!$B:$B,'3)Target &amp; Cal'!$B32)</f>
        <v>0</v>
      </c>
      <c r="W32" s="117">
        <f>SUMIFS(Actual!J:J,Actual!$A:$A,'3)Target &amp; Cal'!$A32,Actual!$B:$B,'3)Target &amp; Cal'!$B32)</f>
        <v>0</v>
      </c>
      <c r="X32" s="117">
        <f>SUMIFS(Actual!K:K,Actual!$A:$A,'3)Target &amp; Cal'!$A32,Actual!$B:$B,'3)Target &amp; Cal'!$B32)</f>
        <v>0</v>
      </c>
      <c r="Y32" s="117">
        <f>SUMIFS(Actual!L:L,Actual!$A:$A,'3)Target &amp; Cal'!$A32,Actual!$B:$B,'3)Target &amp; Cal'!$B32)</f>
        <v>0</v>
      </c>
      <c r="Z32" s="117">
        <f>SUMIFS(Actual!M:M,Actual!$A:$A,'3)Target &amp; Cal'!$A32,Actual!$B:$B,'3)Target &amp; Cal'!$B32)</f>
        <v>0</v>
      </c>
      <c r="AA32" s="117">
        <f>SUMIFS(Actual!N:N,Actual!$A:$A,'3)Target &amp; Cal'!$A32,Actual!$B:$B,'3)Target &amp; Cal'!$B32)</f>
        <v>0</v>
      </c>
      <c r="AB32" s="123">
        <f>IFERROR(IF(VLOOKUP($B32,Shortage!$A:$M,AB$2,FALSE)="Shortage",1,IFERROR(ROUND(P32/D32,4),0)),IFERROR(ROUND(P32/D32,4),0))</f>
        <v>0.1226</v>
      </c>
      <c r="AC32" s="123">
        <f>IFERROR(IF(VLOOKUP($B32,Shortage!$A:$M,AC$2,FALSE)="Shortage",1,IFERROR(ROUND(Q32/E32,4),0)),IFERROR(ROUND(Q32/E32,4),0))</f>
        <v>1.2094</v>
      </c>
      <c r="AD32" s="123">
        <f>IFERROR(IF(VLOOKUP($B32,Shortage!$A:$M,AD$2,FALSE)="Shortage",1,IFERROR(ROUND(R32/F32,4),0)),IFERROR(ROUND(R32/F32,4),0))</f>
        <v>0</v>
      </c>
      <c r="AE32" s="123">
        <f>IFERROR(IF(VLOOKUP($B32,Shortage!$A:$M,AE$2,FALSE)="Shortage",1,IFERROR(ROUND(S32/G32,4),0)),IFERROR(ROUND(S32/G32,4),0))</f>
        <v>0</v>
      </c>
      <c r="AF32" s="123">
        <f>IFERROR(IF(VLOOKUP($B32,Shortage!$A:$M,AF$2,FALSE)="Shortage",1,IFERROR(ROUND(T32/H32,4),0)),IFERROR(ROUND(T32/H32,4),0))</f>
        <v>0</v>
      </c>
      <c r="AG32" s="123">
        <f>IFERROR(IF(VLOOKUP($B32,Shortage!$A:$M,AG$2,FALSE)="Shortage",1,IFERROR(ROUND(U32/I32,4),0)),IFERROR(ROUND(U32/I32,4),0))</f>
        <v>0</v>
      </c>
      <c r="AH32" s="123">
        <f>IFERROR(IF(VLOOKUP($B32,Shortage!$A:$M,AH$2,FALSE)="Shortage",1,IFERROR(ROUND(V32/J32,4),0)),IFERROR(ROUND(V32/J32,4),0))</f>
        <v>0</v>
      </c>
      <c r="AI32" s="123">
        <f>IFERROR(IF(VLOOKUP($B32,Shortage!$A:$M,AI$2,FALSE)="Shortage",1,IFERROR(ROUND(W32/K32,4),0)),IFERROR(ROUND(W32/K32,4),0))</f>
        <v>0</v>
      </c>
      <c r="AJ32" s="123">
        <f>IFERROR(IF(VLOOKUP($B32,Shortage!$A:$M,AP$2,FALSE)="Shortage",1,IFERROR(ROUND(X32/L32,4),0)),IFERROR(ROUND(X32/L32,4),0))</f>
        <v>0</v>
      </c>
      <c r="AK32" s="123">
        <f>IFERROR(IF(VLOOKUP($B32,Shortage!$A:$M,AK$2,FALSE)="Shortage",1,IFERROR(ROUND(Y32/M32,4),0)),IFERROR(ROUND(Y32/M32,4),0))</f>
        <v>0</v>
      </c>
      <c r="AL32" s="123">
        <f>IFERROR(IF(VLOOKUP($B32,Shortage!$A:$M,AL$2,FALSE)="Shortage",1,IFERROR(ROUND(Z32/N32,4),0)),IFERROR(ROUND(Z32/N32,4),0))</f>
        <v>0</v>
      </c>
      <c r="AM32" s="123">
        <f>IFERROR(IF(VLOOKUP($B32,Shortage!$A:$M,AM$2,FALSE)="Shortage",1,IFERROR(ROUND(AA32/O32,4),0)),IFERROR(ROUND(AA32/O32,4),0))</f>
        <v>0</v>
      </c>
      <c r="AN32" s="232">
        <f>IFERROR(IF($C32="Top WS",VLOOKUP("GOAL",'2) หลักการคำนวน Table'!$D$4:$M$4,HLOOKUP(AB32,'2) หลักการคำนวน Table'!$D$1:$M$5,5,TRUE),0),
IF($C32="WS SF",VLOOKUP("GOAL",'2) หลักการคำนวน Table'!$D$32:$M$32,HLOOKUP(AB32,'2) หลักการคำนวน Table'!$D$1:$M$5,5,TRUE),0),
IF($C32="WS WH",VLOOKUP("GOAL",'2) หลักการคำนวน Table'!$D$62:$M$62,HLOOKUP(AB32,'2) หลักการคำนวน Table'!$D$1:$M$5,5,TRUE),0),
IF($C32="SF WH",VLOOKUP("GOAL",'2) หลักการคำนวน Table'!$D$92:$M$92,HLOOKUP(AB32,'2) หลักการคำนวน Table'!$D$1:$M$5,5,TRUE),0))))),0)</f>
        <v>0.9</v>
      </c>
      <c r="AO32" s="232">
        <f>IFERROR(IF($C32="Top WS",VLOOKUP("GOAL",'2) หลักการคำนวน Table'!$D$4:$M$4,HLOOKUP(AC32,'2) หลักการคำนวน Table'!$D$1:$M$5,5,TRUE),0),
IF($C32="WS SF",VLOOKUP("GOAL",'2) หลักการคำนวน Table'!$D$32:$M$32,HLOOKUP(AC32,'2) หลักการคำนวน Table'!$D$1:$M$5,5,TRUE),0),
IF($C32="WS WH",VLOOKUP("GOAL",'2) หลักการคำนวน Table'!$D$62:$M$62,HLOOKUP(AC32,'2) หลักการคำนวน Table'!$D$1:$M$5,5,TRUE),0),
IF($C32="SF WH",VLOOKUP("GOAL",'2) หลักการคำนวน Table'!$D$92:$M$92,HLOOKUP(AC32,'2) หลักการคำนวน Table'!$D$1:$M$5,5,TRUE),0))))),0)</f>
        <v>1.3</v>
      </c>
      <c r="AP32" s="232">
        <f>IFERROR(IF($C32="Top WS",VLOOKUP("GOAL",'2) หลักการคำนวน Table'!$D$4:$M$4,HLOOKUP(AD32,'2) หลักการคำนวน Table'!$D$1:$M$5,5,TRUE),0),
IF($C32="WS SF",VLOOKUP("GOAL",'2) หลักการคำนวน Table'!$D$32:$M$32,HLOOKUP(AD32,'2) หลักการคำนวน Table'!$D$1:$M$5,5,TRUE),0),
IF($C32="WS WH",VLOOKUP("GOAL",'2) หลักการคำนวน Table'!$D$62:$M$62,HLOOKUP(AD32,'2) หลักการคำนวน Table'!$D$1:$M$5,5,TRUE),0),
IF($C32="SF WH",VLOOKUP("GOAL",'2) หลักการคำนวน Table'!$D$92:$M$92,HLOOKUP(AD32,'2) หลักการคำนวน Table'!$D$1:$M$5,5,TRUE),0))))),0)</f>
        <v>0.9</v>
      </c>
      <c r="AQ32" s="232">
        <f>IFERROR(IF($C32="Top WS",VLOOKUP("GOAL",'2) หลักการคำนวน Table'!$D$4:$M$4,HLOOKUP(AE32,'2) หลักการคำนวน Table'!$D$1:$M$5,5,TRUE),0),
IF($C32="WS SF",VLOOKUP("GOAL",'2) หลักการคำนวน Table'!$D$32:$M$32,HLOOKUP(AE32,'2) หลักการคำนวน Table'!$D$1:$M$5,5,TRUE),0),
IF($C32="WS WH",VLOOKUP("GOAL",'2) หลักการคำนวน Table'!$D$62:$M$62,HLOOKUP(AE32,'2) หลักการคำนวน Table'!$D$1:$M$5,5,TRUE),0),
IF($C32="SF WH",VLOOKUP("GOAL",'2) หลักการคำนวน Table'!$D$92:$M$92,HLOOKUP(AE32,'2) หลักการคำนวน Table'!$D$1:$M$5,5,TRUE),0))))),0)</f>
        <v>0.9</v>
      </c>
      <c r="AR32" s="232">
        <f>IFERROR(IF($C32="Top WS",VLOOKUP("GOAL",'2) หลักการคำนวน Table'!$D$4:$M$4,HLOOKUP(AF32,'2) หลักการคำนวน Table'!$D$1:$M$5,5,TRUE),0),
IF($C32="WS SF",VLOOKUP("GOAL",'2) หลักการคำนวน Table'!$D$32:$M$32,HLOOKUP(AF32,'2) หลักการคำนวน Table'!$D$1:$M$5,5,TRUE),0),
IF($C32="WS WH",VLOOKUP("GOAL",'2) หลักการคำนวน Table'!$D$62:$M$62,HLOOKUP(AF32,'2) หลักการคำนวน Table'!$D$1:$M$5,5,TRUE),0),
IF($C32="SF WH",VLOOKUP("GOAL",'2) หลักการคำนวน Table'!$D$92:$M$92,HLOOKUP(AF32,'2) หลักการคำนวน Table'!$D$1:$M$5,5,TRUE),0))))),0)</f>
        <v>0.9</v>
      </c>
      <c r="AS32" s="232">
        <f>IFERROR(IF($C32="Top WS",VLOOKUP("GOAL",'2) หลักการคำนวน Table'!$D$4:$M$4,HLOOKUP(AG32,'2) หลักการคำนวน Table'!$D$1:$M$5,5,TRUE),0),
IF($C32="WS SF",VLOOKUP("GOAL",'2) หลักการคำนวน Table'!$D$32:$M$32,HLOOKUP(AG32,'2) หลักการคำนวน Table'!$D$1:$M$5,5,TRUE),0),
IF($C32="WS WH",VLOOKUP("GOAL",'2) หลักการคำนวน Table'!$D$62:$M$62,HLOOKUP(AG32,'2) หลักการคำนวน Table'!$D$1:$M$5,5,TRUE),0),
IF($C32="SF WH",VLOOKUP("GOAL",'2) หลักการคำนวน Table'!$D$92:$M$92,HLOOKUP(AG32,'2) หลักการคำนวน Table'!$D$1:$M$5,5,TRUE),0))))),0)</f>
        <v>0.9</v>
      </c>
      <c r="AT32" s="232">
        <f>IFERROR(IF($C32="Top WS",VLOOKUP("GOAL",'2) หลักการคำนวน Table'!$D$4:$M$4,HLOOKUP(AH32,'2) หลักการคำนวน Table'!$D$1:$M$5,5,TRUE),0),
IF($C32="WS SF",VLOOKUP("GOAL",'2) หลักการคำนวน Table'!$D$32:$M$32,HLOOKUP(AH32,'2) หลักการคำนวน Table'!$D$1:$M$5,5,TRUE),0),
IF($C32="WS WH",VLOOKUP("GOAL",'2) หลักการคำนวน Table'!$D$62:$M$62,HLOOKUP(AH32,'2) หลักการคำนวน Table'!$D$1:$M$5,5,TRUE),0),
IF($C32="SF WH",VLOOKUP("GOAL",'2) หลักการคำนวน Table'!$D$92:$M$92,HLOOKUP(AH32,'2) หลักการคำนวน Table'!$D$1:$M$5,5,TRUE),0))))),0)</f>
        <v>0.9</v>
      </c>
      <c r="AU32" s="232">
        <f>IFERROR(IF($C32="Top WS",VLOOKUP("GOAL",'2) หลักการคำนวน Table'!$D$4:$M$4,HLOOKUP(AI32,'2) หลักการคำนวน Table'!$D$1:$M$5,5,TRUE),0),
IF($C32="WS SF",VLOOKUP("GOAL",'2) หลักการคำนวน Table'!$D$32:$M$32,HLOOKUP(AI32,'2) หลักการคำนวน Table'!$D$1:$M$5,5,TRUE),0),
IF($C32="WS WH",VLOOKUP("GOAL",'2) หลักการคำนวน Table'!$D$62:$M$62,HLOOKUP(AI32,'2) หลักการคำนวน Table'!$D$1:$M$5,5,TRUE),0),
IF($C32="SF WH",VLOOKUP("GOAL",'2) หลักการคำนวน Table'!$D$92:$M$92,HLOOKUP(AI32,'2) หลักการคำนวน Table'!$D$1:$M$5,5,TRUE),0))))),0)</f>
        <v>0.9</v>
      </c>
      <c r="AV32" s="232">
        <f>IFERROR(IF($C32="Top WS",VLOOKUP("GOAL",'2) หลักการคำนวน Table'!$D$4:$M$4,HLOOKUP(AP32,'2) หลักการคำนวน Table'!$D$1:$M$5,5,TRUE),0),
IF($C32="WS SF",VLOOKUP("GOAL",'2) หลักการคำนวน Table'!$D$32:$M$32,HLOOKUP(AP32,'2) หลักการคำนวน Table'!$D$1:$M$5,5,TRUE),0),
IF($C32="WS WH",VLOOKUP("GOAL",'2) หลักการคำนวน Table'!$D$62:$M$62,HLOOKUP(AP32,'2) หลักการคำนวน Table'!$D$1:$M$5,5,TRUE),0),
IF($C32="SF WH",VLOOKUP("GOAL",'2) หลักการคำนวน Table'!$D$92:$M$92,HLOOKUP(AP32,'2) หลักการคำนวน Table'!$D$1:$M$5,5,TRUE),0))))),0)</f>
        <v>0.9</v>
      </c>
      <c r="AW32" s="232">
        <f>IFERROR(IF($C32="Top WS",VLOOKUP("GOAL",'2) หลักการคำนวน Table'!$D$4:$M$4,HLOOKUP(AK32,'2) หลักการคำนวน Table'!$D$1:$M$5,5,TRUE),0),
IF($C32="WS SF",VLOOKUP("GOAL",'2) หลักการคำนวน Table'!$D$32:$M$32,HLOOKUP(AK32,'2) หลักการคำนวน Table'!$D$1:$M$5,5,TRUE),0),
IF($C32="WS WH",VLOOKUP("GOAL",'2) หลักการคำนวน Table'!$D$62:$M$62,HLOOKUP(AK32,'2) หลักการคำนวน Table'!$D$1:$M$5,5,TRUE),0),
IF($C32="SF WH",VLOOKUP("GOAL",'2) หลักการคำนวน Table'!$D$92:$M$92,HLOOKUP(AK32,'2) หลักการคำนวน Table'!$D$1:$M$5,5,TRUE),0))))),0)</f>
        <v>0.9</v>
      </c>
      <c r="AX32" s="232">
        <f>IFERROR(IF($C32="Top WS",VLOOKUP("GOAL",'2) หลักการคำนวน Table'!$D$4:$M$4,HLOOKUP(AL32,'2) หลักการคำนวน Table'!$D$1:$M$5,5,TRUE),0),
IF($C32="WS SF",VLOOKUP("GOAL",'2) หลักการคำนวน Table'!$D$32:$M$32,HLOOKUP(AL32,'2) หลักการคำนวน Table'!$D$1:$M$5,5,TRUE),0),
IF($C32="WS WH",VLOOKUP("GOAL",'2) หลักการคำนวน Table'!$D$62:$M$62,HLOOKUP(AL32,'2) หลักการคำนวน Table'!$D$1:$M$5,5,TRUE),0),
IF($C32="SF WH",VLOOKUP("GOAL",'2) หลักการคำนวน Table'!$D$92:$M$92,HLOOKUP(AL32,'2) หลักการคำนวน Table'!$D$1:$M$5,5,TRUE),0))))),0)</f>
        <v>0.9</v>
      </c>
      <c r="AY32" s="232">
        <f>IFERROR(IF($C32="Top WS",VLOOKUP("GOAL",'2) หลักการคำนวน Table'!$D$4:$M$4,HLOOKUP(AM32,'2) หลักการคำนวน Table'!$D$1:$M$5,5,TRUE),0),
IF($C32="WS SF",VLOOKUP("GOAL",'2) หลักการคำนวน Table'!$D$32:$M$32,HLOOKUP(AM32,'2) หลักการคำนวน Table'!$D$1:$M$5,5,TRUE),0),
IF($C32="WS WH",VLOOKUP("GOAL",'2) หลักการคำนวน Table'!$D$62:$M$62,HLOOKUP(AM32,'2) หลักการคำนวน Table'!$D$1:$M$5,5,TRUE),0),
IF($C32="SF WH",VLOOKUP("GOAL",'2) หลักการคำนวน Table'!$D$92:$M$92,HLOOKUP(AM32,'2) หลักการคำนวน Table'!$D$1:$M$5,5,TRUE),0))))),0)</f>
        <v>0.9</v>
      </c>
      <c r="AZ32" s="167">
        <f>IFERROR(IF($C32="Top WS",VLOOKUP($B32,'2) หลักการคำนวน Table'!$D$5:$M$20,HLOOKUP(AB32,'2) หลักการคำนวน Table'!$D$1:$M$5,5,TRUE),0),
IF($C32="WS SF",VLOOKUP($B32,'2) หลักการคำนวน Table'!$D$33:$M$48,HLOOKUP(AB32,'2) หลักการคำนวน Table'!$D$1:$M$5,5,TRUE),0),
IF($C32="WS WH",VLOOKUP($B32,'2) หลักการคำนวน Table'!$D$63:$M$78,HLOOKUP(AB32,'2) หลักการคำนวน Table'!$D$1:$M$5,5,TRUE),0),
IF($C32="SF WH",VLOOKUP($B32,'2) หลักการคำนวน Table'!$D$93:$M$108,HLOOKUP(AB32,'2) หลักการคำนวน Table'!$D$1:$M$5,5,TRUE),0))))),0)</f>
        <v>180</v>
      </c>
      <c r="BA32" s="167">
        <f>IFERROR(IF($C32="Top WS",VLOOKUP($B32,'2) หลักการคำนวน Table'!$D$5:$M$20,HLOOKUP(AC32,'2) หลักการคำนวน Table'!$D$1:$M$5,5,TRUE),0),
IF($C32="WS SF",VLOOKUP($B32,'2) หลักการคำนวน Table'!$D$33:$M$48,HLOOKUP(AC32,'2) หลักการคำนวน Table'!$D$1:$M$5,5,TRUE),0),
IF($C32="WS WH",VLOOKUP($B32,'2) หลักการคำนวน Table'!$D$63:$M$78,HLOOKUP(AC32,'2) หลักการคำนวน Table'!$D$1:$M$5,5,TRUE),0),
IF($C32="SF WH",VLOOKUP($B32,'2) หลักการคำนวน Table'!$D$93:$M$108,HLOOKUP(AC32,'2) หลักการคำนวน Table'!$D$1:$M$5,5,TRUE),0))))),0)</f>
        <v>260</v>
      </c>
      <c r="BB32" s="167">
        <f>IFERROR(IF($C32="Top WS",VLOOKUP($B32,'2) หลักการคำนวน Table'!$D$5:$M$20,HLOOKUP(AD32,'2) หลักการคำนวน Table'!$D$1:$M$5,5,TRUE),0),
IF($C32="WS SF",VLOOKUP($B32,'2) หลักการคำนวน Table'!$D$33:$M$48,HLOOKUP(AD32,'2) หลักการคำนวน Table'!$D$1:$M$5,5,TRUE),0),
IF($C32="WS WH",VLOOKUP($B32,'2) หลักการคำนวน Table'!$D$63:$M$78,HLOOKUP(AD32,'2) หลักการคำนวน Table'!$D$1:$M$5,5,TRUE),0),
IF($C32="SF WH",VLOOKUP($B32,'2) หลักการคำนวน Table'!$D$93:$M$108,HLOOKUP(AD32,'2) หลักการคำนวน Table'!$D$1:$M$5,5,TRUE),0))))),0)</f>
        <v>180</v>
      </c>
      <c r="BC32" s="167">
        <f>IFERROR(IF($C32="Top WS",VLOOKUP($B32,'2) หลักการคำนวน Table'!$D$5:$M$20,HLOOKUP(AE32,'2) หลักการคำนวน Table'!$D$1:$M$5,5,TRUE),0),
IF($C32="WS SF",VLOOKUP($B32,'2) หลักการคำนวน Table'!$D$33:$M$48,HLOOKUP(AE32,'2) หลักการคำนวน Table'!$D$1:$M$5,5,TRUE),0),
IF($C32="WS WH",VLOOKUP($B32,'2) หลักการคำนวน Table'!$D$63:$M$78,HLOOKUP(AE32,'2) หลักการคำนวน Table'!$D$1:$M$5,5,TRUE),0),
IF($C32="SF WH",VLOOKUP($B32,'2) หลักการคำนวน Table'!$D$93:$M$108,HLOOKUP(AE32,'2) หลักการคำนวน Table'!$D$1:$M$5,5,TRUE),0))))),0)</f>
        <v>180</v>
      </c>
      <c r="BD32" s="167">
        <f>IFERROR(IF($C32="Top WS",VLOOKUP($B32,'2) หลักการคำนวน Table'!$D$5:$M$20,HLOOKUP(AF32,'2) หลักการคำนวน Table'!$D$1:$M$5,5,TRUE),0),
IF($C32="WS SF",VLOOKUP($B32,'2) หลักการคำนวน Table'!$D$33:$M$48,HLOOKUP(AF32,'2) หลักการคำนวน Table'!$D$1:$M$5,5,TRUE),0),
IF($C32="WS WH",VLOOKUP($B32,'2) หลักการคำนวน Table'!$D$63:$M$78,HLOOKUP(AF32,'2) หลักการคำนวน Table'!$D$1:$M$5,5,TRUE),0),
IF($C32="SF WH",VLOOKUP($B32,'2) หลักการคำนวน Table'!$D$93:$M$108,HLOOKUP(AF32,'2) หลักการคำนวน Table'!$D$1:$M$5,5,TRUE),0))))),0)</f>
        <v>180</v>
      </c>
      <c r="BE32" s="167">
        <f>IFERROR(IF($C32="Top WS",VLOOKUP($B32,'2) หลักการคำนวน Table'!$D$5:$M$20,HLOOKUP(AG32,'2) หลักการคำนวน Table'!$D$1:$M$5,5,TRUE),0),
IF($C32="WS SF",VLOOKUP($B32,'2) หลักการคำนวน Table'!$D$33:$M$48,HLOOKUP(AG32,'2) หลักการคำนวน Table'!$D$1:$M$5,5,TRUE),0),
IF($C32="WS WH",VLOOKUP($B32,'2) หลักการคำนวน Table'!$D$63:$M$78,HLOOKUP(AG32,'2) หลักการคำนวน Table'!$D$1:$M$5,5,TRUE),0),
IF($C32="SF WH",VLOOKUP($B32,'2) หลักการคำนวน Table'!$D$93:$M$108,HLOOKUP(AG32,'2) หลักการคำนวน Table'!$D$1:$M$5,5,TRUE),0))))),0)</f>
        <v>180</v>
      </c>
      <c r="BF32" s="167">
        <f>IFERROR(IF($C32="Top WS",VLOOKUP($B32,'2) หลักการคำนวน Table'!$D$5:$M$20,HLOOKUP(AH32,'2) หลักการคำนวน Table'!$D$1:$M$5,5,TRUE),0),
IF($C32="WS SF",VLOOKUP($B32,'2) หลักการคำนวน Table'!$D$33:$M$48,HLOOKUP(AH32,'2) หลักการคำนวน Table'!$D$1:$M$5,5,TRUE),0),
IF($C32="WS WH",VLOOKUP($B32,'2) หลักการคำนวน Table'!$D$63:$M$78,HLOOKUP(AH32,'2) หลักการคำนวน Table'!$D$1:$M$5,5,TRUE),0),
IF($C32="SF WH",VLOOKUP($B32,'2) หลักการคำนวน Table'!$D$93:$M$108,HLOOKUP(AH32,'2) หลักการคำนวน Table'!$D$1:$M$5,5,TRUE),0))))),0)</f>
        <v>180</v>
      </c>
      <c r="BG32" s="167">
        <f>IFERROR(IF($C32="Top WS",VLOOKUP($B32,'2) หลักการคำนวน Table'!$D$5:$M$20,HLOOKUP(AI32,'2) หลักการคำนวน Table'!$D$1:$M$5,5,TRUE),0),
IF($C32="WS SF",VLOOKUP($B32,'2) หลักการคำนวน Table'!$D$33:$M$48,HLOOKUP(AI32,'2) หลักการคำนวน Table'!$D$1:$M$5,5,TRUE),0),
IF($C32="WS WH",VLOOKUP($B32,'2) หลักการคำนวน Table'!$D$63:$M$78,HLOOKUP(AI32,'2) หลักการคำนวน Table'!$D$1:$M$5,5,TRUE),0),
IF($C32="SF WH",VLOOKUP($B32,'2) หลักการคำนวน Table'!$D$93:$M$108,HLOOKUP(AI32,'2) หลักการคำนวน Table'!$D$1:$M$5,5,TRUE),0))))),0)</f>
        <v>180</v>
      </c>
      <c r="BH32" s="167">
        <f>IFERROR(IF($C32="Top WS",VLOOKUP($B32,'2) หลักการคำนวน Table'!$D$5:$M$20,HLOOKUP(AP32,'2) หลักการคำนวน Table'!$D$1:$M$5,5,TRUE),0),
IF($C32="WS SF",VLOOKUP($B32,'2) หลักการคำนวน Table'!$D$33:$M$48,HLOOKUP(AP32,'2) หลักการคำนวน Table'!$D$1:$M$5,5,TRUE),0),
IF($C32="WS WH",VLOOKUP($B32,'2) หลักการคำนวน Table'!$D$63:$M$78,HLOOKUP(AP32,'2) หลักการคำนวน Table'!$D$1:$M$5,5,TRUE),0),
IF($C32="SF WH",VLOOKUP($B32,'2) หลักการคำนวน Table'!$D$93:$M$108,HLOOKUP(AP32,'2) หลักการคำนวน Table'!$D$1:$M$5,5,TRUE),0))))),0)</f>
        <v>180</v>
      </c>
      <c r="BI32" s="167">
        <f>IFERROR(IF($C32="Top WS",VLOOKUP($B32,'2) หลักการคำนวน Table'!$D$5:$M$20,HLOOKUP(AK32,'2) หลักการคำนวน Table'!$D$1:$M$5,5,TRUE),0),
IF($C32="WS SF",VLOOKUP($B32,'2) หลักการคำนวน Table'!$D$33:$M$48,HLOOKUP(AK32,'2) หลักการคำนวน Table'!$D$1:$M$5,5,TRUE),0),
IF($C32="WS WH",VLOOKUP($B32,'2) หลักการคำนวน Table'!$D$63:$M$78,HLOOKUP(AK32,'2) หลักการคำนวน Table'!$D$1:$M$5,5,TRUE),0),
IF($C32="SF WH",VLOOKUP($B32,'2) หลักการคำนวน Table'!$D$93:$M$108,HLOOKUP(AK32,'2) หลักการคำนวน Table'!$D$1:$M$5,5,TRUE),0))))),0)</f>
        <v>180</v>
      </c>
      <c r="BJ32" s="167">
        <f>IFERROR(IF($C32="Top WS",VLOOKUP($B32,'2) หลักการคำนวน Table'!$D$5:$M$20,HLOOKUP(AL32,'2) หลักการคำนวน Table'!$D$1:$M$5,5,TRUE),0),
IF($C32="WS SF",VLOOKUP($B32,'2) หลักการคำนวน Table'!$D$33:$M$48,HLOOKUP(AL32,'2) หลักการคำนวน Table'!$D$1:$M$5,5,TRUE),0),
IF($C32="WS WH",VLOOKUP($B32,'2) หลักการคำนวน Table'!$D$63:$M$78,HLOOKUP(AL32,'2) หลักการคำนวน Table'!$D$1:$M$5,5,TRUE),0),
IF($C32="SF WH",VLOOKUP($B32,'2) หลักการคำนวน Table'!$D$93:$M$108,HLOOKUP(AL32,'2) หลักการคำนวน Table'!$D$1:$M$5,5,TRUE),0))))),0)</f>
        <v>180</v>
      </c>
      <c r="BK32" s="167">
        <f>IFERROR(IF($C32="Top WS",VLOOKUP($B32,'2) หลักการคำนวน Table'!$D$5:$M$20,HLOOKUP(AM32,'2) หลักการคำนวน Table'!$D$1:$M$5,5,TRUE),0),
IF($C32="WS SF",VLOOKUP($B32,'2) หลักการคำนวน Table'!$D$33:$M$48,HLOOKUP(AM32,'2) หลักการคำนวน Table'!$D$1:$M$5,5,TRUE),0),
IF($C32="WS WH",VLOOKUP($B32,'2) หลักการคำนวน Table'!$D$63:$M$78,HLOOKUP(AM32,'2) หลักการคำนวน Table'!$D$1:$M$5,5,TRUE),0),
IF($C32="SF WH",VLOOKUP($B32,'2) หลักการคำนวน Table'!$D$93:$M$108,HLOOKUP(AM32,'2) หลักการคำนวน Table'!$D$1:$M$5,5,TRUE),0))))),0)</f>
        <v>180</v>
      </c>
      <c r="BM32" s="119">
        <f>VLOOKUP(VLOOKUP(A32,ASTBase!E:S,13,FALSE),ASTBase!F:P,11,FALSE)</f>
        <v>120000</v>
      </c>
      <c r="BN32" s="196" cm="1">
        <f t="array" ref="BN32">INDEX(AN32:AY32,,Period!$D$2)</f>
        <v>1.3</v>
      </c>
    </row>
    <row r="33" spans="1:66" x14ac:dyDescent="0.25">
      <c r="A33" s="117">
        <v>120001</v>
      </c>
      <c r="B33" s="117" t="s">
        <v>396</v>
      </c>
      <c r="C33" s="117" t="s">
        <v>178</v>
      </c>
      <c r="D33" s="118">
        <v>43</v>
      </c>
      <c r="E33" s="118">
        <v>59</v>
      </c>
      <c r="F33" s="118">
        <v>61</v>
      </c>
      <c r="G33" s="118">
        <v>40</v>
      </c>
      <c r="H33" s="118">
        <v>53</v>
      </c>
      <c r="I33" s="118">
        <v>76</v>
      </c>
      <c r="J33" s="118">
        <v>51</v>
      </c>
      <c r="K33" s="118">
        <v>100</v>
      </c>
      <c r="L33" s="118">
        <v>91</v>
      </c>
      <c r="M33" s="118">
        <v>75</v>
      </c>
      <c r="N33" s="118">
        <v>124</v>
      </c>
      <c r="O33" s="118">
        <v>124</v>
      </c>
      <c r="P33" s="117">
        <f>SUMIFS(Actual!C:C,Actual!$A:$A,'3)Target &amp; Cal'!$A33,Actual!$B:$B,'3)Target &amp; Cal'!$B33)</f>
        <v>11.52</v>
      </c>
      <c r="Q33" s="117">
        <f>SUMIFS(Actual!D:D,Actual!$A:$A,'3)Target &amp; Cal'!$A33,Actual!$B:$B,'3)Target &amp; Cal'!$B33)</f>
        <v>84.096000000000004</v>
      </c>
      <c r="R33" s="117">
        <f>SUMIFS(Actual!E:E,Actual!$A:$A,'3)Target &amp; Cal'!$A33,Actual!$B:$B,'3)Target &amp; Cal'!$B33)</f>
        <v>0</v>
      </c>
      <c r="S33" s="117">
        <f>SUMIFS(Actual!F:F,Actual!$A:$A,'3)Target &amp; Cal'!$A33,Actual!$B:$B,'3)Target &amp; Cal'!$B33)</f>
        <v>0</v>
      </c>
      <c r="T33" s="117">
        <f>SUMIFS(Actual!G:G,Actual!$A:$A,'3)Target &amp; Cal'!$A33,Actual!$B:$B,'3)Target &amp; Cal'!$B33)</f>
        <v>0</v>
      </c>
      <c r="U33" s="117">
        <f>SUMIFS(Actual!H:H,Actual!$A:$A,'3)Target &amp; Cal'!$A33,Actual!$B:$B,'3)Target &amp; Cal'!$B33)</f>
        <v>0</v>
      </c>
      <c r="V33" s="117">
        <f>SUMIFS(Actual!I:I,Actual!$A:$A,'3)Target &amp; Cal'!$A33,Actual!$B:$B,'3)Target &amp; Cal'!$B33)</f>
        <v>0</v>
      </c>
      <c r="W33" s="117">
        <f>SUMIFS(Actual!J:J,Actual!$A:$A,'3)Target &amp; Cal'!$A33,Actual!$B:$B,'3)Target &amp; Cal'!$B33)</f>
        <v>0</v>
      </c>
      <c r="X33" s="117">
        <f>SUMIFS(Actual!K:K,Actual!$A:$A,'3)Target &amp; Cal'!$A33,Actual!$B:$B,'3)Target &amp; Cal'!$B33)</f>
        <v>0</v>
      </c>
      <c r="Y33" s="117">
        <f>SUMIFS(Actual!L:L,Actual!$A:$A,'3)Target &amp; Cal'!$A33,Actual!$B:$B,'3)Target &amp; Cal'!$B33)</f>
        <v>0</v>
      </c>
      <c r="Z33" s="117">
        <f>SUMIFS(Actual!M:M,Actual!$A:$A,'3)Target &amp; Cal'!$A33,Actual!$B:$B,'3)Target &amp; Cal'!$B33)</f>
        <v>0</v>
      </c>
      <c r="AA33" s="117">
        <f>SUMIFS(Actual!N:N,Actual!$A:$A,'3)Target &amp; Cal'!$A33,Actual!$B:$B,'3)Target &amp; Cal'!$B33)</f>
        <v>0</v>
      </c>
      <c r="AB33" s="123">
        <f>IFERROR(IF(VLOOKUP($B33,Shortage!$A:$M,AB$2,FALSE)="Shortage",1,IFERROR(ROUND(P33/D33,4),0)),IFERROR(ROUND(P33/D33,4),0))</f>
        <v>0.26790000000000003</v>
      </c>
      <c r="AC33" s="123">
        <f>IFERROR(IF(VLOOKUP($B33,Shortage!$A:$M,AC$2,FALSE)="Shortage",1,IFERROR(ROUND(Q33/E33,4),0)),IFERROR(ROUND(Q33/E33,4),0))</f>
        <v>1.4254</v>
      </c>
      <c r="AD33" s="123">
        <f>IFERROR(IF(VLOOKUP($B33,Shortage!$A:$M,AD$2,FALSE)="Shortage",1,IFERROR(ROUND(R33/F33,4),0)),IFERROR(ROUND(R33/F33,4),0))</f>
        <v>0</v>
      </c>
      <c r="AE33" s="123">
        <f>IFERROR(IF(VLOOKUP($B33,Shortage!$A:$M,AE$2,FALSE)="Shortage",1,IFERROR(ROUND(S33/G33,4),0)),IFERROR(ROUND(S33/G33,4),0))</f>
        <v>0</v>
      </c>
      <c r="AF33" s="123">
        <f>IFERROR(IF(VLOOKUP($B33,Shortage!$A:$M,AF$2,FALSE)="Shortage",1,IFERROR(ROUND(T33/H33,4),0)),IFERROR(ROUND(T33/H33,4),0))</f>
        <v>0</v>
      </c>
      <c r="AG33" s="123">
        <f>IFERROR(IF(VLOOKUP($B33,Shortage!$A:$M,AG$2,FALSE)="Shortage",1,IFERROR(ROUND(U33/I33,4),0)),IFERROR(ROUND(U33/I33,4),0))</f>
        <v>0</v>
      </c>
      <c r="AH33" s="123">
        <f>IFERROR(IF(VLOOKUP($B33,Shortage!$A:$M,AH$2,FALSE)="Shortage",1,IFERROR(ROUND(V33/J33,4),0)),IFERROR(ROUND(V33/J33,4),0))</f>
        <v>0</v>
      </c>
      <c r="AI33" s="123">
        <f>IFERROR(IF(VLOOKUP($B33,Shortage!$A:$M,AI$2,FALSE)="Shortage",1,IFERROR(ROUND(W33/K33,4),0)),IFERROR(ROUND(W33/K33,4),0))</f>
        <v>0</v>
      </c>
      <c r="AJ33" s="123">
        <f>IFERROR(IF(VLOOKUP($B33,Shortage!$A:$M,AP$2,FALSE)="Shortage",1,IFERROR(ROUND(X33/L33,4),0)),IFERROR(ROUND(X33/L33,4),0))</f>
        <v>0</v>
      </c>
      <c r="AK33" s="123">
        <f>IFERROR(IF(VLOOKUP($B33,Shortage!$A:$M,AK$2,FALSE)="Shortage",1,IFERROR(ROUND(Y33/M33,4),0)),IFERROR(ROUND(Y33/M33,4),0))</f>
        <v>0</v>
      </c>
      <c r="AL33" s="123">
        <f>IFERROR(IF(VLOOKUP($B33,Shortage!$A:$M,AL$2,FALSE)="Shortage",1,IFERROR(ROUND(Z33/N33,4),0)),IFERROR(ROUND(Z33/N33,4),0))</f>
        <v>0</v>
      </c>
      <c r="AM33" s="123">
        <f>IFERROR(IF(VLOOKUP($B33,Shortage!$A:$M,AM$2,FALSE)="Shortage",1,IFERROR(ROUND(AA33/O33,4),0)),IFERROR(ROUND(AA33/O33,4),0))</f>
        <v>0</v>
      </c>
      <c r="AN33" s="232">
        <f>IFERROR(IF($C33="Top WS",VLOOKUP("GOAL",'2) หลักการคำนวน Table'!$D$4:$M$4,HLOOKUP(AB33,'2) หลักการคำนวน Table'!$D$1:$M$5,5,TRUE),0),
IF($C33="WS SF",VLOOKUP("GOAL",'2) หลักการคำนวน Table'!$D$32:$M$32,HLOOKUP(AB33,'2) หลักการคำนวน Table'!$D$1:$M$5,5,TRUE),0),
IF($C33="WS WH",VLOOKUP("GOAL",'2) หลักการคำนวน Table'!$D$62:$M$62,HLOOKUP(AB33,'2) หลักการคำนวน Table'!$D$1:$M$5,5,TRUE),0),
IF($C33="SF WH",VLOOKUP("GOAL",'2) หลักการคำนวน Table'!$D$92:$M$92,HLOOKUP(AB33,'2) หลักการคำนวน Table'!$D$1:$M$5,5,TRUE),0))))),0)</f>
        <v>0.9</v>
      </c>
      <c r="AO33" s="232">
        <f>IFERROR(IF($C33="Top WS",VLOOKUP("GOAL",'2) หลักการคำนวน Table'!$D$4:$M$4,HLOOKUP(AC33,'2) หลักการคำนวน Table'!$D$1:$M$5,5,TRUE),0),
IF($C33="WS SF",VLOOKUP("GOAL",'2) หลักการคำนวน Table'!$D$32:$M$32,HLOOKUP(AC33,'2) หลักการคำนวน Table'!$D$1:$M$5,5,TRUE),0),
IF($C33="WS WH",VLOOKUP("GOAL",'2) หลักการคำนวน Table'!$D$62:$M$62,HLOOKUP(AC33,'2) หลักการคำนวน Table'!$D$1:$M$5,5,TRUE),0),
IF($C33="SF WH",VLOOKUP("GOAL",'2) หลักการคำนวน Table'!$D$92:$M$92,HLOOKUP(AC33,'2) หลักการคำนวน Table'!$D$1:$M$5,5,TRUE),0))))),0)</f>
        <v>1.3</v>
      </c>
      <c r="AP33" s="232">
        <f>IFERROR(IF($C33="Top WS",VLOOKUP("GOAL",'2) หลักการคำนวน Table'!$D$4:$M$4,HLOOKUP(AD33,'2) หลักการคำนวน Table'!$D$1:$M$5,5,TRUE),0),
IF($C33="WS SF",VLOOKUP("GOAL",'2) หลักการคำนวน Table'!$D$32:$M$32,HLOOKUP(AD33,'2) หลักการคำนวน Table'!$D$1:$M$5,5,TRUE),0),
IF($C33="WS WH",VLOOKUP("GOAL",'2) หลักการคำนวน Table'!$D$62:$M$62,HLOOKUP(AD33,'2) หลักการคำนวน Table'!$D$1:$M$5,5,TRUE),0),
IF($C33="SF WH",VLOOKUP("GOAL",'2) หลักการคำนวน Table'!$D$92:$M$92,HLOOKUP(AD33,'2) หลักการคำนวน Table'!$D$1:$M$5,5,TRUE),0))))),0)</f>
        <v>0.9</v>
      </c>
      <c r="AQ33" s="232">
        <f>IFERROR(IF($C33="Top WS",VLOOKUP("GOAL",'2) หลักการคำนวน Table'!$D$4:$M$4,HLOOKUP(AE33,'2) หลักการคำนวน Table'!$D$1:$M$5,5,TRUE),0),
IF($C33="WS SF",VLOOKUP("GOAL",'2) หลักการคำนวน Table'!$D$32:$M$32,HLOOKUP(AE33,'2) หลักการคำนวน Table'!$D$1:$M$5,5,TRUE),0),
IF($C33="WS WH",VLOOKUP("GOAL",'2) หลักการคำนวน Table'!$D$62:$M$62,HLOOKUP(AE33,'2) หลักการคำนวน Table'!$D$1:$M$5,5,TRUE),0),
IF($C33="SF WH",VLOOKUP("GOAL",'2) หลักการคำนวน Table'!$D$92:$M$92,HLOOKUP(AE33,'2) หลักการคำนวน Table'!$D$1:$M$5,5,TRUE),0))))),0)</f>
        <v>0.9</v>
      </c>
      <c r="AR33" s="232">
        <f>IFERROR(IF($C33="Top WS",VLOOKUP("GOAL",'2) หลักการคำนวน Table'!$D$4:$M$4,HLOOKUP(AF33,'2) หลักการคำนวน Table'!$D$1:$M$5,5,TRUE),0),
IF($C33="WS SF",VLOOKUP("GOAL",'2) หลักการคำนวน Table'!$D$32:$M$32,HLOOKUP(AF33,'2) หลักการคำนวน Table'!$D$1:$M$5,5,TRUE),0),
IF($C33="WS WH",VLOOKUP("GOAL",'2) หลักการคำนวน Table'!$D$62:$M$62,HLOOKUP(AF33,'2) หลักการคำนวน Table'!$D$1:$M$5,5,TRUE),0),
IF($C33="SF WH",VLOOKUP("GOAL",'2) หลักการคำนวน Table'!$D$92:$M$92,HLOOKUP(AF33,'2) หลักการคำนวน Table'!$D$1:$M$5,5,TRUE),0))))),0)</f>
        <v>0.9</v>
      </c>
      <c r="AS33" s="232">
        <f>IFERROR(IF($C33="Top WS",VLOOKUP("GOAL",'2) หลักการคำนวน Table'!$D$4:$M$4,HLOOKUP(AG33,'2) หลักการคำนวน Table'!$D$1:$M$5,5,TRUE),0),
IF($C33="WS SF",VLOOKUP("GOAL",'2) หลักการคำนวน Table'!$D$32:$M$32,HLOOKUP(AG33,'2) หลักการคำนวน Table'!$D$1:$M$5,5,TRUE),0),
IF($C33="WS WH",VLOOKUP("GOAL",'2) หลักการคำนวน Table'!$D$62:$M$62,HLOOKUP(AG33,'2) หลักการคำนวน Table'!$D$1:$M$5,5,TRUE),0),
IF($C33="SF WH",VLOOKUP("GOAL",'2) หลักการคำนวน Table'!$D$92:$M$92,HLOOKUP(AG33,'2) หลักการคำนวน Table'!$D$1:$M$5,5,TRUE),0))))),0)</f>
        <v>0.9</v>
      </c>
      <c r="AT33" s="232">
        <f>IFERROR(IF($C33="Top WS",VLOOKUP("GOAL",'2) หลักการคำนวน Table'!$D$4:$M$4,HLOOKUP(AH33,'2) หลักการคำนวน Table'!$D$1:$M$5,5,TRUE),0),
IF($C33="WS SF",VLOOKUP("GOAL",'2) หลักการคำนวน Table'!$D$32:$M$32,HLOOKUP(AH33,'2) หลักการคำนวน Table'!$D$1:$M$5,5,TRUE),0),
IF($C33="WS WH",VLOOKUP("GOAL",'2) หลักการคำนวน Table'!$D$62:$M$62,HLOOKUP(AH33,'2) หลักการคำนวน Table'!$D$1:$M$5,5,TRUE),0),
IF($C33="SF WH",VLOOKUP("GOAL",'2) หลักการคำนวน Table'!$D$92:$M$92,HLOOKUP(AH33,'2) หลักการคำนวน Table'!$D$1:$M$5,5,TRUE),0))))),0)</f>
        <v>0.9</v>
      </c>
      <c r="AU33" s="232">
        <f>IFERROR(IF($C33="Top WS",VLOOKUP("GOAL",'2) หลักการคำนวน Table'!$D$4:$M$4,HLOOKUP(AI33,'2) หลักการคำนวน Table'!$D$1:$M$5,5,TRUE),0),
IF($C33="WS SF",VLOOKUP("GOAL",'2) หลักการคำนวน Table'!$D$32:$M$32,HLOOKUP(AI33,'2) หลักการคำนวน Table'!$D$1:$M$5,5,TRUE),0),
IF($C33="WS WH",VLOOKUP("GOAL",'2) หลักการคำนวน Table'!$D$62:$M$62,HLOOKUP(AI33,'2) หลักการคำนวน Table'!$D$1:$M$5,5,TRUE),0),
IF($C33="SF WH",VLOOKUP("GOAL",'2) หลักการคำนวน Table'!$D$92:$M$92,HLOOKUP(AI33,'2) หลักการคำนวน Table'!$D$1:$M$5,5,TRUE),0))))),0)</f>
        <v>0.9</v>
      </c>
      <c r="AV33" s="232">
        <f>IFERROR(IF($C33="Top WS",VLOOKUP("GOAL",'2) หลักการคำนวน Table'!$D$4:$M$4,HLOOKUP(AP33,'2) หลักการคำนวน Table'!$D$1:$M$5,5,TRUE),0),
IF($C33="WS SF",VLOOKUP("GOAL",'2) หลักการคำนวน Table'!$D$32:$M$32,HLOOKUP(AP33,'2) หลักการคำนวน Table'!$D$1:$M$5,5,TRUE),0),
IF($C33="WS WH",VLOOKUP("GOAL",'2) หลักการคำนวน Table'!$D$62:$M$62,HLOOKUP(AP33,'2) หลักการคำนวน Table'!$D$1:$M$5,5,TRUE),0),
IF($C33="SF WH",VLOOKUP("GOAL",'2) หลักการคำนวน Table'!$D$92:$M$92,HLOOKUP(AP33,'2) หลักการคำนวน Table'!$D$1:$M$5,5,TRUE),0))))),0)</f>
        <v>0.9</v>
      </c>
      <c r="AW33" s="232">
        <f>IFERROR(IF($C33="Top WS",VLOOKUP("GOAL",'2) หลักการคำนวน Table'!$D$4:$M$4,HLOOKUP(AK33,'2) หลักการคำนวน Table'!$D$1:$M$5,5,TRUE),0),
IF($C33="WS SF",VLOOKUP("GOAL",'2) หลักการคำนวน Table'!$D$32:$M$32,HLOOKUP(AK33,'2) หลักการคำนวน Table'!$D$1:$M$5,5,TRUE),0),
IF($C33="WS WH",VLOOKUP("GOAL",'2) หลักการคำนวน Table'!$D$62:$M$62,HLOOKUP(AK33,'2) หลักการคำนวน Table'!$D$1:$M$5,5,TRUE),0),
IF($C33="SF WH",VLOOKUP("GOAL",'2) หลักการคำนวน Table'!$D$92:$M$92,HLOOKUP(AK33,'2) หลักการคำนวน Table'!$D$1:$M$5,5,TRUE),0))))),0)</f>
        <v>0.9</v>
      </c>
      <c r="AX33" s="232">
        <f>IFERROR(IF($C33="Top WS",VLOOKUP("GOAL",'2) หลักการคำนวน Table'!$D$4:$M$4,HLOOKUP(AL33,'2) หลักการคำนวน Table'!$D$1:$M$5,5,TRUE),0),
IF($C33="WS SF",VLOOKUP("GOAL",'2) หลักการคำนวน Table'!$D$32:$M$32,HLOOKUP(AL33,'2) หลักการคำนวน Table'!$D$1:$M$5,5,TRUE),0),
IF($C33="WS WH",VLOOKUP("GOAL",'2) หลักการคำนวน Table'!$D$62:$M$62,HLOOKUP(AL33,'2) หลักการคำนวน Table'!$D$1:$M$5,5,TRUE),0),
IF($C33="SF WH",VLOOKUP("GOAL",'2) หลักการคำนวน Table'!$D$92:$M$92,HLOOKUP(AL33,'2) หลักการคำนวน Table'!$D$1:$M$5,5,TRUE),0))))),0)</f>
        <v>0.9</v>
      </c>
      <c r="AY33" s="232">
        <f>IFERROR(IF($C33="Top WS",VLOOKUP("GOAL",'2) หลักการคำนวน Table'!$D$4:$M$4,HLOOKUP(AM33,'2) หลักการคำนวน Table'!$D$1:$M$5,5,TRUE),0),
IF($C33="WS SF",VLOOKUP("GOAL",'2) หลักการคำนวน Table'!$D$32:$M$32,HLOOKUP(AM33,'2) หลักการคำนวน Table'!$D$1:$M$5,5,TRUE),0),
IF($C33="WS WH",VLOOKUP("GOAL",'2) หลักการคำนวน Table'!$D$62:$M$62,HLOOKUP(AM33,'2) หลักการคำนวน Table'!$D$1:$M$5,5,TRUE),0),
IF($C33="SF WH",VLOOKUP("GOAL",'2) หลักการคำนวน Table'!$D$92:$M$92,HLOOKUP(AM33,'2) หลักการคำนวน Table'!$D$1:$M$5,5,TRUE),0))))),0)</f>
        <v>0.9</v>
      </c>
      <c r="AZ33" s="167">
        <f>IFERROR(IF($C33="Top WS",VLOOKUP($B33,'2) หลักการคำนวน Table'!$D$5:$M$20,HLOOKUP(AB33,'2) หลักการคำนวน Table'!$D$1:$M$5,5,TRUE),0),
IF($C33="WS SF",VLOOKUP($B33,'2) หลักการคำนวน Table'!$D$33:$M$48,HLOOKUP(AB33,'2) หลักการคำนวน Table'!$D$1:$M$5,5,TRUE),0),
IF($C33="WS WH",VLOOKUP($B33,'2) หลักการคำนวน Table'!$D$63:$M$78,HLOOKUP(AB33,'2) หลักการคำนวน Table'!$D$1:$M$5,5,TRUE),0),
IF($C33="SF WH",VLOOKUP($B33,'2) หลักการคำนวน Table'!$D$93:$M$108,HLOOKUP(AB33,'2) หลักการคำนวน Table'!$D$1:$M$5,5,TRUE),0))))),0)</f>
        <v>360</v>
      </c>
      <c r="BA33" s="167">
        <f>IFERROR(IF($C33="Top WS",VLOOKUP($B33,'2) หลักการคำนวน Table'!$D$5:$M$20,HLOOKUP(AC33,'2) หลักการคำนวน Table'!$D$1:$M$5,5,TRUE),0),
IF($C33="WS SF",VLOOKUP($B33,'2) หลักการคำนวน Table'!$D$33:$M$48,HLOOKUP(AC33,'2) หลักการคำนวน Table'!$D$1:$M$5,5,TRUE),0),
IF($C33="WS WH",VLOOKUP($B33,'2) หลักการคำนวน Table'!$D$63:$M$78,HLOOKUP(AC33,'2) หลักการคำนวน Table'!$D$1:$M$5,5,TRUE),0),
IF($C33="SF WH",VLOOKUP($B33,'2) หลักการคำนวน Table'!$D$93:$M$108,HLOOKUP(AC33,'2) หลักการคำนวน Table'!$D$1:$M$5,5,TRUE),0))))),0)</f>
        <v>520</v>
      </c>
      <c r="BB33" s="167">
        <f>IFERROR(IF($C33="Top WS",VLOOKUP($B33,'2) หลักการคำนวน Table'!$D$5:$M$20,HLOOKUP(AD33,'2) หลักการคำนวน Table'!$D$1:$M$5,5,TRUE),0),
IF($C33="WS SF",VLOOKUP($B33,'2) หลักการคำนวน Table'!$D$33:$M$48,HLOOKUP(AD33,'2) หลักการคำนวน Table'!$D$1:$M$5,5,TRUE),0),
IF($C33="WS WH",VLOOKUP($B33,'2) หลักการคำนวน Table'!$D$63:$M$78,HLOOKUP(AD33,'2) หลักการคำนวน Table'!$D$1:$M$5,5,TRUE),0),
IF($C33="SF WH",VLOOKUP($B33,'2) หลักการคำนวน Table'!$D$93:$M$108,HLOOKUP(AD33,'2) หลักการคำนวน Table'!$D$1:$M$5,5,TRUE),0))))),0)</f>
        <v>360</v>
      </c>
      <c r="BC33" s="167">
        <f>IFERROR(IF($C33="Top WS",VLOOKUP($B33,'2) หลักการคำนวน Table'!$D$5:$M$20,HLOOKUP(AE33,'2) หลักการคำนวน Table'!$D$1:$M$5,5,TRUE),0),
IF($C33="WS SF",VLOOKUP($B33,'2) หลักการคำนวน Table'!$D$33:$M$48,HLOOKUP(AE33,'2) หลักการคำนวน Table'!$D$1:$M$5,5,TRUE),0),
IF($C33="WS WH",VLOOKUP($B33,'2) หลักการคำนวน Table'!$D$63:$M$78,HLOOKUP(AE33,'2) หลักการคำนวน Table'!$D$1:$M$5,5,TRUE),0),
IF($C33="SF WH",VLOOKUP($B33,'2) หลักการคำนวน Table'!$D$93:$M$108,HLOOKUP(AE33,'2) หลักการคำนวน Table'!$D$1:$M$5,5,TRUE),0))))),0)</f>
        <v>360</v>
      </c>
      <c r="BD33" s="167">
        <f>IFERROR(IF($C33="Top WS",VLOOKUP($B33,'2) หลักการคำนวน Table'!$D$5:$M$20,HLOOKUP(AF33,'2) หลักการคำนวน Table'!$D$1:$M$5,5,TRUE),0),
IF($C33="WS SF",VLOOKUP($B33,'2) หลักการคำนวน Table'!$D$33:$M$48,HLOOKUP(AF33,'2) หลักการคำนวน Table'!$D$1:$M$5,5,TRUE),0),
IF($C33="WS WH",VLOOKUP($B33,'2) หลักการคำนวน Table'!$D$63:$M$78,HLOOKUP(AF33,'2) หลักการคำนวน Table'!$D$1:$M$5,5,TRUE),0),
IF($C33="SF WH",VLOOKUP($B33,'2) หลักการคำนวน Table'!$D$93:$M$108,HLOOKUP(AF33,'2) หลักการคำนวน Table'!$D$1:$M$5,5,TRUE),0))))),0)</f>
        <v>360</v>
      </c>
      <c r="BE33" s="167">
        <f>IFERROR(IF($C33="Top WS",VLOOKUP($B33,'2) หลักการคำนวน Table'!$D$5:$M$20,HLOOKUP(AG33,'2) หลักการคำนวน Table'!$D$1:$M$5,5,TRUE),0),
IF($C33="WS SF",VLOOKUP($B33,'2) หลักการคำนวน Table'!$D$33:$M$48,HLOOKUP(AG33,'2) หลักการคำนวน Table'!$D$1:$M$5,5,TRUE),0),
IF($C33="WS WH",VLOOKUP($B33,'2) หลักการคำนวน Table'!$D$63:$M$78,HLOOKUP(AG33,'2) หลักการคำนวน Table'!$D$1:$M$5,5,TRUE),0),
IF($C33="SF WH",VLOOKUP($B33,'2) หลักการคำนวน Table'!$D$93:$M$108,HLOOKUP(AG33,'2) หลักการคำนวน Table'!$D$1:$M$5,5,TRUE),0))))),0)</f>
        <v>360</v>
      </c>
      <c r="BF33" s="167">
        <f>IFERROR(IF($C33="Top WS",VLOOKUP($B33,'2) หลักการคำนวน Table'!$D$5:$M$20,HLOOKUP(AH33,'2) หลักการคำนวน Table'!$D$1:$M$5,5,TRUE),0),
IF($C33="WS SF",VLOOKUP($B33,'2) หลักการคำนวน Table'!$D$33:$M$48,HLOOKUP(AH33,'2) หลักการคำนวน Table'!$D$1:$M$5,5,TRUE),0),
IF($C33="WS WH",VLOOKUP($B33,'2) หลักการคำนวน Table'!$D$63:$M$78,HLOOKUP(AH33,'2) หลักการคำนวน Table'!$D$1:$M$5,5,TRUE),0),
IF($C33="SF WH",VLOOKUP($B33,'2) หลักการคำนวน Table'!$D$93:$M$108,HLOOKUP(AH33,'2) หลักการคำนวน Table'!$D$1:$M$5,5,TRUE),0))))),0)</f>
        <v>360</v>
      </c>
      <c r="BG33" s="167">
        <f>IFERROR(IF($C33="Top WS",VLOOKUP($B33,'2) หลักการคำนวน Table'!$D$5:$M$20,HLOOKUP(AI33,'2) หลักการคำนวน Table'!$D$1:$M$5,5,TRUE),0),
IF($C33="WS SF",VLOOKUP($B33,'2) หลักการคำนวน Table'!$D$33:$M$48,HLOOKUP(AI33,'2) หลักการคำนวน Table'!$D$1:$M$5,5,TRUE),0),
IF($C33="WS WH",VLOOKUP($B33,'2) หลักการคำนวน Table'!$D$63:$M$78,HLOOKUP(AI33,'2) หลักการคำนวน Table'!$D$1:$M$5,5,TRUE),0),
IF($C33="SF WH",VLOOKUP($B33,'2) หลักการคำนวน Table'!$D$93:$M$108,HLOOKUP(AI33,'2) หลักการคำนวน Table'!$D$1:$M$5,5,TRUE),0))))),0)</f>
        <v>360</v>
      </c>
      <c r="BH33" s="167">
        <f>IFERROR(IF($C33="Top WS",VLOOKUP($B33,'2) หลักการคำนวน Table'!$D$5:$M$20,HLOOKUP(AP33,'2) หลักการคำนวน Table'!$D$1:$M$5,5,TRUE),0),
IF($C33="WS SF",VLOOKUP($B33,'2) หลักการคำนวน Table'!$D$33:$M$48,HLOOKUP(AP33,'2) หลักการคำนวน Table'!$D$1:$M$5,5,TRUE),0),
IF($C33="WS WH",VLOOKUP($B33,'2) หลักการคำนวน Table'!$D$63:$M$78,HLOOKUP(AP33,'2) หลักการคำนวน Table'!$D$1:$M$5,5,TRUE),0),
IF($C33="SF WH",VLOOKUP($B33,'2) หลักการคำนวน Table'!$D$93:$M$108,HLOOKUP(AP33,'2) หลักการคำนวน Table'!$D$1:$M$5,5,TRUE),0))))),0)</f>
        <v>360</v>
      </c>
      <c r="BI33" s="167">
        <f>IFERROR(IF($C33="Top WS",VLOOKUP($B33,'2) หลักการคำนวน Table'!$D$5:$M$20,HLOOKUP(AK33,'2) หลักการคำนวน Table'!$D$1:$M$5,5,TRUE),0),
IF($C33="WS SF",VLOOKUP($B33,'2) หลักการคำนวน Table'!$D$33:$M$48,HLOOKUP(AK33,'2) หลักการคำนวน Table'!$D$1:$M$5,5,TRUE),0),
IF($C33="WS WH",VLOOKUP($B33,'2) หลักการคำนวน Table'!$D$63:$M$78,HLOOKUP(AK33,'2) หลักการคำนวน Table'!$D$1:$M$5,5,TRUE),0),
IF($C33="SF WH",VLOOKUP($B33,'2) หลักการคำนวน Table'!$D$93:$M$108,HLOOKUP(AK33,'2) หลักการคำนวน Table'!$D$1:$M$5,5,TRUE),0))))),0)</f>
        <v>360</v>
      </c>
      <c r="BJ33" s="167">
        <f>IFERROR(IF($C33="Top WS",VLOOKUP($B33,'2) หลักการคำนวน Table'!$D$5:$M$20,HLOOKUP(AL33,'2) หลักการคำนวน Table'!$D$1:$M$5,5,TRUE),0),
IF($C33="WS SF",VLOOKUP($B33,'2) หลักการคำนวน Table'!$D$33:$M$48,HLOOKUP(AL33,'2) หลักการคำนวน Table'!$D$1:$M$5,5,TRUE),0),
IF($C33="WS WH",VLOOKUP($B33,'2) หลักการคำนวน Table'!$D$63:$M$78,HLOOKUP(AL33,'2) หลักการคำนวน Table'!$D$1:$M$5,5,TRUE),0),
IF($C33="SF WH",VLOOKUP($B33,'2) หลักการคำนวน Table'!$D$93:$M$108,HLOOKUP(AL33,'2) หลักการคำนวน Table'!$D$1:$M$5,5,TRUE),0))))),0)</f>
        <v>360</v>
      </c>
      <c r="BK33" s="167">
        <f>IFERROR(IF($C33="Top WS",VLOOKUP($B33,'2) หลักการคำนวน Table'!$D$5:$M$20,HLOOKUP(AM33,'2) หลักการคำนวน Table'!$D$1:$M$5,5,TRUE),0),
IF($C33="WS SF",VLOOKUP($B33,'2) หลักการคำนวน Table'!$D$33:$M$48,HLOOKUP(AM33,'2) หลักการคำนวน Table'!$D$1:$M$5,5,TRUE),0),
IF($C33="WS WH",VLOOKUP($B33,'2) หลักการคำนวน Table'!$D$63:$M$78,HLOOKUP(AM33,'2) หลักการคำนวน Table'!$D$1:$M$5,5,TRUE),0),
IF($C33="SF WH",VLOOKUP($B33,'2) หลักการคำนวน Table'!$D$93:$M$108,HLOOKUP(AM33,'2) หลักการคำนวน Table'!$D$1:$M$5,5,TRUE),0))))),0)</f>
        <v>360</v>
      </c>
      <c r="BM33" s="119">
        <f>VLOOKUP(VLOOKUP(A33,ASTBase!E:S,13,FALSE),ASTBase!F:P,11,FALSE)</f>
        <v>120000</v>
      </c>
      <c r="BN33" s="196" cm="1">
        <f t="array" ref="BN33">INDEX(AN33:AY33,,Period!$D$2)</f>
        <v>1.3</v>
      </c>
    </row>
    <row r="34" spans="1:66" x14ac:dyDescent="0.25">
      <c r="A34" s="117">
        <v>120001</v>
      </c>
      <c r="B34" s="117" t="s">
        <v>394</v>
      </c>
      <c r="C34" s="117" t="s">
        <v>178</v>
      </c>
      <c r="D34" s="118">
        <v>619</v>
      </c>
      <c r="E34" s="118">
        <v>922</v>
      </c>
      <c r="F34" s="118">
        <v>499</v>
      </c>
      <c r="G34" s="118">
        <v>175</v>
      </c>
      <c r="H34" s="118">
        <v>11</v>
      </c>
      <c r="I34" s="118">
        <v>813</v>
      </c>
      <c r="J34" s="118">
        <v>732</v>
      </c>
      <c r="K34" s="118">
        <v>1139</v>
      </c>
      <c r="L34" s="118">
        <v>811</v>
      </c>
      <c r="M34" s="118">
        <v>719</v>
      </c>
      <c r="N34" s="118">
        <v>784</v>
      </c>
      <c r="O34" s="118">
        <v>779</v>
      </c>
      <c r="P34" s="117">
        <f>SUMIFS(Actual!C:C,Actual!$A:$A,'3)Target &amp; Cal'!$A34,Actual!$B:$B,'3)Target &amp; Cal'!$B34)</f>
        <v>405</v>
      </c>
      <c r="Q34" s="117">
        <f>SUMIFS(Actual!D:D,Actual!$A:$A,'3)Target &amp; Cal'!$A34,Actual!$B:$B,'3)Target &amp; Cal'!$B34)</f>
        <v>675</v>
      </c>
      <c r="R34" s="117">
        <f>SUMIFS(Actual!E:E,Actual!$A:$A,'3)Target &amp; Cal'!$A34,Actual!$B:$B,'3)Target &amp; Cal'!$B34)</f>
        <v>0</v>
      </c>
      <c r="S34" s="117">
        <f>SUMIFS(Actual!F:F,Actual!$A:$A,'3)Target &amp; Cal'!$A34,Actual!$B:$B,'3)Target &amp; Cal'!$B34)</f>
        <v>0</v>
      </c>
      <c r="T34" s="117">
        <f>SUMIFS(Actual!G:G,Actual!$A:$A,'3)Target &amp; Cal'!$A34,Actual!$B:$B,'3)Target &amp; Cal'!$B34)</f>
        <v>0</v>
      </c>
      <c r="U34" s="117">
        <f>SUMIFS(Actual!H:H,Actual!$A:$A,'3)Target &amp; Cal'!$A34,Actual!$B:$B,'3)Target &amp; Cal'!$B34)</f>
        <v>0</v>
      </c>
      <c r="V34" s="117">
        <f>SUMIFS(Actual!I:I,Actual!$A:$A,'3)Target &amp; Cal'!$A34,Actual!$B:$B,'3)Target &amp; Cal'!$B34)</f>
        <v>0</v>
      </c>
      <c r="W34" s="117">
        <f>SUMIFS(Actual!J:J,Actual!$A:$A,'3)Target &amp; Cal'!$A34,Actual!$B:$B,'3)Target &amp; Cal'!$B34)</f>
        <v>0</v>
      </c>
      <c r="X34" s="117">
        <f>SUMIFS(Actual!K:K,Actual!$A:$A,'3)Target &amp; Cal'!$A34,Actual!$B:$B,'3)Target &amp; Cal'!$B34)</f>
        <v>0</v>
      </c>
      <c r="Y34" s="117">
        <f>SUMIFS(Actual!L:L,Actual!$A:$A,'3)Target &amp; Cal'!$A34,Actual!$B:$B,'3)Target &amp; Cal'!$B34)</f>
        <v>0</v>
      </c>
      <c r="Z34" s="117">
        <f>SUMIFS(Actual!M:M,Actual!$A:$A,'3)Target &amp; Cal'!$A34,Actual!$B:$B,'3)Target &amp; Cal'!$B34)</f>
        <v>0</v>
      </c>
      <c r="AA34" s="117">
        <f>SUMIFS(Actual!N:N,Actual!$A:$A,'3)Target &amp; Cal'!$A34,Actual!$B:$B,'3)Target &amp; Cal'!$B34)</f>
        <v>0</v>
      </c>
      <c r="AB34" s="123">
        <f>IFERROR(IF(VLOOKUP($B34,Shortage!$A:$M,AB$2,FALSE)="Shortage",1,IFERROR(ROUND(P34/D34,4),0)),IFERROR(ROUND(P34/D34,4),0))</f>
        <v>0.65429999999999999</v>
      </c>
      <c r="AC34" s="123">
        <f>IFERROR(IF(VLOOKUP($B34,Shortage!$A:$M,AC$2,FALSE)="Shortage",1,IFERROR(ROUND(Q34/E34,4),0)),IFERROR(ROUND(Q34/E34,4),0))</f>
        <v>0.73209999999999997</v>
      </c>
      <c r="AD34" s="123">
        <f>IFERROR(IF(VLOOKUP($B34,Shortage!$A:$M,AD$2,FALSE)="Shortage",1,IFERROR(ROUND(R34/F34,4),0)),IFERROR(ROUND(R34/F34,4),0))</f>
        <v>0</v>
      </c>
      <c r="AE34" s="123">
        <f>IFERROR(IF(VLOOKUP($B34,Shortage!$A:$M,AE$2,FALSE)="Shortage",1,IFERROR(ROUND(S34/G34,4),0)),IFERROR(ROUND(S34/G34,4),0))</f>
        <v>0</v>
      </c>
      <c r="AF34" s="123">
        <f>IFERROR(IF(VLOOKUP($B34,Shortage!$A:$M,AF$2,FALSE)="Shortage",1,IFERROR(ROUND(T34/H34,4),0)),IFERROR(ROUND(T34/H34,4),0))</f>
        <v>0</v>
      </c>
      <c r="AG34" s="123">
        <f>IFERROR(IF(VLOOKUP($B34,Shortage!$A:$M,AG$2,FALSE)="Shortage",1,IFERROR(ROUND(U34/I34,4),0)),IFERROR(ROUND(U34/I34,4),0))</f>
        <v>0</v>
      </c>
      <c r="AH34" s="123">
        <f>IFERROR(IF(VLOOKUP($B34,Shortage!$A:$M,AH$2,FALSE)="Shortage",1,IFERROR(ROUND(V34/J34,4),0)),IFERROR(ROUND(V34/J34,4),0))</f>
        <v>0</v>
      </c>
      <c r="AI34" s="123">
        <f>IFERROR(IF(VLOOKUP($B34,Shortage!$A:$M,AI$2,FALSE)="Shortage",1,IFERROR(ROUND(W34/K34,4),0)),IFERROR(ROUND(W34/K34,4),0))</f>
        <v>0</v>
      </c>
      <c r="AJ34" s="123">
        <f>IFERROR(IF(VLOOKUP($B34,Shortage!$A:$M,AP$2,FALSE)="Shortage",1,IFERROR(ROUND(X34/L34,4),0)),IFERROR(ROUND(X34/L34,4),0))</f>
        <v>0</v>
      </c>
      <c r="AK34" s="123">
        <f>IFERROR(IF(VLOOKUP($B34,Shortage!$A:$M,AK$2,FALSE)="Shortage",1,IFERROR(ROUND(Y34/M34,4),0)),IFERROR(ROUND(Y34/M34,4),0))</f>
        <v>0</v>
      </c>
      <c r="AL34" s="123">
        <f>IFERROR(IF(VLOOKUP($B34,Shortage!$A:$M,AL$2,FALSE)="Shortage",1,IFERROR(ROUND(Z34/N34,4),0)),IFERROR(ROUND(Z34/N34,4),0))</f>
        <v>0</v>
      </c>
      <c r="AM34" s="123">
        <f>IFERROR(IF(VLOOKUP($B34,Shortage!$A:$M,AM$2,FALSE)="Shortage",1,IFERROR(ROUND(AA34/O34,4),0)),IFERROR(ROUND(AA34/O34,4),0))</f>
        <v>0</v>
      </c>
      <c r="AN34" s="232">
        <f>IFERROR(IF($C34="Top WS",VLOOKUP("GOAL",'2) หลักการคำนวน Table'!$D$4:$M$4,HLOOKUP(AB34,'2) หลักการคำนวน Table'!$D$1:$M$5,5,TRUE),0),
IF($C34="WS SF",VLOOKUP("GOAL",'2) หลักการคำนวน Table'!$D$32:$M$32,HLOOKUP(AB34,'2) หลักการคำนวน Table'!$D$1:$M$5,5,TRUE),0),
IF($C34="WS WH",VLOOKUP("GOAL",'2) หลักการคำนวน Table'!$D$62:$M$62,HLOOKUP(AB34,'2) หลักการคำนวน Table'!$D$1:$M$5,5,TRUE),0),
IF($C34="SF WH",VLOOKUP("GOAL",'2) หลักการคำนวน Table'!$D$92:$M$92,HLOOKUP(AB34,'2) หลักการคำนวน Table'!$D$1:$M$5,5,TRUE),0))))),0)</f>
        <v>0.9</v>
      </c>
      <c r="AO34" s="232">
        <f>IFERROR(IF($C34="Top WS",VLOOKUP("GOAL",'2) หลักการคำนวน Table'!$D$4:$M$4,HLOOKUP(AC34,'2) หลักการคำนวน Table'!$D$1:$M$5,5,TRUE),0),
IF($C34="WS SF",VLOOKUP("GOAL",'2) หลักการคำนวน Table'!$D$32:$M$32,HLOOKUP(AC34,'2) หลักการคำนวน Table'!$D$1:$M$5,5,TRUE),0),
IF($C34="WS WH",VLOOKUP("GOAL",'2) หลักการคำนวน Table'!$D$62:$M$62,HLOOKUP(AC34,'2) หลักการคำนวน Table'!$D$1:$M$5,5,TRUE),0),
IF($C34="SF WH",VLOOKUP("GOAL",'2) หลักการคำนวน Table'!$D$92:$M$92,HLOOKUP(AC34,'2) หลักการคำนวน Table'!$D$1:$M$5,5,TRUE),0))))),0)</f>
        <v>0.9</v>
      </c>
      <c r="AP34" s="232">
        <f>IFERROR(IF($C34="Top WS",VLOOKUP("GOAL",'2) หลักการคำนวน Table'!$D$4:$M$4,HLOOKUP(AD34,'2) หลักการคำนวน Table'!$D$1:$M$5,5,TRUE),0),
IF($C34="WS SF",VLOOKUP("GOAL",'2) หลักการคำนวน Table'!$D$32:$M$32,HLOOKUP(AD34,'2) หลักการคำนวน Table'!$D$1:$M$5,5,TRUE),0),
IF($C34="WS WH",VLOOKUP("GOAL",'2) หลักการคำนวน Table'!$D$62:$M$62,HLOOKUP(AD34,'2) หลักการคำนวน Table'!$D$1:$M$5,5,TRUE),0),
IF($C34="SF WH",VLOOKUP("GOAL",'2) หลักการคำนวน Table'!$D$92:$M$92,HLOOKUP(AD34,'2) หลักการคำนวน Table'!$D$1:$M$5,5,TRUE),0))))),0)</f>
        <v>0.9</v>
      </c>
      <c r="AQ34" s="232">
        <f>IFERROR(IF($C34="Top WS",VLOOKUP("GOAL",'2) หลักการคำนวน Table'!$D$4:$M$4,HLOOKUP(AE34,'2) หลักการคำนวน Table'!$D$1:$M$5,5,TRUE),0),
IF($C34="WS SF",VLOOKUP("GOAL",'2) หลักการคำนวน Table'!$D$32:$M$32,HLOOKUP(AE34,'2) หลักการคำนวน Table'!$D$1:$M$5,5,TRUE),0),
IF($C34="WS WH",VLOOKUP("GOAL",'2) หลักการคำนวน Table'!$D$62:$M$62,HLOOKUP(AE34,'2) หลักการคำนวน Table'!$D$1:$M$5,5,TRUE),0),
IF($C34="SF WH",VLOOKUP("GOAL",'2) หลักการคำนวน Table'!$D$92:$M$92,HLOOKUP(AE34,'2) หลักการคำนวน Table'!$D$1:$M$5,5,TRUE),0))))),0)</f>
        <v>0.9</v>
      </c>
      <c r="AR34" s="232">
        <f>IFERROR(IF($C34="Top WS",VLOOKUP("GOAL",'2) หลักการคำนวน Table'!$D$4:$M$4,HLOOKUP(AF34,'2) หลักการคำนวน Table'!$D$1:$M$5,5,TRUE),0),
IF($C34="WS SF",VLOOKUP("GOAL",'2) หลักการคำนวน Table'!$D$32:$M$32,HLOOKUP(AF34,'2) หลักการคำนวน Table'!$D$1:$M$5,5,TRUE),0),
IF($C34="WS WH",VLOOKUP("GOAL",'2) หลักการคำนวน Table'!$D$62:$M$62,HLOOKUP(AF34,'2) หลักการคำนวน Table'!$D$1:$M$5,5,TRUE),0),
IF($C34="SF WH",VLOOKUP("GOAL",'2) หลักการคำนวน Table'!$D$92:$M$92,HLOOKUP(AF34,'2) หลักการคำนวน Table'!$D$1:$M$5,5,TRUE),0))))),0)</f>
        <v>0.9</v>
      </c>
      <c r="AS34" s="232">
        <f>IFERROR(IF($C34="Top WS",VLOOKUP("GOAL",'2) หลักการคำนวน Table'!$D$4:$M$4,HLOOKUP(AG34,'2) หลักการคำนวน Table'!$D$1:$M$5,5,TRUE),0),
IF($C34="WS SF",VLOOKUP("GOAL",'2) หลักการคำนวน Table'!$D$32:$M$32,HLOOKUP(AG34,'2) หลักการคำนวน Table'!$D$1:$M$5,5,TRUE),0),
IF($C34="WS WH",VLOOKUP("GOAL",'2) หลักการคำนวน Table'!$D$62:$M$62,HLOOKUP(AG34,'2) หลักการคำนวน Table'!$D$1:$M$5,5,TRUE),0),
IF($C34="SF WH",VLOOKUP("GOAL",'2) หลักการคำนวน Table'!$D$92:$M$92,HLOOKUP(AG34,'2) หลักการคำนวน Table'!$D$1:$M$5,5,TRUE),0))))),0)</f>
        <v>0.9</v>
      </c>
      <c r="AT34" s="232">
        <f>IFERROR(IF($C34="Top WS",VLOOKUP("GOAL",'2) หลักการคำนวน Table'!$D$4:$M$4,HLOOKUP(AH34,'2) หลักการคำนวน Table'!$D$1:$M$5,5,TRUE),0),
IF($C34="WS SF",VLOOKUP("GOAL",'2) หลักการคำนวน Table'!$D$32:$M$32,HLOOKUP(AH34,'2) หลักการคำนวน Table'!$D$1:$M$5,5,TRUE),0),
IF($C34="WS WH",VLOOKUP("GOAL",'2) หลักการคำนวน Table'!$D$62:$M$62,HLOOKUP(AH34,'2) หลักการคำนวน Table'!$D$1:$M$5,5,TRUE),0),
IF($C34="SF WH",VLOOKUP("GOAL",'2) หลักการคำนวน Table'!$D$92:$M$92,HLOOKUP(AH34,'2) หลักการคำนวน Table'!$D$1:$M$5,5,TRUE),0))))),0)</f>
        <v>0.9</v>
      </c>
      <c r="AU34" s="232">
        <f>IFERROR(IF($C34="Top WS",VLOOKUP("GOAL",'2) หลักการคำนวน Table'!$D$4:$M$4,HLOOKUP(AI34,'2) หลักการคำนวน Table'!$D$1:$M$5,5,TRUE),0),
IF($C34="WS SF",VLOOKUP("GOAL",'2) หลักการคำนวน Table'!$D$32:$M$32,HLOOKUP(AI34,'2) หลักการคำนวน Table'!$D$1:$M$5,5,TRUE),0),
IF($C34="WS WH",VLOOKUP("GOAL",'2) หลักการคำนวน Table'!$D$62:$M$62,HLOOKUP(AI34,'2) หลักการคำนวน Table'!$D$1:$M$5,5,TRUE),0),
IF($C34="SF WH",VLOOKUP("GOAL",'2) หลักการคำนวน Table'!$D$92:$M$92,HLOOKUP(AI34,'2) หลักการคำนวน Table'!$D$1:$M$5,5,TRUE),0))))),0)</f>
        <v>0.9</v>
      </c>
      <c r="AV34" s="232">
        <f>IFERROR(IF($C34="Top WS",VLOOKUP("GOAL",'2) หลักการคำนวน Table'!$D$4:$M$4,HLOOKUP(AP34,'2) หลักการคำนวน Table'!$D$1:$M$5,5,TRUE),0),
IF($C34="WS SF",VLOOKUP("GOAL",'2) หลักการคำนวน Table'!$D$32:$M$32,HLOOKUP(AP34,'2) หลักการคำนวน Table'!$D$1:$M$5,5,TRUE),0),
IF($C34="WS WH",VLOOKUP("GOAL",'2) หลักการคำนวน Table'!$D$62:$M$62,HLOOKUP(AP34,'2) หลักการคำนวน Table'!$D$1:$M$5,5,TRUE),0),
IF($C34="SF WH",VLOOKUP("GOAL",'2) หลักการคำนวน Table'!$D$92:$M$92,HLOOKUP(AP34,'2) หลักการคำนวน Table'!$D$1:$M$5,5,TRUE),0))))),0)</f>
        <v>0.9</v>
      </c>
      <c r="AW34" s="232">
        <f>IFERROR(IF($C34="Top WS",VLOOKUP("GOAL",'2) หลักการคำนวน Table'!$D$4:$M$4,HLOOKUP(AK34,'2) หลักการคำนวน Table'!$D$1:$M$5,5,TRUE),0),
IF($C34="WS SF",VLOOKUP("GOAL",'2) หลักการคำนวน Table'!$D$32:$M$32,HLOOKUP(AK34,'2) หลักการคำนวน Table'!$D$1:$M$5,5,TRUE),0),
IF($C34="WS WH",VLOOKUP("GOAL",'2) หลักการคำนวน Table'!$D$62:$M$62,HLOOKUP(AK34,'2) หลักการคำนวน Table'!$D$1:$M$5,5,TRUE),0),
IF($C34="SF WH",VLOOKUP("GOAL",'2) หลักการคำนวน Table'!$D$92:$M$92,HLOOKUP(AK34,'2) หลักการคำนวน Table'!$D$1:$M$5,5,TRUE),0))))),0)</f>
        <v>0.9</v>
      </c>
      <c r="AX34" s="232">
        <f>IFERROR(IF($C34="Top WS",VLOOKUP("GOAL",'2) หลักการคำนวน Table'!$D$4:$M$4,HLOOKUP(AL34,'2) หลักการคำนวน Table'!$D$1:$M$5,5,TRUE),0),
IF($C34="WS SF",VLOOKUP("GOAL",'2) หลักการคำนวน Table'!$D$32:$M$32,HLOOKUP(AL34,'2) หลักการคำนวน Table'!$D$1:$M$5,5,TRUE),0),
IF($C34="WS WH",VLOOKUP("GOAL",'2) หลักการคำนวน Table'!$D$62:$M$62,HLOOKUP(AL34,'2) หลักการคำนวน Table'!$D$1:$M$5,5,TRUE),0),
IF($C34="SF WH",VLOOKUP("GOAL",'2) หลักการคำนวน Table'!$D$92:$M$92,HLOOKUP(AL34,'2) หลักการคำนวน Table'!$D$1:$M$5,5,TRUE),0))))),0)</f>
        <v>0.9</v>
      </c>
      <c r="AY34" s="232">
        <f>IFERROR(IF($C34="Top WS",VLOOKUP("GOAL",'2) หลักการคำนวน Table'!$D$4:$M$4,HLOOKUP(AM34,'2) หลักการคำนวน Table'!$D$1:$M$5,5,TRUE),0),
IF($C34="WS SF",VLOOKUP("GOAL",'2) หลักการคำนวน Table'!$D$32:$M$32,HLOOKUP(AM34,'2) หลักการคำนวน Table'!$D$1:$M$5,5,TRUE),0),
IF($C34="WS WH",VLOOKUP("GOAL",'2) หลักการคำนวน Table'!$D$62:$M$62,HLOOKUP(AM34,'2) หลักการคำนวน Table'!$D$1:$M$5,5,TRUE),0),
IF($C34="SF WH",VLOOKUP("GOAL",'2) หลักการคำนวน Table'!$D$92:$M$92,HLOOKUP(AM34,'2) หลักการคำนวน Table'!$D$1:$M$5,5,TRUE),0))))),0)</f>
        <v>0.9</v>
      </c>
      <c r="AZ34" s="167">
        <f>IFERROR(IF($C34="Top WS",VLOOKUP($B34,'2) หลักการคำนวน Table'!$D$5:$M$20,HLOOKUP(AB34,'2) หลักการคำนวน Table'!$D$1:$M$5,5,TRUE),0),
IF($C34="WS SF",VLOOKUP($B34,'2) หลักการคำนวน Table'!$D$33:$M$48,HLOOKUP(AB34,'2) หลักการคำนวน Table'!$D$1:$M$5,5,TRUE),0),
IF($C34="WS WH",VLOOKUP($B34,'2) หลักการคำนวน Table'!$D$63:$M$78,HLOOKUP(AB34,'2) หลักการคำนวน Table'!$D$1:$M$5,5,TRUE),0),
IF($C34="SF WH",VLOOKUP($B34,'2) หลักการคำนวน Table'!$D$93:$M$108,HLOOKUP(AB34,'2) หลักการคำนวน Table'!$D$1:$M$5,5,TRUE),0))))),0)</f>
        <v>180</v>
      </c>
      <c r="BA34" s="167">
        <f>IFERROR(IF($C34="Top WS",VLOOKUP($B34,'2) หลักการคำนวน Table'!$D$5:$M$20,HLOOKUP(AC34,'2) หลักการคำนวน Table'!$D$1:$M$5,5,TRUE),0),
IF($C34="WS SF",VLOOKUP($B34,'2) หลักการคำนวน Table'!$D$33:$M$48,HLOOKUP(AC34,'2) หลักการคำนวน Table'!$D$1:$M$5,5,TRUE),0),
IF($C34="WS WH",VLOOKUP($B34,'2) หลักการคำนวน Table'!$D$63:$M$78,HLOOKUP(AC34,'2) หลักการคำนวน Table'!$D$1:$M$5,5,TRUE),0),
IF($C34="SF WH",VLOOKUP($B34,'2) หลักการคำนวน Table'!$D$93:$M$108,HLOOKUP(AC34,'2) หลักการคำนวน Table'!$D$1:$M$5,5,TRUE),0))))),0)</f>
        <v>180</v>
      </c>
      <c r="BB34" s="167">
        <f>IFERROR(IF($C34="Top WS",VLOOKUP($B34,'2) หลักการคำนวน Table'!$D$5:$M$20,HLOOKUP(AD34,'2) หลักการคำนวน Table'!$D$1:$M$5,5,TRUE),0),
IF($C34="WS SF",VLOOKUP($B34,'2) หลักการคำนวน Table'!$D$33:$M$48,HLOOKUP(AD34,'2) หลักการคำนวน Table'!$D$1:$M$5,5,TRUE),0),
IF($C34="WS WH",VLOOKUP($B34,'2) หลักการคำนวน Table'!$D$63:$M$78,HLOOKUP(AD34,'2) หลักการคำนวน Table'!$D$1:$M$5,5,TRUE),0),
IF($C34="SF WH",VLOOKUP($B34,'2) หลักการคำนวน Table'!$D$93:$M$108,HLOOKUP(AD34,'2) หลักการคำนวน Table'!$D$1:$M$5,5,TRUE),0))))),0)</f>
        <v>180</v>
      </c>
      <c r="BC34" s="167">
        <f>IFERROR(IF($C34="Top WS",VLOOKUP($B34,'2) หลักการคำนวน Table'!$D$5:$M$20,HLOOKUP(AE34,'2) หลักการคำนวน Table'!$D$1:$M$5,5,TRUE),0),
IF($C34="WS SF",VLOOKUP($B34,'2) หลักการคำนวน Table'!$D$33:$M$48,HLOOKUP(AE34,'2) หลักการคำนวน Table'!$D$1:$M$5,5,TRUE),0),
IF($C34="WS WH",VLOOKUP($B34,'2) หลักการคำนวน Table'!$D$63:$M$78,HLOOKUP(AE34,'2) หลักการคำนวน Table'!$D$1:$M$5,5,TRUE),0),
IF($C34="SF WH",VLOOKUP($B34,'2) หลักการคำนวน Table'!$D$93:$M$108,HLOOKUP(AE34,'2) หลักการคำนวน Table'!$D$1:$M$5,5,TRUE),0))))),0)</f>
        <v>180</v>
      </c>
      <c r="BD34" s="167">
        <f>IFERROR(IF($C34="Top WS",VLOOKUP($B34,'2) หลักการคำนวน Table'!$D$5:$M$20,HLOOKUP(AF34,'2) หลักการคำนวน Table'!$D$1:$M$5,5,TRUE),0),
IF($C34="WS SF",VLOOKUP($B34,'2) หลักการคำนวน Table'!$D$33:$M$48,HLOOKUP(AF34,'2) หลักการคำนวน Table'!$D$1:$M$5,5,TRUE),0),
IF($C34="WS WH",VLOOKUP($B34,'2) หลักการคำนวน Table'!$D$63:$M$78,HLOOKUP(AF34,'2) หลักการคำนวน Table'!$D$1:$M$5,5,TRUE),0),
IF($C34="SF WH",VLOOKUP($B34,'2) หลักการคำนวน Table'!$D$93:$M$108,HLOOKUP(AF34,'2) หลักการคำนวน Table'!$D$1:$M$5,5,TRUE),0))))),0)</f>
        <v>180</v>
      </c>
      <c r="BE34" s="167">
        <f>IFERROR(IF($C34="Top WS",VLOOKUP($B34,'2) หลักการคำนวน Table'!$D$5:$M$20,HLOOKUP(AG34,'2) หลักการคำนวน Table'!$D$1:$M$5,5,TRUE),0),
IF($C34="WS SF",VLOOKUP($B34,'2) หลักการคำนวน Table'!$D$33:$M$48,HLOOKUP(AG34,'2) หลักการคำนวน Table'!$D$1:$M$5,5,TRUE),0),
IF($C34="WS WH",VLOOKUP($B34,'2) หลักการคำนวน Table'!$D$63:$M$78,HLOOKUP(AG34,'2) หลักการคำนวน Table'!$D$1:$M$5,5,TRUE),0),
IF($C34="SF WH",VLOOKUP($B34,'2) หลักการคำนวน Table'!$D$93:$M$108,HLOOKUP(AG34,'2) หลักการคำนวน Table'!$D$1:$M$5,5,TRUE),0))))),0)</f>
        <v>180</v>
      </c>
      <c r="BF34" s="167">
        <f>IFERROR(IF($C34="Top WS",VLOOKUP($B34,'2) หลักการคำนวน Table'!$D$5:$M$20,HLOOKUP(AH34,'2) หลักการคำนวน Table'!$D$1:$M$5,5,TRUE),0),
IF($C34="WS SF",VLOOKUP($B34,'2) หลักการคำนวน Table'!$D$33:$M$48,HLOOKUP(AH34,'2) หลักการคำนวน Table'!$D$1:$M$5,5,TRUE),0),
IF($C34="WS WH",VLOOKUP($B34,'2) หลักการคำนวน Table'!$D$63:$M$78,HLOOKUP(AH34,'2) หลักการคำนวน Table'!$D$1:$M$5,5,TRUE),0),
IF($C34="SF WH",VLOOKUP($B34,'2) หลักการคำนวน Table'!$D$93:$M$108,HLOOKUP(AH34,'2) หลักการคำนวน Table'!$D$1:$M$5,5,TRUE),0))))),0)</f>
        <v>180</v>
      </c>
      <c r="BG34" s="167">
        <f>IFERROR(IF($C34="Top WS",VLOOKUP($B34,'2) หลักการคำนวน Table'!$D$5:$M$20,HLOOKUP(AI34,'2) หลักการคำนวน Table'!$D$1:$M$5,5,TRUE),0),
IF($C34="WS SF",VLOOKUP($B34,'2) หลักการคำนวน Table'!$D$33:$M$48,HLOOKUP(AI34,'2) หลักการคำนวน Table'!$D$1:$M$5,5,TRUE),0),
IF($C34="WS WH",VLOOKUP($B34,'2) หลักการคำนวน Table'!$D$63:$M$78,HLOOKUP(AI34,'2) หลักการคำนวน Table'!$D$1:$M$5,5,TRUE),0),
IF($C34="SF WH",VLOOKUP($B34,'2) หลักการคำนวน Table'!$D$93:$M$108,HLOOKUP(AI34,'2) หลักการคำนวน Table'!$D$1:$M$5,5,TRUE),0))))),0)</f>
        <v>180</v>
      </c>
      <c r="BH34" s="167">
        <f>IFERROR(IF($C34="Top WS",VLOOKUP($B34,'2) หลักการคำนวน Table'!$D$5:$M$20,HLOOKUP(AP34,'2) หลักการคำนวน Table'!$D$1:$M$5,5,TRUE),0),
IF($C34="WS SF",VLOOKUP($B34,'2) หลักการคำนวน Table'!$D$33:$M$48,HLOOKUP(AP34,'2) หลักการคำนวน Table'!$D$1:$M$5,5,TRUE),0),
IF($C34="WS WH",VLOOKUP($B34,'2) หลักการคำนวน Table'!$D$63:$M$78,HLOOKUP(AP34,'2) หลักการคำนวน Table'!$D$1:$M$5,5,TRUE),0),
IF($C34="SF WH",VLOOKUP($B34,'2) หลักการคำนวน Table'!$D$93:$M$108,HLOOKUP(AP34,'2) หลักการคำนวน Table'!$D$1:$M$5,5,TRUE),0))))),0)</f>
        <v>180</v>
      </c>
      <c r="BI34" s="167">
        <f>IFERROR(IF($C34="Top WS",VLOOKUP($B34,'2) หลักการคำนวน Table'!$D$5:$M$20,HLOOKUP(AK34,'2) หลักการคำนวน Table'!$D$1:$M$5,5,TRUE),0),
IF($C34="WS SF",VLOOKUP($B34,'2) หลักการคำนวน Table'!$D$33:$M$48,HLOOKUP(AK34,'2) หลักการคำนวน Table'!$D$1:$M$5,5,TRUE),0),
IF($C34="WS WH",VLOOKUP($B34,'2) หลักการคำนวน Table'!$D$63:$M$78,HLOOKUP(AK34,'2) หลักการคำนวน Table'!$D$1:$M$5,5,TRUE),0),
IF($C34="SF WH",VLOOKUP($B34,'2) หลักการคำนวน Table'!$D$93:$M$108,HLOOKUP(AK34,'2) หลักการคำนวน Table'!$D$1:$M$5,5,TRUE),0))))),0)</f>
        <v>180</v>
      </c>
      <c r="BJ34" s="167">
        <f>IFERROR(IF($C34="Top WS",VLOOKUP($B34,'2) หลักการคำนวน Table'!$D$5:$M$20,HLOOKUP(AL34,'2) หลักการคำนวน Table'!$D$1:$M$5,5,TRUE),0),
IF($C34="WS SF",VLOOKUP($B34,'2) หลักการคำนวน Table'!$D$33:$M$48,HLOOKUP(AL34,'2) หลักการคำนวน Table'!$D$1:$M$5,5,TRUE),0),
IF($C34="WS WH",VLOOKUP($B34,'2) หลักการคำนวน Table'!$D$63:$M$78,HLOOKUP(AL34,'2) หลักการคำนวน Table'!$D$1:$M$5,5,TRUE),0),
IF($C34="SF WH",VLOOKUP($B34,'2) หลักการคำนวน Table'!$D$93:$M$108,HLOOKUP(AL34,'2) หลักการคำนวน Table'!$D$1:$M$5,5,TRUE),0))))),0)</f>
        <v>180</v>
      </c>
      <c r="BK34" s="167">
        <f>IFERROR(IF($C34="Top WS",VLOOKUP($B34,'2) หลักการคำนวน Table'!$D$5:$M$20,HLOOKUP(AM34,'2) หลักการคำนวน Table'!$D$1:$M$5,5,TRUE),0),
IF($C34="WS SF",VLOOKUP($B34,'2) หลักการคำนวน Table'!$D$33:$M$48,HLOOKUP(AM34,'2) หลักการคำนวน Table'!$D$1:$M$5,5,TRUE),0),
IF($C34="WS WH",VLOOKUP($B34,'2) หลักการคำนวน Table'!$D$63:$M$78,HLOOKUP(AM34,'2) หลักการคำนวน Table'!$D$1:$M$5,5,TRUE),0),
IF($C34="SF WH",VLOOKUP($B34,'2) หลักการคำนวน Table'!$D$93:$M$108,HLOOKUP(AM34,'2) หลักการคำนวน Table'!$D$1:$M$5,5,TRUE),0))))),0)</f>
        <v>180</v>
      </c>
      <c r="BM34" s="119">
        <f>VLOOKUP(VLOOKUP(A34,ASTBase!E:S,13,FALSE),ASTBase!F:P,11,FALSE)</f>
        <v>120000</v>
      </c>
      <c r="BN34" s="196" cm="1">
        <f t="array" ref="BN34">INDEX(AN34:AY34,,Period!$D$2)</f>
        <v>0.9</v>
      </c>
    </row>
    <row r="35" spans="1:66" x14ac:dyDescent="0.25">
      <c r="A35" s="117">
        <v>120001</v>
      </c>
      <c r="B35" s="117" t="s">
        <v>405</v>
      </c>
      <c r="C35" s="117" t="s">
        <v>178</v>
      </c>
      <c r="D35" s="118">
        <v>414</v>
      </c>
      <c r="E35" s="118">
        <v>393</v>
      </c>
      <c r="F35" s="118">
        <v>414</v>
      </c>
      <c r="G35" s="118">
        <v>283</v>
      </c>
      <c r="H35" s="118">
        <v>237</v>
      </c>
      <c r="I35" s="118">
        <v>414</v>
      </c>
      <c r="J35" s="118">
        <v>295</v>
      </c>
      <c r="K35" s="118">
        <v>303</v>
      </c>
      <c r="L35" s="118">
        <v>209</v>
      </c>
      <c r="M35" s="118">
        <v>281</v>
      </c>
      <c r="N35" s="118">
        <v>393</v>
      </c>
      <c r="O35" s="118">
        <v>396</v>
      </c>
      <c r="P35" s="117">
        <f>SUMIFS(Actual!C:C,Actual!$A:$A,'3)Target &amp; Cal'!$A35,Actual!$B:$B,'3)Target &amp; Cal'!$B35)</f>
        <v>53.46</v>
      </c>
      <c r="Q35" s="117">
        <f>SUMIFS(Actual!D:D,Actual!$A:$A,'3)Target &amp; Cal'!$A35,Actual!$B:$B,'3)Target &amp; Cal'!$B35)</f>
        <v>11.88</v>
      </c>
      <c r="R35" s="117">
        <f>SUMIFS(Actual!E:E,Actual!$A:$A,'3)Target &amp; Cal'!$A35,Actual!$B:$B,'3)Target &amp; Cal'!$B35)</f>
        <v>0</v>
      </c>
      <c r="S35" s="117">
        <f>SUMIFS(Actual!F:F,Actual!$A:$A,'3)Target &amp; Cal'!$A35,Actual!$B:$B,'3)Target &amp; Cal'!$B35)</f>
        <v>0</v>
      </c>
      <c r="T35" s="117">
        <f>SUMIFS(Actual!G:G,Actual!$A:$A,'3)Target &amp; Cal'!$A35,Actual!$B:$B,'3)Target &amp; Cal'!$B35)</f>
        <v>0</v>
      </c>
      <c r="U35" s="117">
        <f>SUMIFS(Actual!H:H,Actual!$A:$A,'3)Target &amp; Cal'!$A35,Actual!$B:$B,'3)Target &amp; Cal'!$B35)</f>
        <v>0</v>
      </c>
      <c r="V35" s="117">
        <f>SUMIFS(Actual!I:I,Actual!$A:$A,'3)Target &amp; Cal'!$A35,Actual!$B:$B,'3)Target &amp; Cal'!$B35)</f>
        <v>0</v>
      </c>
      <c r="W35" s="117">
        <f>SUMIFS(Actual!J:J,Actual!$A:$A,'3)Target &amp; Cal'!$A35,Actual!$B:$B,'3)Target &amp; Cal'!$B35)</f>
        <v>0</v>
      </c>
      <c r="X35" s="117">
        <f>SUMIFS(Actual!K:K,Actual!$A:$A,'3)Target &amp; Cal'!$A35,Actual!$B:$B,'3)Target &amp; Cal'!$B35)</f>
        <v>0</v>
      </c>
      <c r="Y35" s="117">
        <f>SUMIFS(Actual!L:L,Actual!$A:$A,'3)Target &amp; Cal'!$A35,Actual!$B:$B,'3)Target &amp; Cal'!$B35)</f>
        <v>0</v>
      </c>
      <c r="Z35" s="117">
        <f>SUMIFS(Actual!M:M,Actual!$A:$A,'3)Target &amp; Cal'!$A35,Actual!$B:$B,'3)Target &amp; Cal'!$B35)</f>
        <v>0</v>
      </c>
      <c r="AA35" s="117">
        <f>SUMIFS(Actual!N:N,Actual!$A:$A,'3)Target &amp; Cal'!$A35,Actual!$B:$B,'3)Target &amp; Cal'!$B35)</f>
        <v>0</v>
      </c>
      <c r="AB35" s="123">
        <f>IFERROR(IF(VLOOKUP($B35,Shortage!$A:$M,AB$2,FALSE)="Shortage",1,IFERROR(ROUND(P35/D35,4),0)),IFERROR(ROUND(P35/D35,4),0))</f>
        <v>0.12909999999999999</v>
      </c>
      <c r="AC35" s="123">
        <f>IFERROR(IF(VLOOKUP($B35,Shortage!$A:$M,AC$2,FALSE)="Shortage",1,IFERROR(ROUND(Q35/E35,4),0)),IFERROR(ROUND(Q35/E35,4),0))</f>
        <v>3.0200000000000001E-2</v>
      </c>
      <c r="AD35" s="123">
        <f>IFERROR(IF(VLOOKUP($B35,Shortage!$A:$M,AD$2,FALSE)="Shortage",1,IFERROR(ROUND(R35/F35,4),0)),IFERROR(ROUND(R35/F35,4),0))</f>
        <v>0</v>
      </c>
      <c r="AE35" s="123">
        <f>IFERROR(IF(VLOOKUP($B35,Shortage!$A:$M,AE$2,FALSE)="Shortage",1,IFERROR(ROUND(S35/G35,4),0)),IFERROR(ROUND(S35/G35,4),0))</f>
        <v>0</v>
      </c>
      <c r="AF35" s="123">
        <f>IFERROR(IF(VLOOKUP($B35,Shortage!$A:$M,AF$2,FALSE)="Shortage",1,IFERROR(ROUND(T35/H35,4),0)),IFERROR(ROUND(T35/H35,4),0))</f>
        <v>0</v>
      </c>
      <c r="AG35" s="123">
        <f>IFERROR(IF(VLOOKUP($B35,Shortage!$A:$M,AG$2,FALSE)="Shortage",1,IFERROR(ROUND(U35/I35,4),0)),IFERROR(ROUND(U35/I35,4),0))</f>
        <v>0</v>
      </c>
      <c r="AH35" s="123">
        <f>IFERROR(IF(VLOOKUP($B35,Shortage!$A:$M,AH$2,FALSE)="Shortage",1,IFERROR(ROUND(V35/J35,4),0)),IFERROR(ROUND(V35/J35,4),0))</f>
        <v>0</v>
      </c>
      <c r="AI35" s="123">
        <f>IFERROR(IF(VLOOKUP($B35,Shortage!$A:$M,AI$2,FALSE)="Shortage",1,IFERROR(ROUND(W35/K35,4),0)),IFERROR(ROUND(W35/K35,4),0))</f>
        <v>0</v>
      </c>
      <c r="AJ35" s="123">
        <f>IFERROR(IF(VLOOKUP($B35,Shortage!$A:$M,AP$2,FALSE)="Shortage",1,IFERROR(ROUND(X35/L35,4),0)),IFERROR(ROUND(X35/L35,4),0))</f>
        <v>0</v>
      </c>
      <c r="AK35" s="123">
        <f>IFERROR(IF(VLOOKUP($B35,Shortage!$A:$M,AK$2,FALSE)="Shortage",1,IFERROR(ROUND(Y35/M35,4),0)),IFERROR(ROUND(Y35/M35,4),0))</f>
        <v>0</v>
      </c>
      <c r="AL35" s="123">
        <f>IFERROR(IF(VLOOKUP($B35,Shortage!$A:$M,AL$2,FALSE)="Shortage",1,IFERROR(ROUND(Z35/N35,4),0)),IFERROR(ROUND(Z35/N35,4),0))</f>
        <v>0</v>
      </c>
      <c r="AM35" s="123">
        <f>IFERROR(IF(VLOOKUP($B35,Shortage!$A:$M,AM$2,FALSE)="Shortage",1,IFERROR(ROUND(AA35/O35,4),0)),IFERROR(ROUND(AA35/O35,4),0))</f>
        <v>0</v>
      </c>
      <c r="AN35" s="232">
        <f>IFERROR(IF($C35="Top WS",VLOOKUP("GOAL",'2) หลักการคำนวน Table'!$D$4:$M$4,HLOOKUP(AB35,'2) หลักการคำนวน Table'!$D$1:$M$5,5,TRUE),0),
IF($C35="WS SF",VLOOKUP("GOAL",'2) หลักการคำนวน Table'!$D$32:$M$32,HLOOKUP(AB35,'2) หลักการคำนวน Table'!$D$1:$M$5,5,TRUE),0),
IF($C35="WS WH",VLOOKUP("GOAL",'2) หลักการคำนวน Table'!$D$62:$M$62,HLOOKUP(AB35,'2) หลักการคำนวน Table'!$D$1:$M$5,5,TRUE),0),
IF($C35="SF WH",VLOOKUP("GOAL",'2) หลักการคำนวน Table'!$D$92:$M$92,HLOOKUP(AB35,'2) หลักการคำนวน Table'!$D$1:$M$5,5,TRUE),0))))),0)</f>
        <v>0.9</v>
      </c>
      <c r="AO35" s="232">
        <f>IFERROR(IF($C35="Top WS",VLOOKUP("GOAL",'2) หลักการคำนวน Table'!$D$4:$M$4,HLOOKUP(AC35,'2) หลักการคำนวน Table'!$D$1:$M$5,5,TRUE),0),
IF($C35="WS SF",VLOOKUP("GOAL",'2) หลักการคำนวน Table'!$D$32:$M$32,HLOOKUP(AC35,'2) หลักการคำนวน Table'!$D$1:$M$5,5,TRUE),0),
IF($C35="WS WH",VLOOKUP("GOAL",'2) หลักการคำนวน Table'!$D$62:$M$62,HLOOKUP(AC35,'2) หลักการคำนวน Table'!$D$1:$M$5,5,TRUE),0),
IF($C35="SF WH",VLOOKUP("GOAL",'2) หลักการคำนวน Table'!$D$92:$M$92,HLOOKUP(AC35,'2) หลักการคำนวน Table'!$D$1:$M$5,5,TRUE),0))))),0)</f>
        <v>0.9</v>
      </c>
      <c r="AP35" s="232">
        <f>IFERROR(IF($C35="Top WS",VLOOKUP("GOAL",'2) หลักการคำนวน Table'!$D$4:$M$4,HLOOKUP(AD35,'2) หลักการคำนวน Table'!$D$1:$M$5,5,TRUE),0),
IF($C35="WS SF",VLOOKUP("GOAL",'2) หลักการคำนวน Table'!$D$32:$M$32,HLOOKUP(AD35,'2) หลักการคำนวน Table'!$D$1:$M$5,5,TRUE),0),
IF($C35="WS WH",VLOOKUP("GOAL",'2) หลักการคำนวน Table'!$D$62:$M$62,HLOOKUP(AD35,'2) หลักการคำนวน Table'!$D$1:$M$5,5,TRUE),0),
IF($C35="SF WH",VLOOKUP("GOAL",'2) หลักการคำนวน Table'!$D$92:$M$92,HLOOKUP(AD35,'2) หลักการคำนวน Table'!$D$1:$M$5,5,TRUE),0))))),0)</f>
        <v>0.9</v>
      </c>
      <c r="AQ35" s="232">
        <f>IFERROR(IF($C35="Top WS",VLOOKUP("GOAL",'2) หลักการคำนวน Table'!$D$4:$M$4,HLOOKUP(AE35,'2) หลักการคำนวน Table'!$D$1:$M$5,5,TRUE),0),
IF($C35="WS SF",VLOOKUP("GOAL",'2) หลักการคำนวน Table'!$D$32:$M$32,HLOOKUP(AE35,'2) หลักการคำนวน Table'!$D$1:$M$5,5,TRUE),0),
IF($C35="WS WH",VLOOKUP("GOAL",'2) หลักการคำนวน Table'!$D$62:$M$62,HLOOKUP(AE35,'2) หลักการคำนวน Table'!$D$1:$M$5,5,TRUE),0),
IF($C35="SF WH",VLOOKUP("GOAL",'2) หลักการคำนวน Table'!$D$92:$M$92,HLOOKUP(AE35,'2) หลักการคำนวน Table'!$D$1:$M$5,5,TRUE),0))))),0)</f>
        <v>0.9</v>
      </c>
      <c r="AR35" s="232">
        <f>IFERROR(IF($C35="Top WS",VLOOKUP("GOAL",'2) หลักการคำนวน Table'!$D$4:$M$4,HLOOKUP(AF35,'2) หลักการคำนวน Table'!$D$1:$M$5,5,TRUE),0),
IF($C35="WS SF",VLOOKUP("GOAL",'2) หลักการคำนวน Table'!$D$32:$M$32,HLOOKUP(AF35,'2) หลักการคำนวน Table'!$D$1:$M$5,5,TRUE),0),
IF($C35="WS WH",VLOOKUP("GOAL",'2) หลักการคำนวน Table'!$D$62:$M$62,HLOOKUP(AF35,'2) หลักการคำนวน Table'!$D$1:$M$5,5,TRUE),0),
IF($C35="SF WH",VLOOKUP("GOAL",'2) หลักการคำนวน Table'!$D$92:$M$92,HLOOKUP(AF35,'2) หลักการคำนวน Table'!$D$1:$M$5,5,TRUE),0))))),0)</f>
        <v>0.9</v>
      </c>
      <c r="AS35" s="232">
        <f>IFERROR(IF($C35="Top WS",VLOOKUP("GOAL",'2) หลักการคำนวน Table'!$D$4:$M$4,HLOOKUP(AG35,'2) หลักการคำนวน Table'!$D$1:$M$5,5,TRUE),0),
IF($C35="WS SF",VLOOKUP("GOAL",'2) หลักการคำนวน Table'!$D$32:$M$32,HLOOKUP(AG35,'2) หลักการคำนวน Table'!$D$1:$M$5,5,TRUE),0),
IF($C35="WS WH",VLOOKUP("GOAL",'2) หลักการคำนวน Table'!$D$62:$M$62,HLOOKUP(AG35,'2) หลักการคำนวน Table'!$D$1:$M$5,5,TRUE),0),
IF($C35="SF WH",VLOOKUP("GOAL",'2) หลักการคำนวน Table'!$D$92:$M$92,HLOOKUP(AG35,'2) หลักการคำนวน Table'!$D$1:$M$5,5,TRUE),0))))),0)</f>
        <v>0.9</v>
      </c>
      <c r="AT35" s="232">
        <f>IFERROR(IF($C35="Top WS",VLOOKUP("GOAL",'2) หลักการคำนวน Table'!$D$4:$M$4,HLOOKUP(AH35,'2) หลักการคำนวน Table'!$D$1:$M$5,5,TRUE),0),
IF($C35="WS SF",VLOOKUP("GOAL",'2) หลักการคำนวน Table'!$D$32:$M$32,HLOOKUP(AH35,'2) หลักการคำนวน Table'!$D$1:$M$5,5,TRUE),0),
IF($C35="WS WH",VLOOKUP("GOAL",'2) หลักการคำนวน Table'!$D$62:$M$62,HLOOKUP(AH35,'2) หลักการคำนวน Table'!$D$1:$M$5,5,TRUE),0),
IF($C35="SF WH",VLOOKUP("GOAL",'2) หลักการคำนวน Table'!$D$92:$M$92,HLOOKUP(AH35,'2) หลักการคำนวน Table'!$D$1:$M$5,5,TRUE),0))))),0)</f>
        <v>0.9</v>
      </c>
      <c r="AU35" s="232">
        <f>IFERROR(IF($C35="Top WS",VLOOKUP("GOAL",'2) หลักการคำนวน Table'!$D$4:$M$4,HLOOKUP(AI35,'2) หลักการคำนวน Table'!$D$1:$M$5,5,TRUE),0),
IF($C35="WS SF",VLOOKUP("GOAL",'2) หลักการคำนวน Table'!$D$32:$M$32,HLOOKUP(AI35,'2) หลักการคำนวน Table'!$D$1:$M$5,5,TRUE),0),
IF($C35="WS WH",VLOOKUP("GOAL",'2) หลักการคำนวน Table'!$D$62:$M$62,HLOOKUP(AI35,'2) หลักการคำนวน Table'!$D$1:$M$5,5,TRUE),0),
IF($C35="SF WH",VLOOKUP("GOAL",'2) หลักการคำนวน Table'!$D$92:$M$92,HLOOKUP(AI35,'2) หลักการคำนวน Table'!$D$1:$M$5,5,TRUE),0))))),0)</f>
        <v>0.9</v>
      </c>
      <c r="AV35" s="232">
        <f>IFERROR(IF($C35="Top WS",VLOOKUP("GOAL",'2) หลักการคำนวน Table'!$D$4:$M$4,HLOOKUP(AP35,'2) หลักการคำนวน Table'!$D$1:$M$5,5,TRUE),0),
IF($C35="WS SF",VLOOKUP("GOAL",'2) หลักการคำนวน Table'!$D$32:$M$32,HLOOKUP(AP35,'2) หลักการคำนวน Table'!$D$1:$M$5,5,TRUE),0),
IF($C35="WS WH",VLOOKUP("GOAL",'2) หลักการคำนวน Table'!$D$62:$M$62,HLOOKUP(AP35,'2) หลักการคำนวน Table'!$D$1:$M$5,5,TRUE),0),
IF($C35="SF WH",VLOOKUP("GOAL",'2) หลักการคำนวน Table'!$D$92:$M$92,HLOOKUP(AP35,'2) หลักการคำนวน Table'!$D$1:$M$5,5,TRUE),0))))),0)</f>
        <v>0.9</v>
      </c>
      <c r="AW35" s="232">
        <f>IFERROR(IF($C35="Top WS",VLOOKUP("GOAL",'2) หลักการคำนวน Table'!$D$4:$M$4,HLOOKUP(AK35,'2) หลักการคำนวน Table'!$D$1:$M$5,5,TRUE),0),
IF($C35="WS SF",VLOOKUP("GOAL",'2) หลักการคำนวน Table'!$D$32:$M$32,HLOOKUP(AK35,'2) หลักการคำนวน Table'!$D$1:$M$5,5,TRUE),0),
IF($C35="WS WH",VLOOKUP("GOAL",'2) หลักการคำนวน Table'!$D$62:$M$62,HLOOKUP(AK35,'2) หลักการคำนวน Table'!$D$1:$M$5,5,TRUE),0),
IF($C35="SF WH",VLOOKUP("GOAL",'2) หลักการคำนวน Table'!$D$92:$M$92,HLOOKUP(AK35,'2) หลักการคำนวน Table'!$D$1:$M$5,5,TRUE),0))))),0)</f>
        <v>0.9</v>
      </c>
      <c r="AX35" s="232">
        <f>IFERROR(IF($C35="Top WS",VLOOKUP("GOAL",'2) หลักการคำนวน Table'!$D$4:$M$4,HLOOKUP(AL35,'2) หลักการคำนวน Table'!$D$1:$M$5,5,TRUE),0),
IF($C35="WS SF",VLOOKUP("GOAL",'2) หลักการคำนวน Table'!$D$32:$M$32,HLOOKUP(AL35,'2) หลักการคำนวน Table'!$D$1:$M$5,5,TRUE),0),
IF($C35="WS WH",VLOOKUP("GOAL",'2) หลักการคำนวน Table'!$D$62:$M$62,HLOOKUP(AL35,'2) หลักการคำนวน Table'!$D$1:$M$5,5,TRUE),0),
IF($C35="SF WH",VLOOKUP("GOAL",'2) หลักการคำนวน Table'!$D$92:$M$92,HLOOKUP(AL35,'2) หลักการคำนวน Table'!$D$1:$M$5,5,TRUE),0))))),0)</f>
        <v>0.9</v>
      </c>
      <c r="AY35" s="232">
        <f>IFERROR(IF($C35="Top WS",VLOOKUP("GOAL",'2) หลักการคำนวน Table'!$D$4:$M$4,HLOOKUP(AM35,'2) หลักการคำนวน Table'!$D$1:$M$5,5,TRUE),0),
IF($C35="WS SF",VLOOKUP("GOAL",'2) หลักการคำนวน Table'!$D$32:$M$32,HLOOKUP(AM35,'2) หลักการคำนวน Table'!$D$1:$M$5,5,TRUE),0),
IF($C35="WS WH",VLOOKUP("GOAL",'2) หลักการคำนวน Table'!$D$62:$M$62,HLOOKUP(AM35,'2) หลักการคำนวน Table'!$D$1:$M$5,5,TRUE),0),
IF($C35="SF WH",VLOOKUP("GOAL",'2) หลักการคำนวน Table'!$D$92:$M$92,HLOOKUP(AM35,'2) หลักการคำนวน Table'!$D$1:$M$5,5,TRUE),0))))),0)</f>
        <v>0.9</v>
      </c>
      <c r="AZ35" s="167">
        <f>IFERROR(IF($C35="Top WS",VLOOKUP($B35,'2) หลักการคำนวน Table'!$D$5:$M$20,HLOOKUP(AB35,'2) หลักการคำนวน Table'!$D$1:$M$5,5,TRUE),0),
IF($C35="WS SF",VLOOKUP($B35,'2) หลักการคำนวน Table'!$D$33:$M$48,HLOOKUP(AB35,'2) หลักการคำนวน Table'!$D$1:$M$5,5,TRUE),0),
IF($C35="WS WH",VLOOKUP($B35,'2) หลักการคำนวน Table'!$D$63:$M$78,HLOOKUP(AB35,'2) หลักการคำนวน Table'!$D$1:$M$5,5,TRUE),0),
IF($C35="SF WH",VLOOKUP($B35,'2) หลักการคำนวน Table'!$D$93:$M$108,HLOOKUP(AB35,'2) หลักการคำนวน Table'!$D$1:$M$5,5,TRUE),0))))),0)</f>
        <v>360</v>
      </c>
      <c r="BA35" s="167">
        <f>IFERROR(IF($C35="Top WS",VLOOKUP($B35,'2) หลักการคำนวน Table'!$D$5:$M$20,HLOOKUP(AC35,'2) หลักการคำนวน Table'!$D$1:$M$5,5,TRUE),0),
IF($C35="WS SF",VLOOKUP($B35,'2) หลักการคำนวน Table'!$D$33:$M$48,HLOOKUP(AC35,'2) หลักการคำนวน Table'!$D$1:$M$5,5,TRUE),0),
IF($C35="WS WH",VLOOKUP($B35,'2) หลักการคำนวน Table'!$D$63:$M$78,HLOOKUP(AC35,'2) หลักการคำนวน Table'!$D$1:$M$5,5,TRUE),0),
IF($C35="SF WH",VLOOKUP($B35,'2) หลักการคำนวน Table'!$D$93:$M$108,HLOOKUP(AC35,'2) หลักการคำนวน Table'!$D$1:$M$5,5,TRUE),0))))),0)</f>
        <v>360</v>
      </c>
      <c r="BB35" s="167">
        <f>IFERROR(IF($C35="Top WS",VLOOKUP($B35,'2) หลักการคำนวน Table'!$D$5:$M$20,HLOOKUP(AD35,'2) หลักการคำนวน Table'!$D$1:$M$5,5,TRUE),0),
IF($C35="WS SF",VLOOKUP($B35,'2) หลักการคำนวน Table'!$D$33:$M$48,HLOOKUP(AD35,'2) หลักการคำนวน Table'!$D$1:$M$5,5,TRUE),0),
IF($C35="WS WH",VLOOKUP($B35,'2) หลักการคำนวน Table'!$D$63:$M$78,HLOOKUP(AD35,'2) หลักการคำนวน Table'!$D$1:$M$5,5,TRUE),0),
IF($C35="SF WH",VLOOKUP($B35,'2) หลักการคำนวน Table'!$D$93:$M$108,HLOOKUP(AD35,'2) หลักการคำนวน Table'!$D$1:$M$5,5,TRUE),0))))),0)</f>
        <v>360</v>
      </c>
      <c r="BC35" s="167">
        <f>IFERROR(IF($C35="Top WS",VLOOKUP($B35,'2) หลักการคำนวน Table'!$D$5:$M$20,HLOOKUP(AE35,'2) หลักการคำนวน Table'!$D$1:$M$5,5,TRUE),0),
IF($C35="WS SF",VLOOKUP($B35,'2) หลักการคำนวน Table'!$D$33:$M$48,HLOOKUP(AE35,'2) หลักการคำนวน Table'!$D$1:$M$5,5,TRUE),0),
IF($C35="WS WH",VLOOKUP($B35,'2) หลักการคำนวน Table'!$D$63:$M$78,HLOOKUP(AE35,'2) หลักการคำนวน Table'!$D$1:$M$5,5,TRUE),0),
IF($C35="SF WH",VLOOKUP($B35,'2) หลักการคำนวน Table'!$D$93:$M$108,HLOOKUP(AE35,'2) หลักการคำนวน Table'!$D$1:$M$5,5,TRUE),0))))),0)</f>
        <v>360</v>
      </c>
      <c r="BD35" s="167">
        <f>IFERROR(IF($C35="Top WS",VLOOKUP($B35,'2) หลักการคำนวน Table'!$D$5:$M$20,HLOOKUP(AF35,'2) หลักการคำนวน Table'!$D$1:$M$5,5,TRUE),0),
IF($C35="WS SF",VLOOKUP($B35,'2) หลักการคำนวน Table'!$D$33:$M$48,HLOOKUP(AF35,'2) หลักการคำนวน Table'!$D$1:$M$5,5,TRUE),0),
IF($C35="WS WH",VLOOKUP($B35,'2) หลักการคำนวน Table'!$D$63:$M$78,HLOOKUP(AF35,'2) หลักการคำนวน Table'!$D$1:$M$5,5,TRUE),0),
IF($C35="SF WH",VLOOKUP($B35,'2) หลักการคำนวน Table'!$D$93:$M$108,HLOOKUP(AF35,'2) หลักการคำนวน Table'!$D$1:$M$5,5,TRUE),0))))),0)</f>
        <v>360</v>
      </c>
      <c r="BE35" s="167">
        <f>IFERROR(IF($C35="Top WS",VLOOKUP($B35,'2) หลักการคำนวน Table'!$D$5:$M$20,HLOOKUP(AG35,'2) หลักการคำนวน Table'!$D$1:$M$5,5,TRUE),0),
IF($C35="WS SF",VLOOKUP($B35,'2) หลักการคำนวน Table'!$D$33:$M$48,HLOOKUP(AG35,'2) หลักการคำนวน Table'!$D$1:$M$5,5,TRUE),0),
IF($C35="WS WH",VLOOKUP($B35,'2) หลักการคำนวน Table'!$D$63:$M$78,HLOOKUP(AG35,'2) หลักการคำนวน Table'!$D$1:$M$5,5,TRUE),0),
IF($C35="SF WH",VLOOKUP($B35,'2) หลักการคำนวน Table'!$D$93:$M$108,HLOOKUP(AG35,'2) หลักการคำนวน Table'!$D$1:$M$5,5,TRUE),0))))),0)</f>
        <v>360</v>
      </c>
      <c r="BF35" s="167">
        <f>IFERROR(IF($C35="Top WS",VLOOKUP($B35,'2) หลักการคำนวน Table'!$D$5:$M$20,HLOOKUP(AH35,'2) หลักการคำนวน Table'!$D$1:$M$5,5,TRUE),0),
IF($C35="WS SF",VLOOKUP($B35,'2) หลักการคำนวน Table'!$D$33:$M$48,HLOOKUP(AH35,'2) หลักการคำนวน Table'!$D$1:$M$5,5,TRUE),0),
IF($C35="WS WH",VLOOKUP($B35,'2) หลักการคำนวน Table'!$D$63:$M$78,HLOOKUP(AH35,'2) หลักการคำนวน Table'!$D$1:$M$5,5,TRUE),0),
IF($C35="SF WH",VLOOKUP($B35,'2) หลักการคำนวน Table'!$D$93:$M$108,HLOOKUP(AH35,'2) หลักการคำนวน Table'!$D$1:$M$5,5,TRUE),0))))),0)</f>
        <v>360</v>
      </c>
      <c r="BG35" s="167">
        <f>IFERROR(IF($C35="Top WS",VLOOKUP($B35,'2) หลักการคำนวน Table'!$D$5:$M$20,HLOOKUP(AI35,'2) หลักการคำนวน Table'!$D$1:$M$5,5,TRUE),0),
IF($C35="WS SF",VLOOKUP($B35,'2) หลักการคำนวน Table'!$D$33:$M$48,HLOOKUP(AI35,'2) หลักการคำนวน Table'!$D$1:$M$5,5,TRUE),0),
IF($C35="WS WH",VLOOKUP($B35,'2) หลักการคำนวน Table'!$D$63:$M$78,HLOOKUP(AI35,'2) หลักการคำนวน Table'!$D$1:$M$5,5,TRUE),0),
IF($C35="SF WH",VLOOKUP($B35,'2) หลักการคำนวน Table'!$D$93:$M$108,HLOOKUP(AI35,'2) หลักการคำนวน Table'!$D$1:$M$5,5,TRUE),0))))),0)</f>
        <v>360</v>
      </c>
      <c r="BH35" s="167">
        <f>IFERROR(IF($C35="Top WS",VLOOKUP($B35,'2) หลักการคำนวน Table'!$D$5:$M$20,HLOOKUP(AP35,'2) หลักการคำนวน Table'!$D$1:$M$5,5,TRUE),0),
IF($C35="WS SF",VLOOKUP($B35,'2) หลักการคำนวน Table'!$D$33:$M$48,HLOOKUP(AP35,'2) หลักการคำนวน Table'!$D$1:$M$5,5,TRUE),0),
IF($C35="WS WH",VLOOKUP($B35,'2) หลักการคำนวน Table'!$D$63:$M$78,HLOOKUP(AP35,'2) หลักการคำนวน Table'!$D$1:$M$5,5,TRUE),0),
IF($C35="SF WH",VLOOKUP($B35,'2) หลักการคำนวน Table'!$D$93:$M$108,HLOOKUP(AP35,'2) หลักการคำนวน Table'!$D$1:$M$5,5,TRUE),0))))),0)</f>
        <v>360</v>
      </c>
      <c r="BI35" s="167">
        <f>IFERROR(IF($C35="Top WS",VLOOKUP($B35,'2) หลักการคำนวน Table'!$D$5:$M$20,HLOOKUP(AK35,'2) หลักการคำนวน Table'!$D$1:$M$5,5,TRUE),0),
IF($C35="WS SF",VLOOKUP($B35,'2) หลักการคำนวน Table'!$D$33:$M$48,HLOOKUP(AK35,'2) หลักการคำนวน Table'!$D$1:$M$5,5,TRUE),0),
IF($C35="WS WH",VLOOKUP($B35,'2) หลักการคำนวน Table'!$D$63:$M$78,HLOOKUP(AK35,'2) หลักการคำนวน Table'!$D$1:$M$5,5,TRUE),0),
IF($C35="SF WH",VLOOKUP($B35,'2) หลักการคำนวน Table'!$D$93:$M$108,HLOOKUP(AK35,'2) หลักการคำนวน Table'!$D$1:$M$5,5,TRUE),0))))),0)</f>
        <v>360</v>
      </c>
      <c r="BJ35" s="167">
        <f>IFERROR(IF($C35="Top WS",VLOOKUP($B35,'2) หลักการคำนวน Table'!$D$5:$M$20,HLOOKUP(AL35,'2) หลักการคำนวน Table'!$D$1:$M$5,5,TRUE),0),
IF($C35="WS SF",VLOOKUP($B35,'2) หลักการคำนวน Table'!$D$33:$M$48,HLOOKUP(AL35,'2) หลักการคำนวน Table'!$D$1:$M$5,5,TRUE),0),
IF($C35="WS WH",VLOOKUP($B35,'2) หลักการคำนวน Table'!$D$63:$M$78,HLOOKUP(AL35,'2) หลักการคำนวน Table'!$D$1:$M$5,5,TRUE),0),
IF($C35="SF WH",VLOOKUP($B35,'2) หลักการคำนวน Table'!$D$93:$M$108,HLOOKUP(AL35,'2) หลักการคำนวน Table'!$D$1:$M$5,5,TRUE),0))))),0)</f>
        <v>360</v>
      </c>
      <c r="BK35" s="167">
        <f>IFERROR(IF($C35="Top WS",VLOOKUP($B35,'2) หลักการคำนวน Table'!$D$5:$M$20,HLOOKUP(AM35,'2) หลักการคำนวน Table'!$D$1:$M$5,5,TRUE),0),
IF($C35="WS SF",VLOOKUP($B35,'2) หลักการคำนวน Table'!$D$33:$M$48,HLOOKUP(AM35,'2) หลักการคำนวน Table'!$D$1:$M$5,5,TRUE),0),
IF($C35="WS WH",VLOOKUP($B35,'2) หลักการคำนวน Table'!$D$63:$M$78,HLOOKUP(AM35,'2) หลักการคำนวน Table'!$D$1:$M$5,5,TRUE),0),
IF($C35="SF WH",VLOOKUP($B35,'2) หลักการคำนวน Table'!$D$93:$M$108,HLOOKUP(AM35,'2) หลักการคำนวน Table'!$D$1:$M$5,5,TRUE),0))))),0)</f>
        <v>360</v>
      </c>
      <c r="BM35" s="119">
        <f>VLOOKUP(VLOOKUP(A35,ASTBase!E:S,13,FALSE),ASTBase!F:P,11,FALSE)</f>
        <v>120000</v>
      </c>
      <c r="BN35" s="196" cm="1">
        <f t="array" ref="BN35">INDEX(AN35:AY35,,Period!$D$2)</f>
        <v>0.9</v>
      </c>
    </row>
    <row r="36" spans="1:66" x14ac:dyDescent="0.25">
      <c r="A36" s="117">
        <v>120001</v>
      </c>
      <c r="B36" s="117" t="s">
        <v>393</v>
      </c>
      <c r="C36" s="117" t="s">
        <v>178</v>
      </c>
      <c r="D36" s="118">
        <v>1500</v>
      </c>
      <c r="E36" s="118">
        <v>1071</v>
      </c>
      <c r="F36" s="118">
        <v>1134</v>
      </c>
      <c r="G36" s="118">
        <v>1157</v>
      </c>
      <c r="H36" s="118">
        <v>944</v>
      </c>
      <c r="I36" s="118">
        <v>1109</v>
      </c>
      <c r="J36" s="118">
        <v>1415</v>
      </c>
      <c r="K36" s="118">
        <v>1457</v>
      </c>
      <c r="L36" s="118">
        <v>1391</v>
      </c>
      <c r="M36" s="118">
        <v>1446</v>
      </c>
      <c r="N36" s="118">
        <v>1118</v>
      </c>
      <c r="O36" s="118">
        <v>1117</v>
      </c>
      <c r="P36" s="117">
        <f>SUMIFS(Actual!C:C,Actual!$A:$A,'3)Target &amp; Cal'!$A36,Actual!$B:$B,'3)Target &amp; Cal'!$B36)</f>
        <v>1045.2</v>
      </c>
      <c r="Q36" s="117">
        <f>SUMIFS(Actual!D:D,Actual!$A:$A,'3)Target &amp; Cal'!$A36,Actual!$B:$B,'3)Target &amp; Cal'!$B36)</f>
        <v>742.79999999999973</v>
      </c>
      <c r="R36" s="117">
        <f>SUMIFS(Actual!E:E,Actual!$A:$A,'3)Target &amp; Cal'!$A36,Actual!$B:$B,'3)Target &amp; Cal'!$B36)</f>
        <v>0</v>
      </c>
      <c r="S36" s="117">
        <f>SUMIFS(Actual!F:F,Actual!$A:$A,'3)Target &amp; Cal'!$A36,Actual!$B:$B,'3)Target &amp; Cal'!$B36)</f>
        <v>0</v>
      </c>
      <c r="T36" s="117">
        <f>SUMIFS(Actual!G:G,Actual!$A:$A,'3)Target &amp; Cal'!$A36,Actual!$B:$B,'3)Target &amp; Cal'!$B36)</f>
        <v>0</v>
      </c>
      <c r="U36" s="117">
        <f>SUMIFS(Actual!H:H,Actual!$A:$A,'3)Target &amp; Cal'!$A36,Actual!$B:$B,'3)Target &amp; Cal'!$B36)</f>
        <v>0</v>
      </c>
      <c r="V36" s="117">
        <f>SUMIFS(Actual!I:I,Actual!$A:$A,'3)Target &amp; Cal'!$A36,Actual!$B:$B,'3)Target &amp; Cal'!$B36)</f>
        <v>0</v>
      </c>
      <c r="W36" s="117">
        <f>SUMIFS(Actual!J:J,Actual!$A:$A,'3)Target &amp; Cal'!$A36,Actual!$B:$B,'3)Target &amp; Cal'!$B36)</f>
        <v>0</v>
      </c>
      <c r="X36" s="117">
        <f>SUMIFS(Actual!K:K,Actual!$A:$A,'3)Target &amp; Cal'!$A36,Actual!$B:$B,'3)Target &amp; Cal'!$B36)</f>
        <v>0</v>
      </c>
      <c r="Y36" s="117">
        <f>SUMIFS(Actual!L:L,Actual!$A:$A,'3)Target &amp; Cal'!$A36,Actual!$B:$B,'3)Target &amp; Cal'!$B36)</f>
        <v>0</v>
      </c>
      <c r="Z36" s="117">
        <f>SUMIFS(Actual!M:M,Actual!$A:$A,'3)Target &amp; Cal'!$A36,Actual!$B:$B,'3)Target &amp; Cal'!$B36)</f>
        <v>0</v>
      </c>
      <c r="AA36" s="117">
        <f>SUMIFS(Actual!N:N,Actual!$A:$A,'3)Target &amp; Cal'!$A36,Actual!$B:$B,'3)Target &amp; Cal'!$B36)</f>
        <v>0</v>
      </c>
      <c r="AB36" s="123">
        <f>IFERROR(IF(VLOOKUP($B36,Shortage!$A:$M,AB$2,FALSE)="Shortage",1,IFERROR(ROUND(P36/D36,4),0)),IFERROR(ROUND(P36/D36,4),0))</f>
        <v>0.69679999999999997</v>
      </c>
      <c r="AC36" s="123">
        <f>IFERROR(IF(VLOOKUP($B36,Shortage!$A:$M,AC$2,FALSE)="Shortage",1,IFERROR(ROUND(Q36/E36,4),0)),IFERROR(ROUND(Q36/E36,4),0))</f>
        <v>0.69359999999999999</v>
      </c>
      <c r="AD36" s="123">
        <f>IFERROR(IF(VLOOKUP($B36,Shortage!$A:$M,AD$2,FALSE)="Shortage",1,IFERROR(ROUND(R36/F36,4),0)),IFERROR(ROUND(R36/F36,4),0))</f>
        <v>0</v>
      </c>
      <c r="AE36" s="123">
        <f>IFERROR(IF(VLOOKUP($B36,Shortage!$A:$M,AE$2,FALSE)="Shortage",1,IFERROR(ROUND(S36/G36,4),0)),IFERROR(ROUND(S36/G36,4),0))</f>
        <v>0</v>
      </c>
      <c r="AF36" s="123">
        <f>IFERROR(IF(VLOOKUP($B36,Shortage!$A:$M,AF$2,FALSE)="Shortage",1,IFERROR(ROUND(T36/H36,4),0)),IFERROR(ROUND(T36/H36,4),0))</f>
        <v>0</v>
      </c>
      <c r="AG36" s="123">
        <f>IFERROR(IF(VLOOKUP($B36,Shortage!$A:$M,AG$2,FALSE)="Shortage",1,IFERROR(ROUND(U36/I36,4),0)),IFERROR(ROUND(U36/I36,4),0))</f>
        <v>0</v>
      </c>
      <c r="AH36" s="123">
        <f>IFERROR(IF(VLOOKUP($B36,Shortage!$A:$M,AH$2,FALSE)="Shortage",1,IFERROR(ROUND(V36/J36,4),0)),IFERROR(ROUND(V36/J36,4),0))</f>
        <v>0</v>
      </c>
      <c r="AI36" s="123">
        <f>IFERROR(IF(VLOOKUP($B36,Shortage!$A:$M,AI$2,FALSE)="Shortage",1,IFERROR(ROUND(W36/K36,4),0)),IFERROR(ROUND(W36/K36,4),0))</f>
        <v>0</v>
      </c>
      <c r="AJ36" s="123">
        <f>IFERROR(IF(VLOOKUP($B36,Shortage!$A:$M,AP$2,FALSE)="Shortage",1,IFERROR(ROUND(X36/L36,4),0)),IFERROR(ROUND(X36/L36,4),0))</f>
        <v>0</v>
      </c>
      <c r="AK36" s="123">
        <f>IFERROR(IF(VLOOKUP($B36,Shortage!$A:$M,AK$2,FALSE)="Shortage",1,IFERROR(ROUND(Y36/M36,4),0)),IFERROR(ROUND(Y36/M36,4),0))</f>
        <v>0</v>
      </c>
      <c r="AL36" s="123">
        <f>IFERROR(IF(VLOOKUP($B36,Shortage!$A:$M,AL$2,FALSE)="Shortage",1,IFERROR(ROUND(Z36/N36,4),0)),IFERROR(ROUND(Z36/N36,4),0))</f>
        <v>0</v>
      </c>
      <c r="AM36" s="123">
        <f>IFERROR(IF(VLOOKUP($B36,Shortage!$A:$M,AM$2,FALSE)="Shortage",1,IFERROR(ROUND(AA36/O36,4),0)),IFERROR(ROUND(AA36/O36,4),0))</f>
        <v>0</v>
      </c>
      <c r="AN36" s="232">
        <f>IFERROR(IF($C36="Top WS",VLOOKUP("GOAL",'2) หลักการคำนวน Table'!$D$4:$M$4,HLOOKUP(AB36,'2) หลักการคำนวน Table'!$D$1:$M$5,5,TRUE),0),
IF($C36="WS SF",VLOOKUP("GOAL",'2) หลักการคำนวน Table'!$D$32:$M$32,HLOOKUP(AB36,'2) หลักการคำนวน Table'!$D$1:$M$5,5,TRUE),0),
IF($C36="WS WH",VLOOKUP("GOAL",'2) หลักการคำนวน Table'!$D$62:$M$62,HLOOKUP(AB36,'2) หลักการคำนวน Table'!$D$1:$M$5,5,TRUE),0),
IF($C36="SF WH",VLOOKUP("GOAL",'2) หลักการคำนวน Table'!$D$92:$M$92,HLOOKUP(AB36,'2) หลักการคำนวน Table'!$D$1:$M$5,5,TRUE),0))))),0)</f>
        <v>0.9</v>
      </c>
      <c r="AO36" s="232">
        <f>IFERROR(IF($C36="Top WS",VLOOKUP("GOAL",'2) หลักการคำนวน Table'!$D$4:$M$4,HLOOKUP(AC36,'2) หลักการคำนวน Table'!$D$1:$M$5,5,TRUE),0),
IF($C36="WS SF",VLOOKUP("GOAL",'2) หลักการคำนวน Table'!$D$32:$M$32,HLOOKUP(AC36,'2) หลักการคำนวน Table'!$D$1:$M$5,5,TRUE),0),
IF($C36="WS WH",VLOOKUP("GOAL",'2) หลักการคำนวน Table'!$D$62:$M$62,HLOOKUP(AC36,'2) หลักการคำนวน Table'!$D$1:$M$5,5,TRUE),0),
IF($C36="SF WH",VLOOKUP("GOAL",'2) หลักการคำนวน Table'!$D$92:$M$92,HLOOKUP(AC36,'2) หลักการคำนวน Table'!$D$1:$M$5,5,TRUE),0))))),0)</f>
        <v>0.9</v>
      </c>
      <c r="AP36" s="232">
        <f>IFERROR(IF($C36="Top WS",VLOOKUP("GOAL",'2) หลักการคำนวน Table'!$D$4:$M$4,HLOOKUP(AD36,'2) หลักการคำนวน Table'!$D$1:$M$5,5,TRUE),0),
IF($C36="WS SF",VLOOKUP("GOAL",'2) หลักการคำนวน Table'!$D$32:$M$32,HLOOKUP(AD36,'2) หลักการคำนวน Table'!$D$1:$M$5,5,TRUE),0),
IF($C36="WS WH",VLOOKUP("GOAL",'2) หลักการคำนวน Table'!$D$62:$M$62,HLOOKUP(AD36,'2) หลักการคำนวน Table'!$D$1:$M$5,5,TRUE),0),
IF($C36="SF WH",VLOOKUP("GOAL",'2) หลักการคำนวน Table'!$D$92:$M$92,HLOOKUP(AD36,'2) หลักการคำนวน Table'!$D$1:$M$5,5,TRUE),0))))),0)</f>
        <v>0.9</v>
      </c>
      <c r="AQ36" s="232">
        <f>IFERROR(IF($C36="Top WS",VLOOKUP("GOAL",'2) หลักการคำนวน Table'!$D$4:$M$4,HLOOKUP(AE36,'2) หลักการคำนวน Table'!$D$1:$M$5,5,TRUE),0),
IF($C36="WS SF",VLOOKUP("GOAL",'2) หลักการคำนวน Table'!$D$32:$M$32,HLOOKUP(AE36,'2) หลักการคำนวน Table'!$D$1:$M$5,5,TRUE),0),
IF($C36="WS WH",VLOOKUP("GOAL",'2) หลักการคำนวน Table'!$D$62:$M$62,HLOOKUP(AE36,'2) หลักการคำนวน Table'!$D$1:$M$5,5,TRUE),0),
IF($C36="SF WH",VLOOKUP("GOAL",'2) หลักการคำนวน Table'!$D$92:$M$92,HLOOKUP(AE36,'2) หลักการคำนวน Table'!$D$1:$M$5,5,TRUE),0))))),0)</f>
        <v>0.9</v>
      </c>
      <c r="AR36" s="232">
        <f>IFERROR(IF($C36="Top WS",VLOOKUP("GOAL",'2) หลักการคำนวน Table'!$D$4:$M$4,HLOOKUP(AF36,'2) หลักการคำนวน Table'!$D$1:$M$5,5,TRUE),0),
IF($C36="WS SF",VLOOKUP("GOAL",'2) หลักการคำนวน Table'!$D$32:$M$32,HLOOKUP(AF36,'2) หลักการคำนวน Table'!$D$1:$M$5,5,TRUE),0),
IF($C36="WS WH",VLOOKUP("GOAL",'2) หลักการคำนวน Table'!$D$62:$M$62,HLOOKUP(AF36,'2) หลักการคำนวน Table'!$D$1:$M$5,5,TRUE),0),
IF($C36="SF WH",VLOOKUP("GOAL",'2) หลักการคำนวน Table'!$D$92:$M$92,HLOOKUP(AF36,'2) หลักการคำนวน Table'!$D$1:$M$5,5,TRUE),0))))),0)</f>
        <v>0.9</v>
      </c>
      <c r="AS36" s="232">
        <f>IFERROR(IF($C36="Top WS",VLOOKUP("GOAL",'2) หลักการคำนวน Table'!$D$4:$M$4,HLOOKUP(AG36,'2) หลักการคำนวน Table'!$D$1:$M$5,5,TRUE),0),
IF($C36="WS SF",VLOOKUP("GOAL",'2) หลักการคำนวน Table'!$D$32:$M$32,HLOOKUP(AG36,'2) หลักการคำนวน Table'!$D$1:$M$5,5,TRUE),0),
IF($C36="WS WH",VLOOKUP("GOAL",'2) หลักการคำนวน Table'!$D$62:$M$62,HLOOKUP(AG36,'2) หลักการคำนวน Table'!$D$1:$M$5,5,TRUE),0),
IF($C36="SF WH",VLOOKUP("GOAL",'2) หลักการคำนวน Table'!$D$92:$M$92,HLOOKUP(AG36,'2) หลักการคำนวน Table'!$D$1:$M$5,5,TRUE),0))))),0)</f>
        <v>0.9</v>
      </c>
      <c r="AT36" s="232">
        <f>IFERROR(IF($C36="Top WS",VLOOKUP("GOAL",'2) หลักการคำนวน Table'!$D$4:$M$4,HLOOKUP(AH36,'2) หลักการคำนวน Table'!$D$1:$M$5,5,TRUE),0),
IF($C36="WS SF",VLOOKUP("GOAL",'2) หลักการคำนวน Table'!$D$32:$M$32,HLOOKUP(AH36,'2) หลักการคำนวน Table'!$D$1:$M$5,5,TRUE),0),
IF($C36="WS WH",VLOOKUP("GOAL",'2) หลักการคำนวน Table'!$D$62:$M$62,HLOOKUP(AH36,'2) หลักการคำนวน Table'!$D$1:$M$5,5,TRUE),0),
IF($C36="SF WH",VLOOKUP("GOAL",'2) หลักการคำนวน Table'!$D$92:$M$92,HLOOKUP(AH36,'2) หลักการคำนวน Table'!$D$1:$M$5,5,TRUE),0))))),0)</f>
        <v>0.9</v>
      </c>
      <c r="AU36" s="232">
        <f>IFERROR(IF($C36="Top WS",VLOOKUP("GOAL",'2) หลักการคำนวน Table'!$D$4:$M$4,HLOOKUP(AI36,'2) หลักการคำนวน Table'!$D$1:$M$5,5,TRUE),0),
IF($C36="WS SF",VLOOKUP("GOAL",'2) หลักการคำนวน Table'!$D$32:$M$32,HLOOKUP(AI36,'2) หลักการคำนวน Table'!$D$1:$M$5,5,TRUE),0),
IF($C36="WS WH",VLOOKUP("GOAL",'2) หลักการคำนวน Table'!$D$62:$M$62,HLOOKUP(AI36,'2) หลักการคำนวน Table'!$D$1:$M$5,5,TRUE),0),
IF($C36="SF WH",VLOOKUP("GOAL",'2) หลักการคำนวน Table'!$D$92:$M$92,HLOOKUP(AI36,'2) หลักการคำนวน Table'!$D$1:$M$5,5,TRUE),0))))),0)</f>
        <v>0.9</v>
      </c>
      <c r="AV36" s="232">
        <f>IFERROR(IF($C36="Top WS",VLOOKUP("GOAL",'2) หลักการคำนวน Table'!$D$4:$M$4,HLOOKUP(AP36,'2) หลักการคำนวน Table'!$D$1:$M$5,5,TRUE),0),
IF($C36="WS SF",VLOOKUP("GOAL",'2) หลักการคำนวน Table'!$D$32:$M$32,HLOOKUP(AP36,'2) หลักการคำนวน Table'!$D$1:$M$5,5,TRUE),0),
IF($C36="WS WH",VLOOKUP("GOAL",'2) หลักการคำนวน Table'!$D$62:$M$62,HLOOKUP(AP36,'2) หลักการคำนวน Table'!$D$1:$M$5,5,TRUE),0),
IF($C36="SF WH",VLOOKUP("GOAL",'2) หลักการคำนวน Table'!$D$92:$M$92,HLOOKUP(AP36,'2) หลักการคำนวน Table'!$D$1:$M$5,5,TRUE),0))))),0)</f>
        <v>0.9</v>
      </c>
      <c r="AW36" s="232">
        <f>IFERROR(IF($C36="Top WS",VLOOKUP("GOAL",'2) หลักการคำนวน Table'!$D$4:$M$4,HLOOKUP(AK36,'2) หลักการคำนวน Table'!$D$1:$M$5,5,TRUE),0),
IF($C36="WS SF",VLOOKUP("GOAL",'2) หลักการคำนวน Table'!$D$32:$M$32,HLOOKUP(AK36,'2) หลักการคำนวน Table'!$D$1:$M$5,5,TRUE),0),
IF($C36="WS WH",VLOOKUP("GOAL",'2) หลักการคำนวน Table'!$D$62:$M$62,HLOOKUP(AK36,'2) หลักการคำนวน Table'!$D$1:$M$5,5,TRUE),0),
IF($C36="SF WH",VLOOKUP("GOAL",'2) หลักการคำนวน Table'!$D$92:$M$92,HLOOKUP(AK36,'2) หลักการคำนวน Table'!$D$1:$M$5,5,TRUE),0))))),0)</f>
        <v>0.9</v>
      </c>
      <c r="AX36" s="232">
        <f>IFERROR(IF($C36="Top WS",VLOOKUP("GOAL",'2) หลักการคำนวน Table'!$D$4:$M$4,HLOOKUP(AL36,'2) หลักการคำนวน Table'!$D$1:$M$5,5,TRUE),0),
IF($C36="WS SF",VLOOKUP("GOAL",'2) หลักการคำนวน Table'!$D$32:$M$32,HLOOKUP(AL36,'2) หลักการคำนวน Table'!$D$1:$M$5,5,TRUE),0),
IF($C36="WS WH",VLOOKUP("GOAL",'2) หลักการคำนวน Table'!$D$62:$M$62,HLOOKUP(AL36,'2) หลักการคำนวน Table'!$D$1:$M$5,5,TRUE),0),
IF($C36="SF WH",VLOOKUP("GOAL",'2) หลักการคำนวน Table'!$D$92:$M$92,HLOOKUP(AL36,'2) หลักการคำนวน Table'!$D$1:$M$5,5,TRUE),0))))),0)</f>
        <v>0.9</v>
      </c>
      <c r="AY36" s="232">
        <f>IFERROR(IF($C36="Top WS",VLOOKUP("GOAL",'2) หลักการคำนวน Table'!$D$4:$M$4,HLOOKUP(AM36,'2) หลักการคำนวน Table'!$D$1:$M$5,5,TRUE),0),
IF($C36="WS SF",VLOOKUP("GOAL",'2) หลักการคำนวน Table'!$D$32:$M$32,HLOOKUP(AM36,'2) หลักการคำนวน Table'!$D$1:$M$5,5,TRUE),0),
IF($C36="WS WH",VLOOKUP("GOAL",'2) หลักการคำนวน Table'!$D$62:$M$62,HLOOKUP(AM36,'2) หลักการคำนวน Table'!$D$1:$M$5,5,TRUE),0),
IF($C36="SF WH",VLOOKUP("GOAL",'2) หลักการคำนวน Table'!$D$92:$M$92,HLOOKUP(AM36,'2) หลักการคำนวน Table'!$D$1:$M$5,5,TRUE),0))))),0)</f>
        <v>0.9</v>
      </c>
      <c r="AZ36" s="167">
        <f>IFERROR(IF($C36="Top WS",VLOOKUP($B36,'2) หลักการคำนวน Table'!$D$5:$M$20,HLOOKUP(AB36,'2) หลักการคำนวน Table'!$D$1:$M$5,5,TRUE),0),
IF($C36="WS SF",VLOOKUP($B36,'2) หลักการคำนวน Table'!$D$33:$M$48,HLOOKUP(AB36,'2) หลักการคำนวน Table'!$D$1:$M$5,5,TRUE),0),
IF($C36="WS WH",VLOOKUP($B36,'2) หลักการคำนวน Table'!$D$63:$M$78,HLOOKUP(AB36,'2) หลักการคำนวน Table'!$D$1:$M$5,5,TRUE),0),
IF($C36="SF WH",VLOOKUP($B36,'2) หลักการคำนวน Table'!$D$93:$M$108,HLOOKUP(AB36,'2) หลักการคำนวน Table'!$D$1:$M$5,5,TRUE),0))))),0)</f>
        <v>180</v>
      </c>
      <c r="BA36" s="167">
        <f>IFERROR(IF($C36="Top WS",VLOOKUP($B36,'2) หลักการคำนวน Table'!$D$5:$M$20,HLOOKUP(AC36,'2) หลักการคำนวน Table'!$D$1:$M$5,5,TRUE),0),
IF($C36="WS SF",VLOOKUP($B36,'2) หลักการคำนวน Table'!$D$33:$M$48,HLOOKUP(AC36,'2) หลักการคำนวน Table'!$D$1:$M$5,5,TRUE),0),
IF($C36="WS WH",VLOOKUP($B36,'2) หลักการคำนวน Table'!$D$63:$M$78,HLOOKUP(AC36,'2) หลักการคำนวน Table'!$D$1:$M$5,5,TRUE),0),
IF($C36="SF WH",VLOOKUP($B36,'2) หลักการคำนวน Table'!$D$93:$M$108,HLOOKUP(AC36,'2) หลักการคำนวน Table'!$D$1:$M$5,5,TRUE),0))))),0)</f>
        <v>180</v>
      </c>
      <c r="BB36" s="167">
        <f>IFERROR(IF($C36="Top WS",VLOOKUP($B36,'2) หลักการคำนวน Table'!$D$5:$M$20,HLOOKUP(AD36,'2) หลักการคำนวน Table'!$D$1:$M$5,5,TRUE),0),
IF($C36="WS SF",VLOOKUP($B36,'2) หลักการคำนวน Table'!$D$33:$M$48,HLOOKUP(AD36,'2) หลักการคำนวน Table'!$D$1:$M$5,5,TRUE),0),
IF($C36="WS WH",VLOOKUP($B36,'2) หลักการคำนวน Table'!$D$63:$M$78,HLOOKUP(AD36,'2) หลักการคำนวน Table'!$D$1:$M$5,5,TRUE),0),
IF($C36="SF WH",VLOOKUP($B36,'2) หลักการคำนวน Table'!$D$93:$M$108,HLOOKUP(AD36,'2) หลักการคำนวน Table'!$D$1:$M$5,5,TRUE),0))))),0)</f>
        <v>180</v>
      </c>
      <c r="BC36" s="167">
        <f>IFERROR(IF($C36="Top WS",VLOOKUP($B36,'2) หลักการคำนวน Table'!$D$5:$M$20,HLOOKUP(AE36,'2) หลักการคำนวน Table'!$D$1:$M$5,5,TRUE),0),
IF($C36="WS SF",VLOOKUP($B36,'2) หลักการคำนวน Table'!$D$33:$M$48,HLOOKUP(AE36,'2) หลักการคำนวน Table'!$D$1:$M$5,5,TRUE),0),
IF($C36="WS WH",VLOOKUP($B36,'2) หลักการคำนวน Table'!$D$63:$M$78,HLOOKUP(AE36,'2) หลักการคำนวน Table'!$D$1:$M$5,5,TRUE),0),
IF($C36="SF WH",VLOOKUP($B36,'2) หลักการคำนวน Table'!$D$93:$M$108,HLOOKUP(AE36,'2) หลักการคำนวน Table'!$D$1:$M$5,5,TRUE),0))))),0)</f>
        <v>180</v>
      </c>
      <c r="BD36" s="167">
        <f>IFERROR(IF($C36="Top WS",VLOOKUP($B36,'2) หลักการคำนวน Table'!$D$5:$M$20,HLOOKUP(AF36,'2) หลักการคำนวน Table'!$D$1:$M$5,5,TRUE),0),
IF($C36="WS SF",VLOOKUP($B36,'2) หลักการคำนวน Table'!$D$33:$M$48,HLOOKUP(AF36,'2) หลักการคำนวน Table'!$D$1:$M$5,5,TRUE),0),
IF($C36="WS WH",VLOOKUP($B36,'2) หลักการคำนวน Table'!$D$63:$M$78,HLOOKUP(AF36,'2) หลักการคำนวน Table'!$D$1:$M$5,5,TRUE),0),
IF($C36="SF WH",VLOOKUP($B36,'2) หลักการคำนวน Table'!$D$93:$M$108,HLOOKUP(AF36,'2) หลักการคำนวน Table'!$D$1:$M$5,5,TRUE),0))))),0)</f>
        <v>180</v>
      </c>
      <c r="BE36" s="167">
        <f>IFERROR(IF($C36="Top WS",VLOOKUP($B36,'2) หลักการคำนวน Table'!$D$5:$M$20,HLOOKUP(AG36,'2) หลักการคำนวน Table'!$D$1:$M$5,5,TRUE),0),
IF($C36="WS SF",VLOOKUP($B36,'2) หลักการคำนวน Table'!$D$33:$M$48,HLOOKUP(AG36,'2) หลักการคำนวน Table'!$D$1:$M$5,5,TRUE),0),
IF($C36="WS WH",VLOOKUP($B36,'2) หลักการคำนวน Table'!$D$63:$M$78,HLOOKUP(AG36,'2) หลักการคำนวน Table'!$D$1:$M$5,5,TRUE),0),
IF($C36="SF WH",VLOOKUP($B36,'2) หลักการคำนวน Table'!$D$93:$M$108,HLOOKUP(AG36,'2) หลักการคำนวน Table'!$D$1:$M$5,5,TRUE),0))))),0)</f>
        <v>180</v>
      </c>
      <c r="BF36" s="167">
        <f>IFERROR(IF($C36="Top WS",VLOOKUP($B36,'2) หลักการคำนวน Table'!$D$5:$M$20,HLOOKUP(AH36,'2) หลักการคำนวน Table'!$D$1:$M$5,5,TRUE),0),
IF($C36="WS SF",VLOOKUP($B36,'2) หลักการคำนวน Table'!$D$33:$M$48,HLOOKUP(AH36,'2) หลักการคำนวน Table'!$D$1:$M$5,5,TRUE),0),
IF($C36="WS WH",VLOOKUP($B36,'2) หลักการคำนวน Table'!$D$63:$M$78,HLOOKUP(AH36,'2) หลักการคำนวน Table'!$D$1:$M$5,5,TRUE),0),
IF($C36="SF WH",VLOOKUP($B36,'2) หลักการคำนวน Table'!$D$93:$M$108,HLOOKUP(AH36,'2) หลักการคำนวน Table'!$D$1:$M$5,5,TRUE),0))))),0)</f>
        <v>180</v>
      </c>
      <c r="BG36" s="167">
        <f>IFERROR(IF($C36="Top WS",VLOOKUP($B36,'2) หลักการคำนวน Table'!$D$5:$M$20,HLOOKUP(AI36,'2) หลักการคำนวน Table'!$D$1:$M$5,5,TRUE),0),
IF($C36="WS SF",VLOOKUP($B36,'2) หลักการคำนวน Table'!$D$33:$M$48,HLOOKUP(AI36,'2) หลักการคำนวน Table'!$D$1:$M$5,5,TRUE),0),
IF($C36="WS WH",VLOOKUP($B36,'2) หลักการคำนวน Table'!$D$63:$M$78,HLOOKUP(AI36,'2) หลักการคำนวน Table'!$D$1:$M$5,5,TRUE),0),
IF($C36="SF WH",VLOOKUP($B36,'2) หลักการคำนวน Table'!$D$93:$M$108,HLOOKUP(AI36,'2) หลักการคำนวน Table'!$D$1:$M$5,5,TRUE),0))))),0)</f>
        <v>180</v>
      </c>
      <c r="BH36" s="167">
        <f>IFERROR(IF($C36="Top WS",VLOOKUP($B36,'2) หลักการคำนวน Table'!$D$5:$M$20,HLOOKUP(AP36,'2) หลักการคำนวน Table'!$D$1:$M$5,5,TRUE),0),
IF($C36="WS SF",VLOOKUP($B36,'2) หลักการคำนวน Table'!$D$33:$M$48,HLOOKUP(AP36,'2) หลักการคำนวน Table'!$D$1:$M$5,5,TRUE),0),
IF($C36="WS WH",VLOOKUP($B36,'2) หลักการคำนวน Table'!$D$63:$M$78,HLOOKUP(AP36,'2) หลักการคำนวน Table'!$D$1:$M$5,5,TRUE),0),
IF($C36="SF WH",VLOOKUP($B36,'2) หลักการคำนวน Table'!$D$93:$M$108,HLOOKUP(AP36,'2) หลักการคำนวน Table'!$D$1:$M$5,5,TRUE),0))))),0)</f>
        <v>180</v>
      </c>
      <c r="BI36" s="167">
        <f>IFERROR(IF($C36="Top WS",VLOOKUP($B36,'2) หลักการคำนวน Table'!$D$5:$M$20,HLOOKUP(AK36,'2) หลักการคำนวน Table'!$D$1:$M$5,5,TRUE),0),
IF($C36="WS SF",VLOOKUP($B36,'2) หลักการคำนวน Table'!$D$33:$M$48,HLOOKUP(AK36,'2) หลักการคำนวน Table'!$D$1:$M$5,5,TRUE),0),
IF($C36="WS WH",VLOOKUP($B36,'2) หลักการคำนวน Table'!$D$63:$M$78,HLOOKUP(AK36,'2) หลักการคำนวน Table'!$D$1:$M$5,5,TRUE),0),
IF($C36="SF WH",VLOOKUP($B36,'2) หลักการคำนวน Table'!$D$93:$M$108,HLOOKUP(AK36,'2) หลักการคำนวน Table'!$D$1:$M$5,5,TRUE),0))))),0)</f>
        <v>180</v>
      </c>
      <c r="BJ36" s="167">
        <f>IFERROR(IF($C36="Top WS",VLOOKUP($B36,'2) หลักการคำนวน Table'!$D$5:$M$20,HLOOKUP(AL36,'2) หลักการคำนวน Table'!$D$1:$M$5,5,TRUE),0),
IF($C36="WS SF",VLOOKUP($B36,'2) หลักการคำนวน Table'!$D$33:$M$48,HLOOKUP(AL36,'2) หลักการคำนวน Table'!$D$1:$M$5,5,TRUE),0),
IF($C36="WS WH",VLOOKUP($B36,'2) หลักการคำนวน Table'!$D$63:$M$78,HLOOKUP(AL36,'2) หลักการคำนวน Table'!$D$1:$M$5,5,TRUE),0),
IF($C36="SF WH",VLOOKUP($B36,'2) หลักการคำนวน Table'!$D$93:$M$108,HLOOKUP(AL36,'2) หลักการคำนวน Table'!$D$1:$M$5,5,TRUE),0))))),0)</f>
        <v>180</v>
      </c>
      <c r="BK36" s="167">
        <f>IFERROR(IF($C36="Top WS",VLOOKUP($B36,'2) หลักการคำนวน Table'!$D$5:$M$20,HLOOKUP(AM36,'2) หลักการคำนวน Table'!$D$1:$M$5,5,TRUE),0),
IF($C36="WS SF",VLOOKUP($B36,'2) หลักการคำนวน Table'!$D$33:$M$48,HLOOKUP(AM36,'2) หลักการคำนวน Table'!$D$1:$M$5,5,TRUE),0),
IF($C36="WS WH",VLOOKUP($B36,'2) หลักการคำนวน Table'!$D$63:$M$78,HLOOKUP(AM36,'2) หลักการคำนวน Table'!$D$1:$M$5,5,TRUE),0),
IF($C36="SF WH",VLOOKUP($B36,'2) หลักการคำนวน Table'!$D$93:$M$108,HLOOKUP(AM36,'2) หลักการคำนวน Table'!$D$1:$M$5,5,TRUE),0))))),0)</f>
        <v>180</v>
      </c>
      <c r="BM36" s="119">
        <f>VLOOKUP(VLOOKUP(A36,ASTBase!E:S,13,FALSE),ASTBase!F:P,11,FALSE)</f>
        <v>120000</v>
      </c>
      <c r="BN36" s="196" cm="1">
        <f t="array" ref="BN36">INDEX(AN36:AY36,,Period!$D$2)</f>
        <v>0.9</v>
      </c>
    </row>
    <row r="37" spans="1:66" x14ac:dyDescent="0.25">
      <c r="A37" s="117">
        <v>120002</v>
      </c>
      <c r="B37" s="117" t="s">
        <v>388</v>
      </c>
      <c r="C37" s="117" t="s">
        <v>178</v>
      </c>
      <c r="D37" s="118">
        <v>54371</v>
      </c>
      <c r="E37" s="118">
        <v>61106</v>
      </c>
      <c r="F37" s="118">
        <v>60201</v>
      </c>
      <c r="G37" s="118">
        <v>56318</v>
      </c>
      <c r="H37" s="118">
        <v>60446</v>
      </c>
      <c r="I37" s="118">
        <v>61499</v>
      </c>
      <c r="J37" s="118">
        <v>60080</v>
      </c>
      <c r="K37" s="118">
        <v>63769</v>
      </c>
      <c r="L37" s="118">
        <v>62492</v>
      </c>
      <c r="M37" s="118">
        <v>69756</v>
      </c>
      <c r="N37" s="118">
        <v>61007</v>
      </c>
      <c r="O37" s="118">
        <v>61016</v>
      </c>
      <c r="P37" s="117">
        <f>SUMIFS(Actual!C:C,Actual!$A:$A,'3)Target &amp; Cal'!$A37,Actual!$B:$B,'3)Target &amp; Cal'!$B37)</f>
        <v>40322</v>
      </c>
      <c r="Q37" s="117">
        <f>SUMIFS(Actual!D:D,Actual!$A:$A,'3)Target &amp; Cal'!$A37,Actual!$B:$B,'3)Target &amp; Cal'!$B37)</f>
        <v>53459.6</v>
      </c>
      <c r="R37" s="117">
        <f>SUMIFS(Actual!E:E,Actual!$A:$A,'3)Target &amp; Cal'!$A37,Actual!$B:$B,'3)Target &amp; Cal'!$B37)</f>
        <v>0</v>
      </c>
      <c r="S37" s="117">
        <f>SUMIFS(Actual!F:F,Actual!$A:$A,'3)Target &amp; Cal'!$A37,Actual!$B:$B,'3)Target &amp; Cal'!$B37)</f>
        <v>0</v>
      </c>
      <c r="T37" s="117">
        <f>SUMIFS(Actual!G:G,Actual!$A:$A,'3)Target &amp; Cal'!$A37,Actual!$B:$B,'3)Target &amp; Cal'!$B37)</f>
        <v>0</v>
      </c>
      <c r="U37" s="117">
        <f>SUMIFS(Actual!H:H,Actual!$A:$A,'3)Target &amp; Cal'!$A37,Actual!$B:$B,'3)Target &amp; Cal'!$B37)</f>
        <v>0</v>
      </c>
      <c r="V37" s="117">
        <f>SUMIFS(Actual!I:I,Actual!$A:$A,'3)Target &amp; Cal'!$A37,Actual!$B:$B,'3)Target &amp; Cal'!$B37)</f>
        <v>0</v>
      </c>
      <c r="W37" s="117">
        <f>SUMIFS(Actual!J:J,Actual!$A:$A,'3)Target &amp; Cal'!$A37,Actual!$B:$B,'3)Target &amp; Cal'!$B37)</f>
        <v>0</v>
      </c>
      <c r="X37" s="117">
        <f>SUMIFS(Actual!K:K,Actual!$A:$A,'3)Target &amp; Cal'!$A37,Actual!$B:$B,'3)Target &amp; Cal'!$B37)</f>
        <v>0</v>
      </c>
      <c r="Y37" s="117">
        <f>SUMIFS(Actual!L:L,Actual!$A:$A,'3)Target &amp; Cal'!$A37,Actual!$B:$B,'3)Target &amp; Cal'!$B37)</f>
        <v>0</v>
      </c>
      <c r="Z37" s="117">
        <f>SUMIFS(Actual!M:M,Actual!$A:$A,'3)Target &amp; Cal'!$A37,Actual!$B:$B,'3)Target &amp; Cal'!$B37)</f>
        <v>0</v>
      </c>
      <c r="AA37" s="117">
        <f>SUMIFS(Actual!N:N,Actual!$A:$A,'3)Target &amp; Cal'!$A37,Actual!$B:$B,'3)Target &amp; Cal'!$B37)</f>
        <v>0</v>
      </c>
      <c r="AB37" s="123">
        <f>IFERROR(IF(VLOOKUP($B37,Shortage!$A:$M,AB$2,FALSE)="Shortage",1,IFERROR(ROUND(P37/D37,4),0)),IFERROR(ROUND(P37/D37,4),0))</f>
        <v>1</v>
      </c>
      <c r="AC37" s="123">
        <f>IFERROR(IF(VLOOKUP($B37,Shortage!$A:$M,AC$2,FALSE)="Shortage",1,IFERROR(ROUND(Q37/E37,4),0)),IFERROR(ROUND(Q37/E37,4),0))</f>
        <v>0.87490000000000001</v>
      </c>
      <c r="AD37" s="123">
        <f>IFERROR(IF(VLOOKUP($B37,Shortage!$A:$M,AD$2,FALSE)="Shortage",1,IFERROR(ROUND(R37/F37,4),0)),IFERROR(ROUND(R37/F37,4),0))</f>
        <v>0</v>
      </c>
      <c r="AE37" s="123">
        <f>IFERROR(IF(VLOOKUP($B37,Shortage!$A:$M,AE$2,FALSE)="Shortage",1,IFERROR(ROUND(S37/G37,4),0)),IFERROR(ROUND(S37/G37,4),0))</f>
        <v>0</v>
      </c>
      <c r="AF37" s="123">
        <f>IFERROR(IF(VLOOKUP($B37,Shortage!$A:$M,AF$2,FALSE)="Shortage",1,IFERROR(ROUND(T37/H37,4),0)),IFERROR(ROUND(T37/H37,4),0))</f>
        <v>0</v>
      </c>
      <c r="AG37" s="123">
        <f>IFERROR(IF(VLOOKUP($B37,Shortage!$A:$M,AG$2,FALSE)="Shortage",1,IFERROR(ROUND(U37/I37,4),0)),IFERROR(ROUND(U37/I37,4),0))</f>
        <v>0</v>
      </c>
      <c r="AH37" s="123">
        <f>IFERROR(IF(VLOOKUP($B37,Shortage!$A:$M,AH$2,FALSE)="Shortage",1,IFERROR(ROUND(V37/J37,4),0)),IFERROR(ROUND(V37/J37,4),0))</f>
        <v>0</v>
      </c>
      <c r="AI37" s="123">
        <f>IFERROR(IF(VLOOKUP($B37,Shortage!$A:$M,AI$2,FALSE)="Shortage",1,IFERROR(ROUND(W37/K37,4),0)),IFERROR(ROUND(W37/K37,4),0))</f>
        <v>0</v>
      </c>
      <c r="AJ37" s="123">
        <f>IFERROR(IF(VLOOKUP($B37,Shortage!$A:$M,AP$2,FALSE)="Shortage",1,IFERROR(ROUND(X37/L37,4),0)),IFERROR(ROUND(X37/L37,4),0))</f>
        <v>0</v>
      </c>
      <c r="AK37" s="123">
        <f>IFERROR(IF(VLOOKUP($B37,Shortage!$A:$M,AK$2,FALSE)="Shortage",1,IFERROR(ROUND(Y37/M37,4),0)),IFERROR(ROUND(Y37/M37,4),0))</f>
        <v>0</v>
      </c>
      <c r="AL37" s="123">
        <f>IFERROR(IF(VLOOKUP($B37,Shortage!$A:$M,AL$2,FALSE)="Shortage",1,IFERROR(ROUND(Z37/N37,4),0)),IFERROR(ROUND(Z37/N37,4),0))</f>
        <v>0</v>
      </c>
      <c r="AM37" s="123">
        <f>IFERROR(IF(VLOOKUP($B37,Shortage!$A:$M,AM$2,FALSE)="Shortage",1,IFERROR(ROUND(AA37/O37,4),0)),IFERROR(ROUND(AA37/O37,4),0))</f>
        <v>0</v>
      </c>
      <c r="AN37" s="232">
        <f>IFERROR(IF($C37="Top WS",VLOOKUP("GOAL",'2) หลักการคำนวน Table'!$D$4:$M$4,HLOOKUP(AB37,'2) หลักการคำนวน Table'!$D$1:$M$5,5,TRUE),0),
IF($C37="WS SF",VLOOKUP("GOAL",'2) หลักการคำนวน Table'!$D$32:$M$32,HLOOKUP(AB37,'2) หลักการคำนวน Table'!$D$1:$M$5,5,TRUE),0),
IF($C37="WS WH",VLOOKUP("GOAL",'2) หลักการคำนวน Table'!$D$62:$M$62,HLOOKUP(AB37,'2) หลักการคำนวน Table'!$D$1:$M$5,5,TRUE),0),
IF($C37="SF WH",VLOOKUP("GOAL",'2) หลักการคำนวน Table'!$D$92:$M$92,HLOOKUP(AB37,'2) หลักการคำนวน Table'!$D$1:$M$5,5,TRUE),0))))),0)</f>
        <v>1</v>
      </c>
      <c r="AO37" s="232">
        <f>IFERROR(IF($C37="Top WS",VLOOKUP("GOAL",'2) หลักการคำนวน Table'!$D$4:$M$4,HLOOKUP(AC37,'2) หลักการคำนวน Table'!$D$1:$M$5,5,TRUE),0),
IF($C37="WS SF",VLOOKUP("GOAL",'2) หลักการคำนวน Table'!$D$32:$M$32,HLOOKUP(AC37,'2) หลักการคำนวน Table'!$D$1:$M$5,5,TRUE),0),
IF($C37="WS WH",VLOOKUP("GOAL",'2) หลักการคำนวน Table'!$D$62:$M$62,HLOOKUP(AC37,'2) หลักการคำนวน Table'!$D$1:$M$5,5,TRUE),0),
IF($C37="SF WH",VLOOKUP("GOAL",'2) หลักการคำนวน Table'!$D$92:$M$92,HLOOKUP(AC37,'2) หลักการคำนวน Table'!$D$1:$M$5,5,TRUE),0))))),0)</f>
        <v>0.9</v>
      </c>
      <c r="AP37" s="232">
        <f>IFERROR(IF($C37="Top WS",VLOOKUP("GOAL",'2) หลักการคำนวน Table'!$D$4:$M$4,HLOOKUP(AD37,'2) หลักการคำนวน Table'!$D$1:$M$5,5,TRUE),0),
IF($C37="WS SF",VLOOKUP("GOAL",'2) หลักการคำนวน Table'!$D$32:$M$32,HLOOKUP(AD37,'2) หลักการคำนวน Table'!$D$1:$M$5,5,TRUE),0),
IF($C37="WS WH",VLOOKUP("GOAL",'2) หลักการคำนวน Table'!$D$62:$M$62,HLOOKUP(AD37,'2) หลักการคำนวน Table'!$D$1:$M$5,5,TRUE),0),
IF($C37="SF WH",VLOOKUP("GOAL",'2) หลักการคำนวน Table'!$D$92:$M$92,HLOOKUP(AD37,'2) หลักการคำนวน Table'!$D$1:$M$5,5,TRUE),0))))),0)</f>
        <v>0.9</v>
      </c>
      <c r="AQ37" s="232">
        <f>IFERROR(IF($C37="Top WS",VLOOKUP("GOAL",'2) หลักการคำนวน Table'!$D$4:$M$4,HLOOKUP(AE37,'2) หลักการคำนวน Table'!$D$1:$M$5,5,TRUE),0),
IF($C37="WS SF",VLOOKUP("GOAL",'2) หลักการคำนวน Table'!$D$32:$M$32,HLOOKUP(AE37,'2) หลักการคำนวน Table'!$D$1:$M$5,5,TRUE),0),
IF($C37="WS WH",VLOOKUP("GOAL",'2) หลักการคำนวน Table'!$D$62:$M$62,HLOOKUP(AE37,'2) หลักการคำนวน Table'!$D$1:$M$5,5,TRUE),0),
IF($C37="SF WH",VLOOKUP("GOAL",'2) หลักการคำนวน Table'!$D$92:$M$92,HLOOKUP(AE37,'2) หลักการคำนวน Table'!$D$1:$M$5,5,TRUE),0))))),0)</f>
        <v>0.9</v>
      </c>
      <c r="AR37" s="232">
        <f>IFERROR(IF($C37="Top WS",VLOOKUP("GOAL",'2) หลักการคำนวน Table'!$D$4:$M$4,HLOOKUP(AF37,'2) หลักการคำนวน Table'!$D$1:$M$5,5,TRUE),0),
IF($C37="WS SF",VLOOKUP("GOAL",'2) หลักการคำนวน Table'!$D$32:$M$32,HLOOKUP(AF37,'2) หลักการคำนวน Table'!$D$1:$M$5,5,TRUE),0),
IF($C37="WS WH",VLOOKUP("GOAL",'2) หลักการคำนวน Table'!$D$62:$M$62,HLOOKUP(AF37,'2) หลักการคำนวน Table'!$D$1:$M$5,5,TRUE),0),
IF($C37="SF WH",VLOOKUP("GOAL",'2) หลักการคำนวน Table'!$D$92:$M$92,HLOOKUP(AF37,'2) หลักการคำนวน Table'!$D$1:$M$5,5,TRUE),0))))),0)</f>
        <v>0.9</v>
      </c>
      <c r="AS37" s="232">
        <f>IFERROR(IF($C37="Top WS",VLOOKUP("GOAL",'2) หลักการคำนวน Table'!$D$4:$M$4,HLOOKUP(AG37,'2) หลักการคำนวน Table'!$D$1:$M$5,5,TRUE),0),
IF($C37="WS SF",VLOOKUP("GOAL",'2) หลักการคำนวน Table'!$D$32:$M$32,HLOOKUP(AG37,'2) หลักการคำนวน Table'!$D$1:$M$5,5,TRUE),0),
IF($C37="WS WH",VLOOKUP("GOAL",'2) หลักการคำนวน Table'!$D$62:$M$62,HLOOKUP(AG37,'2) หลักการคำนวน Table'!$D$1:$M$5,5,TRUE),0),
IF($C37="SF WH",VLOOKUP("GOAL",'2) หลักการคำนวน Table'!$D$92:$M$92,HLOOKUP(AG37,'2) หลักการคำนวน Table'!$D$1:$M$5,5,TRUE),0))))),0)</f>
        <v>0.9</v>
      </c>
      <c r="AT37" s="232">
        <f>IFERROR(IF($C37="Top WS",VLOOKUP("GOAL",'2) หลักการคำนวน Table'!$D$4:$M$4,HLOOKUP(AH37,'2) หลักการคำนวน Table'!$D$1:$M$5,5,TRUE),0),
IF($C37="WS SF",VLOOKUP("GOAL",'2) หลักการคำนวน Table'!$D$32:$M$32,HLOOKUP(AH37,'2) หลักการคำนวน Table'!$D$1:$M$5,5,TRUE),0),
IF($C37="WS WH",VLOOKUP("GOAL",'2) หลักการคำนวน Table'!$D$62:$M$62,HLOOKUP(AH37,'2) หลักการคำนวน Table'!$D$1:$M$5,5,TRUE),0),
IF($C37="SF WH",VLOOKUP("GOAL",'2) หลักการคำนวน Table'!$D$92:$M$92,HLOOKUP(AH37,'2) หลักการคำนวน Table'!$D$1:$M$5,5,TRUE),0))))),0)</f>
        <v>0.9</v>
      </c>
      <c r="AU37" s="232">
        <f>IFERROR(IF($C37="Top WS",VLOOKUP("GOAL",'2) หลักการคำนวน Table'!$D$4:$M$4,HLOOKUP(AI37,'2) หลักการคำนวน Table'!$D$1:$M$5,5,TRUE),0),
IF($C37="WS SF",VLOOKUP("GOAL",'2) หลักการคำนวน Table'!$D$32:$M$32,HLOOKUP(AI37,'2) หลักการคำนวน Table'!$D$1:$M$5,5,TRUE),0),
IF($C37="WS WH",VLOOKUP("GOAL",'2) หลักการคำนวน Table'!$D$62:$M$62,HLOOKUP(AI37,'2) หลักการคำนวน Table'!$D$1:$M$5,5,TRUE),0),
IF($C37="SF WH",VLOOKUP("GOAL",'2) หลักการคำนวน Table'!$D$92:$M$92,HLOOKUP(AI37,'2) หลักการคำนวน Table'!$D$1:$M$5,5,TRUE),0))))),0)</f>
        <v>0.9</v>
      </c>
      <c r="AV37" s="232">
        <f>IFERROR(IF($C37="Top WS",VLOOKUP("GOAL",'2) หลักการคำนวน Table'!$D$4:$M$4,HLOOKUP(AP37,'2) หลักการคำนวน Table'!$D$1:$M$5,5,TRUE),0),
IF($C37="WS SF",VLOOKUP("GOAL",'2) หลักการคำนวน Table'!$D$32:$M$32,HLOOKUP(AP37,'2) หลักการคำนวน Table'!$D$1:$M$5,5,TRUE),0),
IF($C37="WS WH",VLOOKUP("GOAL",'2) หลักการคำนวน Table'!$D$62:$M$62,HLOOKUP(AP37,'2) หลักการคำนวน Table'!$D$1:$M$5,5,TRUE),0),
IF($C37="SF WH",VLOOKUP("GOAL",'2) หลักการคำนวน Table'!$D$92:$M$92,HLOOKUP(AP37,'2) หลักการคำนวน Table'!$D$1:$M$5,5,TRUE),0))))),0)</f>
        <v>0.9</v>
      </c>
      <c r="AW37" s="232">
        <f>IFERROR(IF($C37="Top WS",VLOOKUP("GOAL",'2) หลักการคำนวน Table'!$D$4:$M$4,HLOOKUP(AK37,'2) หลักการคำนวน Table'!$D$1:$M$5,5,TRUE),0),
IF($C37="WS SF",VLOOKUP("GOAL",'2) หลักการคำนวน Table'!$D$32:$M$32,HLOOKUP(AK37,'2) หลักการคำนวน Table'!$D$1:$M$5,5,TRUE),0),
IF($C37="WS WH",VLOOKUP("GOAL",'2) หลักการคำนวน Table'!$D$62:$M$62,HLOOKUP(AK37,'2) หลักการคำนวน Table'!$D$1:$M$5,5,TRUE),0),
IF($C37="SF WH",VLOOKUP("GOAL",'2) หลักการคำนวน Table'!$D$92:$M$92,HLOOKUP(AK37,'2) หลักการคำนวน Table'!$D$1:$M$5,5,TRUE),0))))),0)</f>
        <v>0.9</v>
      </c>
      <c r="AX37" s="232">
        <f>IFERROR(IF($C37="Top WS",VLOOKUP("GOAL",'2) หลักการคำนวน Table'!$D$4:$M$4,HLOOKUP(AL37,'2) หลักการคำนวน Table'!$D$1:$M$5,5,TRUE),0),
IF($C37="WS SF",VLOOKUP("GOAL",'2) หลักการคำนวน Table'!$D$32:$M$32,HLOOKUP(AL37,'2) หลักการคำนวน Table'!$D$1:$M$5,5,TRUE),0),
IF($C37="WS WH",VLOOKUP("GOAL",'2) หลักการคำนวน Table'!$D$62:$M$62,HLOOKUP(AL37,'2) หลักการคำนวน Table'!$D$1:$M$5,5,TRUE),0),
IF($C37="SF WH",VLOOKUP("GOAL",'2) หลักการคำนวน Table'!$D$92:$M$92,HLOOKUP(AL37,'2) หลักการคำนวน Table'!$D$1:$M$5,5,TRUE),0))))),0)</f>
        <v>0.9</v>
      </c>
      <c r="AY37" s="232">
        <f>IFERROR(IF($C37="Top WS",VLOOKUP("GOAL",'2) หลักการคำนวน Table'!$D$4:$M$4,HLOOKUP(AM37,'2) หลักการคำนวน Table'!$D$1:$M$5,5,TRUE),0),
IF($C37="WS SF",VLOOKUP("GOAL",'2) หลักการคำนวน Table'!$D$32:$M$32,HLOOKUP(AM37,'2) หลักการคำนวน Table'!$D$1:$M$5,5,TRUE),0),
IF($C37="WS WH",VLOOKUP("GOAL",'2) หลักการคำนวน Table'!$D$62:$M$62,HLOOKUP(AM37,'2) หลักการคำนวน Table'!$D$1:$M$5,5,TRUE),0),
IF($C37="SF WH",VLOOKUP("GOAL",'2) หลักการคำนวน Table'!$D$92:$M$92,HLOOKUP(AM37,'2) หลักการคำนวน Table'!$D$1:$M$5,5,TRUE),0))))),0)</f>
        <v>0.9</v>
      </c>
      <c r="AZ37" s="167">
        <f>IFERROR(IF($C37="Top WS",VLOOKUP($B37,'2) หลักการคำนวน Table'!$D$5:$M$20,HLOOKUP(AB37,'2) หลักการคำนวน Table'!$D$1:$M$5,5,TRUE),0),
IF($C37="WS SF",VLOOKUP($B37,'2) หลักการคำนวน Table'!$D$33:$M$48,HLOOKUP(AB37,'2) หลักการคำนวน Table'!$D$1:$M$5,5,TRUE),0),
IF($C37="WS WH",VLOOKUP($B37,'2) หลักการคำนวน Table'!$D$63:$M$78,HLOOKUP(AB37,'2) หลักการคำนวน Table'!$D$1:$M$5,5,TRUE),0),
IF($C37="SF WH",VLOOKUP($B37,'2) หลักการคำนวน Table'!$D$93:$M$108,HLOOKUP(AB37,'2) หลักการคำนวน Table'!$D$1:$M$5,5,TRUE),0))))),0)</f>
        <v>200</v>
      </c>
      <c r="BA37" s="167">
        <f>IFERROR(IF($C37="Top WS",VLOOKUP($B37,'2) หลักการคำนวน Table'!$D$5:$M$20,HLOOKUP(AC37,'2) หลักการคำนวน Table'!$D$1:$M$5,5,TRUE),0),
IF($C37="WS SF",VLOOKUP($B37,'2) หลักการคำนวน Table'!$D$33:$M$48,HLOOKUP(AC37,'2) หลักการคำนวน Table'!$D$1:$M$5,5,TRUE),0),
IF($C37="WS WH",VLOOKUP($B37,'2) หลักการคำนวน Table'!$D$63:$M$78,HLOOKUP(AC37,'2) หลักการคำนวน Table'!$D$1:$M$5,5,TRUE),0),
IF($C37="SF WH",VLOOKUP($B37,'2) หลักการคำนวน Table'!$D$93:$M$108,HLOOKUP(AC37,'2) หลักการคำนวน Table'!$D$1:$M$5,5,TRUE),0))))),0)</f>
        <v>180</v>
      </c>
      <c r="BB37" s="167">
        <f>IFERROR(IF($C37="Top WS",VLOOKUP($B37,'2) หลักการคำนวน Table'!$D$5:$M$20,HLOOKUP(AD37,'2) หลักการคำนวน Table'!$D$1:$M$5,5,TRUE),0),
IF($C37="WS SF",VLOOKUP($B37,'2) หลักการคำนวน Table'!$D$33:$M$48,HLOOKUP(AD37,'2) หลักการคำนวน Table'!$D$1:$M$5,5,TRUE),0),
IF($C37="WS WH",VLOOKUP($B37,'2) หลักการคำนวน Table'!$D$63:$M$78,HLOOKUP(AD37,'2) หลักการคำนวน Table'!$D$1:$M$5,5,TRUE),0),
IF($C37="SF WH",VLOOKUP($B37,'2) หลักการคำนวน Table'!$D$93:$M$108,HLOOKUP(AD37,'2) หลักการคำนวน Table'!$D$1:$M$5,5,TRUE),0))))),0)</f>
        <v>180</v>
      </c>
      <c r="BC37" s="167">
        <f>IFERROR(IF($C37="Top WS",VLOOKUP($B37,'2) หลักการคำนวน Table'!$D$5:$M$20,HLOOKUP(AE37,'2) หลักการคำนวน Table'!$D$1:$M$5,5,TRUE),0),
IF($C37="WS SF",VLOOKUP($B37,'2) หลักการคำนวน Table'!$D$33:$M$48,HLOOKUP(AE37,'2) หลักการคำนวน Table'!$D$1:$M$5,5,TRUE),0),
IF($C37="WS WH",VLOOKUP($B37,'2) หลักการคำนวน Table'!$D$63:$M$78,HLOOKUP(AE37,'2) หลักการคำนวน Table'!$D$1:$M$5,5,TRUE),0),
IF($C37="SF WH",VLOOKUP($B37,'2) หลักการคำนวน Table'!$D$93:$M$108,HLOOKUP(AE37,'2) หลักการคำนวน Table'!$D$1:$M$5,5,TRUE),0))))),0)</f>
        <v>180</v>
      </c>
      <c r="BD37" s="167">
        <f>IFERROR(IF($C37="Top WS",VLOOKUP($B37,'2) หลักการคำนวน Table'!$D$5:$M$20,HLOOKUP(AF37,'2) หลักการคำนวน Table'!$D$1:$M$5,5,TRUE),0),
IF($C37="WS SF",VLOOKUP($B37,'2) หลักการคำนวน Table'!$D$33:$M$48,HLOOKUP(AF37,'2) หลักการคำนวน Table'!$D$1:$M$5,5,TRUE),0),
IF($C37="WS WH",VLOOKUP($B37,'2) หลักการคำนวน Table'!$D$63:$M$78,HLOOKUP(AF37,'2) หลักการคำนวน Table'!$D$1:$M$5,5,TRUE),0),
IF($C37="SF WH",VLOOKUP($B37,'2) หลักการคำนวน Table'!$D$93:$M$108,HLOOKUP(AF37,'2) หลักการคำนวน Table'!$D$1:$M$5,5,TRUE),0))))),0)</f>
        <v>180</v>
      </c>
      <c r="BE37" s="167">
        <f>IFERROR(IF($C37="Top WS",VLOOKUP($B37,'2) หลักการคำนวน Table'!$D$5:$M$20,HLOOKUP(AG37,'2) หลักการคำนวน Table'!$D$1:$M$5,5,TRUE),0),
IF($C37="WS SF",VLOOKUP($B37,'2) หลักการคำนวน Table'!$D$33:$M$48,HLOOKUP(AG37,'2) หลักการคำนวน Table'!$D$1:$M$5,5,TRUE),0),
IF($C37="WS WH",VLOOKUP($B37,'2) หลักการคำนวน Table'!$D$63:$M$78,HLOOKUP(AG37,'2) หลักการคำนวน Table'!$D$1:$M$5,5,TRUE),0),
IF($C37="SF WH",VLOOKUP($B37,'2) หลักการคำนวน Table'!$D$93:$M$108,HLOOKUP(AG37,'2) หลักการคำนวน Table'!$D$1:$M$5,5,TRUE),0))))),0)</f>
        <v>180</v>
      </c>
      <c r="BF37" s="167">
        <f>IFERROR(IF($C37="Top WS",VLOOKUP($B37,'2) หลักการคำนวน Table'!$D$5:$M$20,HLOOKUP(AH37,'2) หลักการคำนวน Table'!$D$1:$M$5,5,TRUE),0),
IF($C37="WS SF",VLOOKUP($B37,'2) หลักการคำนวน Table'!$D$33:$M$48,HLOOKUP(AH37,'2) หลักการคำนวน Table'!$D$1:$M$5,5,TRUE),0),
IF($C37="WS WH",VLOOKUP($B37,'2) หลักการคำนวน Table'!$D$63:$M$78,HLOOKUP(AH37,'2) หลักการคำนวน Table'!$D$1:$M$5,5,TRUE),0),
IF($C37="SF WH",VLOOKUP($B37,'2) หลักการคำนวน Table'!$D$93:$M$108,HLOOKUP(AH37,'2) หลักการคำนวน Table'!$D$1:$M$5,5,TRUE),0))))),0)</f>
        <v>180</v>
      </c>
      <c r="BG37" s="167">
        <f>IFERROR(IF($C37="Top WS",VLOOKUP($B37,'2) หลักการคำนวน Table'!$D$5:$M$20,HLOOKUP(AI37,'2) หลักการคำนวน Table'!$D$1:$M$5,5,TRUE),0),
IF($C37="WS SF",VLOOKUP($B37,'2) หลักการคำนวน Table'!$D$33:$M$48,HLOOKUP(AI37,'2) หลักการคำนวน Table'!$D$1:$M$5,5,TRUE),0),
IF($C37="WS WH",VLOOKUP($B37,'2) หลักการคำนวน Table'!$D$63:$M$78,HLOOKUP(AI37,'2) หลักการคำนวน Table'!$D$1:$M$5,5,TRUE),0),
IF($C37="SF WH",VLOOKUP($B37,'2) หลักการคำนวน Table'!$D$93:$M$108,HLOOKUP(AI37,'2) หลักการคำนวน Table'!$D$1:$M$5,5,TRUE),0))))),0)</f>
        <v>180</v>
      </c>
      <c r="BH37" s="167">
        <f>IFERROR(IF($C37="Top WS",VLOOKUP($B37,'2) หลักการคำนวน Table'!$D$5:$M$20,HLOOKUP(AP37,'2) หลักการคำนวน Table'!$D$1:$M$5,5,TRUE),0),
IF($C37="WS SF",VLOOKUP($B37,'2) หลักการคำนวน Table'!$D$33:$M$48,HLOOKUP(AP37,'2) หลักการคำนวน Table'!$D$1:$M$5,5,TRUE),0),
IF($C37="WS WH",VLOOKUP($B37,'2) หลักการคำนวน Table'!$D$63:$M$78,HLOOKUP(AP37,'2) หลักการคำนวน Table'!$D$1:$M$5,5,TRUE),0),
IF($C37="SF WH",VLOOKUP($B37,'2) หลักการคำนวน Table'!$D$93:$M$108,HLOOKUP(AP37,'2) หลักการคำนวน Table'!$D$1:$M$5,5,TRUE),0))))),0)</f>
        <v>180</v>
      </c>
      <c r="BI37" s="167">
        <f>IFERROR(IF($C37="Top WS",VLOOKUP($B37,'2) หลักการคำนวน Table'!$D$5:$M$20,HLOOKUP(AK37,'2) หลักการคำนวน Table'!$D$1:$M$5,5,TRUE),0),
IF($C37="WS SF",VLOOKUP($B37,'2) หลักการคำนวน Table'!$D$33:$M$48,HLOOKUP(AK37,'2) หลักการคำนวน Table'!$D$1:$M$5,5,TRUE),0),
IF($C37="WS WH",VLOOKUP($B37,'2) หลักการคำนวน Table'!$D$63:$M$78,HLOOKUP(AK37,'2) หลักการคำนวน Table'!$D$1:$M$5,5,TRUE),0),
IF($C37="SF WH",VLOOKUP($B37,'2) หลักการคำนวน Table'!$D$93:$M$108,HLOOKUP(AK37,'2) หลักการคำนวน Table'!$D$1:$M$5,5,TRUE),0))))),0)</f>
        <v>180</v>
      </c>
      <c r="BJ37" s="167">
        <f>IFERROR(IF($C37="Top WS",VLOOKUP($B37,'2) หลักการคำนวน Table'!$D$5:$M$20,HLOOKUP(AL37,'2) หลักการคำนวน Table'!$D$1:$M$5,5,TRUE),0),
IF($C37="WS SF",VLOOKUP($B37,'2) หลักการคำนวน Table'!$D$33:$M$48,HLOOKUP(AL37,'2) หลักการคำนวน Table'!$D$1:$M$5,5,TRUE),0),
IF($C37="WS WH",VLOOKUP($B37,'2) หลักการคำนวน Table'!$D$63:$M$78,HLOOKUP(AL37,'2) หลักการคำนวน Table'!$D$1:$M$5,5,TRUE),0),
IF($C37="SF WH",VLOOKUP($B37,'2) หลักการคำนวน Table'!$D$93:$M$108,HLOOKUP(AL37,'2) หลักการคำนวน Table'!$D$1:$M$5,5,TRUE),0))))),0)</f>
        <v>180</v>
      </c>
      <c r="BK37" s="167">
        <f>IFERROR(IF($C37="Top WS",VLOOKUP($B37,'2) หลักการคำนวน Table'!$D$5:$M$20,HLOOKUP(AM37,'2) หลักการคำนวน Table'!$D$1:$M$5,5,TRUE),0),
IF($C37="WS SF",VLOOKUP($B37,'2) หลักการคำนวน Table'!$D$33:$M$48,HLOOKUP(AM37,'2) หลักการคำนวน Table'!$D$1:$M$5,5,TRUE),0),
IF($C37="WS WH",VLOOKUP($B37,'2) หลักการคำนวน Table'!$D$63:$M$78,HLOOKUP(AM37,'2) หลักการคำนวน Table'!$D$1:$M$5,5,TRUE),0),
IF($C37="SF WH",VLOOKUP($B37,'2) หลักการคำนวน Table'!$D$93:$M$108,HLOOKUP(AM37,'2) หลักการคำนวน Table'!$D$1:$M$5,5,TRUE),0))))),0)</f>
        <v>180</v>
      </c>
      <c r="BM37" s="119">
        <f>VLOOKUP(VLOOKUP(A37,ASTBase!E:S,13,FALSE),ASTBase!F:P,11,FALSE)</f>
        <v>120000</v>
      </c>
      <c r="BN37" s="196" cm="1">
        <f t="array" ref="BN37">INDEX(AN37:AY37,,Period!$D$2)</f>
        <v>0.9</v>
      </c>
    </row>
    <row r="38" spans="1:66" x14ac:dyDescent="0.25">
      <c r="A38" s="117">
        <v>120002</v>
      </c>
      <c r="B38" s="117" t="s">
        <v>389</v>
      </c>
      <c r="C38" s="117" t="s">
        <v>178</v>
      </c>
      <c r="D38" s="118">
        <v>24741</v>
      </c>
      <c r="E38" s="118">
        <v>23332</v>
      </c>
      <c r="F38" s="118">
        <v>26986</v>
      </c>
      <c r="G38" s="118">
        <v>22124</v>
      </c>
      <c r="H38" s="118">
        <v>18511</v>
      </c>
      <c r="I38" s="118">
        <v>23486</v>
      </c>
      <c r="J38" s="118">
        <v>21556</v>
      </c>
      <c r="K38" s="118">
        <v>24495</v>
      </c>
      <c r="L38" s="118">
        <v>24568</v>
      </c>
      <c r="M38" s="118">
        <v>27346</v>
      </c>
      <c r="N38" s="118">
        <v>22119</v>
      </c>
      <c r="O38" s="118">
        <v>22121</v>
      </c>
      <c r="P38" s="117">
        <f>SUMIFS(Actual!C:C,Actual!$A:$A,'3)Target &amp; Cal'!$A38,Actual!$B:$B,'3)Target &amp; Cal'!$B38)</f>
        <v>16459.5</v>
      </c>
      <c r="Q38" s="117">
        <f>SUMIFS(Actual!D:D,Actual!$A:$A,'3)Target &amp; Cal'!$A38,Actual!$B:$B,'3)Target &amp; Cal'!$B38)</f>
        <v>27532.300000000014</v>
      </c>
      <c r="R38" s="117">
        <f>SUMIFS(Actual!E:E,Actual!$A:$A,'3)Target &amp; Cal'!$A38,Actual!$B:$B,'3)Target &amp; Cal'!$B38)</f>
        <v>0</v>
      </c>
      <c r="S38" s="117">
        <f>SUMIFS(Actual!F:F,Actual!$A:$A,'3)Target &amp; Cal'!$A38,Actual!$B:$B,'3)Target &amp; Cal'!$B38)</f>
        <v>0</v>
      </c>
      <c r="T38" s="117">
        <f>SUMIFS(Actual!G:G,Actual!$A:$A,'3)Target &amp; Cal'!$A38,Actual!$B:$B,'3)Target &amp; Cal'!$B38)</f>
        <v>0</v>
      </c>
      <c r="U38" s="117">
        <f>SUMIFS(Actual!H:H,Actual!$A:$A,'3)Target &amp; Cal'!$A38,Actual!$B:$B,'3)Target &amp; Cal'!$B38)</f>
        <v>0</v>
      </c>
      <c r="V38" s="117">
        <f>SUMIFS(Actual!I:I,Actual!$A:$A,'3)Target &amp; Cal'!$A38,Actual!$B:$B,'3)Target &amp; Cal'!$B38)</f>
        <v>0</v>
      </c>
      <c r="W38" s="117">
        <f>SUMIFS(Actual!J:J,Actual!$A:$A,'3)Target &amp; Cal'!$A38,Actual!$B:$B,'3)Target &amp; Cal'!$B38)</f>
        <v>0</v>
      </c>
      <c r="X38" s="117">
        <f>SUMIFS(Actual!K:K,Actual!$A:$A,'3)Target &amp; Cal'!$A38,Actual!$B:$B,'3)Target &amp; Cal'!$B38)</f>
        <v>0</v>
      </c>
      <c r="Y38" s="117">
        <f>SUMIFS(Actual!L:L,Actual!$A:$A,'3)Target &amp; Cal'!$A38,Actual!$B:$B,'3)Target &amp; Cal'!$B38)</f>
        <v>0</v>
      </c>
      <c r="Z38" s="117">
        <f>SUMIFS(Actual!M:M,Actual!$A:$A,'3)Target &amp; Cal'!$A38,Actual!$B:$B,'3)Target &amp; Cal'!$B38)</f>
        <v>0</v>
      </c>
      <c r="AA38" s="117">
        <f>SUMIFS(Actual!N:N,Actual!$A:$A,'3)Target &amp; Cal'!$A38,Actual!$B:$B,'3)Target &amp; Cal'!$B38)</f>
        <v>0</v>
      </c>
      <c r="AB38" s="123">
        <f>IFERROR(IF(VLOOKUP($B38,Shortage!$A:$M,AB$2,FALSE)="Shortage",1,IFERROR(ROUND(P38/D38,4),0)),IFERROR(ROUND(P38/D38,4),0))</f>
        <v>1</v>
      </c>
      <c r="AC38" s="123">
        <f>IFERROR(IF(VLOOKUP($B38,Shortage!$A:$M,AC$2,FALSE)="Shortage",1,IFERROR(ROUND(Q38/E38,4),0)),IFERROR(ROUND(Q38/E38,4),0))</f>
        <v>1</v>
      </c>
      <c r="AD38" s="123">
        <f>IFERROR(IF(VLOOKUP($B38,Shortage!$A:$M,AD$2,FALSE)="Shortage",1,IFERROR(ROUND(R38/F38,4),0)),IFERROR(ROUND(R38/F38,4),0))</f>
        <v>0</v>
      </c>
      <c r="AE38" s="123">
        <f>IFERROR(IF(VLOOKUP($B38,Shortage!$A:$M,AE$2,FALSE)="Shortage",1,IFERROR(ROUND(S38/G38,4),0)),IFERROR(ROUND(S38/G38,4),0))</f>
        <v>0</v>
      </c>
      <c r="AF38" s="123">
        <f>IFERROR(IF(VLOOKUP($B38,Shortage!$A:$M,AF$2,FALSE)="Shortage",1,IFERROR(ROUND(T38/H38,4),0)),IFERROR(ROUND(T38/H38,4),0))</f>
        <v>0</v>
      </c>
      <c r="AG38" s="123">
        <f>IFERROR(IF(VLOOKUP($B38,Shortage!$A:$M,AG$2,FALSE)="Shortage",1,IFERROR(ROUND(U38/I38,4),0)),IFERROR(ROUND(U38/I38,4),0))</f>
        <v>0</v>
      </c>
      <c r="AH38" s="123">
        <f>IFERROR(IF(VLOOKUP($B38,Shortage!$A:$M,AH$2,FALSE)="Shortage",1,IFERROR(ROUND(V38/J38,4),0)),IFERROR(ROUND(V38/J38,4),0))</f>
        <v>0</v>
      </c>
      <c r="AI38" s="123">
        <f>IFERROR(IF(VLOOKUP($B38,Shortage!$A:$M,AI$2,FALSE)="Shortage",1,IFERROR(ROUND(W38/K38,4),0)),IFERROR(ROUND(W38/K38,4),0))</f>
        <v>0</v>
      </c>
      <c r="AJ38" s="123">
        <f>IFERROR(IF(VLOOKUP($B38,Shortage!$A:$M,AP$2,FALSE)="Shortage",1,IFERROR(ROUND(X38/L38,4),0)),IFERROR(ROUND(X38/L38,4),0))</f>
        <v>0</v>
      </c>
      <c r="AK38" s="123">
        <f>IFERROR(IF(VLOOKUP($B38,Shortage!$A:$M,AK$2,FALSE)="Shortage",1,IFERROR(ROUND(Y38/M38,4),0)),IFERROR(ROUND(Y38/M38,4),0))</f>
        <v>0</v>
      </c>
      <c r="AL38" s="123">
        <f>IFERROR(IF(VLOOKUP($B38,Shortage!$A:$M,AL$2,FALSE)="Shortage",1,IFERROR(ROUND(Z38/N38,4),0)),IFERROR(ROUND(Z38/N38,4),0))</f>
        <v>0</v>
      </c>
      <c r="AM38" s="123">
        <f>IFERROR(IF(VLOOKUP($B38,Shortage!$A:$M,AM$2,FALSE)="Shortage",1,IFERROR(ROUND(AA38/O38,4),0)),IFERROR(ROUND(AA38/O38,4),0))</f>
        <v>0</v>
      </c>
      <c r="AN38" s="232">
        <f>IFERROR(IF($C38="Top WS",VLOOKUP("GOAL",'2) หลักการคำนวน Table'!$D$4:$M$4,HLOOKUP(AB38,'2) หลักการคำนวน Table'!$D$1:$M$5,5,TRUE),0),
IF($C38="WS SF",VLOOKUP("GOAL",'2) หลักการคำนวน Table'!$D$32:$M$32,HLOOKUP(AB38,'2) หลักการคำนวน Table'!$D$1:$M$5,5,TRUE),0),
IF($C38="WS WH",VLOOKUP("GOAL",'2) หลักการคำนวน Table'!$D$62:$M$62,HLOOKUP(AB38,'2) หลักการคำนวน Table'!$D$1:$M$5,5,TRUE),0),
IF($C38="SF WH",VLOOKUP("GOAL",'2) หลักการคำนวน Table'!$D$92:$M$92,HLOOKUP(AB38,'2) หลักการคำนวน Table'!$D$1:$M$5,5,TRUE),0))))),0)</f>
        <v>1</v>
      </c>
      <c r="AO38" s="232">
        <f>IFERROR(IF($C38="Top WS",VLOOKUP("GOAL",'2) หลักการคำนวน Table'!$D$4:$M$4,HLOOKUP(AC38,'2) หลักการคำนวน Table'!$D$1:$M$5,5,TRUE),0),
IF($C38="WS SF",VLOOKUP("GOAL",'2) หลักการคำนวน Table'!$D$32:$M$32,HLOOKUP(AC38,'2) หลักการคำนวน Table'!$D$1:$M$5,5,TRUE),0),
IF($C38="WS WH",VLOOKUP("GOAL",'2) หลักการคำนวน Table'!$D$62:$M$62,HLOOKUP(AC38,'2) หลักการคำนวน Table'!$D$1:$M$5,5,TRUE),0),
IF($C38="SF WH",VLOOKUP("GOAL",'2) หลักการคำนวน Table'!$D$92:$M$92,HLOOKUP(AC38,'2) หลักการคำนวน Table'!$D$1:$M$5,5,TRUE),0))))),0)</f>
        <v>1</v>
      </c>
      <c r="AP38" s="232">
        <f>IFERROR(IF($C38="Top WS",VLOOKUP("GOAL",'2) หลักการคำนวน Table'!$D$4:$M$4,HLOOKUP(AD38,'2) หลักการคำนวน Table'!$D$1:$M$5,5,TRUE),0),
IF($C38="WS SF",VLOOKUP("GOAL",'2) หลักการคำนวน Table'!$D$32:$M$32,HLOOKUP(AD38,'2) หลักการคำนวน Table'!$D$1:$M$5,5,TRUE),0),
IF($C38="WS WH",VLOOKUP("GOAL",'2) หลักการคำนวน Table'!$D$62:$M$62,HLOOKUP(AD38,'2) หลักการคำนวน Table'!$D$1:$M$5,5,TRUE),0),
IF($C38="SF WH",VLOOKUP("GOAL",'2) หลักการคำนวน Table'!$D$92:$M$92,HLOOKUP(AD38,'2) หลักการคำนวน Table'!$D$1:$M$5,5,TRUE),0))))),0)</f>
        <v>0.9</v>
      </c>
      <c r="AQ38" s="232">
        <f>IFERROR(IF($C38="Top WS",VLOOKUP("GOAL",'2) หลักการคำนวน Table'!$D$4:$M$4,HLOOKUP(AE38,'2) หลักการคำนวน Table'!$D$1:$M$5,5,TRUE),0),
IF($C38="WS SF",VLOOKUP("GOAL",'2) หลักการคำนวน Table'!$D$32:$M$32,HLOOKUP(AE38,'2) หลักการคำนวน Table'!$D$1:$M$5,5,TRUE),0),
IF($C38="WS WH",VLOOKUP("GOAL",'2) หลักการคำนวน Table'!$D$62:$M$62,HLOOKUP(AE38,'2) หลักการคำนวน Table'!$D$1:$M$5,5,TRUE),0),
IF($C38="SF WH",VLOOKUP("GOAL",'2) หลักการคำนวน Table'!$D$92:$M$92,HLOOKUP(AE38,'2) หลักการคำนวน Table'!$D$1:$M$5,5,TRUE),0))))),0)</f>
        <v>0.9</v>
      </c>
      <c r="AR38" s="232">
        <f>IFERROR(IF($C38="Top WS",VLOOKUP("GOAL",'2) หลักการคำนวน Table'!$D$4:$M$4,HLOOKUP(AF38,'2) หลักการคำนวน Table'!$D$1:$M$5,5,TRUE),0),
IF($C38="WS SF",VLOOKUP("GOAL",'2) หลักการคำนวน Table'!$D$32:$M$32,HLOOKUP(AF38,'2) หลักการคำนวน Table'!$D$1:$M$5,5,TRUE),0),
IF($C38="WS WH",VLOOKUP("GOAL",'2) หลักการคำนวน Table'!$D$62:$M$62,HLOOKUP(AF38,'2) หลักการคำนวน Table'!$D$1:$M$5,5,TRUE),0),
IF($C38="SF WH",VLOOKUP("GOAL",'2) หลักการคำนวน Table'!$D$92:$M$92,HLOOKUP(AF38,'2) หลักการคำนวน Table'!$D$1:$M$5,5,TRUE),0))))),0)</f>
        <v>0.9</v>
      </c>
      <c r="AS38" s="232">
        <f>IFERROR(IF($C38="Top WS",VLOOKUP("GOAL",'2) หลักการคำนวน Table'!$D$4:$M$4,HLOOKUP(AG38,'2) หลักการคำนวน Table'!$D$1:$M$5,5,TRUE),0),
IF($C38="WS SF",VLOOKUP("GOAL",'2) หลักการคำนวน Table'!$D$32:$M$32,HLOOKUP(AG38,'2) หลักการคำนวน Table'!$D$1:$M$5,5,TRUE),0),
IF($C38="WS WH",VLOOKUP("GOAL",'2) หลักการคำนวน Table'!$D$62:$M$62,HLOOKUP(AG38,'2) หลักการคำนวน Table'!$D$1:$M$5,5,TRUE),0),
IF($C38="SF WH",VLOOKUP("GOAL",'2) หลักการคำนวน Table'!$D$92:$M$92,HLOOKUP(AG38,'2) หลักการคำนวน Table'!$D$1:$M$5,5,TRUE),0))))),0)</f>
        <v>0.9</v>
      </c>
      <c r="AT38" s="232">
        <f>IFERROR(IF($C38="Top WS",VLOOKUP("GOAL",'2) หลักการคำนวน Table'!$D$4:$M$4,HLOOKUP(AH38,'2) หลักการคำนวน Table'!$D$1:$M$5,5,TRUE),0),
IF($C38="WS SF",VLOOKUP("GOAL",'2) หลักการคำนวน Table'!$D$32:$M$32,HLOOKUP(AH38,'2) หลักการคำนวน Table'!$D$1:$M$5,5,TRUE),0),
IF($C38="WS WH",VLOOKUP("GOAL",'2) หลักการคำนวน Table'!$D$62:$M$62,HLOOKUP(AH38,'2) หลักการคำนวน Table'!$D$1:$M$5,5,TRUE),0),
IF($C38="SF WH",VLOOKUP("GOAL",'2) หลักการคำนวน Table'!$D$92:$M$92,HLOOKUP(AH38,'2) หลักการคำนวน Table'!$D$1:$M$5,5,TRUE),0))))),0)</f>
        <v>0.9</v>
      </c>
      <c r="AU38" s="232">
        <f>IFERROR(IF($C38="Top WS",VLOOKUP("GOAL",'2) หลักการคำนวน Table'!$D$4:$M$4,HLOOKUP(AI38,'2) หลักการคำนวน Table'!$D$1:$M$5,5,TRUE),0),
IF($C38="WS SF",VLOOKUP("GOAL",'2) หลักการคำนวน Table'!$D$32:$M$32,HLOOKUP(AI38,'2) หลักการคำนวน Table'!$D$1:$M$5,5,TRUE),0),
IF($C38="WS WH",VLOOKUP("GOAL",'2) หลักการคำนวน Table'!$D$62:$M$62,HLOOKUP(AI38,'2) หลักการคำนวน Table'!$D$1:$M$5,5,TRUE),0),
IF($C38="SF WH",VLOOKUP("GOAL",'2) หลักการคำนวน Table'!$D$92:$M$92,HLOOKUP(AI38,'2) หลักการคำนวน Table'!$D$1:$M$5,5,TRUE),0))))),0)</f>
        <v>0.9</v>
      </c>
      <c r="AV38" s="232">
        <f>IFERROR(IF($C38="Top WS",VLOOKUP("GOAL",'2) หลักการคำนวน Table'!$D$4:$M$4,HLOOKUP(AP38,'2) หลักการคำนวน Table'!$D$1:$M$5,5,TRUE),0),
IF($C38="WS SF",VLOOKUP("GOAL",'2) หลักการคำนวน Table'!$D$32:$M$32,HLOOKUP(AP38,'2) หลักการคำนวน Table'!$D$1:$M$5,5,TRUE),0),
IF($C38="WS WH",VLOOKUP("GOAL",'2) หลักการคำนวน Table'!$D$62:$M$62,HLOOKUP(AP38,'2) หลักการคำนวน Table'!$D$1:$M$5,5,TRUE),0),
IF($C38="SF WH",VLOOKUP("GOAL",'2) หลักการคำนวน Table'!$D$92:$M$92,HLOOKUP(AP38,'2) หลักการคำนวน Table'!$D$1:$M$5,5,TRUE),0))))),0)</f>
        <v>0.9</v>
      </c>
      <c r="AW38" s="232">
        <f>IFERROR(IF($C38="Top WS",VLOOKUP("GOAL",'2) หลักการคำนวน Table'!$D$4:$M$4,HLOOKUP(AK38,'2) หลักการคำนวน Table'!$D$1:$M$5,5,TRUE),0),
IF($C38="WS SF",VLOOKUP("GOAL",'2) หลักการคำนวน Table'!$D$32:$M$32,HLOOKUP(AK38,'2) หลักการคำนวน Table'!$D$1:$M$5,5,TRUE),0),
IF($C38="WS WH",VLOOKUP("GOAL",'2) หลักการคำนวน Table'!$D$62:$M$62,HLOOKUP(AK38,'2) หลักการคำนวน Table'!$D$1:$M$5,5,TRUE),0),
IF($C38="SF WH",VLOOKUP("GOAL",'2) หลักการคำนวน Table'!$D$92:$M$92,HLOOKUP(AK38,'2) หลักการคำนวน Table'!$D$1:$M$5,5,TRUE),0))))),0)</f>
        <v>0.9</v>
      </c>
      <c r="AX38" s="232">
        <f>IFERROR(IF($C38="Top WS",VLOOKUP("GOAL",'2) หลักการคำนวน Table'!$D$4:$M$4,HLOOKUP(AL38,'2) หลักการคำนวน Table'!$D$1:$M$5,5,TRUE),0),
IF($C38="WS SF",VLOOKUP("GOAL",'2) หลักการคำนวน Table'!$D$32:$M$32,HLOOKUP(AL38,'2) หลักการคำนวน Table'!$D$1:$M$5,5,TRUE),0),
IF($C38="WS WH",VLOOKUP("GOAL",'2) หลักการคำนวน Table'!$D$62:$M$62,HLOOKUP(AL38,'2) หลักการคำนวน Table'!$D$1:$M$5,5,TRUE),0),
IF($C38="SF WH",VLOOKUP("GOAL",'2) หลักการคำนวน Table'!$D$92:$M$92,HLOOKUP(AL38,'2) หลักการคำนวน Table'!$D$1:$M$5,5,TRUE),0))))),0)</f>
        <v>0.9</v>
      </c>
      <c r="AY38" s="232">
        <f>IFERROR(IF($C38="Top WS",VLOOKUP("GOAL",'2) หลักการคำนวน Table'!$D$4:$M$4,HLOOKUP(AM38,'2) หลักการคำนวน Table'!$D$1:$M$5,5,TRUE),0),
IF($C38="WS SF",VLOOKUP("GOAL",'2) หลักการคำนวน Table'!$D$32:$M$32,HLOOKUP(AM38,'2) หลักการคำนวน Table'!$D$1:$M$5,5,TRUE),0),
IF($C38="WS WH",VLOOKUP("GOAL",'2) หลักการคำนวน Table'!$D$62:$M$62,HLOOKUP(AM38,'2) หลักการคำนวน Table'!$D$1:$M$5,5,TRUE),0),
IF($C38="SF WH",VLOOKUP("GOAL",'2) หลักการคำนวน Table'!$D$92:$M$92,HLOOKUP(AM38,'2) หลักการคำนวน Table'!$D$1:$M$5,5,TRUE),0))))),0)</f>
        <v>0.9</v>
      </c>
      <c r="AZ38" s="167">
        <f>IFERROR(IF($C38="Top WS",VLOOKUP($B38,'2) หลักการคำนวน Table'!$D$5:$M$20,HLOOKUP(AB38,'2) หลักการคำนวน Table'!$D$1:$M$5,5,TRUE),0),
IF($C38="WS SF",VLOOKUP($B38,'2) หลักการคำนวน Table'!$D$33:$M$48,HLOOKUP(AB38,'2) หลักการคำนวน Table'!$D$1:$M$5,5,TRUE),0),
IF($C38="WS WH",VLOOKUP($B38,'2) หลักการคำนวน Table'!$D$63:$M$78,HLOOKUP(AB38,'2) หลักการคำนวน Table'!$D$1:$M$5,5,TRUE),0),
IF($C38="SF WH",VLOOKUP($B38,'2) หลักการคำนวน Table'!$D$93:$M$108,HLOOKUP(AB38,'2) หลักการคำนวน Table'!$D$1:$M$5,5,TRUE),0))))),0)</f>
        <v>400</v>
      </c>
      <c r="BA38" s="167">
        <f>IFERROR(IF($C38="Top WS",VLOOKUP($B38,'2) หลักการคำนวน Table'!$D$5:$M$20,HLOOKUP(AC38,'2) หลักการคำนวน Table'!$D$1:$M$5,5,TRUE),0),
IF($C38="WS SF",VLOOKUP($B38,'2) หลักการคำนวน Table'!$D$33:$M$48,HLOOKUP(AC38,'2) หลักการคำนวน Table'!$D$1:$M$5,5,TRUE),0),
IF($C38="WS WH",VLOOKUP($B38,'2) หลักการคำนวน Table'!$D$63:$M$78,HLOOKUP(AC38,'2) หลักการคำนวน Table'!$D$1:$M$5,5,TRUE),0),
IF($C38="SF WH",VLOOKUP($B38,'2) หลักการคำนวน Table'!$D$93:$M$108,HLOOKUP(AC38,'2) หลักการคำนวน Table'!$D$1:$M$5,5,TRUE),0))))),0)</f>
        <v>400</v>
      </c>
      <c r="BB38" s="167">
        <f>IFERROR(IF($C38="Top WS",VLOOKUP($B38,'2) หลักการคำนวน Table'!$D$5:$M$20,HLOOKUP(AD38,'2) หลักการคำนวน Table'!$D$1:$M$5,5,TRUE),0),
IF($C38="WS SF",VLOOKUP($B38,'2) หลักการคำนวน Table'!$D$33:$M$48,HLOOKUP(AD38,'2) หลักการคำนวน Table'!$D$1:$M$5,5,TRUE),0),
IF($C38="WS WH",VLOOKUP($B38,'2) หลักการคำนวน Table'!$D$63:$M$78,HLOOKUP(AD38,'2) หลักการคำนวน Table'!$D$1:$M$5,5,TRUE),0),
IF($C38="SF WH",VLOOKUP($B38,'2) หลักการคำนวน Table'!$D$93:$M$108,HLOOKUP(AD38,'2) หลักการคำนวน Table'!$D$1:$M$5,5,TRUE),0))))),0)</f>
        <v>360</v>
      </c>
      <c r="BC38" s="167">
        <f>IFERROR(IF($C38="Top WS",VLOOKUP($B38,'2) หลักการคำนวน Table'!$D$5:$M$20,HLOOKUP(AE38,'2) หลักการคำนวน Table'!$D$1:$M$5,5,TRUE),0),
IF($C38="WS SF",VLOOKUP($B38,'2) หลักการคำนวน Table'!$D$33:$M$48,HLOOKUP(AE38,'2) หลักการคำนวน Table'!$D$1:$M$5,5,TRUE),0),
IF($C38="WS WH",VLOOKUP($B38,'2) หลักการคำนวน Table'!$D$63:$M$78,HLOOKUP(AE38,'2) หลักการคำนวน Table'!$D$1:$M$5,5,TRUE),0),
IF($C38="SF WH",VLOOKUP($B38,'2) หลักการคำนวน Table'!$D$93:$M$108,HLOOKUP(AE38,'2) หลักการคำนวน Table'!$D$1:$M$5,5,TRUE),0))))),0)</f>
        <v>360</v>
      </c>
      <c r="BD38" s="167">
        <f>IFERROR(IF($C38="Top WS",VLOOKUP($B38,'2) หลักการคำนวน Table'!$D$5:$M$20,HLOOKUP(AF38,'2) หลักการคำนวน Table'!$D$1:$M$5,5,TRUE),0),
IF($C38="WS SF",VLOOKUP($B38,'2) หลักการคำนวน Table'!$D$33:$M$48,HLOOKUP(AF38,'2) หลักการคำนวน Table'!$D$1:$M$5,5,TRUE),0),
IF($C38="WS WH",VLOOKUP($B38,'2) หลักการคำนวน Table'!$D$63:$M$78,HLOOKUP(AF38,'2) หลักการคำนวน Table'!$D$1:$M$5,5,TRUE),0),
IF($C38="SF WH",VLOOKUP($B38,'2) หลักการคำนวน Table'!$D$93:$M$108,HLOOKUP(AF38,'2) หลักการคำนวน Table'!$D$1:$M$5,5,TRUE),0))))),0)</f>
        <v>360</v>
      </c>
      <c r="BE38" s="167">
        <f>IFERROR(IF($C38="Top WS",VLOOKUP($B38,'2) หลักการคำนวน Table'!$D$5:$M$20,HLOOKUP(AG38,'2) หลักการคำนวน Table'!$D$1:$M$5,5,TRUE),0),
IF($C38="WS SF",VLOOKUP($B38,'2) หลักการคำนวน Table'!$D$33:$M$48,HLOOKUP(AG38,'2) หลักการคำนวน Table'!$D$1:$M$5,5,TRUE),0),
IF($C38="WS WH",VLOOKUP($B38,'2) หลักการคำนวน Table'!$D$63:$M$78,HLOOKUP(AG38,'2) หลักการคำนวน Table'!$D$1:$M$5,5,TRUE),0),
IF($C38="SF WH",VLOOKUP($B38,'2) หลักการคำนวน Table'!$D$93:$M$108,HLOOKUP(AG38,'2) หลักการคำนวน Table'!$D$1:$M$5,5,TRUE),0))))),0)</f>
        <v>360</v>
      </c>
      <c r="BF38" s="167">
        <f>IFERROR(IF($C38="Top WS",VLOOKUP($B38,'2) หลักการคำนวน Table'!$D$5:$M$20,HLOOKUP(AH38,'2) หลักการคำนวน Table'!$D$1:$M$5,5,TRUE),0),
IF($C38="WS SF",VLOOKUP($B38,'2) หลักการคำนวน Table'!$D$33:$M$48,HLOOKUP(AH38,'2) หลักการคำนวน Table'!$D$1:$M$5,5,TRUE),0),
IF($C38="WS WH",VLOOKUP($B38,'2) หลักการคำนวน Table'!$D$63:$M$78,HLOOKUP(AH38,'2) หลักการคำนวน Table'!$D$1:$M$5,5,TRUE),0),
IF($C38="SF WH",VLOOKUP($B38,'2) หลักการคำนวน Table'!$D$93:$M$108,HLOOKUP(AH38,'2) หลักการคำนวน Table'!$D$1:$M$5,5,TRUE),0))))),0)</f>
        <v>360</v>
      </c>
      <c r="BG38" s="167">
        <f>IFERROR(IF($C38="Top WS",VLOOKUP($B38,'2) หลักการคำนวน Table'!$D$5:$M$20,HLOOKUP(AI38,'2) หลักการคำนวน Table'!$D$1:$M$5,5,TRUE),0),
IF($C38="WS SF",VLOOKUP($B38,'2) หลักการคำนวน Table'!$D$33:$M$48,HLOOKUP(AI38,'2) หลักการคำนวน Table'!$D$1:$M$5,5,TRUE),0),
IF($C38="WS WH",VLOOKUP($B38,'2) หลักการคำนวน Table'!$D$63:$M$78,HLOOKUP(AI38,'2) หลักการคำนวน Table'!$D$1:$M$5,5,TRUE),0),
IF($C38="SF WH",VLOOKUP($B38,'2) หลักการคำนวน Table'!$D$93:$M$108,HLOOKUP(AI38,'2) หลักการคำนวน Table'!$D$1:$M$5,5,TRUE),0))))),0)</f>
        <v>360</v>
      </c>
      <c r="BH38" s="167">
        <f>IFERROR(IF($C38="Top WS",VLOOKUP($B38,'2) หลักการคำนวน Table'!$D$5:$M$20,HLOOKUP(AP38,'2) หลักการคำนวน Table'!$D$1:$M$5,5,TRUE),0),
IF($C38="WS SF",VLOOKUP($B38,'2) หลักการคำนวน Table'!$D$33:$M$48,HLOOKUP(AP38,'2) หลักการคำนวน Table'!$D$1:$M$5,5,TRUE),0),
IF($C38="WS WH",VLOOKUP($B38,'2) หลักการคำนวน Table'!$D$63:$M$78,HLOOKUP(AP38,'2) หลักการคำนวน Table'!$D$1:$M$5,5,TRUE),0),
IF($C38="SF WH",VLOOKUP($B38,'2) หลักการคำนวน Table'!$D$93:$M$108,HLOOKUP(AP38,'2) หลักการคำนวน Table'!$D$1:$M$5,5,TRUE),0))))),0)</f>
        <v>360</v>
      </c>
      <c r="BI38" s="167">
        <f>IFERROR(IF($C38="Top WS",VLOOKUP($B38,'2) หลักการคำนวน Table'!$D$5:$M$20,HLOOKUP(AK38,'2) หลักการคำนวน Table'!$D$1:$M$5,5,TRUE),0),
IF($C38="WS SF",VLOOKUP($B38,'2) หลักการคำนวน Table'!$D$33:$M$48,HLOOKUP(AK38,'2) หลักการคำนวน Table'!$D$1:$M$5,5,TRUE),0),
IF($C38="WS WH",VLOOKUP($B38,'2) หลักการคำนวน Table'!$D$63:$M$78,HLOOKUP(AK38,'2) หลักการคำนวน Table'!$D$1:$M$5,5,TRUE),0),
IF($C38="SF WH",VLOOKUP($B38,'2) หลักการคำนวน Table'!$D$93:$M$108,HLOOKUP(AK38,'2) หลักการคำนวน Table'!$D$1:$M$5,5,TRUE),0))))),0)</f>
        <v>360</v>
      </c>
      <c r="BJ38" s="167">
        <f>IFERROR(IF($C38="Top WS",VLOOKUP($B38,'2) หลักการคำนวน Table'!$D$5:$M$20,HLOOKUP(AL38,'2) หลักการคำนวน Table'!$D$1:$M$5,5,TRUE),0),
IF($C38="WS SF",VLOOKUP($B38,'2) หลักการคำนวน Table'!$D$33:$M$48,HLOOKUP(AL38,'2) หลักการคำนวน Table'!$D$1:$M$5,5,TRUE),0),
IF($C38="WS WH",VLOOKUP($B38,'2) หลักการคำนวน Table'!$D$63:$M$78,HLOOKUP(AL38,'2) หลักการคำนวน Table'!$D$1:$M$5,5,TRUE),0),
IF($C38="SF WH",VLOOKUP($B38,'2) หลักการคำนวน Table'!$D$93:$M$108,HLOOKUP(AL38,'2) หลักการคำนวน Table'!$D$1:$M$5,5,TRUE),0))))),0)</f>
        <v>360</v>
      </c>
      <c r="BK38" s="167">
        <f>IFERROR(IF($C38="Top WS",VLOOKUP($B38,'2) หลักการคำนวน Table'!$D$5:$M$20,HLOOKUP(AM38,'2) หลักการคำนวน Table'!$D$1:$M$5,5,TRUE),0),
IF($C38="WS SF",VLOOKUP($B38,'2) หลักการคำนวน Table'!$D$33:$M$48,HLOOKUP(AM38,'2) หลักการคำนวน Table'!$D$1:$M$5,5,TRUE),0),
IF($C38="WS WH",VLOOKUP($B38,'2) หลักการคำนวน Table'!$D$63:$M$78,HLOOKUP(AM38,'2) หลักการคำนวน Table'!$D$1:$M$5,5,TRUE),0),
IF($C38="SF WH",VLOOKUP($B38,'2) หลักการคำนวน Table'!$D$93:$M$108,HLOOKUP(AM38,'2) หลักการคำนวน Table'!$D$1:$M$5,5,TRUE),0))))),0)</f>
        <v>360</v>
      </c>
      <c r="BM38" s="119">
        <f>VLOOKUP(VLOOKUP(A38,ASTBase!E:S,13,FALSE),ASTBase!F:P,11,FALSE)</f>
        <v>120000</v>
      </c>
      <c r="BN38" s="196" cm="1">
        <f t="array" ref="BN38">INDEX(AN38:AY38,,Period!$D$2)</f>
        <v>1</v>
      </c>
    </row>
    <row r="39" spans="1:66" x14ac:dyDescent="0.25">
      <c r="A39" s="117">
        <v>120002</v>
      </c>
      <c r="B39" s="117" t="s">
        <v>390</v>
      </c>
      <c r="C39" s="117" t="s">
        <v>178</v>
      </c>
      <c r="D39" s="118">
        <v>961</v>
      </c>
      <c r="E39" s="118">
        <v>541</v>
      </c>
      <c r="F39" s="118">
        <v>605</v>
      </c>
      <c r="G39" s="118">
        <v>892</v>
      </c>
      <c r="H39" s="118">
        <v>826</v>
      </c>
      <c r="I39" s="118">
        <v>961</v>
      </c>
      <c r="J39" s="118">
        <v>884</v>
      </c>
      <c r="K39" s="118">
        <v>920</v>
      </c>
      <c r="L39" s="118">
        <v>869</v>
      </c>
      <c r="M39" s="118">
        <v>850</v>
      </c>
      <c r="N39" s="118">
        <v>869</v>
      </c>
      <c r="O39" s="118">
        <v>890</v>
      </c>
      <c r="P39" s="117">
        <f>SUMIFS(Actual!C:C,Actual!$A:$A,'3)Target &amp; Cal'!$A39,Actual!$B:$B,'3)Target &amp; Cal'!$B39)</f>
        <v>743.99999999256011</v>
      </c>
      <c r="Q39" s="117">
        <f>SUMIFS(Actual!D:D,Actual!$A:$A,'3)Target &amp; Cal'!$A39,Actual!$B:$B,'3)Target &amp; Cal'!$B39)</f>
        <v>690.99999999308989</v>
      </c>
      <c r="R39" s="117">
        <f>SUMIFS(Actual!E:E,Actual!$A:$A,'3)Target &amp; Cal'!$A39,Actual!$B:$B,'3)Target &amp; Cal'!$B39)</f>
        <v>0</v>
      </c>
      <c r="S39" s="117">
        <f>SUMIFS(Actual!F:F,Actual!$A:$A,'3)Target &amp; Cal'!$A39,Actual!$B:$B,'3)Target &amp; Cal'!$B39)</f>
        <v>0</v>
      </c>
      <c r="T39" s="117">
        <f>SUMIFS(Actual!G:G,Actual!$A:$A,'3)Target &amp; Cal'!$A39,Actual!$B:$B,'3)Target &amp; Cal'!$B39)</f>
        <v>0</v>
      </c>
      <c r="U39" s="117">
        <f>SUMIFS(Actual!H:H,Actual!$A:$A,'3)Target &amp; Cal'!$A39,Actual!$B:$B,'3)Target &amp; Cal'!$B39)</f>
        <v>0</v>
      </c>
      <c r="V39" s="117">
        <f>SUMIFS(Actual!I:I,Actual!$A:$A,'3)Target &amp; Cal'!$A39,Actual!$B:$B,'3)Target &amp; Cal'!$B39)</f>
        <v>0</v>
      </c>
      <c r="W39" s="117">
        <f>SUMIFS(Actual!J:J,Actual!$A:$A,'3)Target &amp; Cal'!$A39,Actual!$B:$B,'3)Target &amp; Cal'!$B39)</f>
        <v>0</v>
      </c>
      <c r="X39" s="117">
        <f>SUMIFS(Actual!K:K,Actual!$A:$A,'3)Target &amp; Cal'!$A39,Actual!$B:$B,'3)Target &amp; Cal'!$B39)</f>
        <v>0</v>
      </c>
      <c r="Y39" s="117">
        <f>SUMIFS(Actual!L:L,Actual!$A:$A,'3)Target &amp; Cal'!$A39,Actual!$B:$B,'3)Target &amp; Cal'!$B39)</f>
        <v>0</v>
      </c>
      <c r="Z39" s="117">
        <f>SUMIFS(Actual!M:M,Actual!$A:$A,'3)Target &amp; Cal'!$A39,Actual!$B:$B,'3)Target &amp; Cal'!$B39)</f>
        <v>0</v>
      </c>
      <c r="AA39" s="117">
        <f>SUMIFS(Actual!N:N,Actual!$A:$A,'3)Target &amp; Cal'!$A39,Actual!$B:$B,'3)Target &amp; Cal'!$B39)</f>
        <v>0</v>
      </c>
      <c r="AB39" s="123">
        <f>IFERROR(IF(VLOOKUP($B39,Shortage!$A:$M,AB$2,FALSE)="Shortage",1,IFERROR(ROUND(P39/D39,4),0)),IFERROR(ROUND(P39/D39,4),0))</f>
        <v>0.7742</v>
      </c>
      <c r="AC39" s="123">
        <f>IFERROR(IF(VLOOKUP($B39,Shortage!$A:$M,AC$2,FALSE)="Shortage",1,IFERROR(ROUND(Q39/E39,4),0)),IFERROR(ROUND(Q39/E39,4),0))</f>
        <v>1.2773000000000001</v>
      </c>
      <c r="AD39" s="123">
        <f>IFERROR(IF(VLOOKUP($B39,Shortage!$A:$M,AD$2,FALSE)="Shortage",1,IFERROR(ROUND(R39/F39,4),0)),IFERROR(ROUND(R39/F39,4),0))</f>
        <v>0</v>
      </c>
      <c r="AE39" s="123">
        <f>IFERROR(IF(VLOOKUP($B39,Shortage!$A:$M,AE$2,FALSE)="Shortage",1,IFERROR(ROUND(S39/G39,4),0)),IFERROR(ROUND(S39/G39,4),0))</f>
        <v>0</v>
      </c>
      <c r="AF39" s="123">
        <f>IFERROR(IF(VLOOKUP($B39,Shortage!$A:$M,AF$2,FALSE)="Shortage",1,IFERROR(ROUND(T39/H39,4),0)),IFERROR(ROUND(T39/H39,4),0))</f>
        <v>0</v>
      </c>
      <c r="AG39" s="123">
        <f>IFERROR(IF(VLOOKUP($B39,Shortage!$A:$M,AG$2,FALSE)="Shortage",1,IFERROR(ROUND(U39/I39,4),0)),IFERROR(ROUND(U39/I39,4),0))</f>
        <v>0</v>
      </c>
      <c r="AH39" s="123">
        <f>IFERROR(IF(VLOOKUP($B39,Shortage!$A:$M,AH$2,FALSE)="Shortage",1,IFERROR(ROUND(V39/J39,4),0)),IFERROR(ROUND(V39/J39,4),0))</f>
        <v>0</v>
      </c>
      <c r="AI39" s="123">
        <f>IFERROR(IF(VLOOKUP($B39,Shortage!$A:$M,AI$2,FALSE)="Shortage",1,IFERROR(ROUND(W39/K39,4),0)),IFERROR(ROUND(W39/K39,4),0))</f>
        <v>0</v>
      </c>
      <c r="AJ39" s="123">
        <f>IFERROR(IF(VLOOKUP($B39,Shortage!$A:$M,AP$2,FALSE)="Shortage",1,IFERROR(ROUND(X39/L39,4),0)),IFERROR(ROUND(X39/L39,4),0))</f>
        <v>0</v>
      </c>
      <c r="AK39" s="123">
        <f>IFERROR(IF(VLOOKUP($B39,Shortage!$A:$M,AK$2,FALSE)="Shortage",1,IFERROR(ROUND(Y39/M39,4),0)),IFERROR(ROUND(Y39/M39,4),0))</f>
        <v>0</v>
      </c>
      <c r="AL39" s="123">
        <f>IFERROR(IF(VLOOKUP($B39,Shortage!$A:$M,AL$2,FALSE)="Shortage",1,IFERROR(ROUND(Z39/N39,4),0)),IFERROR(ROUND(Z39/N39,4),0))</f>
        <v>0</v>
      </c>
      <c r="AM39" s="123">
        <f>IFERROR(IF(VLOOKUP($B39,Shortage!$A:$M,AM$2,FALSE)="Shortage",1,IFERROR(ROUND(AA39/O39,4),0)),IFERROR(ROUND(AA39/O39,4),0))</f>
        <v>0</v>
      </c>
      <c r="AN39" s="232">
        <f>IFERROR(IF($C39="Top WS",VLOOKUP("GOAL",'2) หลักการคำนวน Table'!$D$4:$M$4,HLOOKUP(AB39,'2) หลักการคำนวน Table'!$D$1:$M$5,5,TRUE),0),
IF($C39="WS SF",VLOOKUP("GOAL",'2) หลักการคำนวน Table'!$D$32:$M$32,HLOOKUP(AB39,'2) หลักการคำนวน Table'!$D$1:$M$5,5,TRUE),0),
IF($C39="WS WH",VLOOKUP("GOAL",'2) หลักการคำนวน Table'!$D$62:$M$62,HLOOKUP(AB39,'2) หลักการคำนวน Table'!$D$1:$M$5,5,TRUE),0),
IF($C39="SF WH",VLOOKUP("GOAL",'2) หลักการคำนวน Table'!$D$92:$M$92,HLOOKUP(AB39,'2) หลักการคำนวน Table'!$D$1:$M$5,5,TRUE),0))))),0)</f>
        <v>0.9</v>
      </c>
      <c r="AO39" s="232">
        <f>IFERROR(IF($C39="Top WS",VLOOKUP("GOAL",'2) หลักการคำนวน Table'!$D$4:$M$4,HLOOKUP(AC39,'2) หลักการคำนวน Table'!$D$1:$M$5,5,TRUE),0),
IF($C39="WS SF",VLOOKUP("GOAL",'2) หลักการคำนวน Table'!$D$32:$M$32,HLOOKUP(AC39,'2) หลักการคำนวน Table'!$D$1:$M$5,5,TRUE),0),
IF($C39="WS WH",VLOOKUP("GOAL",'2) หลักการคำนวน Table'!$D$62:$M$62,HLOOKUP(AC39,'2) หลักการคำนวน Table'!$D$1:$M$5,5,TRUE),0),
IF($C39="SF WH",VLOOKUP("GOAL",'2) หลักการคำนวน Table'!$D$92:$M$92,HLOOKUP(AC39,'2) หลักการคำนวน Table'!$D$1:$M$5,5,TRUE),0))))),0)</f>
        <v>1.3</v>
      </c>
      <c r="AP39" s="232">
        <f>IFERROR(IF($C39="Top WS",VLOOKUP("GOAL",'2) หลักการคำนวน Table'!$D$4:$M$4,HLOOKUP(AD39,'2) หลักการคำนวน Table'!$D$1:$M$5,5,TRUE),0),
IF($C39="WS SF",VLOOKUP("GOAL",'2) หลักการคำนวน Table'!$D$32:$M$32,HLOOKUP(AD39,'2) หลักการคำนวน Table'!$D$1:$M$5,5,TRUE),0),
IF($C39="WS WH",VLOOKUP("GOAL",'2) หลักการคำนวน Table'!$D$62:$M$62,HLOOKUP(AD39,'2) หลักการคำนวน Table'!$D$1:$M$5,5,TRUE),0),
IF($C39="SF WH",VLOOKUP("GOAL",'2) หลักการคำนวน Table'!$D$92:$M$92,HLOOKUP(AD39,'2) หลักการคำนวน Table'!$D$1:$M$5,5,TRUE),0))))),0)</f>
        <v>0.9</v>
      </c>
      <c r="AQ39" s="232">
        <f>IFERROR(IF($C39="Top WS",VLOOKUP("GOAL",'2) หลักการคำนวน Table'!$D$4:$M$4,HLOOKUP(AE39,'2) หลักการคำนวน Table'!$D$1:$M$5,5,TRUE),0),
IF($C39="WS SF",VLOOKUP("GOAL",'2) หลักการคำนวน Table'!$D$32:$M$32,HLOOKUP(AE39,'2) หลักการคำนวน Table'!$D$1:$M$5,5,TRUE),0),
IF($C39="WS WH",VLOOKUP("GOAL",'2) หลักการคำนวน Table'!$D$62:$M$62,HLOOKUP(AE39,'2) หลักการคำนวน Table'!$D$1:$M$5,5,TRUE),0),
IF($C39="SF WH",VLOOKUP("GOAL",'2) หลักการคำนวน Table'!$D$92:$M$92,HLOOKUP(AE39,'2) หลักการคำนวน Table'!$D$1:$M$5,5,TRUE),0))))),0)</f>
        <v>0.9</v>
      </c>
      <c r="AR39" s="232">
        <f>IFERROR(IF($C39="Top WS",VLOOKUP("GOAL",'2) หลักการคำนวน Table'!$D$4:$M$4,HLOOKUP(AF39,'2) หลักการคำนวน Table'!$D$1:$M$5,5,TRUE),0),
IF($C39="WS SF",VLOOKUP("GOAL",'2) หลักการคำนวน Table'!$D$32:$M$32,HLOOKUP(AF39,'2) หลักการคำนวน Table'!$D$1:$M$5,5,TRUE),0),
IF($C39="WS WH",VLOOKUP("GOAL",'2) หลักการคำนวน Table'!$D$62:$M$62,HLOOKUP(AF39,'2) หลักการคำนวน Table'!$D$1:$M$5,5,TRUE),0),
IF($C39="SF WH",VLOOKUP("GOAL",'2) หลักการคำนวน Table'!$D$92:$M$92,HLOOKUP(AF39,'2) หลักการคำนวน Table'!$D$1:$M$5,5,TRUE),0))))),0)</f>
        <v>0.9</v>
      </c>
      <c r="AS39" s="232">
        <f>IFERROR(IF($C39="Top WS",VLOOKUP("GOAL",'2) หลักการคำนวน Table'!$D$4:$M$4,HLOOKUP(AG39,'2) หลักการคำนวน Table'!$D$1:$M$5,5,TRUE),0),
IF($C39="WS SF",VLOOKUP("GOAL",'2) หลักการคำนวน Table'!$D$32:$M$32,HLOOKUP(AG39,'2) หลักการคำนวน Table'!$D$1:$M$5,5,TRUE),0),
IF($C39="WS WH",VLOOKUP("GOAL",'2) หลักการคำนวน Table'!$D$62:$M$62,HLOOKUP(AG39,'2) หลักการคำนวน Table'!$D$1:$M$5,5,TRUE),0),
IF($C39="SF WH",VLOOKUP("GOAL",'2) หลักการคำนวน Table'!$D$92:$M$92,HLOOKUP(AG39,'2) หลักการคำนวน Table'!$D$1:$M$5,5,TRUE),0))))),0)</f>
        <v>0.9</v>
      </c>
      <c r="AT39" s="232">
        <f>IFERROR(IF($C39="Top WS",VLOOKUP("GOAL",'2) หลักการคำนวน Table'!$D$4:$M$4,HLOOKUP(AH39,'2) หลักการคำนวน Table'!$D$1:$M$5,5,TRUE),0),
IF($C39="WS SF",VLOOKUP("GOAL",'2) หลักการคำนวน Table'!$D$32:$M$32,HLOOKUP(AH39,'2) หลักการคำนวน Table'!$D$1:$M$5,5,TRUE),0),
IF($C39="WS WH",VLOOKUP("GOAL",'2) หลักการคำนวน Table'!$D$62:$M$62,HLOOKUP(AH39,'2) หลักการคำนวน Table'!$D$1:$M$5,5,TRUE),0),
IF($C39="SF WH",VLOOKUP("GOAL",'2) หลักการคำนวน Table'!$D$92:$M$92,HLOOKUP(AH39,'2) หลักการคำนวน Table'!$D$1:$M$5,5,TRUE),0))))),0)</f>
        <v>0.9</v>
      </c>
      <c r="AU39" s="232">
        <f>IFERROR(IF($C39="Top WS",VLOOKUP("GOAL",'2) หลักการคำนวน Table'!$D$4:$M$4,HLOOKUP(AI39,'2) หลักการคำนวน Table'!$D$1:$M$5,5,TRUE),0),
IF($C39="WS SF",VLOOKUP("GOAL",'2) หลักการคำนวน Table'!$D$32:$M$32,HLOOKUP(AI39,'2) หลักการคำนวน Table'!$D$1:$M$5,5,TRUE),0),
IF($C39="WS WH",VLOOKUP("GOAL",'2) หลักการคำนวน Table'!$D$62:$M$62,HLOOKUP(AI39,'2) หลักการคำนวน Table'!$D$1:$M$5,5,TRUE),0),
IF($C39="SF WH",VLOOKUP("GOAL",'2) หลักการคำนวน Table'!$D$92:$M$92,HLOOKUP(AI39,'2) หลักการคำนวน Table'!$D$1:$M$5,5,TRUE),0))))),0)</f>
        <v>0.9</v>
      </c>
      <c r="AV39" s="232">
        <f>IFERROR(IF($C39="Top WS",VLOOKUP("GOAL",'2) หลักการคำนวน Table'!$D$4:$M$4,HLOOKUP(AP39,'2) หลักการคำนวน Table'!$D$1:$M$5,5,TRUE),0),
IF($C39="WS SF",VLOOKUP("GOAL",'2) หลักการคำนวน Table'!$D$32:$M$32,HLOOKUP(AP39,'2) หลักการคำนวน Table'!$D$1:$M$5,5,TRUE),0),
IF($C39="WS WH",VLOOKUP("GOAL",'2) หลักการคำนวน Table'!$D$62:$M$62,HLOOKUP(AP39,'2) หลักการคำนวน Table'!$D$1:$M$5,5,TRUE),0),
IF($C39="SF WH",VLOOKUP("GOAL",'2) หลักการคำนวน Table'!$D$92:$M$92,HLOOKUP(AP39,'2) หลักการคำนวน Table'!$D$1:$M$5,5,TRUE),0))))),0)</f>
        <v>0.9</v>
      </c>
      <c r="AW39" s="232">
        <f>IFERROR(IF($C39="Top WS",VLOOKUP("GOAL",'2) หลักการคำนวน Table'!$D$4:$M$4,HLOOKUP(AK39,'2) หลักการคำนวน Table'!$D$1:$M$5,5,TRUE),0),
IF($C39="WS SF",VLOOKUP("GOAL",'2) หลักการคำนวน Table'!$D$32:$M$32,HLOOKUP(AK39,'2) หลักการคำนวน Table'!$D$1:$M$5,5,TRUE),0),
IF($C39="WS WH",VLOOKUP("GOAL",'2) หลักการคำนวน Table'!$D$62:$M$62,HLOOKUP(AK39,'2) หลักการคำนวน Table'!$D$1:$M$5,5,TRUE),0),
IF($C39="SF WH",VLOOKUP("GOAL",'2) หลักการคำนวน Table'!$D$92:$M$92,HLOOKUP(AK39,'2) หลักการคำนวน Table'!$D$1:$M$5,5,TRUE),0))))),0)</f>
        <v>0.9</v>
      </c>
      <c r="AX39" s="232">
        <f>IFERROR(IF($C39="Top WS",VLOOKUP("GOAL",'2) หลักการคำนวน Table'!$D$4:$M$4,HLOOKUP(AL39,'2) หลักการคำนวน Table'!$D$1:$M$5,5,TRUE),0),
IF($C39="WS SF",VLOOKUP("GOAL",'2) หลักการคำนวน Table'!$D$32:$M$32,HLOOKUP(AL39,'2) หลักการคำนวน Table'!$D$1:$M$5,5,TRUE),0),
IF($C39="WS WH",VLOOKUP("GOAL",'2) หลักการคำนวน Table'!$D$62:$M$62,HLOOKUP(AL39,'2) หลักการคำนวน Table'!$D$1:$M$5,5,TRUE),0),
IF($C39="SF WH",VLOOKUP("GOAL",'2) หลักการคำนวน Table'!$D$92:$M$92,HLOOKUP(AL39,'2) หลักการคำนวน Table'!$D$1:$M$5,5,TRUE),0))))),0)</f>
        <v>0.9</v>
      </c>
      <c r="AY39" s="232">
        <f>IFERROR(IF($C39="Top WS",VLOOKUP("GOAL",'2) หลักการคำนวน Table'!$D$4:$M$4,HLOOKUP(AM39,'2) หลักการคำนวน Table'!$D$1:$M$5,5,TRUE),0),
IF($C39="WS SF",VLOOKUP("GOAL",'2) หลักการคำนวน Table'!$D$32:$M$32,HLOOKUP(AM39,'2) หลักการคำนวน Table'!$D$1:$M$5,5,TRUE),0),
IF($C39="WS WH",VLOOKUP("GOAL",'2) หลักการคำนวน Table'!$D$62:$M$62,HLOOKUP(AM39,'2) หลักการคำนวน Table'!$D$1:$M$5,5,TRUE),0),
IF($C39="SF WH",VLOOKUP("GOAL",'2) หลักการคำนวน Table'!$D$92:$M$92,HLOOKUP(AM39,'2) หลักการคำนวน Table'!$D$1:$M$5,5,TRUE),0))))),0)</f>
        <v>0.9</v>
      </c>
      <c r="AZ39" s="167">
        <f>IFERROR(IF($C39="Top WS",VLOOKUP($B39,'2) หลักการคำนวน Table'!$D$5:$M$20,HLOOKUP(AB39,'2) หลักการคำนวน Table'!$D$1:$M$5,5,TRUE),0),
IF($C39="WS SF",VLOOKUP($B39,'2) หลักการคำนวน Table'!$D$33:$M$48,HLOOKUP(AB39,'2) หลักการคำนวน Table'!$D$1:$M$5,5,TRUE),0),
IF($C39="WS WH",VLOOKUP($B39,'2) หลักการคำนวน Table'!$D$63:$M$78,HLOOKUP(AB39,'2) หลักการคำนวน Table'!$D$1:$M$5,5,TRUE),0),
IF($C39="SF WH",VLOOKUP($B39,'2) หลักการคำนวน Table'!$D$93:$M$108,HLOOKUP(AB39,'2) หลักการคำนวน Table'!$D$1:$M$5,5,TRUE),0))))),0)</f>
        <v>720</v>
      </c>
      <c r="BA39" s="167">
        <f>IFERROR(IF($C39="Top WS",VLOOKUP($B39,'2) หลักการคำนวน Table'!$D$5:$M$20,HLOOKUP(AC39,'2) หลักการคำนวน Table'!$D$1:$M$5,5,TRUE),0),
IF($C39="WS SF",VLOOKUP($B39,'2) หลักการคำนวน Table'!$D$33:$M$48,HLOOKUP(AC39,'2) หลักการคำนวน Table'!$D$1:$M$5,5,TRUE),0),
IF($C39="WS WH",VLOOKUP($B39,'2) หลักการคำนวน Table'!$D$63:$M$78,HLOOKUP(AC39,'2) หลักการคำนวน Table'!$D$1:$M$5,5,TRUE),0),
IF($C39="SF WH",VLOOKUP($B39,'2) หลักการคำนวน Table'!$D$93:$M$108,HLOOKUP(AC39,'2) หลักการคำนวน Table'!$D$1:$M$5,5,TRUE),0))))),0)</f>
        <v>1040</v>
      </c>
      <c r="BB39" s="167">
        <f>IFERROR(IF($C39="Top WS",VLOOKUP($B39,'2) หลักการคำนวน Table'!$D$5:$M$20,HLOOKUP(AD39,'2) หลักการคำนวน Table'!$D$1:$M$5,5,TRUE),0),
IF($C39="WS SF",VLOOKUP($B39,'2) หลักการคำนวน Table'!$D$33:$M$48,HLOOKUP(AD39,'2) หลักการคำนวน Table'!$D$1:$M$5,5,TRUE),0),
IF($C39="WS WH",VLOOKUP($B39,'2) หลักการคำนวน Table'!$D$63:$M$78,HLOOKUP(AD39,'2) หลักการคำนวน Table'!$D$1:$M$5,5,TRUE),0),
IF($C39="SF WH",VLOOKUP($B39,'2) หลักการคำนวน Table'!$D$93:$M$108,HLOOKUP(AD39,'2) หลักการคำนวน Table'!$D$1:$M$5,5,TRUE),0))))),0)</f>
        <v>720</v>
      </c>
      <c r="BC39" s="167">
        <f>IFERROR(IF($C39="Top WS",VLOOKUP($B39,'2) หลักการคำนวน Table'!$D$5:$M$20,HLOOKUP(AE39,'2) หลักการคำนวน Table'!$D$1:$M$5,5,TRUE),0),
IF($C39="WS SF",VLOOKUP($B39,'2) หลักการคำนวน Table'!$D$33:$M$48,HLOOKUP(AE39,'2) หลักการคำนวน Table'!$D$1:$M$5,5,TRUE),0),
IF($C39="WS WH",VLOOKUP($B39,'2) หลักการคำนวน Table'!$D$63:$M$78,HLOOKUP(AE39,'2) หลักการคำนวน Table'!$D$1:$M$5,5,TRUE),0),
IF($C39="SF WH",VLOOKUP($B39,'2) หลักการคำนวน Table'!$D$93:$M$108,HLOOKUP(AE39,'2) หลักการคำนวน Table'!$D$1:$M$5,5,TRUE),0))))),0)</f>
        <v>720</v>
      </c>
      <c r="BD39" s="167">
        <f>IFERROR(IF($C39="Top WS",VLOOKUP($B39,'2) หลักการคำนวน Table'!$D$5:$M$20,HLOOKUP(AF39,'2) หลักการคำนวน Table'!$D$1:$M$5,5,TRUE),0),
IF($C39="WS SF",VLOOKUP($B39,'2) หลักการคำนวน Table'!$D$33:$M$48,HLOOKUP(AF39,'2) หลักการคำนวน Table'!$D$1:$M$5,5,TRUE),0),
IF($C39="WS WH",VLOOKUP($B39,'2) หลักการคำนวน Table'!$D$63:$M$78,HLOOKUP(AF39,'2) หลักการคำนวน Table'!$D$1:$M$5,5,TRUE),0),
IF($C39="SF WH",VLOOKUP($B39,'2) หลักการคำนวน Table'!$D$93:$M$108,HLOOKUP(AF39,'2) หลักการคำนวน Table'!$D$1:$M$5,5,TRUE),0))))),0)</f>
        <v>720</v>
      </c>
      <c r="BE39" s="167">
        <f>IFERROR(IF($C39="Top WS",VLOOKUP($B39,'2) หลักการคำนวน Table'!$D$5:$M$20,HLOOKUP(AG39,'2) หลักการคำนวน Table'!$D$1:$M$5,5,TRUE),0),
IF($C39="WS SF",VLOOKUP($B39,'2) หลักการคำนวน Table'!$D$33:$M$48,HLOOKUP(AG39,'2) หลักการคำนวน Table'!$D$1:$M$5,5,TRUE),0),
IF($C39="WS WH",VLOOKUP($B39,'2) หลักการคำนวน Table'!$D$63:$M$78,HLOOKUP(AG39,'2) หลักการคำนวน Table'!$D$1:$M$5,5,TRUE),0),
IF($C39="SF WH",VLOOKUP($B39,'2) หลักการคำนวน Table'!$D$93:$M$108,HLOOKUP(AG39,'2) หลักการคำนวน Table'!$D$1:$M$5,5,TRUE),0))))),0)</f>
        <v>720</v>
      </c>
      <c r="BF39" s="167">
        <f>IFERROR(IF($C39="Top WS",VLOOKUP($B39,'2) หลักการคำนวน Table'!$D$5:$M$20,HLOOKUP(AH39,'2) หลักการคำนวน Table'!$D$1:$M$5,5,TRUE),0),
IF($C39="WS SF",VLOOKUP($B39,'2) หลักการคำนวน Table'!$D$33:$M$48,HLOOKUP(AH39,'2) หลักการคำนวน Table'!$D$1:$M$5,5,TRUE),0),
IF($C39="WS WH",VLOOKUP($B39,'2) หลักการคำนวน Table'!$D$63:$M$78,HLOOKUP(AH39,'2) หลักการคำนวน Table'!$D$1:$M$5,5,TRUE),0),
IF($C39="SF WH",VLOOKUP($B39,'2) หลักการคำนวน Table'!$D$93:$M$108,HLOOKUP(AH39,'2) หลักการคำนวน Table'!$D$1:$M$5,5,TRUE),0))))),0)</f>
        <v>720</v>
      </c>
      <c r="BG39" s="167">
        <f>IFERROR(IF($C39="Top WS",VLOOKUP($B39,'2) หลักการคำนวน Table'!$D$5:$M$20,HLOOKUP(AI39,'2) หลักการคำนวน Table'!$D$1:$M$5,5,TRUE),0),
IF($C39="WS SF",VLOOKUP($B39,'2) หลักการคำนวน Table'!$D$33:$M$48,HLOOKUP(AI39,'2) หลักการคำนวน Table'!$D$1:$M$5,5,TRUE),0),
IF($C39="WS WH",VLOOKUP($B39,'2) หลักการคำนวน Table'!$D$63:$M$78,HLOOKUP(AI39,'2) หลักการคำนวน Table'!$D$1:$M$5,5,TRUE),0),
IF($C39="SF WH",VLOOKUP($B39,'2) หลักการคำนวน Table'!$D$93:$M$108,HLOOKUP(AI39,'2) หลักการคำนวน Table'!$D$1:$M$5,5,TRUE),0))))),0)</f>
        <v>720</v>
      </c>
      <c r="BH39" s="167">
        <f>IFERROR(IF($C39="Top WS",VLOOKUP($B39,'2) หลักการคำนวน Table'!$D$5:$M$20,HLOOKUP(AP39,'2) หลักการคำนวน Table'!$D$1:$M$5,5,TRUE),0),
IF($C39="WS SF",VLOOKUP($B39,'2) หลักการคำนวน Table'!$D$33:$M$48,HLOOKUP(AP39,'2) หลักการคำนวน Table'!$D$1:$M$5,5,TRUE),0),
IF($C39="WS WH",VLOOKUP($B39,'2) หลักการคำนวน Table'!$D$63:$M$78,HLOOKUP(AP39,'2) หลักการคำนวน Table'!$D$1:$M$5,5,TRUE),0),
IF($C39="SF WH",VLOOKUP($B39,'2) หลักการคำนวน Table'!$D$93:$M$108,HLOOKUP(AP39,'2) หลักการคำนวน Table'!$D$1:$M$5,5,TRUE),0))))),0)</f>
        <v>720</v>
      </c>
      <c r="BI39" s="167">
        <f>IFERROR(IF($C39="Top WS",VLOOKUP($B39,'2) หลักการคำนวน Table'!$D$5:$M$20,HLOOKUP(AK39,'2) หลักการคำนวน Table'!$D$1:$M$5,5,TRUE),0),
IF($C39="WS SF",VLOOKUP($B39,'2) หลักการคำนวน Table'!$D$33:$M$48,HLOOKUP(AK39,'2) หลักการคำนวน Table'!$D$1:$M$5,5,TRUE),0),
IF($C39="WS WH",VLOOKUP($B39,'2) หลักการคำนวน Table'!$D$63:$M$78,HLOOKUP(AK39,'2) หลักการคำนวน Table'!$D$1:$M$5,5,TRUE),0),
IF($C39="SF WH",VLOOKUP($B39,'2) หลักการคำนวน Table'!$D$93:$M$108,HLOOKUP(AK39,'2) หลักการคำนวน Table'!$D$1:$M$5,5,TRUE),0))))),0)</f>
        <v>720</v>
      </c>
      <c r="BJ39" s="167">
        <f>IFERROR(IF($C39="Top WS",VLOOKUP($B39,'2) หลักการคำนวน Table'!$D$5:$M$20,HLOOKUP(AL39,'2) หลักการคำนวน Table'!$D$1:$M$5,5,TRUE),0),
IF($C39="WS SF",VLOOKUP($B39,'2) หลักการคำนวน Table'!$D$33:$M$48,HLOOKUP(AL39,'2) หลักการคำนวน Table'!$D$1:$M$5,5,TRUE),0),
IF($C39="WS WH",VLOOKUP($B39,'2) หลักการคำนวน Table'!$D$63:$M$78,HLOOKUP(AL39,'2) หลักการคำนวน Table'!$D$1:$M$5,5,TRUE),0),
IF($C39="SF WH",VLOOKUP($B39,'2) หลักการคำนวน Table'!$D$93:$M$108,HLOOKUP(AL39,'2) หลักการคำนวน Table'!$D$1:$M$5,5,TRUE),0))))),0)</f>
        <v>720</v>
      </c>
      <c r="BK39" s="167">
        <f>IFERROR(IF($C39="Top WS",VLOOKUP($B39,'2) หลักการคำนวน Table'!$D$5:$M$20,HLOOKUP(AM39,'2) หลักการคำนวน Table'!$D$1:$M$5,5,TRUE),0),
IF($C39="WS SF",VLOOKUP($B39,'2) หลักการคำนวน Table'!$D$33:$M$48,HLOOKUP(AM39,'2) หลักการคำนวน Table'!$D$1:$M$5,5,TRUE),0),
IF($C39="WS WH",VLOOKUP($B39,'2) หลักการคำนวน Table'!$D$63:$M$78,HLOOKUP(AM39,'2) หลักการคำนวน Table'!$D$1:$M$5,5,TRUE),0),
IF($C39="SF WH",VLOOKUP($B39,'2) หลักการคำนวน Table'!$D$93:$M$108,HLOOKUP(AM39,'2) หลักการคำนวน Table'!$D$1:$M$5,5,TRUE),0))))),0)</f>
        <v>720</v>
      </c>
      <c r="BM39" s="119">
        <f>VLOOKUP(VLOOKUP(A39,ASTBase!E:S,13,FALSE),ASTBase!F:P,11,FALSE)</f>
        <v>120000</v>
      </c>
      <c r="BN39" s="196" cm="1">
        <f t="array" ref="BN39">INDEX(AN39:AY39,,Period!$D$2)</f>
        <v>1.3</v>
      </c>
    </row>
    <row r="40" spans="1:66" x14ac:dyDescent="0.25">
      <c r="A40" s="117">
        <v>120002</v>
      </c>
      <c r="B40" s="117" t="s">
        <v>392</v>
      </c>
      <c r="C40" s="117" t="s">
        <v>178</v>
      </c>
      <c r="D40" s="118">
        <v>1052</v>
      </c>
      <c r="E40" s="118">
        <v>466</v>
      </c>
      <c r="F40" s="118">
        <v>469</v>
      </c>
      <c r="G40" s="118">
        <v>779</v>
      </c>
      <c r="H40" s="118">
        <v>640</v>
      </c>
      <c r="I40" s="118">
        <v>396</v>
      </c>
      <c r="J40" s="118">
        <v>1014</v>
      </c>
      <c r="K40" s="118">
        <v>582</v>
      </c>
      <c r="L40" s="118">
        <v>656</v>
      </c>
      <c r="M40" s="118">
        <v>864</v>
      </c>
      <c r="N40" s="118">
        <v>905</v>
      </c>
      <c r="O40" s="118">
        <v>904</v>
      </c>
      <c r="P40" s="117">
        <f>SUMIFS(Actual!C:C,Actual!$A:$A,'3)Target &amp; Cal'!$A40,Actual!$B:$B,'3)Target &amp; Cal'!$B40)</f>
        <v>276.30540000000002</v>
      </c>
      <c r="Q40" s="117">
        <f>SUMIFS(Actual!D:D,Actual!$A:$A,'3)Target &amp; Cal'!$A40,Actual!$B:$B,'3)Target &amp; Cal'!$B40)</f>
        <v>359.21699999999998</v>
      </c>
      <c r="R40" s="117">
        <f>SUMIFS(Actual!E:E,Actual!$A:$A,'3)Target &amp; Cal'!$A40,Actual!$B:$B,'3)Target &amp; Cal'!$B40)</f>
        <v>0</v>
      </c>
      <c r="S40" s="117">
        <f>SUMIFS(Actual!F:F,Actual!$A:$A,'3)Target &amp; Cal'!$A40,Actual!$B:$B,'3)Target &amp; Cal'!$B40)</f>
        <v>0</v>
      </c>
      <c r="T40" s="117">
        <f>SUMIFS(Actual!G:G,Actual!$A:$A,'3)Target &amp; Cal'!$A40,Actual!$B:$B,'3)Target &amp; Cal'!$B40)</f>
        <v>0</v>
      </c>
      <c r="U40" s="117">
        <f>SUMIFS(Actual!H:H,Actual!$A:$A,'3)Target &amp; Cal'!$A40,Actual!$B:$B,'3)Target &amp; Cal'!$B40)</f>
        <v>0</v>
      </c>
      <c r="V40" s="117">
        <f>SUMIFS(Actual!I:I,Actual!$A:$A,'3)Target &amp; Cal'!$A40,Actual!$B:$B,'3)Target &amp; Cal'!$B40)</f>
        <v>0</v>
      </c>
      <c r="W40" s="117">
        <f>SUMIFS(Actual!J:J,Actual!$A:$A,'3)Target &amp; Cal'!$A40,Actual!$B:$B,'3)Target &amp; Cal'!$B40)</f>
        <v>0</v>
      </c>
      <c r="X40" s="117">
        <f>SUMIFS(Actual!K:K,Actual!$A:$A,'3)Target &amp; Cal'!$A40,Actual!$B:$B,'3)Target &amp; Cal'!$B40)</f>
        <v>0</v>
      </c>
      <c r="Y40" s="117">
        <f>SUMIFS(Actual!L:L,Actual!$A:$A,'3)Target &amp; Cal'!$A40,Actual!$B:$B,'3)Target &amp; Cal'!$B40)</f>
        <v>0</v>
      </c>
      <c r="Z40" s="117">
        <f>SUMIFS(Actual!M:M,Actual!$A:$A,'3)Target &amp; Cal'!$A40,Actual!$B:$B,'3)Target &amp; Cal'!$B40)</f>
        <v>0</v>
      </c>
      <c r="AA40" s="117">
        <f>SUMIFS(Actual!N:N,Actual!$A:$A,'3)Target &amp; Cal'!$A40,Actual!$B:$B,'3)Target &amp; Cal'!$B40)</f>
        <v>0</v>
      </c>
      <c r="AB40" s="123">
        <f>IFERROR(IF(VLOOKUP($B40,Shortage!$A:$M,AB$2,FALSE)="Shortage",1,IFERROR(ROUND(P40/D40,4),0)),IFERROR(ROUND(P40/D40,4),0))</f>
        <v>0.2626</v>
      </c>
      <c r="AC40" s="123">
        <f>IFERROR(IF(VLOOKUP($B40,Shortage!$A:$M,AC$2,FALSE)="Shortage",1,IFERROR(ROUND(Q40/E40,4),0)),IFERROR(ROUND(Q40/E40,4),0))</f>
        <v>0.77090000000000003</v>
      </c>
      <c r="AD40" s="123">
        <f>IFERROR(IF(VLOOKUP($B40,Shortage!$A:$M,AD$2,FALSE)="Shortage",1,IFERROR(ROUND(R40/F40,4),0)),IFERROR(ROUND(R40/F40,4),0))</f>
        <v>0</v>
      </c>
      <c r="AE40" s="123">
        <f>IFERROR(IF(VLOOKUP($B40,Shortage!$A:$M,AE$2,FALSE)="Shortage",1,IFERROR(ROUND(S40/G40,4),0)),IFERROR(ROUND(S40/G40,4),0))</f>
        <v>0</v>
      </c>
      <c r="AF40" s="123">
        <f>IFERROR(IF(VLOOKUP($B40,Shortage!$A:$M,AF$2,FALSE)="Shortage",1,IFERROR(ROUND(T40/H40,4),0)),IFERROR(ROUND(T40/H40,4),0))</f>
        <v>0</v>
      </c>
      <c r="AG40" s="123">
        <f>IFERROR(IF(VLOOKUP($B40,Shortage!$A:$M,AG$2,FALSE)="Shortage",1,IFERROR(ROUND(U40/I40,4),0)),IFERROR(ROUND(U40/I40,4),0))</f>
        <v>0</v>
      </c>
      <c r="AH40" s="123">
        <f>IFERROR(IF(VLOOKUP($B40,Shortage!$A:$M,AH$2,FALSE)="Shortage",1,IFERROR(ROUND(V40/J40,4),0)),IFERROR(ROUND(V40/J40,4),0))</f>
        <v>0</v>
      </c>
      <c r="AI40" s="123">
        <f>IFERROR(IF(VLOOKUP($B40,Shortage!$A:$M,AI$2,FALSE)="Shortage",1,IFERROR(ROUND(W40/K40,4),0)),IFERROR(ROUND(W40/K40,4),0))</f>
        <v>0</v>
      </c>
      <c r="AJ40" s="123">
        <f>IFERROR(IF(VLOOKUP($B40,Shortage!$A:$M,AP$2,FALSE)="Shortage",1,IFERROR(ROUND(X40/L40,4),0)),IFERROR(ROUND(X40/L40,4),0))</f>
        <v>0</v>
      </c>
      <c r="AK40" s="123">
        <f>IFERROR(IF(VLOOKUP($B40,Shortage!$A:$M,AK$2,FALSE)="Shortage",1,IFERROR(ROUND(Y40/M40,4),0)),IFERROR(ROUND(Y40/M40,4),0))</f>
        <v>0</v>
      </c>
      <c r="AL40" s="123">
        <f>IFERROR(IF(VLOOKUP($B40,Shortage!$A:$M,AL$2,FALSE)="Shortage",1,IFERROR(ROUND(Z40/N40,4),0)),IFERROR(ROUND(Z40/N40,4),0))</f>
        <v>0</v>
      </c>
      <c r="AM40" s="123">
        <f>IFERROR(IF(VLOOKUP($B40,Shortage!$A:$M,AM$2,FALSE)="Shortage",1,IFERROR(ROUND(AA40/O40,4),0)),IFERROR(ROUND(AA40/O40,4),0))</f>
        <v>0</v>
      </c>
      <c r="AN40" s="232">
        <f>IFERROR(IF($C40="Top WS",VLOOKUP("GOAL",'2) หลักการคำนวน Table'!$D$4:$M$4,HLOOKUP(AB40,'2) หลักการคำนวน Table'!$D$1:$M$5,5,TRUE),0),
IF($C40="WS SF",VLOOKUP("GOAL",'2) หลักการคำนวน Table'!$D$32:$M$32,HLOOKUP(AB40,'2) หลักการคำนวน Table'!$D$1:$M$5,5,TRUE),0),
IF($C40="WS WH",VLOOKUP("GOAL",'2) หลักการคำนวน Table'!$D$62:$M$62,HLOOKUP(AB40,'2) หลักการคำนวน Table'!$D$1:$M$5,5,TRUE),0),
IF($C40="SF WH",VLOOKUP("GOAL",'2) หลักการคำนวน Table'!$D$92:$M$92,HLOOKUP(AB40,'2) หลักการคำนวน Table'!$D$1:$M$5,5,TRUE),0))))),0)</f>
        <v>0.9</v>
      </c>
      <c r="AO40" s="232">
        <f>IFERROR(IF($C40="Top WS",VLOOKUP("GOAL",'2) หลักการคำนวน Table'!$D$4:$M$4,HLOOKUP(AC40,'2) หลักการคำนวน Table'!$D$1:$M$5,5,TRUE),0),
IF($C40="WS SF",VLOOKUP("GOAL",'2) หลักการคำนวน Table'!$D$32:$M$32,HLOOKUP(AC40,'2) หลักการคำนวน Table'!$D$1:$M$5,5,TRUE),0),
IF($C40="WS WH",VLOOKUP("GOAL",'2) หลักการคำนวน Table'!$D$62:$M$62,HLOOKUP(AC40,'2) หลักการคำนวน Table'!$D$1:$M$5,5,TRUE),0),
IF($C40="SF WH",VLOOKUP("GOAL",'2) หลักการคำนวน Table'!$D$92:$M$92,HLOOKUP(AC40,'2) หลักการคำนวน Table'!$D$1:$M$5,5,TRUE),0))))),0)</f>
        <v>0.9</v>
      </c>
      <c r="AP40" s="232">
        <f>IFERROR(IF($C40="Top WS",VLOOKUP("GOAL",'2) หลักการคำนวน Table'!$D$4:$M$4,HLOOKUP(AD40,'2) หลักการคำนวน Table'!$D$1:$M$5,5,TRUE),0),
IF($C40="WS SF",VLOOKUP("GOAL",'2) หลักการคำนวน Table'!$D$32:$M$32,HLOOKUP(AD40,'2) หลักการคำนวน Table'!$D$1:$M$5,5,TRUE),0),
IF($C40="WS WH",VLOOKUP("GOAL",'2) หลักการคำนวน Table'!$D$62:$M$62,HLOOKUP(AD40,'2) หลักการคำนวน Table'!$D$1:$M$5,5,TRUE),0),
IF($C40="SF WH",VLOOKUP("GOAL",'2) หลักการคำนวน Table'!$D$92:$M$92,HLOOKUP(AD40,'2) หลักการคำนวน Table'!$D$1:$M$5,5,TRUE),0))))),0)</f>
        <v>0.9</v>
      </c>
      <c r="AQ40" s="232">
        <f>IFERROR(IF($C40="Top WS",VLOOKUP("GOAL",'2) หลักการคำนวน Table'!$D$4:$M$4,HLOOKUP(AE40,'2) หลักการคำนวน Table'!$D$1:$M$5,5,TRUE),0),
IF($C40="WS SF",VLOOKUP("GOAL",'2) หลักการคำนวน Table'!$D$32:$M$32,HLOOKUP(AE40,'2) หลักการคำนวน Table'!$D$1:$M$5,5,TRUE),0),
IF($C40="WS WH",VLOOKUP("GOAL",'2) หลักการคำนวน Table'!$D$62:$M$62,HLOOKUP(AE40,'2) หลักการคำนวน Table'!$D$1:$M$5,5,TRUE),0),
IF($C40="SF WH",VLOOKUP("GOAL",'2) หลักการคำนวน Table'!$D$92:$M$92,HLOOKUP(AE40,'2) หลักการคำนวน Table'!$D$1:$M$5,5,TRUE),0))))),0)</f>
        <v>0.9</v>
      </c>
      <c r="AR40" s="232">
        <f>IFERROR(IF($C40="Top WS",VLOOKUP("GOAL",'2) หลักการคำนวน Table'!$D$4:$M$4,HLOOKUP(AF40,'2) หลักการคำนวน Table'!$D$1:$M$5,5,TRUE),0),
IF($C40="WS SF",VLOOKUP("GOAL",'2) หลักการคำนวน Table'!$D$32:$M$32,HLOOKUP(AF40,'2) หลักการคำนวน Table'!$D$1:$M$5,5,TRUE),0),
IF($C40="WS WH",VLOOKUP("GOAL",'2) หลักการคำนวน Table'!$D$62:$M$62,HLOOKUP(AF40,'2) หลักการคำนวน Table'!$D$1:$M$5,5,TRUE),0),
IF($C40="SF WH",VLOOKUP("GOAL",'2) หลักการคำนวน Table'!$D$92:$M$92,HLOOKUP(AF40,'2) หลักการคำนวน Table'!$D$1:$M$5,5,TRUE),0))))),0)</f>
        <v>0.9</v>
      </c>
      <c r="AS40" s="232">
        <f>IFERROR(IF($C40="Top WS",VLOOKUP("GOAL",'2) หลักการคำนวน Table'!$D$4:$M$4,HLOOKUP(AG40,'2) หลักการคำนวน Table'!$D$1:$M$5,5,TRUE),0),
IF($C40="WS SF",VLOOKUP("GOAL",'2) หลักการคำนวน Table'!$D$32:$M$32,HLOOKUP(AG40,'2) หลักการคำนวน Table'!$D$1:$M$5,5,TRUE),0),
IF($C40="WS WH",VLOOKUP("GOAL",'2) หลักการคำนวน Table'!$D$62:$M$62,HLOOKUP(AG40,'2) หลักการคำนวน Table'!$D$1:$M$5,5,TRUE),0),
IF($C40="SF WH",VLOOKUP("GOAL",'2) หลักการคำนวน Table'!$D$92:$M$92,HLOOKUP(AG40,'2) หลักการคำนวน Table'!$D$1:$M$5,5,TRUE),0))))),0)</f>
        <v>0.9</v>
      </c>
      <c r="AT40" s="232">
        <f>IFERROR(IF($C40="Top WS",VLOOKUP("GOAL",'2) หลักการคำนวน Table'!$D$4:$M$4,HLOOKUP(AH40,'2) หลักการคำนวน Table'!$D$1:$M$5,5,TRUE),0),
IF($C40="WS SF",VLOOKUP("GOAL",'2) หลักการคำนวน Table'!$D$32:$M$32,HLOOKUP(AH40,'2) หลักการคำนวน Table'!$D$1:$M$5,5,TRUE),0),
IF($C40="WS WH",VLOOKUP("GOAL",'2) หลักการคำนวน Table'!$D$62:$M$62,HLOOKUP(AH40,'2) หลักการคำนวน Table'!$D$1:$M$5,5,TRUE),0),
IF($C40="SF WH",VLOOKUP("GOAL",'2) หลักการคำนวน Table'!$D$92:$M$92,HLOOKUP(AH40,'2) หลักการคำนวน Table'!$D$1:$M$5,5,TRUE),0))))),0)</f>
        <v>0.9</v>
      </c>
      <c r="AU40" s="232">
        <f>IFERROR(IF($C40="Top WS",VLOOKUP("GOAL",'2) หลักการคำนวน Table'!$D$4:$M$4,HLOOKUP(AI40,'2) หลักการคำนวน Table'!$D$1:$M$5,5,TRUE),0),
IF($C40="WS SF",VLOOKUP("GOAL",'2) หลักการคำนวน Table'!$D$32:$M$32,HLOOKUP(AI40,'2) หลักการคำนวน Table'!$D$1:$M$5,5,TRUE),0),
IF($C40="WS WH",VLOOKUP("GOAL",'2) หลักการคำนวน Table'!$D$62:$M$62,HLOOKUP(AI40,'2) หลักการคำนวน Table'!$D$1:$M$5,5,TRUE),0),
IF($C40="SF WH",VLOOKUP("GOAL",'2) หลักการคำนวน Table'!$D$92:$M$92,HLOOKUP(AI40,'2) หลักการคำนวน Table'!$D$1:$M$5,5,TRUE),0))))),0)</f>
        <v>0.9</v>
      </c>
      <c r="AV40" s="232">
        <f>IFERROR(IF($C40="Top WS",VLOOKUP("GOAL",'2) หลักการคำนวน Table'!$D$4:$M$4,HLOOKUP(AP40,'2) หลักการคำนวน Table'!$D$1:$M$5,5,TRUE),0),
IF($C40="WS SF",VLOOKUP("GOAL",'2) หลักการคำนวน Table'!$D$32:$M$32,HLOOKUP(AP40,'2) หลักการคำนวน Table'!$D$1:$M$5,5,TRUE),0),
IF($C40="WS WH",VLOOKUP("GOAL",'2) หลักการคำนวน Table'!$D$62:$M$62,HLOOKUP(AP40,'2) หลักการคำนวน Table'!$D$1:$M$5,5,TRUE),0),
IF($C40="SF WH",VLOOKUP("GOAL",'2) หลักการคำนวน Table'!$D$92:$M$92,HLOOKUP(AP40,'2) หลักการคำนวน Table'!$D$1:$M$5,5,TRUE),0))))),0)</f>
        <v>0.9</v>
      </c>
      <c r="AW40" s="232">
        <f>IFERROR(IF($C40="Top WS",VLOOKUP("GOAL",'2) หลักการคำนวน Table'!$D$4:$M$4,HLOOKUP(AK40,'2) หลักการคำนวน Table'!$D$1:$M$5,5,TRUE),0),
IF($C40="WS SF",VLOOKUP("GOAL",'2) หลักการคำนวน Table'!$D$32:$M$32,HLOOKUP(AK40,'2) หลักการคำนวน Table'!$D$1:$M$5,5,TRUE),0),
IF($C40="WS WH",VLOOKUP("GOAL",'2) หลักการคำนวน Table'!$D$62:$M$62,HLOOKUP(AK40,'2) หลักการคำนวน Table'!$D$1:$M$5,5,TRUE),0),
IF($C40="SF WH",VLOOKUP("GOAL",'2) หลักการคำนวน Table'!$D$92:$M$92,HLOOKUP(AK40,'2) หลักการคำนวน Table'!$D$1:$M$5,5,TRUE),0))))),0)</f>
        <v>0.9</v>
      </c>
      <c r="AX40" s="232">
        <f>IFERROR(IF($C40="Top WS",VLOOKUP("GOAL",'2) หลักการคำนวน Table'!$D$4:$M$4,HLOOKUP(AL40,'2) หลักการคำนวน Table'!$D$1:$M$5,5,TRUE),0),
IF($C40="WS SF",VLOOKUP("GOAL",'2) หลักการคำนวน Table'!$D$32:$M$32,HLOOKUP(AL40,'2) หลักการคำนวน Table'!$D$1:$M$5,5,TRUE),0),
IF($C40="WS WH",VLOOKUP("GOAL",'2) หลักการคำนวน Table'!$D$62:$M$62,HLOOKUP(AL40,'2) หลักการคำนวน Table'!$D$1:$M$5,5,TRUE),0),
IF($C40="SF WH",VLOOKUP("GOAL",'2) หลักการคำนวน Table'!$D$92:$M$92,HLOOKUP(AL40,'2) หลักการคำนวน Table'!$D$1:$M$5,5,TRUE),0))))),0)</f>
        <v>0.9</v>
      </c>
      <c r="AY40" s="232">
        <f>IFERROR(IF($C40="Top WS",VLOOKUP("GOAL",'2) หลักการคำนวน Table'!$D$4:$M$4,HLOOKUP(AM40,'2) หลักการคำนวน Table'!$D$1:$M$5,5,TRUE),0),
IF($C40="WS SF",VLOOKUP("GOAL",'2) หลักการคำนวน Table'!$D$32:$M$32,HLOOKUP(AM40,'2) หลักการคำนวน Table'!$D$1:$M$5,5,TRUE),0),
IF($C40="WS WH",VLOOKUP("GOAL",'2) หลักการคำนวน Table'!$D$62:$M$62,HLOOKUP(AM40,'2) หลักการคำนวน Table'!$D$1:$M$5,5,TRUE),0),
IF($C40="SF WH",VLOOKUP("GOAL",'2) หลักการคำนวน Table'!$D$92:$M$92,HLOOKUP(AM40,'2) หลักการคำนวน Table'!$D$1:$M$5,5,TRUE),0))))),0)</f>
        <v>0.9</v>
      </c>
      <c r="AZ40" s="167">
        <f>IFERROR(IF($C40="Top WS",VLOOKUP($B40,'2) หลักการคำนวน Table'!$D$5:$M$20,HLOOKUP(AB40,'2) หลักการคำนวน Table'!$D$1:$M$5,5,TRUE),0),
IF($C40="WS SF",VLOOKUP($B40,'2) หลักการคำนวน Table'!$D$33:$M$48,HLOOKUP(AB40,'2) หลักการคำนวน Table'!$D$1:$M$5,5,TRUE),0),
IF($C40="WS WH",VLOOKUP($B40,'2) หลักการคำนวน Table'!$D$63:$M$78,HLOOKUP(AB40,'2) หลักการคำนวน Table'!$D$1:$M$5,5,TRUE),0),
IF($C40="SF WH",VLOOKUP($B40,'2) หลักการคำนวน Table'!$D$93:$M$108,HLOOKUP(AB40,'2) หลักการคำนวน Table'!$D$1:$M$5,5,TRUE),0))))),0)</f>
        <v>360</v>
      </c>
      <c r="BA40" s="167">
        <f>IFERROR(IF($C40="Top WS",VLOOKUP($B40,'2) หลักการคำนวน Table'!$D$5:$M$20,HLOOKUP(AC40,'2) หลักการคำนวน Table'!$D$1:$M$5,5,TRUE),0),
IF($C40="WS SF",VLOOKUP($B40,'2) หลักการคำนวน Table'!$D$33:$M$48,HLOOKUP(AC40,'2) หลักการคำนวน Table'!$D$1:$M$5,5,TRUE),0),
IF($C40="WS WH",VLOOKUP($B40,'2) หลักการคำนวน Table'!$D$63:$M$78,HLOOKUP(AC40,'2) หลักการคำนวน Table'!$D$1:$M$5,5,TRUE),0),
IF($C40="SF WH",VLOOKUP($B40,'2) หลักการคำนวน Table'!$D$93:$M$108,HLOOKUP(AC40,'2) หลักการคำนวน Table'!$D$1:$M$5,5,TRUE),0))))),0)</f>
        <v>360</v>
      </c>
      <c r="BB40" s="167">
        <f>IFERROR(IF($C40="Top WS",VLOOKUP($B40,'2) หลักการคำนวน Table'!$D$5:$M$20,HLOOKUP(AD40,'2) หลักการคำนวน Table'!$D$1:$M$5,5,TRUE),0),
IF($C40="WS SF",VLOOKUP($B40,'2) หลักการคำนวน Table'!$D$33:$M$48,HLOOKUP(AD40,'2) หลักการคำนวน Table'!$D$1:$M$5,5,TRUE),0),
IF($C40="WS WH",VLOOKUP($B40,'2) หลักการคำนวน Table'!$D$63:$M$78,HLOOKUP(AD40,'2) หลักการคำนวน Table'!$D$1:$M$5,5,TRUE),0),
IF($C40="SF WH",VLOOKUP($B40,'2) หลักการคำนวน Table'!$D$93:$M$108,HLOOKUP(AD40,'2) หลักการคำนวน Table'!$D$1:$M$5,5,TRUE),0))))),0)</f>
        <v>360</v>
      </c>
      <c r="BC40" s="167">
        <f>IFERROR(IF($C40="Top WS",VLOOKUP($B40,'2) หลักการคำนวน Table'!$D$5:$M$20,HLOOKUP(AE40,'2) หลักการคำนวน Table'!$D$1:$M$5,5,TRUE),0),
IF($C40="WS SF",VLOOKUP($B40,'2) หลักการคำนวน Table'!$D$33:$M$48,HLOOKUP(AE40,'2) หลักการคำนวน Table'!$D$1:$M$5,5,TRUE),0),
IF($C40="WS WH",VLOOKUP($B40,'2) หลักการคำนวน Table'!$D$63:$M$78,HLOOKUP(AE40,'2) หลักการคำนวน Table'!$D$1:$M$5,5,TRUE),0),
IF($C40="SF WH",VLOOKUP($B40,'2) หลักการคำนวน Table'!$D$93:$M$108,HLOOKUP(AE40,'2) หลักการคำนวน Table'!$D$1:$M$5,5,TRUE),0))))),0)</f>
        <v>360</v>
      </c>
      <c r="BD40" s="167">
        <f>IFERROR(IF($C40="Top WS",VLOOKUP($B40,'2) หลักการคำนวน Table'!$D$5:$M$20,HLOOKUP(AF40,'2) หลักการคำนวน Table'!$D$1:$M$5,5,TRUE),0),
IF($C40="WS SF",VLOOKUP($B40,'2) หลักการคำนวน Table'!$D$33:$M$48,HLOOKUP(AF40,'2) หลักการคำนวน Table'!$D$1:$M$5,5,TRUE),0),
IF($C40="WS WH",VLOOKUP($B40,'2) หลักการคำนวน Table'!$D$63:$M$78,HLOOKUP(AF40,'2) หลักการคำนวน Table'!$D$1:$M$5,5,TRUE),0),
IF($C40="SF WH",VLOOKUP($B40,'2) หลักการคำนวน Table'!$D$93:$M$108,HLOOKUP(AF40,'2) หลักการคำนวน Table'!$D$1:$M$5,5,TRUE),0))))),0)</f>
        <v>360</v>
      </c>
      <c r="BE40" s="167">
        <f>IFERROR(IF($C40="Top WS",VLOOKUP($B40,'2) หลักการคำนวน Table'!$D$5:$M$20,HLOOKUP(AG40,'2) หลักการคำนวน Table'!$D$1:$M$5,5,TRUE),0),
IF($C40="WS SF",VLOOKUP($B40,'2) หลักการคำนวน Table'!$D$33:$M$48,HLOOKUP(AG40,'2) หลักการคำนวน Table'!$D$1:$M$5,5,TRUE),0),
IF($C40="WS WH",VLOOKUP($B40,'2) หลักการคำนวน Table'!$D$63:$M$78,HLOOKUP(AG40,'2) หลักการคำนวน Table'!$D$1:$M$5,5,TRUE),0),
IF($C40="SF WH",VLOOKUP($B40,'2) หลักการคำนวน Table'!$D$93:$M$108,HLOOKUP(AG40,'2) หลักการคำนวน Table'!$D$1:$M$5,5,TRUE),0))))),0)</f>
        <v>360</v>
      </c>
      <c r="BF40" s="167">
        <f>IFERROR(IF($C40="Top WS",VLOOKUP($B40,'2) หลักการคำนวน Table'!$D$5:$M$20,HLOOKUP(AH40,'2) หลักการคำนวน Table'!$D$1:$M$5,5,TRUE),0),
IF($C40="WS SF",VLOOKUP($B40,'2) หลักการคำนวน Table'!$D$33:$M$48,HLOOKUP(AH40,'2) หลักการคำนวน Table'!$D$1:$M$5,5,TRUE),0),
IF($C40="WS WH",VLOOKUP($B40,'2) หลักการคำนวน Table'!$D$63:$M$78,HLOOKUP(AH40,'2) หลักการคำนวน Table'!$D$1:$M$5,5,TRUE),0),
IF($C40="SF WH",VLOOKUP($B40,'2) หลักการคำนวน Table'!$D$93:$M$108,HLOOKUP(AH40,'2) หลักการคำนวน Table'!$D$1:$M$5,5,TRUE),0))))),0)</f>
        <v>360</v>
      </c>
      <c r="BG40" s="167">
        <f>IFERROR(IF($C40="Top WS",VLOOKUP($B40,'2) หลักการคำนวน Table'!$D$5:$M$20,HLOOKUP(AI40,'2) หลักการคำนวน Table'!$D$1:$M$5,5,TRUE),0),
IF($C40="WS SF",VLOOKUP($B40,'2) หลักการคำนวน Table'!$D$33:$M$48,HLOOKUP(AI40,'2) หลักการคำนวน Table'!$D$1:$M$5,5,TRUE),0),
IF($C40="WS WH",VLOOKUP($B40,'2) หลักการคำนวน Table'!$D$63:$M$78,HLOOKUP(AI40,'2) หลักการคำนวน Table'!$D$1:$M$5,5,TRUE),0),
IF($C40="SF WH",VLOOKUP($B40,'2) หลักการคำนวน Table'!$D$93:$M$108,HLOOKUP(AI40,'2) หลักการคำนวน Table'!$D$1:$M$5,5,TRUE),0))))),0)</f>
        <v>360</v>
      </c>
      <c r="BH40" s="167">
        <f>IFERROR(IF($C40="Top WS",VLOOKUP($B40,'2) หลักการคำนวน Table'!$D$5:$M$20,HLOOKUP(AP40,'2) หลักการคำนวน Table'!$D$1:$M$5,5,TRUE),0),
IF($C40="WS SF",VLOOKUP($B40,'2) หลักการคำนวน Table'!$D$33:$M$48,HLOOKUP(AP40,'2) หลักการคำนวน Table'!$D$1:$M$5,5,TRUE),0),
IF($C40="WS WH",VLOOKUP($B40,'2) หลักการคำนวน Table'!$D$63:$M$78,HLOOKUP(AP40,'2) หลักการคำนวน Table'!$D$1:$M$5,5,TRUE),0),
IF($C40="SF WH",VLOOKUP($B40,'2) หลักการคำนวน Table'!$D$93:$M$108,HLOOKUP(AP40,'2) หลักการคำนวน Table'!$D$1:$M$5,5,TRUE),0))))),0)</f>
        <v>360</v>
      </c>
      <c r="BI40" s="167">
        <f>IFERROR(IF($C40="Top WS",VLOOKUP($B40,'2) หลักการคำนวน Table'!$D$5:$M$20,HLOOKUP(AK40,'2) หลักการคำนวน Table'!$D$1:$M$5,5,TRUE),0),
IF($C40="WS SF",VLOOKUP($B40,'2) หลักการคำนวน Table'!$D$33:$M$48,HLOOKUP(AK40,'2) หลักการคำนวน Table'!$D$1:$M$5,5,TRUE),0),
IF($C40="WS WH",VLOOKUP($B40,'2) หลักการคำนวน Table'!$D$63:$M$78,HLOOKUP(AK40,'2) หลักการคำนวน Table'!$D$1:$M$5,5,TRUE),0),
IF($C40="SF WH",VLOOKUP($B40,'2) หลักการคำนวน Table'!$D$93:$M$108,HLOOKUP(AK40,'2) หลักการคำนวน Table'!$D$1:$M$5,5,TRUE),0))))),0)</f>
        <v>360</v>
      </c>
      <c r="BJ40" s="167">
        <f>IFERROR(IF($C40="Top WS",VLOOKUP($B40,'2) หลักการคำนวน Table'!$D$5:$M$20,HLOOKUP(AL40,'2) หลักการคำนวน Table'!$D$1:$M$5,5,TRUE),0),
IF($C40="WS SF",VLOOKUP($B40,'2) หลักการคำนวน Table'!$D$33:$M$48,HLOOKUP(AL40,'2) หลักการคำนวน Table'!$D$1:$M$5,5,TRUE),0),
IF($C40="WS WH",VLOOKUP($B40,'2) หลักการคำนวน Table'!$D$63:$M$78,HLOOKUP(AL40,'2) หลักการคำนวน Table'!$D$1:$M$5,5,TRUE),0),
IF($C40="SF WH",VLOOKUP($B40,'2) หลักการคำนวน Table'!$D$93:$M$108,HLOOKUP(AL40,'2) หลักการคำนวน Table'!$D$1:$M$5,5,TRUE),0))))),0)</f>
        <v>360</v>
      </c>
      <c r="BK40" s="167">
        <f>IFERROR(IF($C40="Top WS",VLOOKUP($B40,'2) หลักการคำนวน Table'!$D$5:$M$20,HLOOKUP(AM40,'2) หลักการคำนวน Table'!$D$1:$M$5,5,TRUE),0),
IF($C40="WS SF",VLOOKUP($B40,'2) หลักการคำนวน Table'!$D$33:$M$48,HLOOKUP(AM40,'2) หลักการคำนวน Table'!$D$1:$M$5,5,TRUE),0),
IF($C40="WS WH",VLOOKUP($B40,'2) หลักการคำนวน Table'!$D$63:$M$78,HLOOKUP(AM40,'2) หลักการคำนวน Table'!$D$1:$M$5,5,TRUE),0),
IF($C40="SF WH",VLOOKUP($B40,'2) หลักการคำนวน Table'!$D$93:$M$108,HLOOKUP(AM40,'2) หลักการคำนวน Table'!$D$1:$M$5,5,TRUE),0))))),0)</f>
        <v>360</v>
      </c>
      <c r="BM40" s="119">
        <f>VLOOKUP(VLOOKUP(A40,ASTBase!E:S,13,FALSE),ASTBase!F:P,11,FALSE)</f>
        <v>120000</v>
      </c>
      <c r="BN40" s="196" cm="1">
        <f t="array" ref="BN40">INDEX(AN40:AY40,,Period!$D$2)</f>
        <v>0.9</v>
      </c>
    </row>
    <row r="41" spans="1:66" x14ac:dyDescent="0.25">
      <c r="A41" s="117">
        <v>120002</v>
      </c>
      <c r="B41" s="117" t="s">
        <v>391</v>
      </c>
      <c r="C41" s="117" t="s">
        <v>178</v>
      </c>
      <c r="D41" s="118">
        <v>1149</v>
      </c>
      <c r="E41" s="118">
        <v>1352</v>
      </c>
      <c r="F41" s="118">
        <v>1463</v>
      </c>
      <c r="G41" s="118">
        <v>1644</v>
      </c>
      <c r="H41" s="118">
        <v>1513</v>
      </c>
      <c r="I41" s="118">
        <v>1496</v>
      </c>
      <c r="J41" s="118">
        <v>1665</v>
      </c>
      <c r="K41" s="118">
        <v>1726</v>
      </c>
      <c r="L41" s="118">
        <v>1979</v>
      </c>
      <c r="M41" s="118">
        <v>1481</v>
      </c>
      <c r="N41" s="118">
        <v>1242</v>
      </c>
      <c r="O41" s="118">
        <v>1242</v>
      </c>
      <c r="P41" s="117">
        <f>SUMIFS(Actual!C:C,Actual!$A:$A,'3)Target &amp; Cal'!$A41,Actual!$B:$B,'3)Target &amp; Cal'!$B41)</f>
        <v>579.99999998963983</v>
      </c>
      <c r="Q41" s="117">
        <f>SUMIFS(Actual!D:D,Actual!$A:$A,'3)Target &amp; Cal'!$A41,Actual!$B:$B,'3)Target &amp; Cal'!$B41)</f>
        <v>1641.9999999647994</v>
      </c>
      <c r="R41" s="117">
        <f>SUMIFS(Actual!E:E,Actual!$A:$A,'3)Target &amp; Cal'!$A41,Actual!$B:$B,'3)Target &amp; Cal'!$B41)</f>
        <v>0</v>
      </c>
      <c r="S41" s="117">
        <f>SUMIFS(Actual!F:F,Actual!$A:$A,'3)Target &amp; Cal'!$A41,Actual!$B:$B,'3)Target &amp; Cal'!$B41)</f>
        <v>0</v>
      </c>
      <c r="T41" s="117">
        <f>SUMIFS(Actual!G:G,Actual!$A:$A,'3)Target &amp; Cal'!$A41,Actual!$B:$B,'3)Target &amp; Cal'!$B41)</f>
        <v>0</v>
      </c>
      <c r="U41" s="117">
        <f>SUMIFS(Actual!H:H,Actual!$A:$A,'3)Target &amp; Cal'!$A41,Actual!$B:$B,'3)Target &amp; Cal'!$B41)</f>
        <v>0</v>
      </c>
      <c r="V41" s="117">
        <f>SUMIFS(Actual!I:I,Actual!$A:$A,'3)Target &amp; Cal'!$A41,Actual!$B:$B,'3)Target &amp; Cal'!$B41)</f>
        <v>0</v>
      </c>
      <c r="W41" s="117">
        <f>SUMIFS(Actual!J:J,Actual!$A:$A,'3)Target &amp; Cal'!$A41,Actual!$B:$B,'3)Target &amp; Cal'!$B41)</f>
        <v>0</v>
      </c>
      <c r="X41" s="117">
        <f>SUMIFS(Actual!K:K,Actual!$A:$A,'3)Target &amp; Cal'!$A41,Actual!$B:$B,'3)Target &amp; Cal'!$B41)</f>
        <v>0</v>
      </c>
      <c r="Y41" s="117">
        <f>SUMIFS(Actual!L:L,Actual!$A:$A,'3)Target &amp; Cal'!$A41,Actual!$B:$B,'3)Target &amp; Cal'!$B41)</f>
        <v>0</v>
      </c>
      <c r="Z41" s="117">
        <f>SUMIFS(Actual!M:M,Actual!$A:$A,'3)Target &amp; Cal'!$A41,Actual!$B:$B,'3)Target &amp; Cal'!$B41)</f>
        <v>0</v>
      </c>
      <c r="AA41" s="117">
        <f>SUMIFS(Actual!N:N,Actual!$A:$A,'3)Target &amp; Cal'!$A41,Actual!$B:$B,'3)Target &amp; Cal'!$B41)</f>
        <v>0</v>
      </c>
      <c r="AB41" s="123">
        <f>IFERROR(IF(VLOOKUP($B41,Shortage!$A:$M,AB$2,FALSE)="Shortage",1,IFERROR(ROUND(P41/D41,4),0)),IFERROR(ROUND(P41/D41,4),0))</f>
        <v>1</v>
      </c>
      <c r="AC41" s="123">
        <f>IFERROR(IF(VLOOKUP($B41,Shortage!$A:$M,AC$2,FALSE)="Shortage",1,IFERROR(ROUND(Q41/E41,4),0)),IFERROR(ROUND(Q41/E41,4),0))</f>
        <v>1</v>
      </c>
      <c r="AD41" s="123">
        <f>IFERROR(IF(VLOOKUP($B41,Shortage!$A:$M,AD$2,FALSE)="Shortage",1,IFERROR(ROUND(R41/F41,4),0)),IFERROR(ROUND(R41/F41,4),0))</f>
        <v>0</v>
      </c>
      <c r="AE41" s="123">
        <f>IFERROR(IF(VLOOKUP($B41,Shortage!$A:$M,AE$2,FALSE)="Shortage",1,IFERROR(ROUND(S41/G41,4),0)),IFERROR(ROUND(S41/G41,4),0))</f>
        <v>0</v>
      </c>
      <c r="AF41" s="123">
        <f>IFERROR(IF(VLOOKUP($B41,Shortage!$A:$M,AF$2,FALSE)="Shortage",1,IFERROR(ROUND(T41/H41,4),0)),IFERROR(ROUND(T41/H41,4),0))</f>
        <v>0</v>
      </c>
      <c r="AG41" s="123">
        <f>IFERROR(IF(VLOOKUP($B41,Shortage!$A:$M,AG$2,FALSE)="Shortage",1,IFERROR(ROUND(U41/I41,4),0)),IFERROR(ROUND(U41/I41,4),0))</f>
        <v>0</v>
      </c>
      <c r="AH41" s="123">
        <f>IFERROR(IF(VLOOKUP($B41,Shortage!$A:$M,AH$2,FALSE)="Shortage",1,IFERROR(ROUND(V41/J41,4),0)),IFERROR(ROUND(V41/J41,4),0))</f>
        <v>0</v>
      </c>
      <c r="AI41" s="123">
        <f>IFERROR(IF(VLOOKUP($B41,Shortage!$A:$M,AI$2,FALSE)="Shortage",1,IFERROR(ROUND(W41/K41,4),0)),IFERROR(ROUND(W41/K41,4),0))</f>
        <v>0</v>
      </c>
      <c r="AJ41" s="123">
        <f>IFERROR(IF(VLOOKUP($B41,Shortage!$A:$M,AP$2,FALSE)="Shortage",1,IFERROR(ROUND(X41/L41,4),0)),IFERROR(ROUND(X41/L41,4),0))</f>
        <v>0</v>
      </c>
      <c r="AK41" s="123">
        <f>IFERROR(IF(VLOOKUP($B41,Shortage!$A:$M,AK$2,FALSE)="Shortage",1,IFERROR(ROUND(Y41/M41,4),0)),IFERROR(ROUND(Y41/M41,4),0))</f>
        <v>0</v>
      </c>
      <c r="AL41" s="123">
        <f>IFERROR(IF(VLOOKUP($B41,Shortage!$A:$M,AL$2,FALSE)="Shortage",1,IFERROR(ROUND(Z41/N41,4),0)),IFERROR(ROUND(Z41/N41,4),0))</f>
        <v>0</v>
      </c>
      <c r="AM41" s="123">
        <f>IFERROR(IF(VLOOKUP($B41,Shortage!$A:$M,AM$2,FALSE)="Shortage",1,IFERROR(ROUND(AA41/O41,4),0)),IFERROR(ROUND(AA41/O41,4),0))</f>
        <v>0</v>
      </c>
      <c r="AN41" s="232">
        <f>IFERROR(IF($C41="Top WS",VLOOKUP("GOAL",'2) หลักการคำนวน Table'!$D$4:$M$4,HLOOKUP(AB41,'2) หลักการคำนวน Table'!$D$1:$M$5,5,TRUE),0),
IF($C41="WS SF",VLOOKUP("GOAL",'2) หลักการคำนวน Table'!$D$32:$M$32,HLOOKUP(AB41,'2) หลักการคำนวน Table'!$D$1:$M$5,5,TRUE),0),
IF($C41="WS WH",VLOOKUP("GOAL",'2) หลักการคำนวน Table'!$D$62:$M$62,HLOOKUP(AB41,'2) หลักการคำนวน Table'!$D$1:$M$5,5,TRUE),0),
IF($C41="SF WH",VLOOKUP("GOAL",'2) หลักการคำนวน Table'!$D$92:$M$92,HLOOKUP(AB41,'2) หลักการคำนวน Table'!$D$1:$M$5,5,TRUE),0))))),0)</f>
        <v>1</v>
      </c>
      <c r="AO41" s="232">
        <f>IFERROR(IF($C41="Top WS",VLOOKUP("GOAL",'2) หลักการคำนวน Table'!$D$4:$M$4,HLOOKUP(AC41,'2) หลักการคำนวน Table'!$D$1:$M$5,5,TRUE),0),
IF($C41="WS SF",VLOOKUP("GOAL",'2) หลักการคำนวน Table'!$D$32:$M$32,HLOOKUP(AC41,'2) หลักการคำนวน Table'!$D$1:$M$5,5,TRUE),0),
IF($C41="WS WH",VLOOKUP("GOAL",'2) หลักการคำนวน Table'!$D$62:$M$62,HLOOKUP(AC41,'2) หลักการคำนวน Table'!$D$1:$M$5,5,TRUE),0),
IF($C41="SF WH",VLOOKUP("GOAL",'2) หลักการคำนวน Table'!$D$92:$M$92,HLOOKUP(AC41,'2) หลักการคำนวน Table'!$D$1:$M$5,5,TRUE),0))))),0)</f>
        <v>1</v>
      </c>
      <c r="AP41" s="232">
        <f>IFERROR(IF($C41="Top WS",VLOOKUP("GOAL",'2) หลักการคำนวน Table'!$D$4:$M$4,HLOOKUP(AD41,'2) หลักการคำนวน Table'!$D$1:$M$5,5,TRUE),0),
IF($C41="WS SF",VLOOKUP("GOAL",'2) หลักการคำนวน Table'!$D$32:$M$32,HLOOKUP(AD41,'2) หลักการคำนวน Table'!$D$1:$M$5,5,TRUE),0),
IF($C41="WS WH",VLOOKUP("GOAL",'2) หลักการคำนวน Table'!$D$62:$M$62,HLOOKUP(AD41,'2) หลักการคำนวน Table'!$D$1:$M$5,5,TRUE),0),
IF($C41="SF WH",VLOOKUP("GOAL",'2) หลักการคำนวน Table'!$D$92:$M$92,HLOOKUP(AD41,'2) หลักการคำนวน Table'!$D$1:$M$5,5,TRUE),0))))),0)</f>
        <v>0.9</v>
      </c>
      <c r="AQ41" s="232">
        <f>IFERROR(IF($C41="Top WS",VLOOKUP("GOAL",'2) หลักการคำนวน Table'!$D$4:$M$4,HLOOKUP(AE41,'2) หลักการคำนวน Table'!$D$1:$M$5,5,TRUE),0),
IF($C41="WS SF",VLOOKUP("GOAL",'2) หลักการคำนวน Table'!$D$32:$M$32,HLOOKUP(AE41,'2) หลักการคำนวน Table'!$D$1:$M$5,5,TRUE),0),
IF($C41="WS WH",VLOOKUP("GOAL",'2) หลักการคำนวน Table'!$D$62:$M$62,HLOOKUP(AE41,'2) หลักการคำนวน Table'!$D$1:$M$5,5,TRUE),0),
IF($C41="SF WH",VLOOKUP("GOAL",'2) หลักการคำนวน Table'!$D$92:$M$92,HLOOKUP(AE41,'2) หลักการคำนวน Table'!$D$1:$M$5,5,TRUE),0))))),0)</f>
        <v>0.9</v>
      </c>
      <c r="AR41" s="232">
        <f>IFERROR(IF($C41="Top WS",VLOOKUP("GOAL",'2) หลักการคำนวน Table'!$D$4:$M$4,HLOOKUP(AF41,'2) หลักการคำนวน Table'!$D$1:$M$5,5,TRUE),0),
IF($C41="WS SF",VLOOKUP("GOAL",'2) หลักการคำนวน Table'!$D$32:$M$32,HLOOKUP(AF41,'2) หลักการคำนวน Table'!$D$1:$M$5,5,TRUE),0),
IF($C41="WS WH",VLOOKUP("GOAL",'2) หลักการคำนวน Table'!$D$62:$M$62,HLOOKUP(AF41,'2) หลักการคำนวน Table'!$D$1:$M$5,5,TRUE),0),
IF($C41="SF WH",VLOOKUP("GOAL",'2) หลักการคำนวน Table'!$D$92:$M$92,HLOOKUP(AF41,'2) หลักการคำนวน Table'!$D$1:$M$5,5,TRUE),0))))),0)</f>
        <v>0.9</v>
      </c>
      <c r="AS41" s="232">
        <f>IFERROR(IF($C41="Top WS",VLOOKUP("GOAL",'2) หลักการคำนวน Table'!$D$4:$M$4,HLOOKUP(AG41,'2) หลักการคำนวน Table'!$D$1:$M$5,5,TRUE),0),
IF($C41="WS SF",VLOOKUP("GOAL",'2) หลักการคำนวน Table'!$D$32:$M$32,HLOOKUP(AG41,'2) หลักการคำนวน Table'!$D$1:$M$5,5,TRUE),0),
IF($C41="WS WH",VLOOKUP("GOAL",'2) หลักการคำนวน Table'!$D$62:$M$62,HLOOKUP(AG41,'2) หลักการคำนวน Table'!$D$1:$M$5,5,TRUE),0),
IF($C41="SF WH",VLOOKUP("GOAL",'2) หลักการคำนวน Table'!$D$92:$M$92,HLOOKUP(AG41,'2) หลักการคำนวน Table'!$D$1:$M$5,5,TRUE),0))))),0)</f>
        <v>0.9</v>
      </c>
      <c r="AT41" s="232">
        <f>IFERROR(IF($C41="Top WS",VLOOKUP("GOAL",'2) หลักการคำนวน Table'!$D$4:$M$4,HLOOKUP(AH41,'2) หลักการคำนวน Table'!$D$1:$M$5,5,TRUE),0),
IF($C41="WS SF",VLOOKUP("GOAL",'2) หลักการคำนวน Table'!$D$32:$M$32,HLOOKUP(AH41,'2) หลักการคำนวน Table'!$D$1:$M$5,5,TRUE),0),
IF($C41="WS WH",VLOOKUP("GOAL",'2) หลักการคำนวน Table'!$D$62:$M$62,HLOOKUP(AH41,'2) หลักการคำนวน Table'!$D$1:$M$5,5,TRUE),0),
IF($C41="SF WH",VLOOKUP("GOAL",'2) หลักการคำนวน Table'!$D$92:$M$92,HLOOKUP(AH41,'2) หลักการคำนวน Table'!$D$1:$M$5,5,TRUE),0))))),0)</f>
        <v>0.9</v>
      </c>
      <c r="AU41" s="232">
        <f>IFERROR(IF($C41="Top WS",VLOOKUP("GOAL",'2) หลักการคำนวน Table'!$D$4:$M$4,HLOOKUP(AI41,'2) หลักการคำนวน Table'!$D$1:$M$5,5,TRUE),0),
IF($C41="WS SF",VLOOKUP("GOAL",'2) หลักการคำนวน Table'!$D$32:$M$32,HLOOKUP(AI41,'2) หลักการคำนวน Table'!$D$1:$M$5,5,TRUE),0),
IF($C41="WS WH",VLOOKUP("GOAL",'2) หลักการคำนวน Table'!$D$62:$M$62,HLOOKUP(AI41,'2) หลักการคำนวน Table'!$D$1:$M$5,5,TRUE),0),
IF($C41="SF WH",VLOOKUP("GOAL",'2) หลักการคำนวน Table'!$D$92:$M$92,HLOOKUP(AI41,'2) หลักการคำนวน Table'!$D$1:$M$5,5,TRUE),0))))),0)</f>
        <v>0.9</v>
      </c>
      <c r="AV41" s="232">
        <f>IFERROR(IF($C41="Top WS",VLOOKUP("GOAL",'2) หลักการคำนวน Table'!$D$4:$M$4,HLOOKUP(AP41,'2) หลักการคำนวน Table'!$D$1:$M$5,5,TRUE),0),
IF($C41="WS SF",VLOOKUP("GOAL",'2) หลักการคำนวน Table'!$D$32:$M$32,HLOOKUP(AP41,'2) หลักการคำนวน Table'!$D$1:$M$5,5,TRUE),0),
IF($C41="WS WH",VLOOKUP("GOAL",'2) หลักการคำนวน Table'!$D$62:$M$62,HLOOKUP(AP41,'2) หลักการคำนวน Table'!$D$1:$M$5,5,TRUE),0),
IF($C41="SF WH",VLOOKUP("GOAL",'2) หลักการคำนวน Table'!$D$92:$M$92,HLOOKUP(AP41,'2) หลักการคำนวน Table'!$D$1:$M$5,5,TRUE),0))))),0)</f>
        <v>0.9</v>
      </c>
      <c r="AW41" s="232">
        <f>IFERROR(IF($C41="Top WS",VLOOKUP("GOAL",'2) หลักการคำนวน Table'!$D$4:$M$4,HLOOKUP(AK41,'2) หลักการคำนวน Table'!$D$1:$M$5,5,TRUE),0),
IF($C41="WS SF",VLOOKUP("GOAL",'2) หลักการคำนวน Table'!$D$32:$M$32,HLOOKUP(AK41,'2) หลักการคำนวน Table'!$D$1:$M$5,5,TRUE),0),
IF($C41="WS WH",VLOOKUP("GOAL",'2) หลักการคำนวน Table'!$D$62:$M$62,HLOOKUP(AK41,'2) หลักการคำนวน Table'!$D$1:$M$5,5,TRUE),0),
IF($C41="SF WH",VLOOKUP("GOAL",'2) หลักการคำนวน Table'!$D$92:$M$92,HLOOKUP(AK41,'2) หลักการคำนวน Table'!$D$1:$M$5,5,TRUE),0))))),0)</f>
        <v>0.9</v>
      </c>
      <c r="AX41" s="232">
        <f>IFERROR(IF($C41="Top WS",VLOOKUP("GOAL",'2) หลักการคำนวน Table'!$D$4:$M$4,HLOOKUP(AL41,'2) หลักการคำนวน Table'!$D$1:$M$5,5,TRUE),0),
IF($C41="WS SF",VLOOKUP("GOAL",'2) หลักการคำนวน Table'!$D$32:$M$32,HLOOKUP(AL41,'2) หลักการคำนวน Table'!$D$1:$M$5,5,TRUE),0),
IF($C41="WS WH",VLOOKUP("GOAL",'2) หลักการคำนวน Table'!$D$62:$M$62,HLOOKUP(AL41,'2) หลักการคำนวน Table'!$D$1:$M$5,5,TRUE),0),
IF($C41="SF WH",VLOOKUP("GOAL",'2) หลักการคำนวน Table'!$D$92:$M$92,HLOOKUP(AL41,'2) หลักการคำนวน Table'!$D$1:$M$5,5,TRUE),0))))),0)</f>
        <v>0.9</v>
      </c>
      <c r="AY41" s="232">
        <f>IFERROR(IF($C41="Top WS",VLOOKUP("GOAL",'2) หลักการคำนวน Table'!$D$4:$M$4,HLOOKUP(AM41,'2) หลักการคำนวน Table'!$D$1:$M$5,5,TRUE),0),
IF($C41="WS SF",VLOOKUP("GOAL",'2) หลักการคำนวน Table'!$D$32:$M$32,HLOOKUP(AM41,'2) หลักการคำนวน Table'!$D$1:$M$5,5,TRUE),0),
IF($C41="WS WH",VLOOKUP("GOAL",'2) หลักการคำนวน Table'!$D$62:$M$62,HLOOKUP(AM41,'2) หลักการคำนวน Table'!$D$1:$M$5,5,TRUE),0),
IF($C41="SF WH",VLOOKUP("GOAL",'2) หลักการคำนวน Table'!$D$92:$M$92,HLOOKUP(AM41,'2) หลักการคำนวน Table'!$D$1:$M$5,5,TRUE),0))))),0)</f>
        <v>0.9</v>
      </c>
      <c r="AZ41" s="167">
        <f>IFERROR(IF($C41="Top WS",VLOOKUP($B41,'2) หลักการคำนวน Table'!$D$5:$M$20,HLOOKUP(AB41,'2) หลักการคำนวน Table'!$D$1:$M$5,5,TRUE),0),
IF($C41="WS SF",VLOOKUP($B41,'2) หลักการคำนวน Table'!$D$33:$M$48,HLOOKUP(AB41,'2) หลักการคำนวน Table'!$D$1:$M$5,5,TRUE),0),
IF($C41="WS WH",VLOOKUP($B41,'2) หลักการคำนวน Table'!$D$63:$M$78,HLOOKUP(AB41,'2) หลักการคำนวน Table'!$D$1:$M$5,5,TRUE),0),
IF($C41="SF WH",VLOOKUP($B41,'2) หลักการคำนวน Table'!$D$93:$M$108,HLOOKUP(AB41,'2) หลักการคำนวน Table'!$D$1:$M$5,5,TRUE),0))))),0)</f>
        <v>600</v>
      </c>
      <c r="BA41" s="167">
        <f>IFERROR(IF($C41="Top WS",VLOOKUP($B41,'2) หลักการคำนวน Table'!$D$5:$M$20,HLOOKUP(AC41,'2) หลักการคำนวน Table'!$D$1:$M$5,5,TRUE),0),
IF($C41="WS SF",VLOOKUP($B41,'2) หลักการคำนวน Table'!$D$33:$M$48,HLOOKUP(AC41,'2) หลักการคำนวน Table'!$D$1:$M$5,5,TRUE),0),
IF($C41="WS WH",VLOOKUP($B41,'2) หลักการคำนวน Table'!$D$63:$M$78,HLOOKUP(AC41,'2) หลักการคำนวน Table'!$D$1:$M$5,5,TRUE),0),
IF($C41="SF WH",VLOOKUP($B41,'2) หลักการคำนวน Table'!$D$93:$M$108,HLOOKUP(AC41,'2) หลักการคำนวน Table'!$D$1:$M$5,5,TRUE),0))))),0)</f>
        <v>600</v>
      </c>
      <c r="BB41" s="167">
        <f>IFERROR(IF($C41="Top WS",VLOOKUP($B41,'2) หลักการคำนวน Table'!$D$5:$M$20,HLOOKUP(AD41,'2) หลักการคำนวน Table'!$D$1:$M$5,5,TRUE),0),
IF($C41="WS SF",VLOOKUP($B41,'2) หลักการคำนวน Table'!$D$33:$M$48,HLOOKUP(AD41,'2) หลักการคำนวน Table'!$D$1:$M$5,5,TRUE),0),
IF($C41="WS WH",VLOOKUP($B41,'2) หลักการคำนวน Table'!$D$63:$M$78,HLOOKUP(AD41,'2) หลักการคำนวน Table'!$D$1:$M$5,5,TRUE),0),
IF($C41="SF WH",VLOOKUP($B41,'2) หลักการคำนวน Table'!$D$93:$M$108,HLOOKUP(AD41,'2) หลักการคำนวน Table'!$D$1:$M$5,5,TRUE),0))))),0)</f>
        <v>540</v>
      </c>
      <c r="BC41" s="167">
        <f>IFERROR(IF($C41="Top WS",VLOOKUP($B41,'2) หลักการคำนวน Table'!$D$5:$M$20,HLOOKUP(AE41,'2) หลักการคำนวน Table'!$D$1:$M$5,5,TRUE),0),
IF($C41="WS SF",VLOOKUP($B41,'2) หลักการคำนวน Table'!$D$33:$M$48,HLOOKUP(AE41,'2) หลักการคำนวน Table'!$D$1:$M$5,5,TRUE),0),
IF($C41="WS WH",VLOOKUP($B41,'2) หลักการคำนวน Table'!$D$63:$M$78,HLOOKUP(AE41,'2) หลักการคำนวน Table'!$D$1:$M$5,5,TRUE),0),
IF($C41="SF WH",VLOOKUP($B41,'2) หลักการคำนวน Table'!$D$93:$M$108,HLOOKUP(AE41,'2) หลักการคำนวน Table'!$D$1:$M$5,5,TRUE),0))))),0)</f>
        <v>540</v>
      </c>
      <c r="BD41" s="167">
        <f>IFERROR(IF($C41="Top WS",VLOOKUP($B41,'2) หลักการคำนวน Table'!$D$5:$M$20,HLOOKUP(AF41,'2) หลักการคำนวน Table'!$D$1:$M$5,5,TRUE),0),
IF($C41="WS SF",VLOOKUP($B41,'2) หลักการคำนวน Table'!$D$33:$M$48,HLOOKUP(AF41,'2) หลักการคำนวน Table'!$D$1:$M$5,5,TRUE),0),
IF($C41="WS WH",VLOOKUP($B41,'2) หลักการคำนวน Table'!$D$63:$M$78,HLOOKUP(AF41,'2) หลักการคำนวน Table'!$D$1:$M$5,5,TRUE),0),
IF($C41="SF WH",VLOOKUP($B41,'2) หลักการคำนวน Table'!$D$93:$M$108,HLOOKUP(AF41,'2) หลักการคำนวน Table'!$D$1:$M$5,5,TRUE),0))))),0)</f>
        <v>540</v>
      </c>
      <c r="BE41" s="167">
        <f>IFERROR(IF($C41="Top WS",VLOOKUP($B41,'2) หลักการคำนวน Table'!$D$5:$M$20,HLOOKUP(AG41,'2) หลักการคำนวน Table'!$D$1:$M$5,5,TRUE),0),
IF($C41="WS SF",VLOOKUP($B41,'2) หลักการคำนวน Table'!$D$33:$M$48,HLOOKUP(AG41,'2) หลักการคำนวน Table'!$D$1:$M$5,5,TRUE),0),
IF($C41="WS WH",VLOOKUP($B41,'2) หลักการคำนวน Table'!$D$63:$M$78,HLOOKUP(AG41,'2) หลักการคำนวน Table'!$D$1:$M$5,5,TRUE),0),
IF($C41="SF WH",VLOOKUP($B41,'2) หลักการคำนวน Table'!$D$93:$M$108,HLOOKUP(AG41,'2) หลักการคำนวน Table'!$D$1:$M$5,5,TRUE),0))))),0)</f>
        <v>540</v>
      </c>
      <c r="BF41" s="167">
        <f>IFERROR(IF($C41="Top WS",VLOOKUP($B41,'2) หลักการคำนวน Table'!$D$5:$M$20,HLOOKUP(AH41,'2) หลักการคำนวน Table'!$D$1:$M$5,5,TRUE),0),
IF($C41="WS SF",VLOOKUP($B41,'2) หลักการคำนวน Table'!$D$33:$M$48,HLOOKUP(AH41,'2) หลักการคำนวน Table'!$D$1:$M$5,5,TRUE),0),
IF($C41="WS WH",VLOOKUP($B41,'2) หลักการคำนวน Table'!$D$63:$M$78,HLOOKUP(AH41,'2) หลักการคำนวน Table'!$D$1:$M$5,5,TRUE),0),
IF($C41="SF WH",VLOOKUP($B41,'2) หลักการคำนวน Table'!$D$93:$M$108,HLOOKUP(AH41,'2) หลักการคำนวน Table'!$D$1:$M$5,5,TRUE),0))))),0)</f>
        <v>540</v>
      </c>
      <c r="BG41" s="167">
        <f>IFERROR(IF($C41="Top WS",VLOOKUP($B41,'2) หลักการคำนวน Table'!$D$5:$M$20,HLOOKUP(AI41,'2) หลักการคำนวน Table'!$D$1:$M$5,5,TRUE),0),
IF($C41="WS SF",VLOOKUP($B41,'2) หลักการคำนวน Table'!$D$33:$M$48,HLOOKUP(AI41,'2) หลักการคำนวน Table'!$D$1:$M$5,5,TRUE),0),
IF($C41="WS WH",VLOOKUP($B41,'2) หลักการคำนวน Table'!$D$63:$M$78,HLOOKUP(AI41,'2) หลักการคำนวน Table'!$D$1:$M$5,5,TRUE),0),
IF($C41="SF WH",VLOOKUP($B41,'2) หลักการคำนวน Table'!$D$93:$M$108,HLOOKUP(AI41,'2) หลักการคำนวน Table'!$D$1:$M$5,5,TRUE),0))))),0)</f>
        <v>540</v>
      </c>
      <c r="BH41" s="167">
        <f>IFERROR(IF($C41="Top WS",VLOOKUP($B41,'2) หลักการคำนวน Table'!$D$5:$M$20,HLOOKUP(AP41,'2) หลักการคำนวน Table'!$D$1:$M$5,5,TRUE),0),
IF($C41="WS SF",VLOOKUP($B41,'2) หลักการคำนวน Table'!$D$33:$M$48,HLOOKUP(AP41,'2) หลักการคำนวน Table'!$D$1:$M$5,5,TRUE),0),
IF($C41="WS WH",VLOOKUP($B41,'2) หลักการคำนวน Table'!$D$63:$M$78,HLOOKUP(AP41,'2) หลักการคำนวน Table'!$D$1:$M$5,5,TRUE),0),
IF($C41="SF WH",VLOOKUP($B41,'2) หลักการคำนวน Table'!$D$93:$M$108,HLOOKUP(AP41,'2) หลักการคำนวน Table'!$D$1:$M$5,5,TRUE),0))))),0)</f>
        <v>540</v>
      </c>
      <c r="BI41" s="167">
        <f>IFERROR(IF($C41="Top WS",VLOOKUP($B41,'2) หลักการคำนวน Table'!$D$5:$M$20,HLOOKUP(AK41,'2) หลักการคำนวน Table'!$D$1:$M$5,5,TRUE),0),
IF($C41="WS SF",VLOOKUP($B41,'2) หลักการคำนวน Table'!$D$33:$M$48,HLOOKUP(AK41,'2) หลักการคำนวน Table'!$D$1:$M$5,5,TRUE),0),
IF($C41="WS WH",VLOOKUP($B41,'2) หลักการคำนวน Table'!$D$63:$M$78,HLOOKUP(AK41,'2) หลักการคำนวน Table'!$D$1:$M$5,5,TRUE),0),
IF($C41="SF WH",VLOOKUP($B41,'2) หลักการคำนวน Table'!$D$93:$M$108,HLOOKUP(AK41,'2) หลักการคำนวน Table'!$D$1:$M$5,5,TRUE),0))))),0)</f>
        <v>540</v>
      </c>
      <c r="BJ41" s="167">
        <f>IFERROR(IF($C41="Top WS",VLOOKUP($B41,'2) หลักการคำนวน Table'!$D$5:$M$20,HLOOKUP(AL41,'2) หลักการคำนวน Table'!$D$1:$M$5,5,TRUE),0),
IF($C41="WS SF",VLOOKUP($B41,'2) หลักการคำนวน Table'!$D$33:$M$48,HLOOKUP(AL41,'2) หลักการคำนวน Table'!$D$1:$M$5,5,TRUE),0),
IF($C41="WS WH",VLOOKUP($B41,'2) หลักการคำนวน Table'!$D$63:$M$78,HLOOKUP(AL41,'2) หลักการคำนวน Table'!$D$1:$M$5,5,TRUE),0),
IF($C41="SF WH",VLOOKUP($B41,'2) หลักการคำนวน Table'!$D$93:$M$108,HLOOKUP(AL41,'2) หลักการคำนวน Table'!$D$1:$M$5,5,TRUE),0))))),0)</f>
        <v>540</v>
      </c>
      <c r="BK41" s="167">
        <f>IFERROR(IF($C41="Top WS",VLOOKUP($B41,'2) หลักการคำนวน Table'!$D$5:$M$20,HLOOKUP(AM41,'2) หลักการคำนวน Table'!$D$1:$M$5,5,TRUE),0),
IF($C41="WS SF",VLOOKUP($B41,'2) หลักการคำนวน Table'!$D$33:$M$48,HLOOKUP(AM41,'2) หลักการคำนวน Table'!$D$1:$M$5,5,TRUE),0),
IF($C41="WS WH",VLOOKUP($B41,'2) หลักการคำนวน Table'!$D$63:$M$78,HLOOKUP(AM41,'2) หลักการคำนวน Table'!$D$1:$M$5,5,TRUE),0),
IF($C41="SF WH",VLOOKUP($B41,'2) หลักการคำนวน Table'!$D$93:$M$108,HLOOKUP(AM41,'2) หลักการคำนวน Table'!$D$1:$M$5,5,TRUE),0))))),0)</f>
        <v>540</v>
      </c>
      <c r="BM41" s="119">
        <f>VLOOKUP(VLOOKUP(A41,ASTBase!E:S,13,FALSE),ASTBase!F:P,11,FALSE)</f>
        <v>120000</v>
      </c>
      <c r="BN41" s="196" cm="1">
        <f t="array" ref="BN41">INDEX(AN41:AY41,,Period!$D$2)</f>
        <v>1</v>
      </c>
    </row>
    <row r="42" spans="1:66" x14ac:dyDescent="0.25">
      <c r="A42" s="117">
        <v>120002</v>
      </c>
      <c r="B42" s="117" t="s">
        <v>395</v>
      </c>
      <c r="C42" s="117" t="s">
        <v>178</v>
      </c>
      <c r="D42" s="118">
        <v>8580</v>
      </c>
      <c r="E42" s="118">
        <v>9383</v>
      </c>
      <c r="F42" s="118">
        <v>10309</v>
      </c>
      <c r="G42" s="118">
        <v>11761</v>
      </c>
      <c r="H42" s="118">
        <v>9663</v>
      </c>
      <c r="I42" s="118">
        <v>8441</v>
      </c>
      <c r="J42" s="118">
        <v>12065</v>
      </c>
      <c r="K42" s="118">
        <v>12636</v>
      </c>
      <c r="L42" s="118">
        <v>10173</v>
      </c>
      <c r="M42" s="118">
        <v>10795</v>
      </c>
      <c r="N42" s="118">
        <v>9099</v>
      </c>
      <c r="O42" s="118">
        <v>9100</v>
      </c>
      <c r="P42" s="117">
        <f>SUMIFS(Actual!C:C,Actual!$A:$A,'3)Target &amp; Cal'!$A42,Actual!$B:$B,'3)Target &amp; Cal'!$B42)</f>
        <v>8467.2000000000007</v>
      </c>
      <c r="Q42" s="117">
        <f>SUMIFS(Actual!D:D,Actual!$A:$A,'3)Target &amp; Cal'!$A42,Actual!$B:$B,'3)Target &amp; Cal'!$B42)</f>
        <v>8124.4799999999987</v>
      </c>
      <c r="R42" s="117">
        <f>SUMIFS(Actual!E:E,Actual!$A:$A,'3)Target &amp; Cal'!$A42,Actual!$B:$B,'3)Target &amp; Cal'!$B42)</f>
        <v>0</v>
      </c>
      <c r="S42" s="117">
        <f>SUMIFS(Actual!F:F,Actual!$A:$A,'3)Target &amp; Cal'!$A42,Actual!$B:$B,'3)Target &amp; Cal'!$B42)</f>
        <v>0</v>
      </c>
      <c r="T42" s="117">
        <f>SUMIFS(Actual!G:G,Actual!$A:$A,'3)Target &amp; Cal'!$A42,Actual!$B:$B,'3)Target &amp; Cal'!$B42)</f>
        <v>0</v>
      </c>
      <c r="U42" s="117">
        <f>SUMIFS(Actual!H:H,Actual!$A:$A,'3)Target &amp; Cal'!$A42,Actual!$B:$B,'3)Target &amp; Cal'!$B42)</f>
        <v>0</v>
      </c>
      <c r="V42" s="117">
        <f>SUMIFS(Actual!I:I,Actual!$A:$A,'3)Target &amp; Cal'!$A42,Actual!$B:$B,'3)Target &amp; Cal'!$B42)</f>
        <v>0</v>
      </c>
      <c r="W42" s="117">
        <f>SUMIFS(Actual!J:J,Actual!$A:$A,'3)Target &amp; Cal'!$A42,Actual!$B:$B,'3)Target &amp; Cal'!$B42)</f>
        <v>0</v>
      </c>
      <c r="X42" s="117">
        <f>SUMIFS(Actual!K:K,Actual!$A:$A,'3)Target &amp; Cal'!$A42,Actual!$B:$B,'3)Target &amp; Cal'!$B42)</f>
        <v>0</v>
      </c>
      <c r="Y42" s="117">
        <f>SUMIFS(Actual!L:L,Actual!$A:$A,'3)Target &amp; Cal'!$A42,Actual!$B:$B,'3)Target &amp; Cal'!$B42)</f>
        <v>0</v>
      </c>
      <c r="Z42" s="117">
        <f>SUMIFS(Actual!M:M,Actual!$A:$A,'3)Target &amp; Cal'!$A42,Actual!$B:$B,'3)Target &amp; Cal'!$B42)</f>
        <v>0</v>
      </c>
      <c r="AA42" s="117">
        <f>SUMIFS(Actual!N:N,Actual!$A:$A,'3)Target &amp; Cal'!$A42,Actual!$B:$B,'3)Target &amp; Cal'!$B42)</f>
        <v>0</v>
      </c>
      <c r="AB42" s="123">
        <f>IFERROR(IF(VLOOKUP($B42,Shortage!$A:$M,AB$2,FALSE)="Shortage",1,IFERROR(ROUND(P42/D42,4),0)),IFERROR(ROUND(P42/D42,4),0))</f>
        <v>0.9869</v>
      </c>
      <c r="AC42" s="123">
        <f>IFERROR(IF(VLOOKUP($B42,Shortage!$A:$M,AC$2,FALSE)="Shortage",1,IFERROR(ROUND(Q42/E42,4),0)),IFERROR(ROUND(Q42/E42,4),0))</f>
        <v>0.8659</v>
      </c>
      <c r="AD42" s="123">
        <f>IFERROR(IF(VLOOKUP($B42,Shortage!$A:$M,AD$2,FALSE)="Shortage",1,IFERROR(ROUND(R42/F42,4),0)),IFERROR(ROUND(R42/F42,4),0))</f>
        <v>0</v>
      </c>
      <c r="AE42" s="123">
        <f>IFERROR(IF(VLOOKUP($B42,Shortage!$A:$M,AE$2,FALSE)="Shortage",1,IFERROR(ROUND(S42/G42,4),0)),IFERROR(ROUND(S42/G42,4),0))</f>
        <v>0</v>
      </c>
      <c r="AF42" s="123">
        <f>IFERROR(IF(VLOOKUP($B42,Shortage!$A:$M,AF$2,FALSE)="Shortage",1,IFERROR(ROUND(T42/H42,4),0)),IFERROR(ROUND(T42/H42,4),0))</f>
        <v>0</v>
      </c>
      <c r="AG42" s="123">
        <f>IFERROR(IF(VLOOKUP($B42,Shortage!$A:$M,AG$2,FALSE)="Shortage",1,IFERROR(ROUND(U42/I42,4),0)),IFERROR(ROUND(U42/I42,4),0))</f>
        <v>0</v>
      </c>
      <c r="AH42" s="123">
        <f>IFERROR(IF(VLOOKUP($B42,Shortage!$A:$M,AH$2,FALSE)="Shortage",1,IFERROR(ROUND(V42/J42,4),0)),IFERROR(ROUND(V42/J42,4),0))</f>
        <v>0</v>
      </c>
      <c r="AI42" s="123">
        <f>IFERROR(IF(VLOOKUP($B42,Shortage!$A:$M,AI$2,FALSE)="Shortage",1,IFERROR(ROUND(W42/K42,4),0)),IFERROR(ROUND(W42/K42,4),0))</f>
        <v>0</v>
      </c>
      <c r="AJ42" s="123">
        <f>IFERROR(IF(VLOOKUP($B42,Shortage!$A:$M,AP$2,FALSE)="Shortage",1,IFERROR(ROUND(X42/L42,4),0)),IFERROR(ROUND(X42/L42,4),0))</f>
        <v>0</v>
      </c>
      <c r="AK42" s="123">
        <f>IFERROR(IF(VLOOKUP($B42,Shortage!$A:$M,AK$2,FALSE)="Shortage",1,IFERROR(ROUND(Y42/M42,4),0)),IFERROR(ROUND(Y42/M42,4),0))</f>
        <v>0</v>
      </c>
      <c r="AL42" s="123">
        <f>IFERROR(IF(VLOOKUP($B42,Shortage!$A:$M,AL$2,FALSE)="Shortage",1,IFERROR(ROUND(Z42/N42,4),0)),IFERROR(ROUND(Z42/N42,4),0))</f>
        <v>0</v>
      </c>
      <c r="AM42" s="123">
        <f>IFERROR(IF(VLOOKUP($B42,Shortage!$A:$M,AM$2,FALSE)="Shortage",1,IFERROR(ROUND(AA42/O42,4),0)),IFERROR(ROUND(AA42/O42,4),0))</f>
        <v>0</v>
      </c>
      <c r="AN42" s="232">
        <f>IFERROR(IF($C42="Top WS",VLOOKUP("GOAL",'2) หลักการคำนวน Table'!$D$4:$M$4,HLOOKUP(AB42,'2) หลักการคำนวน Table'!$D$1:$M$5,5,TRUE),0),
IF($C42="WS SF",VLOOKUP("GOAL",'2) หลักการคำนวน Table'!$D$32:$M$32,HLOOKUP(AB42,'2) หลักการคำนวน Table'!$D$1:$M$5,5,TRUE),0),
IF($C42="WS WH",VLOOKUP("GOAL",'2) หลักการคำนวน Table'!$D$62:$M$62,HLOOKUP(AB42,'2) หลักการคำนวน Table'!$D$1:$M$5,5,TRUE),0),
IF($C42="SF WH",VLOOKUP("GOAL",'2) หลักการคำนวน Table'!$D$92:$M$92,HLOOKUP(AB42,'2) หลักการคำนวน Table'!$D$1:$M$5,5,TRUE),0))))),0)</f>
        <v>1</v>
      </c>
      <c r="AO42" s="232">
        <f>IFERROR(IF($C42="Top WS",VLOOKUP("GOAL",'2) หลักการคำนวน Table'!$D$4:$M$4,HLOOKUP(AC42,'2) หลักการคำนวน Table'!$D$1:$M$5,5,TRUE),0),
IF($C42="WS SF",VLOOKUP("GOAL",'2) หลักการคำนวน Table'!$D$32:$M$32,HLOOKUP(AC42,'2) หลักการคำนวน Table'!$D$1:$M$5,5,TRUE),0),
IF($C42="WS WH",VLOOKUP("GOAL",'2) หลักการคำนวน Table'!$D$62:$M$62,HLOOKUP(AC42,'2) หลักการคำนวน Table'!$D$1:$M$5,5,TRUE),0),
IF($C42="SF WH",VLOOKUP("GOAL",'2) หลักการคำนวน Table'!$D$92:$M$92,HLOOKUP(AC42,'2) หลักการคำนวน Table'!$D$1:$M$5,5,TRUE),0))))),0)</f>
        <v>0.9</v>
      </c>
      <c r="AP42" s="232">
        <f>IFERROR(IF($C42="Top WS",VLOOKUP("GOAL",'2) หลักการคำนวน Table'!$D$4:$M$4,HLOOKUP(AD42,'2) หลักการคำนวน Table'!$D$1:$M$5,5,TRUE),0),
IF($C42="WS SF",VLOOKUP("GOAL",'2) หลักการคำนวน Table'!$D$32:$M$32,HLOOKUP(AD42,'2) หลักการคำนวน Table'!$D$1:$M$5,5,TRUE),0),
IF($C42="WS WH",VLOOKUP("GOAL",'2) หลักการคำนวน Table'!$D$62:$M$62,HLOOKUP(AD42,'2) หลักการคำนวน Table'!$D$1:$M$5,5,TRUE),0),
IF($C42="SF WH",VLOOKUP("GOAL",'2) หลักการคำนวน Table'!$D$92:$M$92,HLOOKUP(AD42,'2) หลักการคำนวน Table'!$D$1:$M$5,5,TRUE),0))))),0)</f>
        <v>0.9</v>
      </c>
      <c r="AQ42" s="232">
        <f>IFERROR(IF($C42="Top WS",VLOOKUP("GOAL",'2) หลักการคำนวน Table'!$D$4:$M$4,HLOOKUP(AE42,'2) หลักการคำนวน Table'!$D$1:$M$5,5,TRUE),0),
IF($C42="WS SF",VLOOKUP("GOAL",'2) หลักการคำนวน Table'!$D$32:$M$32,HLOOKUP(AE42,'2) หลักการคำนวน Table'!$D$1:$M$5,5,TRUE),0),
IF($C42="WS WH",VLOOKUP("GOAL",'2) หลักการคำนวน Table'!$D$62:$M$62,HLOOKUP(AE42,'2) หลักการคำนวน Table'!$D$1:$M$5,5,TRUE),0),
IF($C42="SF WH",VLOOKUP("GOAL",'2) หลักการคำนวน Table'!$D$92:$M$92,HLOOKUP(AE42,'2) หลักการคำนวน Table'!$D$1:$M$5,5,TRUE),0))))),0)</f>
        <v>0.9</v>
      </c>
      <c r="AR42" s="232">
        <f>IFERROR(IF($C42="Top WS",VLOOKUP("GOAL",'2) หลักการคำนวน Table'!$D$4:$M$4,HLOOKUP(AF42,'2) หลักการคำนวน Table'!$D$1:$M$5,5,TRUE),0),
IF($C42="WS SF",VLOOKUP("GOAL",'2) หลักการคำนวน Table'!$D$32:$M$32,HLOOKUP(AF42,'2) หลักการคำนวน Table'!$D$1:$M$5,5,TRUE),0),
IF($C42="WS WH",VLOOKUP("GOAL",'2) หลักการคำนวน Table'!$D$62:$M$62,HLOOKUP(AF42,'2) หลักการคำนวน Table'!$D$1:$M$5,5,TRUE),0),
IF($C42="SF WH",VLOOKUP("GOAL",'2) หลักการคำนวน Table'!$D$92:$M$92,HLOOKUP(AF42,'2) หลักการคำนวน Table'!$D$1:$M$5,5,TRUE),0))))),0)</f>
        <v>0.9</v>
      </c>
      <c r="AS42" s="232">
        <f>IFERROR(IF($C42="Top WS",VLOOKUP("GOAL",'2) หลักการคำนวน Table'!$D$4:$M$4,HLOOKUP(AG42,'2) หลักการคำนวน Table'!$D$1:$M$5,5,TRUE),0),
IF($C42="WS SF",VLOOKUP("GOAL",'2) หลักการคำนวน Table'!$D$32:$M$32,HLOOKUP(AG42,'2) หลักการคำนวน Table'!$D$1:$M$5,5,TRUE),0),
IF($C42="WS WH",VLOOKUP("GOAL",'2) หลักการคำนวน Table'!$D$62:$M$62,HLOOKUP(AG42,'2) หลักการคำนวน Table'!$D$1:$M$5,5,TRUE),0),
IF($C42="SF WH",VLOOKUP("GOAL",'2) หลักการคำนวน Table'!$D$92:$M$92,HLOOKUP(AG42,'2) หลักการคำนวน Table'!$D$1:$M$5,5,TRUE),0))))),0)</f>
        <v>0.9</v>
      </c>
      <c r="AT42" s="232">
        <f>IFERROR(IF($C42="Top WS",VLOOKUP("GOAL",'2) หลักการคำนวน Table'!$D$4:$M$4,HLOOKUP(AH42,'2) หลักการคำนวน Table'!$D$1:$M$5,5,TRUE),0),
IF($C42="WS SF",VLOOKUP("GOAL",'2) หลักการคำนวน Table'!$D$32:$M$32,HLOOKUP(AH42,'2) หลักการคำนวน Table'!$D$1:$M$5,5,TRUE),0),
IF($C42="WS WH",VLOOKUP("GOAL",'2) หลักการคำนวน Table'!$D$62:$M$62,HLOOKUP(AH42,'2) หลักการคำนวน Table'!$D$1:$M$5,5,TRUE),0),
IF($C42="SF WH",VLOOKUP("GOAL",'2) หลักการคำนวน Table'!$D$92:$M$92,HLOOKUP(AH42,'2) หลักการคำนวน Table'!$D$1:$M$5,5,TRUE),0))))),0)</f>
        <v>0.9</v>
      </c>
      <c r="AU42" s="232">
        <f>IFERROR(IF($C42="Top WS",VLOOKUP("GOAL",'2) หลักการคำนวน Table'!$D$4:$M$4,HLOOKUP(AI42,'2) หลักการคำนวน Table'!$D$1:$M$5,5,TRUE),0),
IF($C42="WS SF",VLOOKUP("GOAL",'2) หลักการคำนวน Table'!$D$32:$M$32,HLOOKUP(AI42,'2) หลักการคำนวน Table'!$D$1:$M$5,5,TRUE),0),
IF($C42="WS WH",VLOOKUP("GOAL",'2) หลักการคำนวน Table'!$D$62:$M$62,HLOOKUP(AI42,'2) หลักการคำนวน Table'!$D$1:$M$5,5,TRUE),0),
IF($C42="SF WH",VLOOKUP("GOAL",'2) หลักการคำนวน Table'!$D$92:$M$92,HLOOKUP(AI42,'2) หลักการคำนวน Table'!$D$1:$M$5,5,TRUE),0))))),0)</f>
        <v>0.9</v>
      </c>
      <c r="AV42" s="232">
        <f>IFERROR(IF($C42="Top WS",VLOOKUP("GOAL",'2) หลักการคำนวน Table'!$D$4:$M$4,HLOOKUP(AP42,'2) หลักการคำนวน Table'!$D$1:$M$5,5,TRUE),0),
IF($C42="WS SF",VLOOKUP("GOAL",'2) หลักการคำนวน Table'!$D$32:$M$32,HLOOKUP(AP42,'2) หลักการคำนวน Table'!$D$1:$M$5,5,TRUE),0),
IF($C42="WS WH",VLOOKUP("GOAL",'2) หลักการคำนวน Table'!$D$62:$M$62,HLOOKUP(AP42,'2) หลักการคำนวน Table'!$D$1:$M$5,5,TRUE),0),
IF($C42="SF WH",VLOOKUP("GOAL",'2) หลักการคำนวน Table'!$D$92:$M$92,HLOOKUP(AP42,'2) หลักการคำนวน Table'!$D$1:$M$5,5,TRUE),0))))),0)</f>
        <v>0.9</v>
      </c>
      <c r="AW42" s="232">
        <f>IFERROR(IF($C42="Top WS",VLOOKUP("GOAL",'2) หลักการคำนวน Table'!$D$4:$M$4,HLOOKUP(AK42,'2) หลักการคำนวน Table'!$D$1:$M$5,5,TRUE),0),
IF($C42="WS SF",VLOOKUP("GOAL",'2) หลักการคำนวน Table'!$D$32:$M$32,HLOOKUP(AK42,'2) หลักการคำนวน Table'!$D$1:$M$5,5,TRUE),0),
IF($C42="WS WH",VLOOKUP("GOAL",'2) หลักการคำนวน Table'!$D$62:$M$62,HLOOKUP(AK42,'2) หลักการคำนวน Table'!$D$1:$M$5,5,TRUE),0),
IF($C42="SF WH",VLOOKUP("GOAL",'2) หลักการคำนวน Table'!$D$92:$M$92,HLOOKUP(AK42,'2) หลักการคำนวน Table'!$D$1:$M$5,5,TRUE),0))))),0)</f>
        <v>0.9</v>
      </c>
      <c r="AX42" s="232">
        <f>IFERROR(IF($C42="Top WS",VLOOKUP("GOAL",'2) หลักการคำนวน Table'!$D$4:$M$4,HLOOKUP(AL42,'2) หลักการคำนวน Table'!$D$1:$M$5,5,TRUE),0),
IF($C42="WS SF",VLOOKUP("GOAL",'2) หลักการคำนวน Table'!$D$32:$M$32,HLOOKUP(AL42,'2) หลักการคำนวน Table'!$D$1:$M$5,5,TRUE),0),
IF($C42="WS WH",VLOOKUP("GOAL",'2) หลักการคำนวน Table'!$D$62:$M$62,HLOOKUP(AL42,'2) หลักการคำนวน Table'!$D$1:$M$5,5,TRUE),0),
IF($C42="SF WH",VLOOKUP("GOAL",'2) หลักการคำนวน Table'!$D$92:$M$92,HLOOKUP(AL42,'2) หลักการคำนวน Table'!$D$1:$M$5,5,TRUE),0))))),0)</f>
        <v>0.9</v>
      </c>
      <c r="AY42" s="232">
        <f>IFERROR(IF($C42="Top WS",VLOOKUP("GOAL",'2) หลักการคำนวน Table'!$D$4:$M$4,HLOOKUP(AM42,'2) หลักการคำนวน Table'!$D$1:$M$5,5,TRUE),0),
IF($C42="WS SF",VLOOKUP("GOAL",'2) หลักการคำนวน Table'!$D$32:$M$32,HLOOKUP(AM42,'2) หลักการคำนวน Table'!$D$1:$M$5,5,TRUE),0),
IF($C42="WS WH",VLOOKUP("GOAL",'2) หลักการคำนวน Table'!$D$62:$M$62,HLOOKUP(AM42,'2) หลักการคำนวน Table'!$D$1:$M$5,5,TRUE),0),
IF($C42="SF WH",VLOOKUP("GOAL",'2) หลักการคำนวน Table'!$D$92:$M$92,HLOOKUP(AM42,'2) หลักการคำนวน Table'!$D$1:$M$5,5,TRUE),0))))),0)</f>
        <v>0.9</v>
      </c>
      <c r="AZ42" s="167">
        <f>IFERROR(IF($C42="Top WS",VLOOKUP($B42,'2) หลักการคำนวน Table'!$D$5:$M$20,HLOOKUP(AB42,'2) หลักการคำนวน Table'!$D$1:$M$5,5,TRUE),0),
IF($C42="WS SF",VLOOKUP($B42,'2) หลักการคำนวน Table'!$D$33:$M$48,HLOOKUP(AB42,'2) หลักการคำนวน Table'!$D$1:$M$5,5,TRUE),0),
IF($C42="WS WH",VLOOKUP($B42,'2) หลักการคำนวน Table'!$D$63:$M$78,HLOOKUP(AB42,'2) หลักการคำนวน Table'!$D$1:$M$5,5,TRUE),0),
IF($C42="SF WH",VLOOKUP($B42,'2) หลักการคำนวน Table'!$D$93:$M$108,HLOOKUP(AB42,'2) หลักการคำนวน Table'!$D$1:$M$5,5,TRUE),0))))),0)</f>
        <v>200</v>
      </c>
      <c r="BA42" s="167">
        <f>IFERROR(IF($C42="Top WS",VLOOKUP($B42,'2) หลักการคำนวน Table'!$D$5:$M$20,HLOOKUP(AC42,'2) หลักการคำนวน Table'!$D$1:$M$5,5,TRUE),0),
IF($C42="WS SF",VLOOKUP($B42,'2) หลักการคำนวน Table'!$D$33:$M$48,HLOOKUP(AC42,'2) หลักการคำนวน Table'!$D$1:$M$5,5,TRUE),0),
IF($C42="WS WH",VLOOKUP($B42,'2) หลักการคำนวน Table'!$D$63:$M$78,HLOOKUP(AC42,'2) หลักการคำนวน Table'!$D$1:$M$5,5,TRUE),0),
IF($C42="SF WH",VLOOKUP($B42,'2) หลักการคำนวน Table'!$D$93:$M$108,HLOOKUP(AC42,'2) หลักการคำนวน Table'!$D$1:$M$5,5,TRUE),0))))),0)</f>
        <v>180</v>
      </c>
      <c r="BB42" s="167">
        <f>IFERROR(IF($C42="Top WS",VLOOKUP($B42,'2) หลักการคำนวน Table'!$D$5:$M$20,HLOOKUP(AD42,'2) หลักการคำนวน Table'!$D$1:$M$5,5,TRUE),0),
IF($C42="WS SF",VLOOKUP($B42,'2) หลักการคำนวน Table'!$D$33:$M$48,HLOOKUP(AD42,'2) หลักการคำนวน Table'!$D$1:$M$5,5,TRUE),0),
IF($C42="WS WH",VLOOKUP($B42,'2) หลักการคำนวน Table'!$D$63:$M$78,HLOOKUP(AD42,'2) หลักการคำนวน Table'!$D$1:$M$5,5,TRUE),0),
IF($C42="SF WH",VLOOKUP($B42,'2) หลักการคำนวน Table'!$D$93:$M$108,HLOOKUP(AD42,'2) หลักการคำนวน Table'!$D$1:$M$5,5,TRUE),0))))),0)</f>
        <v>180</v>
      </c>
      <c r="BC42" s="167">
        <f>IFERROR(IF($C42="Top WS",VLOOKUP($B42,'2) หลักการคำนวน Table'!$D$5:$M$20,HLOOKUP(AE42,'2) หลักการคำนวน Table'!$D$1:$M$5,5,TRUE),0),
IF($C42="WS SF",VLOOKUP($B42,'2) หลักการคำนวน Table'!$D$33:$M$48,HLOOKUP(AE42,'2) หลักการคำนวน Table'!$D$1:$M$5,5,TRUE),0),
IF($C42="WS WH",VLOOKUP($B42,'2) หลักการคำนวน Table'!$D$63:$M$78,HLOOKUP(AE42,'2) หลักการคำนวน Table'!$D$1:$M$5,5,TRUE),0),
IF($C42="SF WH",VLOOKUP($B42,'2) หลักการคำนวน Table'!$D$93:$M$108,HLOOKUP(AE42,'2) หลักการคำนวน Table'!$D$1:$M$5,5,TRUE),0))))),0)</f>
        <v>180</v>
      </c>
      <c r="BD42" s="167">
        <f>IFERROR(IF($C42="Top WS",VLOOKUP($B42,'2) หลักการคำนวน Table'!$D$5:$M$20,HLOOKUP(AF42,'2) หลักการคำนวน Table'!$D$1:$M$5,5,TRUE),0),
IF($C42="WS SF",VLOOKUP($B42,'2) หลักการคำนวน Table'!$D$33:$M$48,HLOOKUP(AF42,'2) หลักการคำนวน Table'!$D$1:$M$5,5,TRUE),0),
IF($C42="WS WH",VLOOKUP($B42,'2) หลักการคำนวน Table'!$D$63:$M$78,HLOOKUP(AF42,'2) หลักการคำนวน Table'!$D$1:$M$5,5,TRUE),0),
IF($C42="SF WH",VLOOKUP($B42,'2) หลักการคำนวน Table'!$D$93:$M$108,HLOOKUP(AF42,'2) หลักการคำนวน Table'!$D$1:$M$5,5,TRUE),0))))),0)</f>
        <v>180</v>
      </c>
      <c r="BE42" s="167">
        <f>IFERROR(IF($C42="Top WS",VLOOKUP($B42,'2) หลักการคำนวน Table'!$D$5:$M$20,HLOOKUP(AG42,'2) หลักการคำนวน Table'!$D$1:$M$5,5,TRUE),0),
IF($C42="WS SF",VLOOKUP($B42,'2) หลักการคำนวน Table'!$D$33:$M$48,HLOOKUP(AG42,'2) หลักการคำนวน Table'!$D$1:$M$5,5,TRUE),0),
IF($C42="WS WH",VLOOKUP($B42,'2) หลักการคำนวน Table'!$D$63:$M$78,HLOOKUP(AG42,'2) หลักการคำนวน Table'!$D$1:$M$5,5,TRUE),0),
IF($C42="SF WH",VLOOKUP($B42,'2) หลักการคำนวน Table'!$D$93:$M$108,HLOOKUP(AG42,'2) หลักการคำนวน Table'!$D$1:$M$5,5,TRUE),0))))),0)</f>
        <v>180</v>
      </c>
      <c r="BF42" s="167">
        <f>IFERROR(IF($C42="Top WS",VLOOKUP($B42,'2) หลักการคำนวน Table'!$D$5:$M$20,HLOOKUP(AH42,'2) หลักการคำนวน Table'!$D$1:$M$5,5,TRUE),0),
IF($C42="WS SF",VLOOKUP($B42,'2) หลักการคำนวน Table'!$D$33:$M$48,HLOOKUP(AH42,'2) หลักการคำนวน Table'!$D$1:$M$5,5,TRUE),0),
IF($C42="WS WH",VLOOKUP($B42,'2) หลักการคำนวน Table'!$D$63:$M$78,HLOOKUP(AH42,'2) หลักการคำนวน Table'!$D$1:$M$5,5,TRUE),0),
IF($C42="SF WH",VLOOKUP($B42,'2) หลักการคำนวน Table'!$D$93:$M$108,HLOOKUP(AH42,'2) หลักการคำนวน Table'!$D$1:$M$5,5,TRUE),0))))),0)</f>
        <v>180</v>
      </c>
      <c r="BG42" s="167">
        <f>IFERROR(IF($C42="Top WS",VLOOKUP($B42,'2) หลักการคำนวน Table'!$D$5:$M$20,HLOOKUP(AI42,'2) หลักการคำนวน Table'!$D$1:$M$5,5,TRUE),0),
IF($C42="WS SF",VLOOKUP($B42,'2) หลักการคำนวน Table'!$D$33:$M$48,HLOOKUP(AI42,'2) หลักการคำนวน Table'!$D$1:$M$5,5,TRUE),0),
IF($C42="WS WH",VLOOKUP($B42,'2) หลักการคำนวน Table'!$D$63:$M$78,HLOOKUP(AI42,'2) หลักการคำนวน Table'!$D$1:$M$5,5,TRUE),0),
IF($C42="SF WH",VLOOKUP($B42,'2) หลักการคำนวน Table'!$D$93:$M$108,HLOOKUP(AI42,'2) หลักการคำนวน Table'!$D$1:$M$5,5,TRUE),0))))),0)</f>
        <v>180</v>
      </c>
      <c r="BH42" s="167">
        <f>IFERROR(IF($C42="Top WS",VLOOKUP($B42,'2) หลักการคำนวน Table'!$D$5:$M$20,HLOOKUP(AP42,'2) หลักการคำนวน Table'!$D$1:$M$5,5,TRUE),0),
IF($C42="WS SF",VLOOKUP($B42,'2) หลักการคำนวน Table'!$D$33:$M$48,HLOOKUP(AP42,'2) หลักการคำนวน Table'!$D$1:$M$5,5,TRUE),0),
IF($C42="WS WH",VLOOKUP($B42,'2) หลักการคำนวน Table'!$D$63:$M$78,HLOOKUP(AP42,'2) หลักการคำนวน Table'!$D$1:$M$5,5,TRUE),0),
IF($C42="SF WH",VLOOKUP($B42,'2) หลักการคำนวน Table'!$D$93:$M$108,HLOOKUP(AP42,'2) หลักการคำนวน Table'!$D$1:$M$5,5,TRUE),0))))),0)</f>
        <v>180</v>
      </c>
      <c r="BI42" s="167">
        <f>IFERROR(IF($C42="Top WS",VLOOKUP($B42,'2) หลักการคำนวน Table'!$D$5:$M$20,HLOOKUP(AK42,'2) หลักการคำนวน Table'!$D$1:$M$5,5,TRUE),0),
IF($C42="WS SF",VLOOKUP($B42,'2) หลักการคำนวน Table'!$D$33:$M$48,HLOOKUP(AK42,'2) หลักการคำนวน Table'!$D$1:$M$5,5,TRUE),0),
IF($C42="WS WH",VLOOKUP($B42,'2) หลักการคำนวน Table'!$D$63:$M$78,HLOOKUP(AK42,'2) หลักการคำนวน Table'!$D$1:$M$5,5,TRUE),0),
IF($C42="SF WH",VLOOKUP($B42,'2) หลักการคำนวน Table'!$D$93:$M$108,HLOOKUP(AK42,'2) หลักการคำนวน Table'!$D$1:$M$5,5,TRUE),0))))),0)</f>
        <v>180</v>
      </c>
      <c r="BJ42" s="167">
        <f>IFERROR(IF($C42="Top WS",VLOOKUP($B42,'2) หลักการคำนวน Table'!$D$5:$M$20,HLOOKUP(AL42,'2) หลักการคำนวน Table'!$D$1:$M$5,5,TRUE),0),
IF($C42="WS SF",VLOOKUP($B42,'2) หลักการคำนวน Table'!$D$33:$M$48,HLOOKUP(AL42,'2) หลักการคำนวน Table'!$D$1:$M$5,5,TRUE),0),
IF($C42="WS WH",VLOOKUP($B42,'2) หลักการคำนวน Table'!$D$63:$M$78,HLOOKUP(AL42,'2) หลักการคำนวน Table'!$D$1:$M$5,5,TRUE),0),
IF($C42="SF WH",VLOOKUP($B42,'2) หลักการคำนวน Table'!$D$93:$M$108,HLOOKUP(AL42,'2) หลักการคำนวน Table'!$D$1:$M$5,5,TRUE),0))))),0)</f>
        <v>180</v>
      </c>
      <c r="BK42" s="167">
        <f>IFERROR(IF($C42="Top WS",VLOOKUP($B42,'2) หลักการคำนวน Table'!$D$5:$M$20,HLOOKUP(AM42,'2) หลักการคำนวน Table'!$D$1:$M$5,5,TRUE),0),
IF($C42="WS SF",VLOOKUP($B42,'2) หลักการคำนวน Table'!$D$33:$M$48,HLOOKUP(AM42,'2) หลักการคำนวน Table'!$D$1:$M$5,5,TRUE),0),
IF($C42="WS WH",VLOOKUP($B42,'2) หลักการคำนวน Table'!$D$63:$M$78,HLOOKUP(AM42,'2) หลักการคำนวน Table'!$D$1:$M$5,5,TRUE),0),
IF($C42="SF WH",VLOOKUP($B42,'2) หลักการคำนวน Table'!$D$93:$M$108,HLOOKUP(AM42,'2) หลักการคำนวน Table'!$D$1:$M$5,5,TRUE),0))))),0)</f>
        <v>180</v>
      </c>
      <c r="BM42" s="119">
        <f>VLOOKUP(VLOOKUP(A42,ASTBase!E:S,13,FALSE),ASTBase!F:P,11,FALSE)</f>
        <v>120000</v>
      </c>
      <c r="BN42" s="196" cm="1">
        <f t="array" ref="BN42">INDEX(AN42:AY42,,Period!$D$2)</f>
        <v>0.9</v>
      </c>
    </row>
    <row r="43" spans="1:66" x14ac:dyDescent="0.25">
      <c r="A43" s="117">
        <v>120002</v>
      </c>
      <c r="B43" s="117" t="s">
        <v>402</v>
      </c>
      <c r="C43" s="117" t="s">
        <v>178</v>
      </c>
      <c r="D43" s="118">
        <v>444</v>
      </c>
      <c r="E43" s="118">
        <v>502</v>
      </c>
      <c r="F43" s="118">
        <v>409</v>
      </c>
      <c r="G43" s="118">
        <v>434</v>
      </c>
      <c r="H43" s="118">
        <v>441</v>
      </c>
      <c r="I43" s="118">
        <v>454</v>
      </c>
      <c r="J43" s="118">
        <v>510</v>
      </c>
      <c r="K43" s="118">
        <v>760</v>
      </c>
      <c r="L43" s="118">
        <v>498</v>
      </c>
      <c r="M43" s="118">
        <v>453</v>
      </c>
      <c r="N43" s="118">
        <v>572</v>
      </c>
      <c r="O43" s="118">
        <v>572</v>
      </c>
      <c r="P43" s="117">
        <f>SUMIFS(Actual!C:C,Actual!$A:$A,'3)Target &amp; Cal'!$A43,Actual!$B:$B,'3)Target &amp; Cal'!$B43)</f>
        <v>392.20000000000005</v>
      </c>
      <c r="Q43" s="117">
        <f>SUMIFS(Actual!D:D,Actual!$A:$A,'3)Target &amp; Cal'!$A43,Actual!$B:$B,'3)Target &amp; Cal'!$B43)</f>
        <v>562.79999999999995</v>
      </c>
      <c r="R43" s="117">
        <f>SUMIFS(Actual!E:E,Actual!$A:$A,'3)Target &amp; Cal'!$A43,Actual!$B:$B,'3)Target &amp; Cal'!$B43)</f>
        <v>0</v>
      </c>
      <c r="S43" s="117">
        <f>SUMIFS(Actual!F:F,Actual!$A:$A,'3)Target &amp; Cal'!$A43,Actual!$B:$B,'3)Target &amp; Cal'!$B43)</f>
        <v>0</v>
      </c>
      <c r="T43" s="117">
        <f>SUMIFS(Actual!G:G,Actual!$A:$A,'3)Target &amp; Cal'!$A43,Actual!$B:$B,'3)Target &amp; Cal'!$B43)</f>
        <v>0</v>
      </c>
      <c r="U43" s="117">
        <f>SUMIFS(Actual!H:H,Actual!$A:$A,'3)Target &amp; Cal'!$A43,Actual!$B:$B,'3)Target &amp; Cal'!$B43)</f>
        <v>0</v>
      </c>
      <c r="V43" s="117">
        <f>SUMIFS(Actual!I:I,Actual!$A:$A,'3)Target &amp; Cal'!$A43,Actual!$B:$B,'3)Target &amp; Cal'!$B43)</f>
        <v>0</v>
      </c>
      <c r="W43" s="117">
        <f>SUMIFS(Actual!J:J,Actual!$A:$A,'3)Target &amp; Cal'!$A43,Actual!$B:$B,'3)Target &amp; Cal'!$B43)</f>
        <v>0</v>
      </c>
      <c r="X43" s="117">
        <f>SUMIFS(Actual!K:K,Actual!$A:$A,'3)Target &amp; Cal'!$A43,Actual!$B:$B,'3)Target &amp; Cal'!$B43)</f>
        <v>0</v>
      </c>
      <c r="Y43" s="117">
        <f>SUMIFS(Actual!L:L,Actual!$A:$A,'3)Target &amp; Cal'!$A43,Actual!$B:$B,'3)Target &amp; Cal'!$B43)</f>
        <v>0</v>
      </c>
      <c r="Z43" s="117">
        <f>SUMIFS(Actual!M:M,Actual!$A:$A,'3)Target &amp; Cal'!$A43,Actual!$B:$B,'3)Target &amp; Cal'!$B43)</f>
        <v>0</v>
      </c>
      <c r="AA43" s="117">
        <f>SUMIFS(Actual!N:N,Actual!$A:$A,'3)Target &amp; Cal'!$A43,Actual!$B:$B,'3)Target &amp; Cal'!$B43)</f>
        <v>0</v>
      </c>
      <c r="AB43" s="123">
        <f>IFERROR(IF(VLOOKUP($B43,Shortage!$A:$M,AB$2,FALSE)="Shortage",1,IFERROR(ROUND(P43/D43,4),0)),IFERROR(ROUND(P43/D43,4),0))</f>
        <v>0.88329999999999997</v>
      </c>
      <c r="AC43" s="123">
        <f>IFERROR(IF(VLOOKUP($B43,Shortage!$A:$M,AC$2,FALSE)="Shortage",1,IFERROR(ROUND(Q43/E43,4),0)),IFERROR(ROUND(Q43/E43,4),0))</f>
        <v>1.1211</v>
      </c>
      <c r="AD43" s="123">
        <f>IFERROR(IF(VLOOKUP($B43,Shortage!$A:$M,AD$2,FALSE)="Shortage",1,IFERROR(ROUND(R43/F43,4),0)),IFERROR(ROUND(R43/F43,4),0))</f>
        <v>0</v>
      </c>
      <c r="AE43" s="123">
        <f>IFERROR(IF(VLOOKUP($B43,Shortage!$A:$M,AE$2,FALSE)="Shortage",1,IFERROR(ROUND(S43/G43,4),0)),IFERROR(ROUND(S43/G43,4),0))</f>
        <v>0</v>
      </c>
      <c r="AF43" s="123">
        <f>IFERROR(IF(VLOOKUP($B43,Shortage!$A:$M,AF$2,FALSE)="Shortage",1,IFERROR(ROUND(T43/H43,4),0)),IFERROR(ROUND(T43/H43,4),0))</f>
        <v>0</v>
      </c>
      <c r="AG43" s="123">
        <f>IFERROR(IF(VLOOKUP($B43,Shortage!$A:$M,AG$2,FALSE)="Shortage",1,IFERROR(ROUND(U43/I43,4),0)),IFERROR(ROUND(U43/I43,4),0))</f>
        <v>0</v>
      </c>
      <c r="AH43" s="123">
        <f>IFERROR(IF(VLOOKUP($B43,Shortage!$A:$M,AH$2,FALSE)="Shortage",1,IFERROR(ROUND(V43/J43,4),0)),IFERROR(ROUND(V43/J43,4),0))</f>
        <v>0</v>
      </c>
      <c r="AI43" s="123">
        <f>IFERROR(IF(VLOOKUP($B43,Shortage!$A:$M,AI$2,FALSE)="Shortage",1,IFERROR(ROUND(W43/K43,4),0)),IFERROR(ROUND(W43/K43,4),0))</f>
        <v>0</v>
      </c>
      <c r="AJ43" s="123">
        <f>IFERROR(IF(VLOOKUP($B43,Shortage!$A:$M,AP$2,FALSE)="Shortage",1,IFERROR(ROUND(X43/L43,4),0)),IFERROR(ROUND(X43/L43,4),0))</f>
        <v>0</v>
      </c>
      <c r="AK43" s="123">
        <f>IFERROR(IF(VLOOKUP($B43,Shortage!$A:$M,AK$2,FALSE)="Shortage",1,IFERROR(ROUND(Y43/M43,4),0)),IFERROR(ROUND(Y43/M43,4),0))</f>
        <v>0</v>
      </c>
      <c r="AL43" s="123">
        <f>IFERROR(IF(VLOOKUP($B43,Shortage!$A:$M,AL$2,FALSE)="Shortage",1,IFERROR(ROUND(Z43/N43,4),0)),IFERROR(ROUND(Z43/N43,4),0))</f>
        <v>0</v>
      </c>
      <c r="AM43" s="123">
        <f>IFERROR(IF(VLOOKUP($B43,Shortage!$A:$M,AM$2,FALSE)="Shortage",1,IFERROR(ROUND(AA43/O43,4),0)),IFERROR(ROUND(AA43/O43,4),0))</f>
        <v>0</v>
      </c>
      <c r="AN43" s="232">
        <f>IFERROR(IF($C43="Top WS",VLOOKUP("GOAL",'2) หลักการคำนวน Table'!$D$4:$M$4,HLOOKUP(AB43,'2) หลักการคำนวน Table'!$D$1:$M$5,5,TRUE),0),
IF($C43="WS SF",VLOOKUP("GOAL",'2) หลักการคำนวน Table'!$D$32:$M$32,HLOOKUP(AB43,'2) หลักการคำนวน Table'!$D$1:$M$5,5,TRUE),0),
IF($C43="WS WH",VLOOKUP("GOAL",'2) หลักการคำนวน Table'!$D$62:$M$62,HLOOKUP(AB43,'2) หลักการคำนวน Table'!$D$1:$M$5,5,TRUE),0),
IF($C43="SF WH",VLOOKUP("GOAL",'2) หลักการคำนวน Table'!$D$92:$M$92,HLOOKUP(AB43,'2) หลักการคำนวน Table'!$D$1:$M$5,5,TRUE),0))))),0)</f>
        <v>0.9</v>
      </c>
      <c r="AO43" s="232">
        <f>IFERROR(IF($C43="Top WS",VLOOKUP("GOAL",'2) หลักการคำนวน Table'!$D$4:$M$4,HLOOKUP(AC43,'2) หลักการคำนวน Table'!$D$1:$M$5,5,TRUE),0),
IF($C43="WS SF",VLOOKUP("GOAL",'2) หลักการคำนวน Table'!$D$32:$M$32,HLOOKUP(AC43,'2) หลักการคำนวน Table'!$D$1:$M$5,5,TRUE),0),
IF($C43="WS WH",VLOOKUP("GOAL",'2) หลักการคำนวน Table'!$D$62:$M$62,HLOOKUP(AC43,'2) หลักการคำนวน Table'!$D$1:$M$5,5,TRUE),0),
IF($C43="SF WH",VLOOKUP("GOAL",'2) หลักการคำนวน Table'!$D$92:$M$92,HLOOKUP(AC43,'2) หลักการคำนวน Table'!$D$1:$M$5,5,TRUE),0))))),0)</f>
        <v>1.1499999999999999</v>
      </c>
      <c r="AP43" s="232">
        <f>IFERROR(IF($C43="Top WS",VLOOKUP("GOAL",'2) หลักการคำนวน Table'!$D$4:$M$4,HLOOKUP(AD43,'2) หลักการคำนวน Table'!$D$1:$M$5,5,TRUE),0),
IF($C43="WS SF",VLOOKUP("GOAL",'2) หลักการคำนวน Table'!$D$32:$M$32,HLOOKUP(AD43,'2) หลักการคำนวน Table'!$D$1:$M$5,5,TRUE),0),
IF($C43="WS WH",VLOOKUP("GOAL",'2) หลักการคำนวน Table'!$D$62:$M$62,HLOOKUP(AD43,'2) หลักการคำนวน Table'!$D$1:$M$5,5,TRUE),0),
IF($C43="SF WH",VLOOKUP("GOAL",'2) หลักการคำนวน Table'!$D$92:$M$92,HLOOKUP(AD43,'2) หลักการคำนวน Table'!$D$1:$M$5,5,TRUE),0))))),0)</f>
        <v>0.9</v>
      </c>
      <c r="AQ43" s="232">
        <f>IFERROR(IF($C43="Top WS",VLOOKUP("GOAL",'2) หลักการคำนวน Table'!$D$4:$M$4,HLOOKUP(AE43,'2) หลักการคำนวน Table'!$D$1:$M$5,5,TRUE),0),
IF($C43="WS SF",VLOOKUP("GOAL",'2) หลักการคำนวน Table'!$D$32:$M$32,HLOOKUP(AE43,'2) หลักการคำนวน Table'!$D$1:$M$5,5,TRUE),0),
IF($C43="WS WH",VLOOKUP("GOAL",'2) หลักการคำนวน Table'!$D$62:$M$62,HLOOKUP(AE43,'2) หลักการคำนวน Table'!$D$1:$M$5,5,TRUE),0),
IF($C43="SF WH",VLOOKUP("GOAL",'2) หลักการคำนวน Table'!$D$92:$M$92,HLOOKUP(AE43,'2) หลักการคำนวน Table'!$D$1:$M$5,5,TRUE),0))))),0)</f>
        <v>0.9</v>
      </c>
      <c r="AR43" s="232">
        <f>IFERROR(IF($C43="Top WS",VLOOKUP("GOAL",'2) หลักการคำนวน Table'!$D$4:$M$4,HLOOKUP(AF43,'2) หลักการคำนวน Table'!$D$1:$M$5,5,TRUE),0),
IF($C43="WS SF",VLOOKUP("GOAL",'2) หลักการคำนวน Table'!$D$32:$M$32,HLOOKUP(AF43,'2) หลักการคำนวน Table'!$D$1:$M$5,5,TRUE),0),
IF($C43="WS WH",VLOOKUP("GOAL",'2) หลักการคำนวน Table'!$D$62:$M$62,HLOOKUP(AF43,'2) หลักการคำนวน Table'!$D$1:$M$5,5,TRUE),0),
IF($C43="SF WH",VLOOKUP("GOAL",'2) หลักการคำนวน Table'!$D$92:$M$92,HLOOKUP(AF43,'2) หลักการคำนวน Table'!$D$1:$M$5,5,TRUE),0))))),0)</f>
        <v>0.9</v>
      </c>
      <c r="AS43" s="232">
        <f>IFERROR(IF($C43="Top WS",VLOOKUP("GOAL",'2) หลักการคำนวน Table'!$D$4:$M$4,HLOOKUP(AG43,'2) หลักการคำนวน Table'!$D$1:$M$5,5,TRUE),0),
IF($C43="WS SF",VLOOKUP("GOAL",'2) หลักการคำนวน Table'!$D$32:$M$32,HLOOKUP(AG43,'2) หลักการคำนวน Table'!$D$1:$M$5,5,TRUE),0),
IF($C43="WS WH",VLOOKUP("GOAL",'2) หลักการคำนวน Table'!$D$62:$M$62,HLOOKUP(AG43,'2) หลักการคำนวน Table'!$D$1:$M$5,5,TRUE),0),
IF($C43="SF WH",VLOOKUP("GOAL",'2) หลักการคำนวน Table'!$D$92:$M$92,HLOOKUP(AG43,'2) หลักการคำนวน Table'!$D$1:$M$5,5,TRUE),0))))),0)</f>
        <v>0.9</v>
      </c>
      <c r="AT43" s="232">
        <f>IFERROR(IF($C43="Top WS",VLOOKUP("GOAL",'2) หลักการคำนวน Table'!$D$4:$M$4,HLOOKUP(AH43,'2) หลักการคำนวน Table'!$D$1:$M$5,5,TRUE),0),
IF($C43="WS SF",VLOOKUP("GOAL",'2) หลักการคำนวน Table'!$D$32:$M$32,HLOOKUP(AH43,'2) หลักการคำนวน Table'!$D$1:$M$5,5,TRUE),0),
IF($C43="WS WH",VLOOKUP("GOAL",'2) หลักการคำนวน Table'!$D$62:$M$62,HLOOKUP(AH43,'2) หลักการคำนวน Table'!$D$1:$M$5,5,TRUE),0),
IF($C43="SF WH",VLOOKUP("GOAL",'2) หลักการคำนวน Table'!$D$92:$M$92,HLOOKUP(AH43,'2) หลักการคำนวน Table'!$D$1:$M$5,5,TRUE),0))))),0)</f>
        <v>0.9</v>
      </c>
      <c r="AU43" s="232">
        <f>IFERROR(IF($C43="Top WS",VLOOKUP("GOAL",'2) หลักการคำนวน Table'!$D$4:$M$4,HLOOKUP(AI43,'2) หลักการคำนวน Table'!$D$1:$M$5,5,TRUE),0),
IF($C43="WS SF",VLOOKUP("GOAL",'2) หลักการคำนวน Table'!$D$32:$M$32,HLOOKUP(AI43,'2) หลักการคำนวน Table'!$D$1:$M$5,5,TRUE),0),
IF($C43="WS WH",VLOOKUP("GOAL",'2) หลักการคำนวน Table'!$D$62:$M$62,HLOOKUP(AI43,'2) หลักการคำนวน Table'!$D$1:$M$5,5,TRUE),0),
IF($C43="SF WH",VLOOKUP("GOAL",'2) หลักการคำนวน Table'!$D$92:$M$92,HLOOKUP(AI43,'2) หลักการคำนวน Table'!$D$1:$M$5,5,TRUE),0))))),0)</f>
        <v>0.9</v>
      </c>
      <c r="AV43" s="232">
        <f>IFERROR(IF($C43="Top WS",VLOOKUP("GOAL",'2) หลักการคำนวน Table'!$D$4:$M$4,HLOOKUP(AP43,'2) หลักการคำนวน Table'!$D$1:$M$5,5,TRUE),0),
IF($C43="WS SF",VLOOKUP("GOAL",'2) หลักการคำนวน Table'!$D$32:$M$32,HLOOKUP(AP43,'2) หลักการคำนวน Table'!$D$1:$M$5,5,TRUE),0),
IF($C43="WS WH",VLOOKUP("GOAL",'2) หลักการคำนวน Table'!$D$62:$M$62,HLOOKUP(AP43,'2) หลักการคำนวน Table'!$D$1:$M$5,5,TRUE),0),
IF($C43="SF WH",VLOOKUP("GOAL",'2) หลักการคำนวน Table'!$D$92:$M$92,HLOOKUP(AP43,'2) หลักการคำนวน Table'!$D$1:$M$5,5,TRUE),0))))),0)</f>
        <v>0.9</v>
      </c>
      <c r="AW43" s="232">
        <f>IFERROR(IF($C43="Top WS",VLOOKUP("GOAL",'2) หลักการคำนวน Table'!$D$4:$M$4,HLOOKUP(AK43,'2) หลักการคำนวน Table'!$D$1:$M$5,5,TRUE),0),
IF($C43="WS SF",VLOOKUP("GOAL",'2) หลักการคำนวน Table'!$D$32:$M$32,HLOOKUP(AK43,'2) หลักการคำนวน Table'!$D$1:$M$5,5,TRUE),0),
IF($C43="WS WH",VLOOKUP("GOAL",'2) หลักการคำนวน Table'!$D$62:$M$62,HLOOKUP(AK43,'2) หลักการคำนวน Table'!$D$1:$M$5,5,TRUE),0),
IF($C43="SF WH",VLOOKUP("GOAL",'2) หลักการคำนวน Table'!$D$92:$M$92,HLOOKUP(AK43,'2) หลักการคำนวน Table'!$D$1:$M$5,5,TRUE),0))))),0)</f>
        <v>0.9</v>
      </c>
      <c r="AX43" s="232">
        <f>IFERROR(IF($C43="Top WS",VLOOKUP("GOAL",'2) หลักการคำนวน Table'!$D$4:$M$4,HLOOKUP(AL43,'2) หลักการคำนวน Table'!$D$1:$M$5,5,TRUE),0),
IF($C43="WS SF",VLOOKUP("GOAL",'2) หลักการคำนวน Table'!$D$32:$M$32,HLOOKUP(AL43,'2) หลักการคำนวน Table'!$D$1:$M$5,5,TRUE),0),
IF($C43="WS WH",VLOOKUP("GOAL",'2) หลักการคำนวน Table'!$D$62:$M$62,HLOOKUP(AL43,'2) หลักการคำนวน Table'!$D$1:$M$5,5,TRUE),0),
IF($C43="SF WH",VLOOKUP("GOAL",'2) หลักการคำนวน Table'!$D$92:$M$92,HLOOKUP(AL43,'2) หลักการคำนวน Table'!$D$1:$M$5,5,TRUE),0))))),0)</f>
        <v>0.9</v>
      </c>
      <c r="AY43" s="232">
        <f>IFERROR(IF($C43="Top WS",VLOOKUP("GOAL",'2) หลักการคำนวน Table'!$D$4:$M$4,HLOOKUP(AM43,'2) หลักการคำนวน Table'!$D$1:$M$5,5,TRUE),0),
IF($C43="WS SF",VLOOKUP("GOAL",'2) หลักการคำนวน Table'!$D$32:$M$32,HLOOKUP(AM43,'2) หลักการคำนวน Table'!$D$1:$M$5,5,TRUE),0),
IF($C43="WS WH",VLOOKUP("GOAL",'2) หลักการคำนวน Table'!$D$62:$M$62,HLOOKUP(AM43,'2) หลักการคำนวน Table'!$D$1:$M$5,5,TRUE),0),
IF($C43="SF WH",VLOOKUP("GOAL",'2) หลักการคำนวน Table'!$D$92:$M$92,HLOOKUP(AM43,'2) หลักการคำนวน Table'!$D$1:$M$5,5,TRUE),0))))),0)</f>
        <v>0.9</v>
      </c>
      <c r="AZ43" s="167">
        <f>IFERROR(IF($C43="Top WS",VLOOKUP($B43,'2) หลักการคำนวน Table'!$D$5:$M$20,HLOOKUP(AB43,'2) หลักการคำนวน Table'!$D$1:$M$5,5,TRUE),0),
IF($C43="WS SF",VLOOKUP($B43,'2) หลักการคำนวน Table'!$D$33:$M$48,HLOOKUP(AB43,'2) หลักการคำนวน Table'!$D$1:$M$5,5,TRUE),0),
IF($C43="WS WH",VLOOKUP($B43,'2) หลักการคำนวน Table'!$D$63:$M$78,HLOOKUP(AB43,'2) หลักการคำนวน Table'!$D$1:$M$5,5,TRUE),0),
IF($C43="SF WH",VLOOKUP($B43,'2) หลักการคำนวน Table'!$D$93:$M$108,HLOOKUP(AB43,'2) หลักการคำนวน Table'!$D$1:$M$5,5,TRUE),0))))),0)</f>
        <v>180</v>
      </c>
      <c r="BA43" s="167">
        <f>IFERROR(IF($C43="Top WS",VLOOKUP($B43,'2) หลักการคำนวน Table'!$D$5:$M$20,HLOOKUP(AC43,'2) หลักการคำนวน Table'!$D$1:$M$5,5,TRUE),0),
IF($C43="WS SF",VLOOKUP($B43,'2) หลักการคำนวน Table'!$D$33:$M$48,HLOOKUP(AC43,'2) หลักการคำนวน Table'!$D$1:$M$5,5,TRUE),0),
IF($C43="WS WH",VLOOKUP($B43,'2) หลักการคำนวน Table'!$D$63:$M$78,HLOOKUP(AC43,'2) หลักการคำนวน Table'!$D$1:$M$5,5,TRUE),0),
IF($C43="SF WH",VLOOKUP($B43,'2) หลักการคำนวน Table'!$D$93:$M$108,HLOOKUP(AC43,'2) หลักการคำนวน Table'!$D$1:$M$5,5,TRUE),0))))),0)</f>
        <v>230</v>
      </c>
      <c r="BB43" s="167">
        <f>IFERROR(IF($C43="Top WS",VLOOKUP($B43,'2) หลักการคำนวน Table'!$D$5:$M$20,HLOOKUP(AD43,'2) หลักการคำนวน Table'!$D$1:$M$5,5,TRUE),0),
IF($C43="WS SF",VLOOKUP($B43,'2) หลักการคำนวน Table'!$D$33:$M$48,HLOOKUP(AD43,'2) หลักการคำนวน Table'!$D$1:$M$5,5,TRUE),0),
IF($C43="WS WH",VLOOKUP($B43,'2) หลักการคำนวน Table'!$D$63:$M$78,HLOOKUP(AD43,'2) หลักการคำนวน Table'!$D$1:$M$5,5,TRUE),0),
IF($C43="SF WH",VLOOKUP($B43,'2) หลักการคำนวน Table'!$D$93:$M$108,HLOOKUP(AD43,'2) หลักการคำนวน Table'!$D$1:$M$5,5,TRUE),0))))),0)</f>
        <v>180</v>
      </c>
      <c r="BC43" s="167">
        <f>IFERROR(IF($C43="Top WS",VLOOKUP($B43,'2) หลักการคำนวน Table'!$D$5:$M$20,HLOOKUP(AE43,'2) หลักการคำนวน Table'!$D$1:$M$5,5,TRUE),0),
IF($C43="WS SF",VLOOKUP($B43,'2) หลักการคำนวน Table'!$D$33:$M$48,HLOOKUP(AE43,'2) หลักการคำนวน Table'!$D$1:$M$5,5,TRUE),0),
IF($C43="WS WH",VLOOKUP($B43,'2) หลักการคำนวน Table'!$D$63:$M$78,HLOOKUP(AE43,'2) หลักการคำนวน Table'!$D$1:$M$5,5,TRUE),0),
IF($C43="SF WH",VLOOKUP($B43,'2) หลักการคำนวน Table'!$D$93:$M$108,HLOOKUP(AE43,'2) หลักการคำนวน Table'!$D$1:$M$5,5,TRUE),0))))),0)</f>
        <v>180</v>
      </c>
      <c r="BD43" s="167">
        <f>IFERROR(IF($C43="Top WS",VLOOKUP($B43,'2) หลักการคำนวน Table'!$D$5:$M$20,HLOOKUP(AF43,'2) หลักการคำนวน Table'!$D$1:$M$5,5,TRUE),0),
IF($C43="WS SF",VLOOKUP($B43,'2) หลักการคำนวน Table'!$D$33:$M$48,HLOOKUP(AF43,'2) หลักการคำนวน Table'!$D$1:$M$5,5,TRUE),0),
IF($C43="WS WH",VLOOKUP($B43,'2) หลักการคำนวน Table'!$D$63:$M$78,HLOOKUP(AF43,'2) หลักการคำนวน Table'!$D$1:$M$5,5,TRUE),0),
IF($C43="SF WH",VLOOKUP($B43,'2) หลักการคำนวน Table'!$D$93:$M$108,HLOOKUP(AF43,'2) หลักการคำนวน Table'!$D$1:$M$5,5,TRUE),0))))),0)</f>
        <v>180</v>
      </c>
      <c r="BE43" s="167">
        <f>IFERROR(IF($C43="Top WS",VLOOKUP($B43,'2) หลักการคำนวน Table'!$D$5:$M$20,HLOOKUP(AG43,'2) หลักการคำนวน Table'!$D$1:$M$5,5,TRUE),0),
IF($C43="WS SF",VLOOKUP($B43,'2) หลักการคำนวน Table'!$D$33:$M$48,HLOOKUP(AG43,'2) หลักการคำนวน Table'!$D$1:$M$5,5,TRUE),0),
IF($C43="WS WH",VLOOKUP($B43,'2) หลักการคำนวน Table'!$D$63:$M$78,HLOOKUP(AG43,'2) หลักการคำนวน Table'!$D$1:$M$5,5,TRUE),0),
IF($C43="SF WH",VLOOKUP($B43,'2) หลักการคำนวน Table'!$D$93:$M$108,HLOOKUP(AG43,'2) หลักการคำนวน Table'!$D$1:$M$5,5,TRUE),0))))),0)</f>
        <v>180</v>
      </c>
      <c r="BF43" s="167">
        <f>IFERROR(IF($C43="Top WS",VLOOKUP($B43,'2) หลักการคำนวน Table'!$D$5:$M$20,HLOOKUP(AH43,'2) หลักการคำนวน Table'!$D$1:$M$5,5,TRUE),0),
IF($C43="WS SF",VLOOKUP($B43,'2) หลักการคำนวน Table'!$D$33:$M$48,HLOOKUP(AH43,'2) หลักการคำนวน Table'!$D$1:$M$5,5,TRUE),0),
IF($C43="WS WH",VLOOKUP($B43,'2) หลักการคำนวน Table'!$D$63:$M$78,HLOOKUP(AH43,'2) หลักการคำนวน Table'!$D$1:$M$5,5,TRUE),0),
IF($C43="SF WH",VLOOKUP($B43,'2) หลักการคำนวน Table'!$D$93:$M$108,HLOOKUP(AH43,'2) หลักการคำนวน Table'!$D$1:$M$5,5,TRUE),0))))),0)</f>
        <v>180</v>
      </c>
      <c r="BG43" s="167">
        <f>IFERROR(IF($C43="Top WS",VLOOKUP($B43,'2) หลักการคำนวน Table'!$D$5:$M$20,HLOOKUP(AI43,'2) หลักการคำนวน Table'!$D$1:$M$5,5,TRUE),0),
IF($C43="WS SF",VLOOKUP($B43,'2) หลักการคำนวน Table'!$D$33:$M$48,HLOOKUP(AI43,'2) หลักการคำนวน Table'!$D$1:$M$5,5,TRUE),0),
IF($C43="WS WH",VLOOKUP($B43,'2) หลักการคำนวน Table'!$D$63:$M$78,HLOOKUP(AI43,'2) หลักการคำนวน Table'!$D$1:$M$5,5,TRUE),0),
IF($C43="SF WH",VLOOKUP($B43,'2) หลักการคำนวน Table'!$D$93:$M$108,HLOOKUP(AI43,'2) หลักการคำนวน Table'!$D$1:$M$5,5,TRUE),0))))),0)</f>
        <v>180</v>
      </c>
      <c r="BH43" s="167">
        <f>IFERROR(IF($C43="Top WS",VLOOKUP($B43,'2) หลักการคำนวน Table'!$D$5:$M$20,HLOOKUP(AP43,'2) หลักการคำนวน Table'!$D$1:$M$5,5,TRUE),0),
IF($C43="WS SF",VLOOKUP($B43,'2) หลักการคำนวน Table'!$D$33:$M$48,HLOOKUP(AP43,'2) หลักการคำนวน Table'!$D$1:$M$5,5,TRUE),0),
IF($C43="WS WH",VLOOKUP($B43,'2) หลักการคำนวน Table'!$D$63:$M$78,HLOOKUP(AP43,'2) หลักการคำนวน Table'!$D$1:$M$5,5,TRUE),0),
IF($C43="SF WH",VLOOKUP($B43,'2) หลักการคำนวน Table'!$D$93:$M$108,HLOOKUP(AP43,'2) หลักการคำนวน Table'!$D$1:$M$5,5,TRUE),0))))),0)</f>
        <v>180</v>
      </c>
      <c r="BI43" s="167">
        <f>IFERROR(IF($C43="Top WS",VLOOKUP($B43,'2) หลักการคำนวน Table'!$D$5:$M$20,HLOOKUP(AK43,'2) หลักการคำนวน Table'!$D$1:$M$5,5,TRUE),0),
IF($C43="WS SF",VLOOKUP($B43,'2) หลักการคำนวน Table'!$D$33:$M$48,HLOOKUP(AK43,'2) หลักการคำนวน Table'!$D$1:$M$5,5,TRUE),0),
IF($C43="WS WH",VLOOKUP($B43,'2) หลักการคำนวน Table'!$D$63:$M$78,HLOOKUP(AK43,'2) หลักการคำนวน Table'!$D$1:$M$5,5,TRUE),0),
IF($C43="SF WH",VLOOKUP($B43,'2) หลักการคำนวน Table'!$D$93:$M$108,HLOOKUP(AK43,'2) หลักการคำนวน Table'!$D$1:$M$5,5,TRUE),0))))),0)</f>
        <v>180</v>
      </c>
      <c r="BJ43" s="167">
        <f>IFERROR(IF($C43="Top WS",VLOOKUP($B43,'2) หลักการคำนวน Table'!$D$5:$M$20,HLOOKUP(AL43,'2) หลักการคำนวน Table'!$D$1:$M$5,5,TRUE),0),
IF($C43="WS SF",VLOOKUP($B43,'2) หลักการคำนวน Table'!$D$33:$M$48,HLOOKUP(AL43,'2) หลักการคำนวน Table'!$D$1:$M$5,5,TRUE),0),
IF($C43="WS WH",VLOOKUP($B43,'2) หลักการคำนวน Table'!$D$63:$M$78,HLOOKUP(AL43,'2) หลักการคำนวน Table'!$D$1:$M$5,5,TRUE),0),
IF($C43="SF WH",VLOOKUP($B43,'2) หลักการคำนวน Table'!$D$93:$M$108,HLOOKUP(AL43,'2) หลักการคำนวน Table'!$D$1:$M$5,5,TRUE),0))))),0)</f>
        <v>180</v>
      </c>
      <c r="BK43" s="167">
        <f>IFERROR(IF($C43="Top WS",VLOOKUP($B43,'2) หลักการคำนวน Table'!$D$5:$M$20,HLOOKUP(AM43,'2) หลักการคำนวน Table'!$D$1:$M$5,5,TRUE),0),
IF($C43="WS SF",VLOOKUP($B43,'2) หลักการคำนวน Table'!$D$33:$M$48,HLOOKUP(AM43,'2) หลักการคำนวน Table'!$D$1:$M$5,5,TRUE),0),
IF($C43="WS WH",VLOOKUP($B43,'2) หลักการคำนวน Table'!$D$63:$M$78,HLOOKUP(AM43,'2) หลักการคำนวน Table'!$D$1:$M$5,5,TRUE),0),
IF($C43="SF WH",VLOOKUP($B43,'2) หลักการคำนวน Table'!$D$93:$M$108,HLOOKUP(AM43,'2) หลักการคำนวน Table'!$D$1:$M$5,5,TRUE),0))))),0)</f>
        <v>180</v>
      </c>
      <c r="BM43" s="119">
        <f>VLOOKUP(VLOOKUP(A43,ASTBase!E:S,13,FALSE),ASTBase!F:P,11,FALSE)</f>
        <v>120000</v>
      </c>
      <c r="BN43" s="196" cm="1">
        <f t="array" ref="BN43">INDEX(AN43:AY43,,Period!$D$2)</f>
        <v>1.1499999999999999</v>
      </c>
    </row>
    <row r="44" spans="1:66" x14ac:dyDescent="0.25">
      <c r="A44" s="117">
        <v>120002</v>
      </c>
      <c r="B44" s="117" t="s">
        <v>396</v>
      </c>
      <c r="C44" s="117" t="s">
        <v>178</v>
      </c>
      <c r="D44" s="118">
        <v>16</v>
      </c>
      <c r="E44" s="118">
        <v>15</v>
      </c>
      <c r="F44" s="118">
        <v>18</v>
      </c>
      <c r="G44" s="118">
        <v>12</v>
      </c>
      <c r="H44" s="118">
        <v>15</v>
      </c>
      <c r="I44" s="118">
        <v>21</v>
      </c>
      <c r="J44" s="118">
        <v>15</v>
      </c>
      <c r="K44" s="118">
        <v>27</v>
      </c>
      <c r="L44" s="118">
        <v>24</v>
      </c>
      <c r="M44" s="118">
        <v>18</v>
      </c>
      <c r="N44" s="118">
        <v>33</v>
      </c>
      <c r="O44" s="118">
        <v>33</v>
      </c>
      <c r="P44" s="117">
        <f>SUMIFS(Actual!C:C,Actual!$A:$A,'3)Target &amp; Cal'!$A44,Actual!$B:$B,'3)Target &amp; Cal'!$B44)</f>
        <v>11.52</v>
      </c>
      <c r="Q44" s="117">
        <f>SUMIFS(Actual!D:D,Actual!$A:$A,'3)Target &amp; Cal'!$A44,Actual!$B:$B,'3)Target &amp; Cal'!$B44)</f>
        <v>11.52</v>
      </c>
      <c r="R44" s="117">
        <f>SUMIFS(Actual!E:E,Actual!$A:$A,'3)Target &amp; Cal'!$A44,Actual!$B:$B,'3)Target &amp; Cal'!$B44)</f>
        <v>0</v>
      </c>
      <c r="S44" s="117">
        <f>SUMIFS(Actual!F:F,Actual!$A:$A,'3)Target &amp; Cal'!$A44,Actual!$B:$B,'3)Target &amp; Cal'!$B44)</f>
        <v>0</v>
      </c>
      <c r="T44" s="117">
        <f>SUMIFS(Actual!G:G,Actual!$A:$A,'3)Target &amp; Cal'!$A44,Actual!$B:$B,'3)Target &amp; Cal'!$B44)</f>
        <v>0</v>
      </c>
      <c r="U44" s="117">
        <f>SUMIFS(Actual!H:H,Actual!$A:$A,'3)Target &amp; Cal'!$A44,Actual!$B:$B,'3)Target &amp; Cal'!$B44)</f>
        <v>0</v>
      </c>
      <c r="V44" s="117">
        <f>SUMIFS(Actual!I:I,Actual!$A:$A,'3)Target &amp; Cal'!$A44,Actual!$B:$B,'3)Target &amp; Cal'!$B44)</f>
        <v>0</v>
      </c>
      <c r="W44" s="117">
        <f>SUMIFS(Actual!J:J,Actual!$A:$A,'3)Target &amp; Cal'!$A44,Actual!$B:$B,'3)Target &amp; Cal'!$B44)</f>
        <v>0</v>
      </c>
      <c r="X44" s="117">
        <f>SUMIFS(Actual!K:K,Actual!$A:$A,'3)Target &amp; Cal'!$A44,Actual!$B:$B,'3)Target &amp; Cal'!$B44)</f>
        <v>0</v>
      </c>
      <c r="Y44" s="117">
        <f>SUMIFS(Actual!L:L,Actual!$A:$A,'3)Target &amp; Cal'!$A44,Actual!$B:$B,'3)Target &amp; Cal'!$B44)</f>
        <v>0</v>
      </c>
      <c r="Z44" s="117">
        <f>SUMIFS(Actual!M:M,Actual!$A:$A,'3)Target &amp; Cal'!$A44,Actual!$B:$B,'3)Target &amp; Cal'!$B44)</f>
        <v>0</v>
      </c>
      <c r="AA44" s="117">
        <f>SUMIFS(Actual!N:N,Actual!$A:$A,'3)Target &amp; Cal'!$A44,Actual!$B:$B,'3)Target &amp; Cal'!$B44)</f>
        <v>0</v>
      </c>
      <c r="AB44" s="123">
        <f>IFERROR(IF(VLOOKUP($B44,Shortage!$A:$M,AB$2,FALSE)="Shortage",1,IFERROR(ROUND(P44/D44,4),0)),IFERROR(ROUND(P44/D44,4),0))</f>
        <v>0.72</v>
      </c>
      <c r="AC44" s="123">
        <f>IFERROR(IF(VLOOKUP($B44,Shortage!$A:$M,AC$2,FALSE)="Shortage",1,IFERROR(ROUND(Q44/E44,4),0)),IFERROR(ROUND(Q44/E44,4),0))</f>
        <v>0.76800000000000002</v>
      </c>
      <c r="AD44" s="123">
        <f>IFERROR(IF(VLOOKUP($B44,Shortage!$A:$M,AD$2,FALSE)="Shortage",1,IFERROR(ROUND(R44/F44,4),0)),IFERROR(ROUND(R44/F44,4),0))</f>
        <v>0</v>
      </c>
      <c r="AE44" s="123">
        <f>IFERROR(IF(VLOOKUP($B44,Shortage!$A:$M,AE$2,FALSE)="Shortage",1,IFERROR(ROUND(S44/G44,4),0)),IFERROR(ROUND(S44/G44,4),0))</f>
        <v>0</v>
      </c>
      <c r="AF44" s="123">
        <f>IFERROR(IF(VLOOKUP($B44,Shortage!$A:$M,AF$2,FALSE)="Shortage",1,IFERROR(ROUND(T44/H44,4),0)),IFERROR(ROUND(T44/H44,4),0))</f>
        <v>0</v>
      </c>
      <c r="AG44" s="123">
        <f>IFERROR(IF(VLOOKUP($B44,Shortage!$A:$M,AG$2,FALSE)="Shortage",1,IFERROR(ROUND(U44/I44,4),0)),IFERROR(ROUND(U44/I44,4),0))</f>
        <v>0</v>
      </c>
      <c r="AH44" s="123">
        <f>IFERROR(IF(VLOOKUP($B44,Shortage!$A:$M,AH$2,FALSE)="Shortage",1,IFERROR(ROUND(V44/J44,4),0)),IFERROR(ROUND(V44/J44,4),0))</f>
        <v>0</v>
      </c>
      <c r="AI44" s="123">
        <f>IFERROR(IF(VLOOKUP($B44,Shortage!$A:$M,AI$2,FALSE)="Shortage",1,IFERROR(ROUND(W44/K44,4),0)),IFERROR(ROUND(W44/K44,4),0))</f>
        <v>0</v>
      </c>
      <c r="AJ44" s="123">
        <f>IFERROR(IF(VLOOKUP($B44,Shortage!$A:$M,AP$2,FALSE)="Shortage",1,IFERROR(ROUND(X44/L44,4),0)),IFERROR(ROUND(X44/L44,4),0))</f>
        <v>0</v>
      </c>
      <c r="AK44" s="123">
        <f>IFERROR(IF(VLOOKUP($B44,Shortage!$A:$M,AK$2,FALSE)="Shortage",1,IFERROR(ROUND(Y44/M44,4),0)),IFERROR(ROUND(Y44/M44,4),0))</f>
        <v>0</v>
      </c>
      <c r="AL44" s="123">
        <f>IFERROR(IF(VLOOKUP($B44,Shortage!$A:$M,AL$2,FALSE)="Shortage",1,IFERROR(ROUND(Z44/N44,4),0)),IFERROR(ROUND(Z44/N44,4),0))</f>
        <v>0</v>
      </c>
      <c r="AM44" s="123">
        <f>IFERROR(IF(VLOOKUP($B44,Shortage!$A:$M,AM$2,FALSE)="Shortage",1,IFERROR(ROUND(AA44/O44,4),0)),IFERROR(ROUND(AA44/O44,4),0))</f>
        <v>0</v>
      </c>
      <c r="AN44" s="232">
        <f>IFERROR(IF($C44="Top WS",VLOOKUP("GOAL",'2) หลักการคำนวน Table'!$D$4:$M$4,HLOOKUP(AB44,'2) หลักการคำนวน Table'!$D$1:$M$5,5,TRUE),0),
IF($C44="WS SF",VLOOKUP("GOAL",'2) หลักการคำนวน Table'!$D$32:$M$32,HLOOKUP(AB44,'2) หลักการคำนวน Table'!$D$1:$M$5,5,TRUE),0),
IF($C44="WS WH",VLOOKUP("GOAL",'2) หลักการคำนวน Table'!$D$62:$M$62,HLOOKUP(AB44,'2) หลักการคำนวน Table'!$D$1:$M$5,5,TRUE),0),
IF($C44="SF WH",VLOOKUP("GOAL",'2) หลักการคำนวน Table'!$D$92:$M$92,HLOOKUP(AB44,'2) หลักการคำนวน Table'!$D$1:$M$5,5,TRUE),0))))),0)</f>
        <v>0.9</v>
      </c>
      <c r="AO44" s="232">
        <f>IFERROR(IF($C44="Top WS",VLOOKUP("GOAL",'2) หลักการคำนวน Table'!$D$4:$M$4,HLOOKUP(AC44,'2) หลักการคำนวน Table'!$D$1:$M$5,5,TRUE),0),
IF($C44="WS SF",VLOOKUP("GOAL",'2) หลักการคำนวน Table'!$D$32:$M$32,HLOOKUP(AC44,'2) หลักการคำนวน Table'!$D$1:$M$5,5,TRUE),0),
IF($C44="WS WH",VLOOKUP("GOAL",'2) หลักการคำนวน Table'!$D$62:$M$62,HLOOKUP(AC44,'2) หลักการคำนวน Table'!$D$1:$M$5,5,TRUE),0),
IF($C44="SF WH",VLOOKUP("GOAL",'2) หลักการคำนวน Table'!$D$92:$M$92,HLOOKUP(AC44,'2) หลักการคำนวน Table'!$D$1:$M$5,5,TRUE),0))))),0)</f>
        <v>0.9</v>
      </c>
      <c r="AP44" s="232">
        <f>IFERROR(IF($C44="Top WS",VLOOKUP("GOAL",'2) หลักการคำนวน Table'!$D$4:$M$4,HLOOKUP(AD44,'2) หลักการคำนวน Table'!$D$1:$M$5,5,TRUE),0),
IF($C44="WS SF",VLOOKUP("GOAL",'2) หลักการคำนวน Table'!$D$32:$M$32,HLOOKUP(AD44,'2) หลักการคำนวน Table'!$D$1:$M$5,5,TRUE),0),
IF($C44="WS WH",VLOOKUP("GOAL",'2) หลักการคำนวน Table'!$D$62:$M$62,HLOOKUP(AD44,'2) หลักการคำนวน Table'!$D$1:$M$5,5,TRUE),0),
IF($C44="SF WH",VLOOKUP("GOAL",'2) หลักการคำนวน Table'!$D$92:$M$92,HLOOKUP(AD44,'2) หลักการคำนวน Table'!$D$1:$M$5,5,TRUE),0))))),0)</f>
        <v>0.9</v>
      </c>
      <c r="AQ44" s="232">
        <f>IFERROR(IF($C44="Top WS",VLOOKUP("GOAL",'2) หลักการคำนวน Table'!$D$4:$M$4,HLOOKUP(AE44,'2) หลักการคำนวน Table'!$D$1:$M$5,5,TRUE),0),
IF($C44="WS SF",VLOOKUP("GOAL",'2) หลักการคำนวน Table'!$D$32:$M$32,HLOOKUP(AE44,'2) หลักการคำนวน Table'!$D$1:$M$5,5,TRUE),0),
IF($C44="WS WH",VLOOKUP("GOAL",'2) หลักการคำนวน Table'!$D$62:$M$62,HLOOKUP(AE44,'2) หลักการคำนวน Table'!$D$1:$M$5,5,TRUE),0),
IF($C44="SF WH",VLOOKUP("GOAL",'2) หลักการคำนวน Table'!$D$92:$M$92,HLOOKUP(AE44,'2) หลักการคำนวน Table'!$D$1:$M$5,5,TRUE),0))))),0)</f>
        <v>0.9</v>
      </c>
      <c r="AR44" s="232">
        <f>IFERROR(IF($C44="Top WS",VLOOKUP("GOAL",'2) หลักการคำนวน Table'!$D$4:$M$4,HLOOKUP(AF44,'2) หลักการคำนวน Table'!$D$1:$M$5,5,TRUE),0),
IF($C44="WS SF",VLOOKUP("GOAL",'2) หลักการคำนวน Table'!$D$32:$M$32,HLOOKUP(AF44,'2) หลักการคำนวน Table'!$D$1:$M$5,5,TRUE),0),
IF($C44="WS WH",VLOOKUP("GOAL",'2) หลักการคำนวน Table'!$D$62:$M$62,HLOOKUP(AF44,'2) หลักการคำนวน Table'!$D$1:$M$5,5,TRUE),0),
IF($C44="SF WH",VLOOKUP("GOAL",'2) หลักการคำนวน Table'!$D$92:$M$92,HLOOKUP(AF44,'2) หลักการคำนวน Table'!$D$1:$M$5,5,TRUE),0))))),0)</f>
        <v>0.9</v>
      </c>
      <c r="AS44" s="232">
        <f>IFERROR(IF($C44="Top WS",VLOOKUP("GOAL",'2) หลักการคำนวน Table'!$D$4:$M$4,HLOOKUP(AG44,'2) หลักการคำนวน Table'!$D$1:$M$5,5,TRUE),0),
IF($C44="WS SF",VLOOKUP("GOAL",'2) หลักการคำนวน Table'!$D$32:$M$32,HLOOKUP(AG44,'2) หลักการคำนวน Table'!$D$1:$M$5,5,TRUE),0),
IF($C44="WS WH",VLOOKUP("GOAL",'2) หลักการคำนวน Table'!$D$62:$M$62,HLOOKUP(AG44,'2) หลักการคำนวน Table'!$D$1:$M$5,5,TRUE),0),
IF($C44="SF WH",VLOOKUP("GOAL",'2) หลักการคำนวน Table'!$D$92:$M$92,HLOOKUP(AG44,'2) หลักการคำนวน Table'!$D$1:$M$5,5,TRUE),0))))),0)</f>
        <v>0.9</v>
      </c>
      <c r="AT44" s="232">
        <f>IFERROR(IF($C44="Top WS",VLOOKUP("GOAL",'2) หลักการคำนวน Table'!$D$4:$M$4,HLOOKUP(AH44,'2) หลักการคำนวน Table'!$D$1:$M$5,5,TRUE),0),
IF($C44="WS SF",VLOOKUP("GOAL",'2) หลักการคำนวน Table'!$D$32:$M$32,HLOOKUP(AH44,'2) หลักการคำนวน Table'!$D$1:$M$5,5,TRUE),0),
IF($C44="WS WH",VLOOKUP("GOAL",'2) หลักการคำนวน Table'!$D$62:$M$62,HLOOKUP(AH44,'2) หลักการคำนวน Table'!$D$1:$M$5,5,TRUE),0),
IF($C44="SF WH",VLOOKUP("GOAL",'2) หลักการคำนวน Table'!$D$92:$M$92,HLOOKUP(AH44,'2) หลักการคำนวน Table'!$D$1:$M$5,5,TRUE),0))))),0)</f>
        <v>0.9</v>
      </c>
      <c r="AU44" s="232">
        <f>IFERROR(IF($C44="Top WS",VLOOKUP("GOAL",'2) หลักการคำนวน Table'!$D$4:$M$4,HLOOKUP(AI44,'2) หลักการคำนวน Table'!$D$1:$M$5,5,TRUE),0),
IF($C44="WS SF",VLOOKUP("GOAL",'2) หลักการคำนวน Table'!$D$32:$M$32,HLOOKUP(AI44,'2) หลักการคำนวน Table'!$D$1:$M$5,5,TRUE),0),
IF($C44="WS WH",VLOOKUP("GOAL",'2) หลักการคำนวน Table'!$D$62:$M$62,HLOOKUP(AI44,'2) หลักการคำนวน Table'!$D$1:$M$5,5,TRUE),0),
IF($C44="SF WH",VLOOKUP("GOAL",'2) หลักการคำนวน Table'!$D$92:$M$92,HLOOKUP(AI44,'2) หลักการคำนวน Table'!$D$1:$M$5,5,TRUE),0))))),0)</f>
        <v>0.9</v>
      </c>
      <c r="AV44" s="232">
        <f>IFERROR(IF($C44="Top WS",VLOOKUP("GOAL",'2) หลักการคำนวน Table'!$D$4:$M$4,HLOOKUP(AP44,'2) หลักการคำนวน Table'!$D$1:$M$5,5,TRUE),0),
IF($C44="WS SF",VLOOKUP("GOAL",'2) หลักการคำนวน Table'!$D$32:$M$32,HLOOKUP(AP44,'2) หลักการคำนวน Table'!$D$1:$M$5,5,TRUE),0),
IF($C44="WS WH",VLOOKUP("GOAL",'2) หลักการคำนวน Table'!$D$62:$M$62,HLOOKUP(AP44,'2) หลักการคำนวน Table'!$D$1:$M$5,5,TRUE),0),
IF($C44="SF WH",VLOOKUP("GOAL",'2) หลักการคำนวน Table'!$D$92:$M$92,HLOOKUP(AP44,'2) หลักการคำนวน Table'!$D$1:$M$5,5,TRUE),0))))),0)</f>
        <v>0.9</v>
      </c>
      <c r="AW44" s="232">
        <f>IFERROR(IF($C44="Top WS",VLOOKUP("GOAL",'2) หลักการคำนวน Table'!$D$4:$M$4,HLOOKUP(AK44,'2) หลักการคำนวน Table'!$D$1:$M$5,5,TRUE),0),
IF($C44="WS SF",VLOOKUP("GOAL",'2) หลักการคำนวน Table'!$D$32:$M$32,HLOOKUP(AK44,'2) หลักการคำนวน Table'!$D$1:$M$5,5,TRUE),0),
IF($C44="WS WH",VLOOKUP("GOAL",'2) หลักการคำนวน Table'!$D$62:$M$62,HLOOKUP(AK44,'2) หลักการคำนวน Table'!$D$1:$M$5,5,TRUE),0),
IF($C44="SF WH",VLOOKUP("GOAL",'2) หลักการคำนวน Table'!$D$92:$M$92,HLOOKUP(AK44,'2) หลักการคำนวน Table'!$D$1:$M$5,5,TRUE),0))))),0)</f>
        <v>0.9</v>
      </c>
      <c r="AX44" s="232">
        <f>IFERROR(IF($C44="Top WS",VLOOKUP("GOAL",'2) หลักการคำนวน Table'!$D$4:$M$4,HLOOKUP(AL44,'2) หลักการคำนวน Table'!$D$1:$M$5,5,TRUE),0),
IF($C44="WS SF",VLOOKUP("GOAL",'2) หลักการคำนวน Table'!$D$32:$M$32,HLOOKUP(AL44,'2) หลักการคำนวน Table'!$D$1:$M$5,5,TRUE),0),
IF($C44="WS WH",VLOOKUP("GOAL",'2) หลักการคำนวน Table'!$D$62:$M$62,HLOOKUP(AL44,'2) หลักการคำนวน Table'!$D$1:$M$5,5,TRUE),0),
IF($C44="SF WH",VLOOKUP("GOAL",'2) หลักการคำนวน Table'!$D$92:$M$92,HLOOKUP(AL44,'2) หลักการคำนวน Table'!$D$1:$M$5,5,TRUE),0))))),0)</f>
        <v>0.9</v>
      </c>
      <c r="AY44" s="232">
        <f>IFERROR(IF($C44="Top WS",VLOOKUP("GOAL",'2) หลักการคำนวน Table'!$D$4:$M$4,HLOOKUP(AM44,'2) หลักการคำนวน Table'!$D$1:$M$5,5,TRUE),0),
IF($C44="WS SF",VLOOKUP("GOAL",'2) หลักการคำนวน Table'!$D$32:$M$32,HLOOKUP(AM44,'2) หลักการคำนวน Table'!$D$1:$M$5,5,TRUE),0),
IF($C44="WS WH",VLOOKUP("GOAL",'2) หลักการคำนวน Table'!$D$62:$M$62,HLOOKUP(AM44,'2) หลักการคำนวน Table'!$D$1:$M$5,5,TRUE),0),
IF($C44="SF WH",VLOOKUP("GOAL",'2) หลักการคำนวน Table'!$D$92:$M$92,HLOOKUP(AM44,'2) หลักการคำนวน Table'!$D$1:$M$5,5,TRUE),0))))),0)</f>
        <v>0.9</v>
      </c>
      <c r="AZ44" s="167">
        <f>IFERROR(IF($C44="Top WS",VLOOKUP($B44,'2) หลักการคำนวน Table'!$D$5:$M$20,HLOOKUP(AB44,'2) หลักการคำนวน Table'!$D$1:$M$5,5,TRUE),0),
IF($C44="WS SF",VLOOKUP($B44,'2) หลักการคำนวน Table'!$D$33:$M$48,HLOOKUP(AB44,'2) หลักการคำนวน Table'!$D$1:$M$5,5,TRUE),0),
IF($C44="WS WH",VLOOKUP($B44,'2) หลักการคำนวน Table'!$D$63:$M$78,HLOOKUP(AB44,'2) หลักการคำนวน Table'!$D$1:$M$5,5,TRUE),0),
IF($C44="SF WH",VLOOKUP($B44,'2) หลักการคำนวน Table'!$D$93:$M$108,HLOOKUP(AB44,'2) หลักการคำนวน Table'!$D$1:$M$5,5,TRUE),0))))),0)</f>
        <v>360</v>
      </c>
      <c r="BA44" s="167">
        <f>IFERROR(IF($C44="Top WS",VLOOKUP($B44,'2) หลักการคำนวน Table'!$D$5:$M$20,HLOOKUP(AC44,'2) หลักการคำนวน Table'!$D$1:$M$5,5,TRUE),0),
IF($C44="WS SF",VLOOKUP($B44,'2) หลักการคำนวน Table'!$D$33:$M$48,HLOOKUP(AC44,'2) หลักการคำนวน Table'!$D$1:$M$5,5,TRUE),0),
IF($C44="WS WH",VLOOKUP($B44,'2) หลักการคำนวน Table'!$D$63:$M$78,HLOOKUP(AC44,'2) หลักการคำนวน Table'!$D$1:$M$5,5,TRUE),0),
IF($C44="SF WH",VLOOKUP($B44,'2) หลักการคำนวน Table'!$D$93:$M$108,HLOOKUP(AC44,'2) หลักการคำนวน Table'!$D$1:$M$5,5,TRUE),0))))),0)</f>
        <v>360</v>
      </c>
      <c r="BB44" s="167">
        <f>IFERROR(IF($C44="Top WS",VLOOKUP($B44,'2) หลักการคำนวน Table'!$D$5:$M$20,HLOOKUP(AD44,'2) หลักการคำนวน Table'!$D$1:$M$5,5,TRUE),0),
IF($C44="WS SF",VLOOKUP($B44,'2) หลักการคำนวน Table'!$D$33:$M$48,HLOOKUP(AD44,'2) หลักการคำนวน Table'!$D$1:$M$5,5,TRUE),0),
IF($C44="WS WH",VLOOKUP($B44,'2) หลักการคำนวน Table'!$D$63:$M$78,HLOOKUP(AD44,'2) หลักการคำนวน Table'!$D$1:$M$5,5,TRUE),0),
IF($C44="SF WH",VLOOKUP($B44,'2) หลักการคำนวน Table'!$D$93:$M$108,HLOOKUP(AD44,'2) หลักการคำนวน Table'!$D$1:$M$5,5,TRUE),0))))),0)</f>
        <v>360</v>
      </c>
      <c r="BC44" s="167">
        <f>IFERROR(IF($C44="Top WS",VLOOKUP($B44,'2) หลักการคำนวน Table'!$D$5:$M$20,HLOOKUP(AE44,'2) หลักการคำนวน Table'!$D$1:$M$5,5,TRUE),0),
IF($C44="WS SF",VLOOKUP($B44,'2) หลักการคำนวน Table'!$D$33:$M$48,HLOOKUP(AE44,'2) หลักการคำนวน Table'!$D$1:$M$5,5,TRUE),0),
IF($C44="WS WH",VLOOKUP($B44,'2) หลักการคำนวน Table'!$D$63:$M$78,HLOOKUP(AE44,'2) หลักการคำนวน Table'!$D$1:$M$5,5,TRUE),0),
IF($C44="SF WH",VLOOKUP($B44,'2) หลักการคำนวน Table'!$D$93:$M$108,HLOOKUP(AE44,'2) หลักการคำนวน Table'!$D$1:$M$5,5,TRUE),0))))),0)</f>
        <v>360</v>
      </c>
      <c r="BD44" s="167">
        <f>IFERROR(IF($C44="Top WS",VLOOKUP($B44,'2) หลักการคำนวน Table'!$D$5:$M$20,HLOOKUP(AF44,'2) หลักการคำนวน Table'!$D$1:$M$5,5,TRUE),0),
IF($C44="WS SF",VLOOKUP($B44,'2) หลักการคำนวน Table'!$D$33:$M$48,HLOOKUP(AF44,'2) หลักการคำนวน Table'!$D$1:$M$5,5,TRUE),0),
IF($C44="WS WH",VLOOKUP($B44,'2) หลักการคำนวน Table'!$D$63:$M$78,HLOOKUP(AF44,'2) หลักการคำนวน Table'!$D$1:$M$5,5,TRUE),0),
IF($C44="SF WH",VLOOKUP($B44,'2) หลักการคำนวน Table'!$D$93:$M$108,HLOOKUP(AF44,'2) หลักการคำนวน Table'!$D$1:$M$5,5,TRUE),0))))),0)</f>
        <v>360</v>
      </c>
      <c r="BE44" s="167">
        <f>IFERROR(IF($C44="Top WS",VLOOKUP($B44,'2) หลักการคำนวน Table'!$D$5:$M$20,HLOOKUP(AG44,'2) หลักการคำนวน Table'!$D$1:$M$5,5,TRUE),0),
IF($C44="WS SF",VLOOKUP($B44,'2) หลักการคำนวน Table'!$D$33:$M$48,HLOOKUP(AG44,'2) หลักการคำนวน Table'!$D$1:$M$5,5,TRUE),0),
IF($C44="WS WH",VLOOKUP($B44,'2) หลักการคำนวน Table'!$D$63:$M$78,HLOOKUP(AG44,'2) หลักการคำนวน Table'!$D$1:$M$5,5,TRUE),0),
IF($C44="SF WH",VLOOKUP($B44,'2) หลักการคำนวน Table'!$D$93:$M$108,HLOOKUP(AG44,'2) หลักการคำนวน Table'!$D$1:$M$5,5,TRUE),0))))),0)</f>
        <v>360</v>
      </c>
      <c r="BF44" s="167">
        <f>IFERROR(IF($C44="Top WS",VLOOKUP($B44,'2) หลักการคำนวน Table'!$D$5:$M$20,HLOOKUP(AH44,'2) หลักการคำนวน Table'!$D$1:$M$5,5,TRUE),0),
IF($C44="WS SF",VLOOKUP($B44,'2) หลักการคำนวน Table'!$D$33:$M$48,HLOOKUP(AH44,'2) หลักการคำนวน Table'!$D$1:$M$5,5,TRUE),0),
IF($C44="WS WH",VLOOKUP($B44,'2) หลักการคำนวน Table'!$D$63:$M$78,HLOOKUP(AH44,'2) หลักการคำนวน Table'!$D$1:$M$5,5,TRUE),0),
IF($C44="SF WH",VLOOKUP($B44,'2) หลักการคำนวน Table'!$D$93:$M$108,HLOOKUP(AH44,'2) หลักการคำนวน Table'!$D$1:$M$5,5,TRUE),0))))),0)</f>
        <v>360</v>
      </c>
      <c r="BG44" s="167">
        <f>IFERROR(IF($C44="Top WS",VLOOKUP($B44,'2) หลักการคำนวน Table'!$D$5:$M$20,HLOOKUP(AI44,'2) หลักการคำนวน Table'!$D$1:$M$5,5,TRUE),0),
IF($C44="WS SF",VLOOKUP($B44,'2) หลักการคำนวน Table'!$D$33:$M$48,HLOOKUP(AI44,'2) หลักการคำนวน Table'!$D$1:$M$5,5,TRUE),0),
IF($C44="WS WH",VLOOKUP($B44,'2) หลักการคำนวน Table'!$D$63:$M$78,HLOOKUP(AI44,'2) หลักการคำนวน Table'!$D$1:$M$5,5,TRUE),0),
IF($C44="SF WH",VLOOKUP($B44,'2) หลักการคำนวน Table'!$D$93:$M$108,HLOOKUP(AI44,'2) หลักการคำนวน Table'!$D$1:$M$5,5,TRUE),0))))),0)</f>
        <v>360</v>
      </c>
      <c r="BH44" s="167">
        <f>IFERROR(IF($C44="Top WS",VLOOKUP($B44,'2) หลักการคำนวน Table'!$D$5:$M$20,HLOOKUP(AP44,'2) หลักการคำนวน Table'!$D$1:$M$5,5,TRUE),0),
IF($C44="WS SF",VLOOKUP($B44,'2) หลักการคำนวน Table'!$D$33:$M$48,HLOOKUP(AP44,'2) หลักการคำนวน Table'!$D$1:$M$5,5,TRUE),0),
IF($C44="WS WH",VLOOKUP($B44,'2) หลักการคำนวน Table'!$D$63:$M$78,HLOOKUP(AP44,'2) หลักการคำนวน Table'!$D$1:$M$5,5,TRUE),0),
IF($C44="SF WH",VLOOKUP($B44,'2) หลักการคำนวน Table'!$D$93:$M$108,HLOOKUP(AP44,'2) หลักการคำนวน Table'!$D$1:$M$5,5,TRUE),0))))),0)</f>
        <v>360</v>
      </c>
      <c r="BI44" s="167">
        <f>IFERROR(IF($C44="Top WS",VLOOKUP($B44,'2) หลักการคำนวน Table'!$D$5:$M$20,HLOOKUP(AK44,'2) หลักการคำนวน Table'!$D$1:$M$5,5,TRUE),0),
IF($C44="WS SF",VLOOKUP($B44,'2) หลักการคำนวน Table'!$D$33:$M$48,HLOOKUP(AK44,'2) หลักการคำนวน Table'!$D$1:$M$5,5,TRUE),0),
IF($C44="WS WH",VLOOKUP($B44,'2) หลักการคำนวน Table'!$D$63:$M$78,HLOOKUP(AK44,'2) หลักการคำนวน Table'!$D$1:$M$5,5,TRUE),0),
IF($C44="SF WH",VLOOKUP($B44,'2) หลักการคำนวน Table'!$D$93:$M$108,HLOOKUP(AK44,'2) หลักการคำนวน Table'!$D$1:$M$5,5,TRUE),0))))),0)</f>
        <v>360</v>
      </c>
      <c r="BJ44" s="167">
        <f>IFERROR(IF($C44="Top WS",VLOOKUP($B44,'2) หลักการคำนวน Table'!$D$5:$M$20,HLOOKUP(AL44,'2) หลักการคำนวน Table'!$D$1:$M$5,5,TRUE),0),
IF($C44="WS SF",VLOOKUP($B44,'2) หลักการคำนวน Table'!$D$33:$M$48,HLOOKUP(AL44,'2) หลักการคำนวน Table'!$D$1:$M$5,5,TRUE),0),
IF($C44="WS WH",VLOOKUP($B44,'2) หลักการคำนวน Table'!$D$63:$M$78,HLOOKUP(AL44,'2) หลักการคำนวน Table'!$D$1:$M$5,5,TRUE),0),
IF($C44="SF WH",VLOOKUP($B44,'2) หลักการคำนวน Table'!$D$93:$M$108,HLOOKUP(AL44,'2) หลักการคำนวน Table'!$D$1:$M$5,5,TRUE),0))))),0)</f>
        <v>360</v>
      </c>
      <c r="BK44" s="167">
        <f>IFERROR(IF($C44="Top WS",VLOOKUP($B44,'2) หลักการคำนวน Table'!$D$5:$M$20,HLOOKUP(AM44,'2) หลักการคำนวน Table'!$D$1:$M$5,5,TRUE),0),
IF($C44="WS SF",VLOOKUP($B44,'2) หลักการคำนวน Table'!$D$33:$M$48,HLOOKUP(AM44,'2) หลักการคำนวน Table'!$D$1:$M$5,5,TRUE),0),
IF($C44="WS WH",VLOOKUP($B44,'2) หลักการคำนวน Table'!$D$63:$M$78,HLOOKUP(AM44,'2) หลักการคำนวน Table'!$D$1:$M$5,5,TRUE),0),
IF($C44="SF WH",VLOOKUP($B44,'2) หลักการคำนวน Table'!$D$93:$M$108,HLOOKUP(AM44,'2) หลักการคำนวน Table'!$D$1:$M$5,5,TRUE),0))))),0)</f>
        <v>360</v>
      </c>
      <c r="BM44" s="119">
        <f>VLOOKUP(VLOOKUP(A44,ASTBase!E:S,13,FALSE),ASTBase!F:P,11,FALSE)</f>
        <v>120000</v>
      </c>
      <c r="BN44" s="196" cm="1">
        <f t="array" ref="BN44">INDEX(AN44:AY44,,Period!$D$2)</f>
        <v>0.9</v>
      </c>
    </row>
    <row r="45" spans="1:66" x14ac:dyDescent="0.25">
      <c r="A45" s="117">
        <v>120002</v>
      </c>
      <c r="B45" s="117" t="s">
        <v>394</v>
      </c>
      <c r="C45" s="117" t="s">
        <v>178</v>
      </c>
      <c r="D45" s="118">
        <v>202</v>
      </c>
      <c r="E45" s="118">
        <v>299</v>
      </c>
      <c r="F45" s="118">
        <v>163</v>
      </c>
      <c r="G45" s="118">
        <v>56</v>
      </c>
      <c r="H45" s="118">
        <v>5</v>
      </c>
      <c r="I45" s="118">
        <v>265</v>
      </c>
      <c r="J45" s="118">
        <v>237</v>
      </c>
      <c r="K45" s="118">
        <v>371</v>
      </c>
      <c r="L45" s="118">
        <v>264</v>
      </c>
      <c r="M45" s="118">
        <v>233</v>
      </c>
      <c r="N45" s="118">
        <v>255</v>
      </c>
      <c r="O45" s="118">
        <v>253</v>
      </c>
      <c r="P45" s="117">
        <f>SUMIFS(Actual!C:C,Actual!$A:$A,'3)Target &amp; Cal'!$A45,Actual!$B:$B,'3)Target &amp; Cal'!$B45)</f>
        <v>140.4</v>
      </c>
      <c r="Q45" s="117">
        <f>SUMIFS(Actual!D:D,Actual!$A:$A,'3)Target &amp; Cal'!$A45,Actual!$B:$B,'3)Target &amp; Cal'!$B45)</f>
        <v>286.20000000000005</v>
      </c>
      <c r="R45" s="117">
        <f>SUMIFS(Actual!E:E,Actual!$A:$A,'3)Target &amp; Cal'!$A45,Actual!$B:$B,'3)Target &amp; Cal'!$B45)</f>
        <v>0</v>
      </c>
      <c r="S45" s="117">
        <f>SUMIFS(Actual!F:F,Actual!$A:$A,'3)Target &amp; Cal'!$A45,Actual!$B:$B,'3)Target &amp; Cal'!$B45)</f>
        <v>0</v>
      </c>
      <c r="T45" s="117">
        <f>SUMIFS(Actual!G:G,Actual!$A:$A,'3)Target &amp; Cal'!$A45,Actual!$B:$B,'3)Target &amp; Cal'!$B45)</f>
        <v>0</v>
      </c>
      <c r="U45" s="117">
        <f>SUMIFS(Actual!H:H,Actual!$A:$A,'3)Target &amp; Cal'!$A45,Actual!$B:$B,'3)Target &amp; Cal'!$B45)</f>
        <v>0</v>
      </c>
      <c r="V45" s="117">
        <f>SUMIFS(Actual!I:I,Actual!$A:$A,'3)Target &amp; Cal'!$A45,Actual!$B:$B,'3)Target &amp; Cal'!$B45)</f>
        <v>0</v>
      </c>
      <c r="W45" s="117">
        <f>SUMIFS(Actual!J:J,Actual!$A:$A,'3)Target &amp; Cal'!$A45,Actual!$B:$B,'3)Target &amp; Cal'!$B45)</f>
        <v>0</v>
      </c>
      <c r="X45" s="117">
        <f>SUMIFS(Actual!K:K,Actual!$A:$A,'3)Target &amp; Cal'!$A45,Actual!$B:$B,'3)Target &amp; Cal'!$B45)</f>
        <v>0</v>
      </c>
      <c r="Y45" s="117">
        <f>SUMIFS(Actual!L:L,Actual!$A:$A,'3)Target &amp; Cal'!$A45,Actual!$B:$B,'3)Target &amp; Cal'!$B45)</f>
        <v>0</v>
      </c>
      <c r="Z45" s="117">
        <f>SUMIFS(Actual!M:M,Actual!$A:$A,'3)Target &amp; Cal'!$A45,Actual!$B:$B,'3)Target &amp; Cal'!$B45)</f>
        <v>0</v>
      </c>
      <c r="AA45" s="117">
        <f>SUMIFS(Actual!N:N,Actual!$A:$A,'3)Target &amp; Cal'!$A45,Actual!$B:$B,'3)Target &amp; Cal'!$B45)</f>
        <v>0</v>
      </c>
      <c r="AB45" s="123">
        <f>IFERROR(IF(VLOOKUP($B45,Shortage!$A:$M,AB$2,FALSE)="Shortage",1,IFERROR(ROUND(P45/D45,4),0)),IFERROR(ROUND(P45/D45,4),0))</f>
        <v>0.69499999999999995</v>
      </c>
      <c r="AC45" s="123">
        <f>IFERROR(IF(VLOOKUP($B45,Shortage!$A:$M,AC$2,FALSE)="Shortage",1,IFERROR(ROUND(Q45/E45,4),0)),IFERROR(ROUND(Q45/E45,4),0))</f>
        <v>0.95720000000000005</v>
      </c>
      <c r="AD45" s="123">
        <f>IFERROR(IF(VLOOKUP($B45,Shortage!$A:$M,AD$2,FALSE)="Shortage",1,IFERROR(ROUND(R45/F45,4),0)),IFERROR(ROUND(R45/F45,4),0))</f>
        <v>0</v>
      </c>
      <c r="AE45" s="123">
        <f>IFERROR(IF(VLOOKUP($B45,Shortage!$A:$M,AE$2,FALSE)="Shortage",1,IFERROR(ROUND(S45/G45,4),0)),IFERROR(ROUND(S45/G45,4),0))</f>
        <v>0</v>
      </c>
      <c r="AF45" s="123">
        <f>IFERROR(IF(VLOOKUP($B45,Shortage!$A:$M,AF$2,FALSE)="Shortage",1,IFERROR(ROUND(T45/H45,4),0)),IFERROR(ROUND(T45/H45,4),0))</f>
        <v>0</v>
      </c>
      <c r="AG45" s="123">
        <f>IFERROR(IF(VLOOKUP($B45,Shortage!$A:$M,AG$2,FALSE)="Shortage",1,IFERROR(ROUND(U45/I45,4),0)),IFERROR(ROUND(U45/I45,4),0))</f>
        <v>0</v>
      </c>
      <c r="AH45" s="123">
        <f>IFERROR(IF(VLOOKUP($B45,Shortage!$A:$M,AH$2,FALSE)="Shortage",1,IFERROR(ROUND(V45/J45,4),0)),IFERROR(ROUND(V45/J45,4),0))</f>
        <v>0</v>
      </c>
      <c r="AI45" s="123">
        <f>IFERROR(IF(VLOOKUP($B45,Shortage!$A:$M,AI$2,FALSE)="Shortage",1,IFERROR(ROUND(W45/K45,4),0)),IFERROR(ROUND(W45/K45,4),0))</f>
        <v>0</v>
      </c>
      <c r="AJ45" s="123">
        <f>IFERROR(IF(VLOOKUP($B45,Shortage!$A:$M,AP$2,FALSE)="Shortage",1,IFERROR(ROUND(X45/L45,4),0)),IFERROR(ROUND(X45/L45,4),0))</f>
        <v>0</v>
      </c>
      <c r="AK45" s="123">
        <f>IFERROR(IF(VLOOKUP($B45,Shortage!$A:$M,AK$2,FALSE)="Shortage",1,IFERROR(ROUND(Y45/M45,4),0)),IFERROR(ROUND(Y45/M45,4),0))</f>
        <v>0</v>
      </c>
      <c r="AL45" s="123">
        <f>IFERROR(IF(VLOOKUP($B45,Shortage!$A:$M,AL$2,FALSE)="Shortage",1,IFERROR(ROUND(Z45/N45,4),0)),IFERROR(ROUND(Z45/N45,4),0))</f>
        <v>0</v>
      </c>
      <c r="AM45" s="123">
        <f>IFERROR(IF(VLOOKUP($B45,Shortage!$A:$M,AM$2,FALSE)="Shortage",1,IFERROR(ROUND(AA45/O45,4),0)),IFERROR(ROUND(AA45/O45,4),0))</f>
        <v>0</v>
      </c>
      <c r="AN45" s="232">
        <f>IFERROR(IF($C45="Top WS",VLOOKUP("GOAL",'2) หลักการคำนวน Table'!$D$4:$M$4,HLOOKUP(AB45,'2) หลักการคำนวน Table'!$D$1:$M$5,5,TRUE),0),
IF($C45="WS SF",VLOOKUP("GOAL",'2) หลักการคำนวน Table'!$D$32:$M$32,HLOOKUP(AB45,'2) หลักการคำนวน Table'!$D$1:$M$5,5,TRUE),0),
IF($C45="WS WH",VLOOKUP("GOAL",'2) หลักการคำนวน Table'!$D$62:$M$62,HLOOKUP(AB45,'2) หลักการคำนวน Table'!$D$1:$M$5,5,TRUE),0),
IF($C45="SF WH",VLOOKUP("GOAL",'2) หลักการคำนวน Table'!$D$92:$M$92,HLOOKUP(AB45,'2) หลักการคำนวน Table'!$D$1:$M$5,5,TRUE),0))))),0)</f>
        <v>0.9</v>
      </c>
      <c r="AO45" s="232">
        <f>IFERROR(IF($C45="Top WS",VLOOKUP("GOAL",'2) หลักการคำนวน Table'!$D$4:$M$4,HLOOKUP(AC45,'2) หลักการคำนวน Table'!$D$1:$M$5,5,TRUE),0),
IF($C45="WS SF",VLOOKUP("GOAL",'2) หลักการคำนวน Table'!$D$32:$M$32,HLOOKUP(AC45,'2) หลักการคำนวน Table'!$D$1:$M$5,5,TRUE),0),
IF($C45="WS WH",VLOOKUP("GOAL",'2) หลักการคำนวน Table'!$D$62:$M$62,HLOOKUP(AC45,'2) หลักการคำนวน Table'!$D$1:$M$5,5,TRUE),0),
IF($C45="SF WH",VLOOKUP("GOAL",'2) หลักการคำนวน Table'!$D$92:$M$92,HLOOKUP(AC45,'2) หลักการคำนวน Table'!$D$1:$M$5,5,TRUE),0))))),0)</f>
        <v>1</v>
      </c>
      <c r="AP45" s="232">
        <f>IFERROR(IF($C45="Top WS",VLOOKUP("GOAL",'2) หลักการคำนวน Table'!$D$4:$M$4,HLOOKUP(AD45,'2) หลักการคำนวน Table'!$D$1:$M$5,5,TRUE),0),
IF($C45="WS SF",VLOOKUP("GOAL",'2) หลักการคำนวน Table'!$D$32:$M$32,HLOOKUP(AD45,'2) หลักการคำนวน Table'!$D$1:$M$5,5,TRUE),0),
IF($C45="WS WH",VLOOKUP("GOAL",'2) หลักการคำนวน Table'!$D$62:$M$62,HLOOKUP(AD45,'2) หลักการคำนวน Table'!$D$1:$M$5,5,TRUE),0),
IF($C45="SF WH",VLOOKUP("GOAL",'2) หลักการคำนวน Table'!$D$92:$M$92,HLOOKUP(AD45,'2) หลักการคำนวน Table'!$D$1:$M$5,5,TRUE),0))))),0)</f>
        <v>0.9</v>
      </c>
      <c r="AQ45" s="232">
        <f>IFERROR(IF($C45="Top WS",VLOOKUP("GOAL",'2) หลักการคำนวน Table'!$D$4:$M$4,HLOOKUP(AE45,'2) หลักการคำนวน Table'!$D$1:$M$5,5,TRUE),0),
IF($C45="WS SF",VLOOKUP("GOAL",'2) หลักการคำนวน Table'!$D$32:$M$32,HLOOKUP(AE45,'2) หลักการคำนวน Table'!$D$1:$M$5,5,TRUE),0),
IF($C45="WS WH",VLOOKUP("GOAL",'2) หลักการคำนวน Table'!$D$62:$M$62,HLOOKUP(AE45,'2) หลักการคำนวน Table'!$D$1:$M$5,5,TRUE),0),
IF($C45="SF WH",VLOOKUP("GOAL",'2) หลักการคำนวน Table'!$D$92:$M$92,HLOOKUP(AE45,'2) หลักการคำนวน Table'!$D$1:$M$5,5,TRUE),0))))),0)</f>
        <v>0.9</v>
      </c>
      <c r="AR45" s="232">
        <f>IFERROR(IF($C45="Top WS",VLOOKUP("GOAL",'2) หลักการคำนวน Table'!$D$4:$M$4,HLOOKUP(AF45,'2) หลักการคำนวน Table'!$D$1:$M$5,5,TRUE),0),
IF($C45="WS SF",VLOOKUP("GOAL",'2) หลักการคำนวน Table'!$D$32:$M$32,HLOOKUP(AF45,'2) หลักการคำนวน Table'!$D$1:$M$5,5,TRUE),0),
IF($C45="WS WH",VLOOKUP("GOAL",'2) หลักการคำนวน Table'!$D$62:$M$62,HLOOKUP(AF45,'2) หลักการคำนวน Table'!$D$1:$M$5,5,TRUE),0),
IF($C45="SF WH",VLOOKUP("GOAL",'2) หลักการคำนวน Table'!$D$92:$M$92,HLOOKUP(AF45,'2) หลักการคำนวน Table'!$D$1:$M$5,5,TRUE),0))))),0)</f>
        <v>0.9</v>
      </c>
      <c r="AS45" s="232">
        <f>IFERROR(IF($C45="Top WS",VLOOKUP("GOAL",'2) หลักการคำนวน Table'!$D$4:$M$4,HLOOKUP(AG45,'2) หลักการคำนวน Table'!$D$1:$M$5,5,TRUE),0),
IF($C45="WS SF",VLOOKUP("GOAL",'2) หลักการคำนวน Table'!$D$32:$M$32,HLOOKUP(AG45,'2) หลักการคำนวน Table'!$D$1:$M$5,5,TRUE),0),
IF($C45="WS WH",VLOOKUP("GOAL",'2) หลักการคำนวน Table'!$D$62:$M$62,HLOOKUP(AG45,'2) หลักการคำนวน Table'!$D$1:$M$5,5,TRUE),0),
IF($C45="SF WH",VLOOKUP("GOAL",'2) หลักการคำนวน Table'!$D$92:$M$92,HLOOKUP(AG45,'2) หลักการคำนวน Table'!$D$1:$M$5,5,TRUE),0))))),0)</f>
        <v>0.9</v>
      </c>
      <c r="AT45" s="232">
        <f>IFERROR(IF($C45="Top WS",VLOOKUP("GOAL",'2) หลักการคำนวน Table'!$D$4:$M$4,HLOOKUP(AH45,'2) หลักการคำนวน Table'!$D$1:$M$5,5,TRUE),0),
IF($C45="WS SF",VLOOKUP("GOAL",'2) หลักการคำนวน Table'!$D$32:$M$32,HLOOKUP(AH45,'2) หลักการคำนวน Table'!$D$1:$M$5,5,TRUE),0),
IF($C45="WS WH",VLOOKUP("GOAL",'2) หลักการคำนวน Table'!$D$62:$M$62,HLOOKUP(AH45,'2) หลักการคำนวน Table'!$D$1:$M$5,5,TRUE),0),
IF($C45="SF WH",VLOOKUP("GOAL",'2) หลักการคำนวน Table'!$D$92:$M$92,HLOOKUP(AH45,'2) หลักการคำนวน Table'!$D$1:$M$5,5,TRUE),0))))),0)</f>
        <v>0.9</v>
      </c>
      <c r="AU45" s="232">
        <f>IFERROR(IF($C45="Top WS",VLOOKUP("GOAL",'2) หลักการคำนวน Table'!$D$4:$M$4,HLOOKUP(AI45,'2) หลักการคำนวน Table'!$D$1:$M$5,5,TRUE),0),
IF($C45="WS SF",VLOOKUP("GOAL",'2) หลักการคำนวน Table'!$D$32:$M$32,HLOOKUP(AI45,'2) หลักการคำนวน Table'!$D$1:$M$5,5,TRUE),0),
IF($C45="WS WH",VLOOKUP("GOAL",'2) หลักการคำนวน Table'!$D$62:$M$62,HLOOKUP(AI45,'2) หลักการคำนวน Table'!$D$1:$M$5,5,TRUE),0),
IF($C45="SF WH",VLOOKUP("GOAL",'2) หลักการคำนวน Table'!$D$92:$M$92,HLOOKUP(AI45,'2) หลักการคำนวน Table'!$D$1:$M$5,5,TRUE),0))))),0)</f>
        <v>0.9</v>
      </c>
      <c r="AV45" s="232">
        <f>IFERROR(IF($C45="Top WS",VLOOKUP("GOAL",'2) หลักการคำนวน Table'!$D$4:$M$4,HLOOKUP(AP45,'2) หลักการคำนวน Table'!$D$1:$M$5,5,TRUE),0),
IF($C45="WS SF",VLOOKUP("GOAL",'2) หลักการคำนวน Table'!$D$32:$M$32,HLOOKUP(AP45,'2) หลักการคำนวน Table'!$D$1:$M$5,5,TRUE),0),
IF($C45="WS WH",VLOOKUP("GOAL",'2) หลักการคำนวน Table'!$D$62:$M$62,HLOOKUP(AP45,'2) หลักการคำนวน Table'!$D$1:$M$5,5,TRUE),0),
IF($C45="SF WH",VLOOKUP("GOAL",'2) หลักการคำนวน Table'!$D$92:$M$92,HLOOKUP(AP45,'2) หลักการคำนวน Table'!$D$1:$M$5,5,TRUE),0))))),0)</f>
        <v>0.9</v>
      </c>
      <c r="AW45" s="232">
        <f>IFERROR(IF($C45="Top WS",VLOOKUP("GOAL",'2) หลักการคำนวน Table'!$D$4:$M$4,HLOOKUP(AK45,'2) หลักการคำนวน Table'!$D$1:$M$5,5,TRUE),0),
IF($C45="WS SF",VLOOKUP("GOAL",'2) หลักการคำนวน Table'!$D$32:$M$32,HLOOKUP(AK45,'2) หลักการคำนวน Table'!$D$1:$M$5,5,TRUE),0),
IF($C45="WS WH",VLOOKUP("GOAL",'2) หลักการคำนวน Table'!$D$62:$M$62,HLOOKUP(AK45,'2) หลักการคำนวน Table'!$D$1:$M$5,5,TRUE),0),
IF($C45="SF WH",VLOOKUP("GOAL",'2) หลักการคำนวน Table'!$D$92:$M$92,HLOOKUP(AK45,'2) หลักการคำนวน Table'!$D$1:$M$5,5,TRUE),0))))),0)</f>
        <v>0.9</v>
      </c>
      <c r="AX45" s="232">
        <f>IFERROR(IF($C45="Top WS",VLOOKUP("GOAL",'2) หลักการคำนวน Table'!$D$4:$M$4,HLOOKUP(AL45,'2) หลักการคำนวน Table'!$D$1:$M$5,5,TRUE),0),
IF($C45="WS SF",VLOOKUP("GOAL",'2) หลักการคำนวน Table'!$D$32:$M$32,HLOOKUP(AL45,'2) หลักการคำนวน Table'!$D$1:$M$5,5,TRUE),0),
IF($C45="WS WH",VLOOKUP("GOAL",'2) หลักการคำนวน Table'!$D$62:$M$62,HLOOKUP(AL45,'2) หลักการคำนวน Table'!$D$1:$M$5,5,TRUE),0),
IF($C45="SF WH",VLOOKUP("GOAL",'2) หลักการคำนวน Table'!$D$92:$M$92,HLOOKUP(AL45,'2) หลักการคำนวน Table'!$D$1:$M$5,5,TRUE),0))))),0)</f>
        <v>0.9</v>
      </c>
      <c r="AY45" s="232">
        <f>IFERROR(IF($C45="Top WS",VLOOKUP("GOAL",'2) หลักการคำนวน Table'!$D$4:$M$4,HLOOKUP(AM45,'2) หลักการคำนวน Table'!$D$1:$M$5,5,TRUE),0),
IF($C45="WS SF",VLOOKUP("GOAL",'2) หลักการคำนวน Table'!$D$32:$M$32,HLOOKUP(AM45,'2) หลักการคำนวน Table'!$D$1:$M$5,5,TRUE),0),
IF($C45="WS WH",VLOOKUP("GOAL",'2) หลักการคำนวน Table'!$D$62:$M$62,HLOOKUP(AM45,'2) หลักการคำนวน Table'!$D$1:$M$5,5,TRUE),0),
IF($C45="SF WH",VLOOKUP("GOAL",'2) หลักการคำนวน Table'!$D$92:$M$92,HLOOKUP(AM45,'2) หลักการคำนวน Table'!$D$1:$M$5,5,TRUE),0))))),0)</f>
        <v>0.9</v>
      </c>
      <c r="AZ45" s="167">
        <f>IFERROR(IF($C45="Top WS",VLOOKUP($B45,'2) หลักการคำนวน Table'!$D$5:$M$20,HLOOKUP(AB45,'2) หลักการคำนวน Table'!$D$1:$M$5,5,TRUE),0),
IF($C45="WS SF",VLOOKUP($B45,'2) หลักการคำนวน Table'!$D$33:$M$48,HLOOKUP(AB45,'2) หลักการคำนวน Table'!$D$1:$M$5,5,TRUE),0),
IF($C45="WS WH",VLOOKUP($B45,'2) หลักการคำนวน Table'!$D$63:$M$78,HLOOKUP(AB45,'2) หลักการคำนวน Table'!$D$1:$M$5,5,TRUE),0),
IF($C45="SF WH",VLOOKUP($B45,'2) หลักการคำนวน Table'!$D$93:$M$108,HLOOKUP(AB45,'2) หลักการคำนวน Table'!$D$1:$M$5,5,TRUE),0))))),0)</f>
        <v>180</v>
      </c>
      <c r="BA45" s="167">
        <f>IFERROR(IF($C45="Top WS",VLOOKUP($B45,'2) หลักการคำนวน Table'!$D$5:$M$20,HLOOKUP(AC45,'2) หลักการคำนวน Table'!$D$1:$M$5,5,TRUE),0),
IF($C45="WS SF",VLOOKUP($B45,'2) หลักการคำนวน Table'!$D$33:$M$48,HLOOKUP(AC45,'2) หลักการคำนวน Table'!$D$1:$M$5,5,TRUE),0),
IF($C45="WS WH",VLOOKUP($B45,'2) หลักการคำนวน Table'!$D$63:$M$78,HLOOKUP(AC45,'2) หลักการคำนวน Table'!$D$1:$M$5,5,TRUE),0),
IF($C45="SF WH",VLOOKUP($B45,'2) หลักการคำนวน Table'!$D$93:$M$108,HLOOKUP(AC45,'2) หลักการคำนวน Table'!$D$1:$M$5,5,TRUE),0))))),0)</f>
        <v>200</v>
      </c>
      <c r="BB45" s="167">
        <f>IFERROR(IF($C45="Top WS",VLOOKUP($B45,'2) หลักการคำนวน Table'!$D$5:$M$20,HLOOKUP(AD45,'2) หลักการคำนวน Table'!$D$1:$M$5,5,TRUE),0),
IF($C45="WS SF",VLOOKUP($B45,'2) หลักการคำนวน Table'!$D$33:$M$48,HLOOKUP(AD45,'2) หลักการคำนวน Table'!$D$1:$M$5,5,TRUE),0),
IF($C45="WS WH",VLOOKUP($B45,'2) หลักการคำนวน Table'!$D$63:$M$78,HLOOKUP(AD45,'2) หลักการคำนวน Table'!$D$1:$M$5,5,TRUE),0),
IF($C45="SF WH",VLOOKUP($B45,'2) หลักการคำนวน Table'!$D$93:$M$108,HLOOKUP(AD45,'2) หลักการคำนวน Table'!$D$1:$M$5,5,TRUE),0))))),0)</f>
        <v>180</v>
      </c>
      <c r="BC45" s="167">
        <f>IFERROR(IF($C45="Top WS",VLOOKUP($B45,'2) หลักการคำนวน Table'!$D$5:$M$20,HLOOKUP(AE45,'2) หลักการคำนวน Table'!$D$1:$M$5,5,TRUE),0),
IF($C45="WS SF",VLOOKUP($B45,'2) หลักการคำนวน Table'!$D$33:$M$48,HLOOKUP(AE45,'2) หลักการคำนวน Table'!$D$1:$M$5,5,TRUE),0),
IF($C45="WS WH",VLOOKUP($B45,'2) หลักการคำนวน Table'!$D$63:$M$78,HLOOKUP(AE45,'2) หลักการคำนวน Table'!$D$1:$M$5,5,TRUE),0),
IF($C45="SF WH",VLOOKUP($B45,'2) หลักการคำนวน Table'!$D$93:$M$108,HLOOKUP(AE45,'2) หลักการคำนวน Table'!$D$1:$M$5,5,TRUE),0))))),0)</f>
        <v>180</v>
      </c>
      <c r="BD45" s="167">
        <f>IFERROR(IF($C45="Top WS",VLOOKUP($B45,'2) หลักการคำนวน Table'!$D$5:$M$20,HLOOKUP(AF45,'2) หลักการคำนวน Table'!$D$1:$M$5,5,TRUE),0),
IF($C45="WS SF",VLOOKUP($B45,'2) หลักการคำนวน Table'!$D$33:$M$48,HLOOKUP(AF45,'2) หลักการคำนวน Table'!$D$1:$M$5,5,TRUE),0),
IF($C45="WS WH",VLOOKUP($B45,'2) หลักการคำนวน Table'!$D$63:$M$78,HLOOKUP(AF45,'2) หลักการคำนวน Table'!$D$1:$M$5,5,TRUE),0),
IF($C45="SF WH",VLOOKUP($B45,'2) หลักการคำนวน Table'!$D$93:$M$108,HLOOKUP(AF45,'2) หลักการคำนวน Table'!$D$1:$M$5,5,TRUE),0))))),0)</f>
        <v>180</v>
      </c>
      <c r="BE45" s="167">
        <f>IFERROR(IF($C45="Top WS",VLOOKUP($B45,'2) หลักการคำนวน Table'!$D$5:$M$20,HLOOKUP(AG45,'2) หลักการคำนวน Table'!$D$1:$M$5,5,TRUE),0),
IF($C45="WS SF",VLOOKUP($B45,'2) หลักการคำนวน Table'!$D$33:$M$48,HLOOKUP(AG45,'2) หลักการคำนวน Table'!$D$1:$M$5,5,TRUE),0),
IF($C45="WS WH",VLOOKUP($B45,'2) หลักการคำนวน Table'!$D$63:$M$78,HLOOKUP(AG45,'2) หลักการคำนวน Table'!$D$1:$M$5,5,TRUE),0),
IF($C45="SF WH",VLOOKUP($B45,'2) หลักการคำนวน Table'!$D$93:$M$108,HLOOKUP(AG45,'2) หลักการคำนวน Table'!$D$1:$M$5,5,TRUE),0))))),0)</f>
        <v>180</v>
      </c>
      <c r="BF45" s="167">
        <f>IFERROR(IF($C45="Top WS",VLOOKUP($B45,'2) หลักการคำนวน Table'!$D$5:$M$20,HLOOKUP(AH45,'2) หลักการคำนวน Table'!$D$1:$M$5,5,TRUE),0),
IF($C45="WS SF",VLOOKUP($B45,'2) หลักการคำนวน Table'!$D$33:$M$48,HLOOKUP(AH45,'2) หลักการคำนวน Table'!$D$1:$M$5,5,TRUE),0),
IF($C45="WS WH",VLOOKUP($B45,'2) หลักการคำนวน Table'!$D$63:$M$78,HLOOKUP(AH45,'2) หลักการคำนวน Table'!$D$1:$M$5,5,TRUE),0),
IF($C45="SF WH",VLOOKUP($B45,'2) หลักการคำนวน Table'!$D$93:$M$108,HLOOKUP(AH45,'2) หลักการคำนวน Table'!$D$1:$M$5,5,TRUE),0))))),0)</f>
        <v>180</v>
      </c>
      <c r="BG45" s="167">
        <f>IFERROR(IF($C45="Top WS",VLOOKUP($B45,'2) หลักการคำนวน Table'!$D$5:$M$20,HLOOKUP(AI45,'2) หลักการคำนวน Table'!$D$1:$M$5,5,TRUE),0),
IF($C45="WS SF",VLOOKUP($B45,'2) หลักการคำนวน Table'!$D$33:$M$48,HLOOKUP(AI45,'2) หลักการคำนวน Table'!$D$1:$M$5,5,TRUE),0),
IF($C45="WS WH",VLOOKUP($B45,'2) หลักการคำนวน Table'!$D$63:$M$78,HLOOKUP(AI45,'2) หลักการคำนวน Table'!$D$1:$M$5,5,TRUE),0),
IF($C45="SF WH",VLOOKUP($B45,'2) หลักการคำนวน Table'!$D$93:$M$108,HLOOKUP(AI45,'2) หลักการคำนวน Table'!$D$1:$M$5,5,TRUE),0))))),0)</f>
        <v>180</v>
      </c>
      <c r="BH45" s="167">
        <f>IFERROR(IF($C45="Top WS",VLOOKUP($B45,'2) หลักการคำนวน Table'!$D$5:$M$20,HLOOKUP(AP45,'2) หลักการคำนวน Table'!$D$1:$M$5,5,TRUE),0),
IF($C45="WS SF",VLOOKUP($B45,'2) หลักการคำนวน Table'!$D$33:$M$48,HLOOKUP(AP45,'2) หลักการคำนวน Table'!$D$1:$M$5,5,TRUE),0),
IF($C45="WS WH",VLOOKUP($B45,'2) หลักการคำนวน Table'!$D$63:$M$78,HLOOKUP(AP45,'2) หลักการคำนวน Table'!$D$1:$M$5,5,TRUE),0),
IF($C45="SF WH",VLOOKUP($B45,'2) หลักการคำนวน Table'!$D$93:$M$108,HLOOKUP(AP45,'2) หลักการคำนวน Table'!$D$1:$M$5,5,TRUE),0))))),0)</f>
        <v>180</v>
      </c>
      <c r="BI45" s="167">
        <f>IFERROR(IF($C45="Top WS",VLOOKUP($B45,'2) หลักการคำนวน Table'!$D$5:$M$20,HLOOKUP(AK45,'2) หลักการคำนวน Table'!$D$1:$M$5,5,TRUE),0),
IF($C45="WS SF",VLOOKUP($B45,'2) หลักการคำนวน Table'!$D$33:$M$48,HLOOKUP(AK45,'2) หลักการคำนวน Table'!$D$1:$M$5,5,TRUE),0),
IF($C45="WS WH",VLOOKUP($B45,'2) หลักการคำนวน Table'!$D$63:$M$78,HLOOKUP(AK45,'2) หลักการคำนวน Table'!$D$1:$M$5,5,TRUE),0),
IF($C45="SF WH",VLOOKUP($B45,'2) หลักการคำนวน Table'!$D$93:$M$108,HLOOKUP(AK45,'2) หลักการคำนวน Table'!$D$1:$M$5,5,TRUE),0))))),0)</f>
        <v>180</v>
      </c>
      <c r="BJ45" s="167">
        <f>IFERROR(IF($C45="Top WS",VLOOKUP($B45,'2) หลักการคำนวน Table'!$D$5:$M$20,HLOOKUP(AL45,'2) หลักการคำนวน Table'!$D$1:$M$5,5,TRUE),0),
IF($C45="WS SF",VLOOKUP($B45,'2) หลักการคำนวน Table'!$D$33:$M$48,HLOOKUP(AL45,'2) หลักการคำนวน Table'!$D$1:$M$5,5,TRUE),0),
IF($C45="WS WH",VLOOKUP($B45,'2) หลักการคำนวน Table'!$D$63:$M$78,HLOOKUP(AL45,'2) หลักการคำนวน Table'!$D$1:$M$5,5,TRUE),0),
IF($C45="SF WH",VLOOKUP($B45,'2) หลักการคำนวน Table'!$D$93:$M$108,HLOOKUP(AL45,'2) หลักการคำนวน Table'!$D$1:$M$5,5,TRUE),0))))),0)</f>
        <v>180</v>
      </c>
      <c r="BK45" s="167">
        <f>IFERROR(IF($C45="Top WS",VLOOKUP($B45,'2) หลักการคำนวน Table'!$D$5:$M$20,HLOOKUP(AM45,'2) หลักการคำนวน Table'!$D$1:$M$5,5,TRUE),0),
IF($C45="WS SF",VLOOKUP($B45,'2) หลักการคำนวน Table'!$D$33:$M$48,HLOOKUP(AM45,'2) หลักการคำนวน Table'!$D$1:$M$5,5,TRUE),0),
IF($C45="WS WH",VLOOKUP($B45,'2) หลักการคำนวน Table'!$D$63:$M$78,HLOOKUP(AM45,'2) หลักการคำนวน Table'!$D$1:$M$5,5,TRUE),0),
IF($C45="SF WH",VLOOKUP($B45,'2) หลักการคำนวน Table'!$D$93:$M$108,HLOOKUP(AM45,'2) หลักการคำนวน Table'!$D$1:$M$5,5,TRUE),0))))),0)</f>
        <v>180</v>
      </c>
      <c r="BM45" s="119">
        <f>VLOOKUP(VLOOKUP(A45,ASTBase!E:S,13,FALSE),ASTBase!F:P,11,FALSE)</f>
        <v>120000</v>
      </c>
      <c r="BN45" s="196" cm="1">
        <f t="array" ref="BN45">INDEX(AN45:AY45,,Period!$D$2)</f>
        <v>1</v>
      </c>
    </row>
    <row r="46" spans="1:66" x14ac:dyDescent="0.25">
      <c r="A46" s="117">
        <v>120002</v>
      </c>
      <c r="B46" s="117" t="s">
        <v>405</v>
      </c>
      <c r="C46" s="117" t="s">
        <v>178</v>
      </c>
      <c r="D46" s="118">
        <v>239</v>
      </c>
      <c r="E46" s="118">
        <v>227</v>
      </c>
      <c r="F46" s="118">
        <v>240</v>
      </c>
      <c r="G46" s="118">
        <v>164</v>
      </c>
      <c r="H46" s="118">
        <v>137</v>
      </c>
      <c r="I46" s="118">
        <v>239</v>
      </c>
      <c r="J46" s="118">
        <v>171</v>
      </c>
      <c r="K46" s="118">
        <v>174</v>
      </c>
      <c r="L46" s="118">
        <v>120</v>
      </c>
      <c r="M46" s="118">
        <v>163</v>
      </c>
      <c r="N46" s="118">
        <v>227</v>
      </c>
      <c r="O46" s="118">
        <v>229</v>
      </c>
      <c r="P46" s="117">
        <f>SUMIFS(Actual!C:C,Actual!$A:$A,'3)Target &amp; Cal'!$A46,Actual!$B:$B,'3)Target &amp; Cal'!$B46)</f>
        <v>149.42000000000002</v>
      </c>
      <c r="Q46" s="117">
        <f>SUMIFS(Actual!D:D,Actual!$A:$A,'3)Target &amp; Cal'!$A46,Actual!$B:$B,'3)Target &amp; Cal'!$B46)</f>
        <v>246.4</v>
      </c>
      <c r="R46" s="117">
        <f>SUMIFS(Actual!E:E,Actual!$A:$A,'3)Target &amp; Cal'!$A46,Actual!$B:$B,'3)Target &amp; Cal'!$B46)</f>
        <v>0</v>
      </c>
      <c r="S46" s="117">
        <f>SUMIFS(Actual!F:F,Actual!$A:$A,'3)Target &amp; Cal'!$A46,Actual!$B:$B,'3)Target &amp; Cal'!$B46)</f>
        <v>0</v>
      </c>
      <c r="T46" s="117">
        <f>SUMIFS(Actual!G:G,Actual!$A:$A,'3)Target &amp; Cal'!$A46,Actual!$B:$B,'3)Target &amp; Cal'!$B46)</f>
        <v>0</v>
      </c>
      <c r="U46" s="117">
        <f>SUMIFS(Actual!H:H,Actual!$A:$A,'3)Target &amp; Cal'!$A46,Actual!$B:$B,'3)Target &amp; Cal'!$B46)</f>
        <v>0</v>
      </c>
      <c r="V46" s="117">
        <f>SUMIFS(Actual!I:I,Actual!$A:$A,'3)Target &amp; Cal'!$A46,Actual!$B:$B,'3)Target &amp; Cal'!$B46)</f>
        <v>0</v>
      </c>
      <c r="W46" s="117">
        <f>SUMIFS(Actual!J:J,Actual!$A:$A,'3)Target &amp; Cal'!$A46,Actual!$B:$B,'3)Target &amp; Cal'!$B46)</f>
        <v>0</v>
      </c>
      <c r="X46" s="117">
        <f>SUMIFS(Actual!K:K,Actual!$A:$A,'3)Target &amp; Cal'!$A46,Actual!$B:$B,'3)Target &amp; Cal'!$B46)</f>
        <v>0</v>
      </c>
      <c r="Y46" s="117">
        <f>SUMIFS(Actual!L:L,Actual!$A:$A,'3)Target &amp; Cal'!$A46,Actual!$B:$B,'3)Target &amp; Cal'!$B46)</f>
        <v>0</v>
      </c>
      <c r="Z46" s="117">
        <f>SUMIFS(Actual!M:M,Actual!$A:$A,'3)Target &amp; Cal'!$A46,Actual!$B:$B,'3)Target &amp; Cal'!$B46)</f>
        <v>0</v>
      </c>
      <c r="AA46" s="117">
        <f>SUMIFS(Actual!N:N,Actual!$A:$A,'3)Target &amp; Cal'!$A46,Actual!$B:$B,'3)Target &amp; Cal'!$B46)</f>
        <v>0</v>
      </c>
      <c r="AB46" s="123">
        <f>IFERROR(IF(VLOOKUP($B46,Shortage!$A:$M,AB$2,FALSE)="Shortage",1,IFERROR(ROUND(P46/D46,4),0)),IFERROR(ROUND(P46/D46,4),0))</f>
        <v>0.62519999999999998</v>
      </c>
      <c r="AC46" s="123">
        <f>IFERROR(IF(VLOOKUP($B46,Shortage!$A:$M,AC$2,FALSE)="Shortage",1,IFERROR(ROUND(Q46/E46,4),0)),IFERROR(ROUND(Q46/E46,4),0))</f>
        <v>1.0854999999999999</v>
      </c>
      <c r="AD46" s="123">
        <f>IFERROR(IF(VLOOKUP($B46,Shortage!$A:$M,AD$2,FALSE)="Shortage",1,IFERROR(ROUND(R46/F46,4),0)),IFERROR(ROUND(R46/F46,4),0))</f>
        <v>0</v>
      </c>
      <c r="AE46" s="123">
        <f>IFERROR(IF(VLOOKUP($B46,Shortage!$A:$M,AE$2,FALSE)="Shortage",1,IFERROR(ROUND(S46/G46,4),0)),IFERROR(ROUND(S46/G46,4),0))</f>
        <v>0</v>
      </c>
      <c r="AF46" s="123">
        <f>IFERROR(IF(VLOOKUP($B46,Shortage!$A:$M,AF$2,FALSE)="Shortage",1,IFERROR(ROUND(T46/H46,4),0)),IFERROR(ROUND(T46/H46,4),0))</f>
        <v>0</v>
      </c>
      <c r="AG46" s="123">
        <f>IFERROR(IF(VLOOKUP($B46,Shortage!$A:$M,AG$2,FALSE)="Shortage",1,IFERROR(ROUND(U46/I46,4),0)),IFERROR(ROUND(U46/I46,4),0))</f>
        <v>0</v>
      </c>
      <c r="AH46" s="123">
        <f>IFERROR(IF(VLOOKUP($B46,Shortage!$A:$M,AH$2,FALSE)="Shortage",1,IFERROR(ROUND(V46/J46,4),0)),IFERROR(ROUND(V46/J46,4),0))</f>
        <v>0</v>
      </c>
      <c r="AI46" s="123">
        <f>IFERROR(IF(VLOOKUP($B46,Shortage!$A:$M,AI$2,FALSE)="Shortage",1,IFERROR(ROUND(W46/K46,4),0)),IFERROR(ROUND(W46/K46,4),0))</f>
        <v>0</v>
      </c>
      <c r="AJ46" s="123">
        <f>IFERROR(IF(VLOOKUP($B46,Shortage!$A:$M,AP$2,FALSE)="Shortage",1,IFERROR(ROUND(X46/L46,4),0)),IFERROR(ROUND(X46/L46,4),0))</f>
        <v>0</v>
      </c>
      <c r="AK46" s="123">
        <f>IFERROR(IF(VLOOKUP($B46,Shortage!$A:$M,AK$2,FALSE)="Shortage",1,IFERROR(ROUND(Y46/M46,4),0)),IFERROR(ROUND(Y46/M46,4),0))</f>
        <v>0</v>
      </c>
      <c r="AL46" s="123">
        <f>IFERROR(IF(VLOOKUP($B46,Shortage!$A:$M,AL$2,FALSE)="Shortage",1,IFERROR(ROUND(Z46/N46,4),0)),IFERROR(ROUND(Z46/N46,4),0))</f>
        <v>0</v>
      </c>
      <c r="AM46" s="123">
        <f>IFERROR(IF(VLOOKUP($B46,Shortage!$A:$M,AM$2,FALSE)="Shortage",1,IFERROR(ROUND(AA46/O46,4),0)),IFERROR(ROUND(AA46/O46,4),0))</f>
        <v>0</v>
      </c>
      <c r="AN46" s="232">
        <f>IFERROR(IF($C46="Top WS",VLOOKUP("GOAL",'2) หลักการคำนวน Table'!$D$4:$M$4,HLOOKUP(AB46,'2) หลักการคำนวน Table'!$D$1:$M$5,5,TRUE),0),
IF($C46="WS SF",VLOOKUP("GOAL",'2) หลักการคำนวน Table'!$D$32:$M$32,HLOOKUP(AB46,'2) หลักการคำนวน Table'!$D$1:$M$5,5,TRUE),0),
IF($C46="WS WH",VLOOKUP("GOAL",'2) หลักการคำนวน Table'!$D$62:$M$62,HLOOKUP(AB46,'2) หลักการคำนวน Table'!$D$1:$M$5,5,TRUE),0),
IF($C46="SF WH",VLOOKUP("GOAL",'2) หลักการคำนวน Table'!$D$92:$M$92,HLOOKUP(AB46,'2) หลักการคำนวน Table'!$D$1:$M$5,5,TRUE),0))))),0)</f>
        <v>0.9</v>
      </c>
      <c r="AO46" s="232">
        <f>IFERROR(IF($C46="Top WS",VLOOKUP("GOAL",'2) หลักการคำนวน Table'!$D$4:$M$4,HLOOKUP(AC46,'2) หลักการคำนวน Table'!$D$1:$M$5,5,TRUE),0),
IF($C46="WS SF",VLOOKUP("GOAL",'2) หลักการคำนวน Table'!$D$32:$M$32,HLOOKUP(AC46,'2) หลักการคำนวน Table'!$D$1:$M$5,5,TRUE),0),
IF($C46="WS WH",VLOOKUP("GOAL",'2) หลักการคำนวน Table'!$D$62:$M$62,HLOOKUP(AC46,'2) หลักการคำนวน Table'!$D$1:$M$5,5,TRUE),0),
IF($C46="SF WH",VLOOKUP("GOAL",'2) หลักการคำนวน Table'!$D$92:$M$92,HLOOKUP(AC46,'2) หลักการคำนวน Table'!$D$1:$M$5,5,TRUE),0))))),0)</f>
        <v>1.1000000000000001</v>
      </c>
      <c r="AP46" s="232">
        <f>IFERROR(IF($C46="Top WS",VLOOKUP("GOAL",'2) หลักการคำนวน Table'!$D$4:$M$4,HLOOKUP(AD46,'2) หลักการคำนวน Table'!$D$1:$M$5,5,TRUE),0),
IF($C46="WS SF",VLOOKUP("GOAL",'2) หลักการคำนวน Table'!$D$32:$M$32,HLOOKUP(AD46,'2) หลักการคำนวน Table'!$D$1:$M$5,5,TRUE),0),
IF($C46="WS WH",VLOOKUP("GOAL",'2) หลักการคำนวน Table'!$D$62:$M$62,HLOOKUP(AD46,'2) หลักการคำนวน Table'!$D$1:$M$5,5,TRUE),0),
IF($C46="SF WH",VLOOKUP("GOAL",'2) หลักการคำนวน Table'!$D$92:$M$92,HLOOKUP(AD46,'2) หลักการคำนวน Table'!$D$1:$M$5,5,TRUE),0))))),0)</f>
        <v>0.9</v>
      </c>
      <c r="AQ46" s="232">
        <f>IFERROR(IF($C46="Top WS",VLOOKUP("GOAL",'2) หลักการคำนวน Table'!$D$4:$M$4,HLOOKUP(AE46,'2) หลักการคำนวน Table'!$D$1:$M$5,5,TRUE),0),
IF($C46="WS SF",VLOOKUP("GOAL",'2) หลักการคำนวน Table'!$D$32:$M$32,HLOOKUP(AE46,'2) หลักการคำนวน Table'!$D$1:$M$5,5,TRUE),0),
IF($C46="WS WH",VLOOKUP("GOAL",'2) หลักการคำนวน Table'!$D$62:$M$62,HLOOKUP(AE46,'2) หลักการคำนวน Table'!$D$1:$M$5,5,TRUE),0),
IF($C46="SF WH",VLOOKUP("GOAL",'2) หลักการคำนวน Table'!$D$92:$M$92,HLOOKUP(AE46,'2) หลักการคำนวน Table'!$D$1:$M$5,5,TRUE),0))))),0)</f>
        <v>0.9</v>
      </c>
      <c r="AR46" s="232">
        <f>IFERROR(IF($C46="Top WS",VLOOKUP("GOAL",'2) หลักการคำนวน Table'!$D$4:$M$4,HLOOKUP(AF46,'2) หลักการคำนวน Table'!$D$1:$M$5,5,TRUE),0),
IF($C46="WS SF",VLOOKUP("GOAL",'2) หลักการคำนวน Table'!$D$32:$M$32,HLOOKUP(AF46,'2) หลักการคำนวน Table'!$D$1:$M$5,5,TRUE),0),
IF($C46="WS WH",VLOOKUP("GOAL",'2) หลักการคำนวน Table'!$D$62:$M$62,HLOOKUP(AF46,'2) หลักการคำนวน Table'!$D$1:$M$5,5,TRUE),0),
IF($C46="SF WH",VLOOKUP("GOAL",'2) หลักการคำนวน Table'!$D$92:$M$92,HLOOKUP(AF46,'2) หลักการคำนวน Table'!$D$1:$M$5,5,TRUE),0))))),0)</f>
        <v>0.9</v>
      </c>
      <c r="AS46" s="232">
        <f>IFERROR(IF($C46="Top WS",VLOOKUP("GOAL",'2) หลักการคำนวน Table'!$D$4:$M$4,HLOOKUP(AG46,'2) หลักการคำนวน Table'!$D$1:$M$5,5,TRUE),0),
IF($C46="WS SF",VLOOKUP("GOAL",'2) หลักการคำนวน Table'!$D$32:$M$32,HLOOKUP(AG46,'2) หลักการคำนวน Table'!$D$1:$M$5,5,TRUE),0),
IF($C46="WS WH",VLOOKUP("GOAL",'2) หลักการคำนวน Table'!$D$62:$M$62,HLOOKUP(AG46,'2) หลักการคำนวน Table'!$D$1:$M$5,5,TRUE),0),
IF($C46="SF WH",VLOOKUP("GOAL",'2) หลักการคำนวน Table'!$D$92:$M$92,HLOOKUP(AG46,'2) หลักการคำนวน Table'!$D$1:$M$5,5,TRUE),0))))),0)</f>
        <v>0.9</v>
      </c>
      <c r="AT46" s="232">
        <f>IFERROR(IF($C46="Top WS",VLOOKUP("GOAL",'2) หลักการคำนวน Table'!$D$4:$M$4,HLOOKUP(AH46,'2) หลักการคำนวน Table'!$D$1:$M$5,5,TRUE),0),
IF($C46="WS SF",VLOOKUP("GOAL",'2) หลักการคำนวน Table'!$D$32:$M$32,HLOOKUP(AH46,'2) หลักการคำนวน Table'!$D$1:$M$5,5,TRUE),0),
IF($C46="WS WH",VLOOKUP("GOAL",'2) หลักการคำนวน Table'!$D$62:$M$62,HLOOKUP(AH46,'2) หลักการคำนวน Table'!$D$1:$M$5,5,TRUE),0),
IF($C46="SF WH",VLOOKUP("GOAL",'2) หลักการคำนวน Table'!$D$92:$M$92,HLOOKUP(AH46,'2) หลักการคำนวน Table'!$D$1:$M$5,5,TRUE),0))))),0)</f>
        <v>0.9</v>
      </c>
      <c r="AU46" s="232">
        <f>IFERROR(IF($C46="Top WS",VLOOKUP("GOAL",'2) หลักการคำนวน Table'!$D$4:$M$4,HLOOKUP(AI46,'2) หลักการคำนวน Table'!$D$1:$M$5,5,TRUE),0),
IF($C46="WS SF",VLOOKUP("GOAL",'2) หลักการคำนวน Table'!$D$32:$M$32,HLOOKUP(AI46,'2) หลักการคำนวน Table'!$D$1:$M$5,5,TRUE),0),
IF($C46="WS WH",VLOOKUP("GOAL",'2) หลักการคำนวน Table'!$D$62:$M$62,HLOOKUP(AI46,'2) หลักการคำนวน Table'!$D$1:$M$5,5,TRUE),0),
IF($C46="SF WH",VLOOKUP("GOAL",'2) หลักการคำนวน Table'!$D$92:$M$92,HLOOKUP(AI46,'2) หลักการคำนวน Table'!$D$1:$M$5,5,TRUE),0))))),0)</f>
        <v>0.9</v>
      </c>
      <c r="AV46" s="232">
        <f>IFERROR(IF($C46="Top WS",VLOOKUP("GOAL",'2) หลักการคำนวน Table'!$D$4:$M$4,HLOOKUP(AP46,'2) หลักการคำนวน Table'!$D$1:$M$5,5,TRUE),0),
IF($C46="WS SF",VLOOKUP("GOAL",'2) หลักการคำนวน Table'!$D$32:$M$32,HLOOKUP(AP46,'2) หลักการคำนวน Table'!$D$1:$M$5,5,TRUE),0),
IF($C46="WS WH",VLOOKUP("GOAL",'2) หลักการคำนวน Table'!$D$62:$M$62,HLOOKUP(AP46,'2) หลักการคำนวน Table'!$D$1:$M$5,5,TRUE),0),
IF($C46="SF WH",VLOOKUP("GOAL",'2) หลักการคำนวน Table'!$D$92:$M$92,HLOOKUP(AP46,'2) หลักการคำนวน Table'!$D$1:$M$5,5,TRUE),0))))),0)</f>
        <v>0.9</v>
      </c>
      <c r="AW46" s="232">
        <f>IFERROR(IF($C46="Top WS",VLOOKUP("GOAL",'2) หลักการคำนวน Table'!$D$4:$M$4,HLOOKUP(AK46,'2) หลักการคำนวน Table'!$D$1:$M$5,5,TRUE),0),
IF($C46="WS SF",VLOOKUP("GOAL",'2) หลักการคำนวน Table'!$D$32:$M$32,HLOOKUP(AK46,'2) หลักการคำนวน Table'!$D$1:$M$5,5,TRUE),0),
IF($C46="WS WH",VLOOKUP("GOAL",'2) หลักการคำนวน Table'!$D$62:$M$62,HLOOKUP(AK46,'2) หลักการคำนวน Table'!$D$1:$M$5,5,TRUE),0),
IF($C46="SF WH",VLOOKUP("GOAL",'2) หลักการคำนวน Table'!$D$92:$M$92,HLOOKUP(AK46,'2) หลักการคำนวน Table'!$D$1:$M$5,5,TRUE),0))))),0)</f>
        <v>0.9</v>
      </c>
      <c r="AX46" s="232">
        <f>IFERROR(IF($C46="Top WS",VLOOKUP("GOAL",'2) หลักการคำนวน Table'!$D$4:$M$4,HLOOKUP(AL46,'2) หลักการคำนวน Table'!$D$1:$M$5,5,TRUE),0),
IF($C46="WS SF",VLOOKUP("GOAL",'2) หลักการคำนวน Table'!$D$32:$M$32,HLOOKUP(AL46,'2) หลักการคำนวน Table'!$D$1:$M$5,5,TRUE),0),
IF($C46="WS WH",VLOOKUP("GOAL",'2) หลักการคำนวน Table'!$D$62:$M$62,HLOOKUP(AL46,'2) หลักการคำนวน Table'!$D$1:$M$5,5,TRUE),0),
IF($C46="SF WH",VLOOKUP("GOAL",'2) หลักการคำนวน Table'!$D$92:$M$92,HLOOKUP(AL46,'2) หลักการคำนวน Table'!$D$1:$M$5,5,TRUE),0))))),0)</f>
        <v>0.9</v>
      </c>
      <c r="AY46" s="232">
        <f>IFERROR(IF($C46="Top WS",VLOOKUP("GOAL",'2) หลักการคำนวน Table'!$D$4:$M$4,HLOOKUP(AM46,'2) หลักการคำนวน Table'!$D$1:$M$5,5,TRUE),0),
IF($C46="WS SF",VLOOKUP("GOAL",'2) หลักการคำนวน Table'!$D$32:$M$32,HLOOKUP(AM46,'2) หลักการคำนวน Table'!$D$1:$M$5,5,TRUE),0),
IF($C46="WS WH",VLOOKUP("GOAL",'2) หลักการคำนวน Table'!$D$62:$M$62,HLOOKUP(AM46,'2) หลักการคำนวน Table'!$D$1:$M$5,5,TRUE),0),
IF($C46="SF WH",VLOOKUP("GOAL",'2) หลักการคำนวน Table'!$D$92:$M$92,HLOOKUP(AM46,'2) หลักการคำนวน Table'!$D$1:$M$5,5,TRUE),0))))),0)</f>
        <v>0.9</v>
      </c>
      <c r="AZ46" s="167">
        <f>IFERROR(IF($C46="Top WS",VLOOKUP($B46,'2) หลักการคำนวน Table'!$D$5:$M$20,HLOOKUP(AB46,'2) หลักการคำนวน Table'!$D$1:$M$5,5,TRUE),0),
IF($C46="WS SF",VLOOKUP($B46,'2) หลักการคำนวน Table'!$D$33:$M$48,HLOOKUP(AB46,'2) หลักการคำนวน Table'!$D$1:$M$5,5,TRUE),0),
IF($C46="WS WH",VLOOKUP($B46,'2) หลักการคำนวน Table'!$D$63:$M$78,HLOOKUP(AB46,'2) หลักการคำนวน Table'!$D$1:$M$5,5,TRUE),0),
IF($C46="SF WH",VLOOKUP($B46,'2) หลักการคำนวน Table'!$D$93:$M$108,HLOOKUP(AB46,'2) หลักการคำนวน Table'!$D$1:$M$5,5,TRUE),0))))),0)</f>
        <v>360</v>
      </c>
      <c r="BA46" s="167">
        <f>IFERROR(IF($C46="Top WS",VLOOKUP($B46,'2) หลักการคำนวน Table'!$D$5:$M$20,HLOOKUP(AC46,'2) หลักการคำนวน Table'!$D$1:$M$5,5,TRUE),0),
IF($C46="WS SF",VLOOKUP($B46,'2) หลักการคำนวน Table'!$D$33:$M$48,HLOOKUP(AC46,'2) หลักการคำนวน Table'!$D$1:$M$5,5,TRUE),0),
IF($C46="WS WH",VLOOKUP($B46,'2) หลักการคำนวน Table'!$D$63:$M$78,HLOOKUP(AC46,'2) หลักการคำนวน Table'!$D$1:$M$5,5,TRUE),0),
IF($C46="SF WH",VLOOKUP($B46,'2) หลักการคำนวน Table'!$D$93:$M$108,HLOOKUP(AC46,'2) หลักการคำนวน Table'!$D$1:$M$5,5,TRUE),0))))),0)</f>
        <v>440</v>
      </c>
      <c r="BB46" s="167">
        <f>IFERROR(IF($C46="Top WS",VLOOKUP($B46,'2) หลักการคำนวน Table'!$D$5:$M$20,HLOOKUP(AD46,'2) หลักการคำนวน Table'!$D$1:$M$5,5,TRUE),0),
IF($C46="WS SF",VLOOKUP($B46,'2) หลักการคำนวน Table'!$D$33:$M$48,HLOOKUP(AD46,'2) หลักการคำนวน Table'!$D$1:$M$5,5,TRUE),0),
IF($C46="WS WH",VLOOKUP($B46,'2) หลักการคำนวน Table'!$D$63:$M$78,HLOOKUP(AD46,'2) หลักการคำนวน Table'!$D$1:$M$5,5,TRUE),0),
IF($C46="SF WH",VLOOKUP($B46,'2) หลักการคำนวน Table'!$D$93:$M$108,HLOOKUP(AD46,'2) หลักการคำนวน Table'!$D$1:$M$5,5,TRUE),0))))),0)</f>
        <v>360</v>
      </c>
      <c r="BC46" s="167">
        <f>IFERROR(IF($C46="Top WS",VLOOKUP($B46,'2) หลักการคำนวน Table'!$D$5:$M$20,HLOOKUP(AE46,'2) หลักการคำนวน Table'!$D$1:$M$5,5,TRUE),0),
IF($C46="WS SF",VLOOKUP($B46,'2) หลักการคำนวน Table'!$D$33:$M$48,HLOOKUP(AE46,'2) หลักการคำนวน Table'!$D$1:$M$5,5,TRUE),0),
IF($C46="WS WH",VLOOKUP($B46,'2) หลักการคำนวน Table'!$D$63:$M$78,HLOOKUP(AE46,'2) หลักการคำนวน Table'!$D$1:$M$5,5,TRUE),0),
IF($C46="SF WH",VLOOKUP($B46,'2) หลักการคำนวน Table'!$D$93:$M$108,HLOOKUP(AE46,'2) หลักการคำนวน Table'!$D$1:$M$5,5,TRUE),0))))),0)</f>
        <v>360</v>
      </c>
      <c r="BD46" s="167">
        <f>IFERROR(IF($C46="Top WS",VLOOKUP($B46,'2) หลักการคำนวน Table'!$D$5:$M$20,HLOOKUP(AF46,'2) หลักการคำนวน Table'!$D$1:$M$5,5,TRUE),0),
IF($C46="WS SF",VLOOKUP($B46,'2) หลักการคำนวน Table'!$D$33:$M$48,HLOOKUP(AF46,'2) หลักการคำนวน Table'!$D$1:$M$5,5,TRUE),0),
IF($C46="WS WH",VLOOKUP($B46,'2) หลักการคำนวน Table'!$D$63:$M$78,HLOOKUP(AF46,'2) หลักการคำนวน Table'!$D$1:$M$5,5,TRUE),0),
IF($C46="SF WH",VLOOKUP($B46,'2) หลักการคำนวน Table'!$D$93:$M$108,HLOOKUP(AF46,'2) หลักการคำนวน Table'!$D$1:$M$5,5,TRUE),0))))),0)</f>
        <v>360</v>
      </c>
      <c r="BE46" s="167">
        <f>IFERROR(IF($C46="Top WS",VLOOKUP($B46,'2) หลักการคำนวน Table'!$D$5:$M$20,HLOOKUP(AG46,'2) หลักการคำนวน Table'!$D$1:$M$5,5,TRUE),0),
IF($C46="WS SF",VLOOKUP($B46,'2) หลักการคำนวน Table'!$D$33:$M$48,HLOOKUP(AG46,'2) หลักการคำนวน Table'!$D$1:$M$5,5,TRUE),0),
IF($C46="WS WH",VLOOKUP($B46,'2) หลักการคำนวน Table'!$D$63:$M$78,HLOOKUP(AG46,'2) หลักการคำนวน Table'!$D$1:$M$5,5,TRUE),0),
IF($C46="SF WH",VLOOKUP($B46,'2) หลักการคำนวน Table'!$D$93:$M$108,HLOOKUP(AG46,'2) หลักการคำนวน Table'!$D$1:$M$5,5,TRUE),0))))),0)</f>
        <v>360</v>
      </c>
      <c r="BF46" s="167">
        <f>IFERROR(IF($C46="Top WS",VLOOKUP($B46,'2) หลักการคำนวน Table'!$D$5:$M$20,HLOOKUP(AH46,'2) หลักการคำนวน Table'!$D$1:$M$5,5,TRUE),0),
IF($C46="WS SF",VLOOKUP($B46,'2) หลักการคำนวน Table'!$D$33:$M$48,HLOOKUP(AH46,'2) หลักการคำนวน Table'!$D$1:$M$5,5,TRUE),0),
IF($C46="WS WH",VLOOKUP($B46,'2) หลักการคำนวน Table'!$D$63:$M$78,HLOOKUP(AH46,'2) หลักการคำนวน Table'!$D$1:$M$5,5,TRUE),0),
IF($C46="SF WH",VLOOKUP($B46,'2) หลักการคำนวน Table'!$D$93:$M$108,HLOOKUP(AH46,'2) หลักการคำนวน Table'!$D$1:$M$5,5,TRUE),0))))),0)</f>
        <v>360</v>
      </c>
      <c r="BG46" s="167">
        <f>IFERROR(IF($C46="Top WS",VLOOKUP($B46,'2) หลักการคำนวน Table'!$D$5:$M$20,HLOOKUP(AI46,'2) หลักการคำนวน Table'!$D$1:$M$5,5,TRUE),0),
IF($C46="WS SF",VLOOKUP($B46,'2) หลักการคำนวน Table'!$D$33:$M$48,HLOOKUP(AI46,'2) หลักการคำนวน Table'!$D$1:$M$5,5,TRUE),0),
IF($C46="WS WH",VLOOKUP($B46,'2) หลักการคำนวน Table'!$D$63:$M$78,HLOOKUP(AI46,'2) หลักการคำนวน Table'!$D$1:$M$5,5,TRUE),0),
IF($C46="SF WH",VLOOKUP($B46,'2) หลักการคำนวน Table'!$D$93:$M$108,HLOOKUP(AI46,'2) หลักการคำนวน Table'!$D$1:$M$5,5,TRUE),0))))),0)</f>
        <v>360</v>
      </c>
      <c r="BH46" s="167">
        <f>IFERROR(IF($C46="Top WS",VLOOKUP($B46,'2) หลักการคำนวน Table'!$D$5:$M$20,HLOOKUP(AP46,'2) หลักการคำนวน Table'!$D$1:$M$5,5,TRUE),0),
IF($C46="WS SF",VLOOKUP($B46,'2) หลักการคำนวน Table'!$D$33:$M$48,HLOOKUP(AP46,'2) หลักการคำนวน Table'!$D$1:$M$5,5,TRUE),0),
IF($C46="WS WH",VLOOKUP($B46,'2) หลักการคำนวน Table'!$D$63:$M$78,HLOOKUP(AP46,'2) หลักการคำนวน Table'!$D$1:$M$5,5,TRUE),0),
IF($C46="SF WH",VLOOKUP($B46,'2) หลักการคำนวน Table'!$D$93:$M$108,HLOOKUP(AP46,'2) หลักการคำนวน Table'!$D$1:$M$5,5,TRUE),0))))),0)</f>
        <v>360</v>
      </c>
      <c r="BI46" s="167">
        <f>IFERROR(IF($C46="Top WS",VLOOKUP($B46,'2) หลักการคำนวน Table'!$D$5:$M$20,HLOOKUP(AK46,'2) หลักการคำนวน Table'!$D$1:$M$5,5,TRUE),0),
IF($C46="WS SF",VLOOKUP($B46,'2) หลักการคำนวน Table'!$D$33:$M$48,HLOOKUP(AK46,'2) หลักการคำนวน Table'!$D$1:$M$5,5,TRUE),0),
IF($C46="WS WH",VLOOKUP($B46,'2) หลักการคำนวน Table'!$D$63:$M$78,HLOOKUP(AK46,'2) หลักการคำนวน Table'!$D$1:$M$5,5,TRUE),0),
IF($C46="SF WH",VLOOKUP($B46,'2) หลักการคำนวน Table'!$D$93:$M$108,HLOOKUP(AK46,'2) หลักการคำนวน Table'!$D$1:$M$5,5,TRUE),0))))),0)</f>
        <v>360</v>
      </c>
      <c r="BJ46" s="167">
        <f>IFERROR(IF($C46="Top WS",VLOOKUP($B46,'2) หลักการคำนวน Table'!$D$5:$M$20,HLOOKUP(AL46,'2) หลักการคำนวน Table'!$D$1:$M$5,5,TRUE),0),
IF($C46="WS SF",VLOOKUP($B46,'2) หลักการคำนวน Table'!$D$33:$M$48,HLOOKUP(AL46,'2) หลักการคำนวน Table'!$D$1:$M$5,5,TRUE),0),
IF($C46="WS WH",VLOOKUP($B46,'2) หลักการคำนวน Table'!$D$63:$M$78,HLOOKUP(AL46,'2) หลักการคำนวน Table'!$D$1:$M$5,5,TRUE),0),
IF($C46="SF WH",VLOOKUP($B46,'2) หลักการคำนวน Table'!$D$93:$M$108,HLOOKUP(AL46,'2) หลักการคำนวน Table'!$D$1:$M$5,5,TRUE),0))))),0)</f>
        <v>360</v>
      </c>
      <c r="BK46" s="167">
        <f>IFERROR(IF($C46="Top WS",VLOOKUP($B46,'2) หลักการคำนวน Table'!$D$5:$M$20,HLOOKUP(AM46,'2) หลักการคำนวน Table'!$D$1:$M$5,5,TRUE),0),
IF($C46="WS SF",VLOOKUP($B46,'2) หลักการคำนวน Table'!$D$33:$M$48,HLOOKUP(AM46,'2) หลักการคำนวน Table'!$D$1:$M$5,5,TRUE),0),
IF($C46="WS WH",VLOOKUP($B46,'2) หลักการคำนวน Table'!$D$63:$M$78,HLOOKUP(AM46,'2) หลักการคำนวน Table'!$D$1:$M$5,5,TRUE),0),
IF($C46="SF WH",VLOOKUP($B46,'2) หลักการคำนวน Table'!$D$93:$M$108,HLOOKUP(AM46,'2) หลักการคำนวน Table'!$D$1:$M$5,5,TRUE),0))))),0)</f>
        <v>360</v>
      </c>
      <c r="BM46" s="119">
        <f>VLOOKUP(VLOOKUP(A46,ASTBase!E:S,13,FALSE),ASTBase!F:P,11,FALSE)</f>
        <v>120000</v>
      </c>
      <c r="BN46" s="196" cm="1">
        <f t="array" ref="BN46">INDEX(AN46:AY46,,Period!$D$2)</f>
        <v>1.1000000000000001</v>
      </c>
    </row>
    <row r="47" spans="1:66" x14ac:dyDescent="0.25">
      <c r="A47" s="117">
        <v>120002</v>
      </c>
      <c r="B47" s="117" t="s">
        <v>393</v>
      </c>
      <c r="C47" s="117" t="s">
        <v>178</v>
      </c>
      <c r="D47" s="118">
        <v>632</v>
      </c>
      <c r="E47" s="118">
        <v>452</v>
      </c>
      <c r="F47" s="118">
        <v>476</v>
      </c>
      <c r="G47" s="118">
        <v>488</v>
      </c>
      <c r="H47" s="118">
        <v>397</v>
      </c>
      <c r="I47" s="118">
        <v>465</v>
      </c>
      <c r="J47" s="118">
        <v>597</v>
      </c>
      <c r="K47" s="118">
        <v>617</v>
      </c>
      <c r="L47" s="118">
        <v>588</v>
      </c>
      <c r="M47" s="118">
        <v>611</v>
      </c>
      <c r="N47" s="118">
        <v>469</v>
      </c>
      <c r="O47" s="118">
        <v>478</v>
      </c>
      <c r="P47" s="117">
        <f>SUMIFS(Actual!C:C,Actual!$A:$A,'3)Target &amp; Cal'!$A47,Actual!$B:$B,'3)Target &amp; Cal'!$B47)</f>
        <v>699.59999999999957</v>
      </c>
      <c r="Q47" s="117">
        <f>SUMIFS(Actual!D:D,Actual!$A:$A,'3)Target &amp; Cal'!$A47,Actual!$B:$B,'3)Target &amp; Cal'!$B47)</f>
        <v>490.8</v>
      </c>
      <c r="R47" s="117">
        <f>SUMIFS(Actual!E:E,Actual!$A:$A,'3)Target &amp; Cal'!$A47,Actual!$B:$B,'3)Target &amp; Cal'!$B47)</f>
        <v>0</v>
      </c>
      <c r="S47" s="117">
        <f>SUMIFS(Actual!F:F,Actual!$A:$A,'3)Target &amp; Cal'!$A47,Actual!$B:$B,'3)Target &amp; Cal'!$B47)</f>
        <v>0</v>
      </c>
      <c r="T47" s="117">
        <f>SUMIFS(Actual!G:G,Actual!$A:$A,'3)Target &amp; Cal'!$A47,Actual!$B:$B,'3)Target &amp; Cal'!$B47)</f>
        <v>0</v>
      </c>
      <c r="U47" s="117">
        <f>SUMIFS(Actual!H:H,Actual!$A:$A,'3)Target &amp; Cal'!$A47,Actual!$B:$B,'3)Target &amp; Cal'!$B47)</f>
        <v>0</v>
      </c>
      <c r="V47" s="117">
        <f>SUMIFS(Actual!I:I,Actual!$A:$A,'3)Target &amp; Cal'!$A47,Actual!$B:$B,'3)Target &amp; Cal'!$B47)</f>
        <v>0</v>
      </c>
      <c r="W47" s="117">
        <f>SUMIFS(Actual!J:J,Actual!$A:$A,'3)Target &amp; Cal'!$A47,Actual!$B:$B,'3)Target &amp; Cal'!$B47)</f>
        <v>0</v>
      </c>
      <c r="X47" s="117">
        <f>SUMIFS(Actual!K:K,Actual!$A:$A,'3)Target &amp; Cal'!$A47,Actual!$B:$B,'3)Target &amp; Cal'!$B47)</f>
        <v>0</v>
      </c>
      <c r="Y47" s="117">
        <f>SUMIFS(Actual!L:L,Actual!$A:$A,'3)Target &amp; Cal'!$A47,Actual!$B:$B,'3)Target &amp; Cal'!$B47)</f>
        <v>0</v>
      </c>
      <c r="Z47" s="117">
        <f>SUMIFS(Actual!M:M,Actual!$A:$A,'3)Target &amp; Cal'!$A47,Actual!$B:$B,'3)Target &amp; Cal'!$B47)</f>
        <v>0</v>
      </c>
      <c r="AA47" s="117">
        <f>SUMIFS(Actual!N:N,Actual!$A:$A,'3)Target &amp; Cal'!$A47,Actual!$B:$B,'3)Target &amp; Cal'!$B47)</f>
        <v>0</v>
      </c>
      <c r="AB47" s="123">
        <f>IFERROR(IF(VLOOKUP($B47,Shortage!$A:$M,AB$2,FALSE)="Shortage",1,IFERROR(ROUND(P47/D47,4),0)),IFERROR(ROUND(P47/D47,4),0))</f>
        <v>1.107</v>
      </c>
      <c r="AC47" s="123">
        <f>IFERROR(IF(VLOOKUP($B47,Shortage!$A:$M,AC$2,FALSE)="Shortage",1,IFERROR(ROUND(Q47/E47,4),0)),IFERROR(ROUND(Q47/E47,4),0))</f>
        <v>1.0858000000000001</v>
      </c>
      <c r="AD47" s="123">
        <f>IFERROR(IF(VLOOKUP($B47,Shortage!$A:$M,AD$2,FALSE)="Shortage",1,IFERROR(ROUND(R47/F47,4),0)),IFERROR(ROUND(R47/F47,4),0))</f>
        <v>0</v>
      </c>
      <c r="AE47" s="123">
        <f>IFERROR(IF(VLOOKUP($B47,Shortage!$A:$M,AE$2,FALSE)="Shortage",1,IFERROR(ROUND(S47/G47,4),0)),IFERROR(ROUND(S47/G47,4),0))</f>
        <v>0</v>
      </c>
      <c r="AF47" s="123">
        <f>IFERROR(IF(VLOOKUP($B47,Shortage!$A:$M,AF$2,FALSE)="Shortage",1,IFERROR(ROUND(T47/H47,4),0)),IFERROR(ROUND(T47/H47,4),0))</f>
        <v>0</v>
      </c>
      <c r="AG47" s="123">
        <f>IFERROR(IF(VLOOKUP($B47,Shortage!$A:$M,AG$2,FALSE)="Shortage",1,IFERROR(ROUND(U47/I47,4),0)),IFERROR(ROUND(U47/I47,4),0))</f>
        <v>0</v>
      </c>
      <c r="AH47" s="123">
        <f>IFERROR(IF(VLOOKUP($B47,Shortage!$A:$M,AH$2,FALSE)="Shortage",1,IFERROR(ROUND(V47/J47,4),0)),IFERROR(ROUND(V47/J47,4),0))</f>
        <v>0</v>
      </c>
      <c r="AI47" s="123">
        <f>IFERROR(IF(VLOOKUP($B47,Shortage!$A:$M,AI$2,FALSE)="Shortage",1,IFERROR(ROUND(W47/K47,4),0)),IFERROR(ROUND(W47/K47,4),0))</f>
        <v>0</v>
      </c>
      <c r="AJ47" s="123">
        <f>IFERROR(IF(VLOOKUP($B47,Shortage!$A:$M,AP$2,FALSE)="Shortage",1,IFERROR(ROUND(X47/L47,4),0)),IFERROR(ROUND(X47/L47,4),0))</f>
        <v>0</v>
      </c>
      <c r="AK47" s="123">
        <f>IFERROR(IF(VLOOKUP($B47,Shortage!$A:$M,AK$2,FALSE)="Shortage",1,IFERROR(ROUND(Y47/M47,4),0)),IFERROR(ROUND(Y47/M47,4),0))</f>
        <v>0</v>
      </c>
      <c r="AL47" s="123">
        <f>IFERROR(IF(VLOOKUP($B47,Shortage!$A:$M,AL$2,FALSE)="Shortage",1,IFERROR(ROUND(Z47/N47,4),0)),IFERROR(ROUND(Z47/N47,4),0))</f>
        <v>0</v>
      </c>
      <c r="AM47" s="123">
        <f>IFERROR(IF(VLOOKUP($B47,Shortage!$A:$M,AM$2,FALSE)="Shortage",1,IFERROR(ROUND(AA47/O47,4),0)),IFERROR(ROUND(AA47/O47,4),0))</f>
        <v>0</v>
      </c>
      <c r="AN47" s="232">
        <f>IFERROR(IF($C47="Top WS",VLOOKUP("GOAL",'2) หลักการคำนวน Table'!$D$4:$M$4,HLOOKUP(AB47,'2) หลักการคำนวน Table'!$D$1:$M$5,5,TRUE),0),
IF($C47="WS SF",VLOOKUP("GOAL",'2) หลักการคำนวน Table'!$D$32:$M$32,HLOOKUP(AB47,'2) หลักการคำนวน Table'!$D$1:$M$5,5,TRUE),0),
IF($C47="WS WH",VLOOKUP("GOAL",'2) หลักการคำนวน Table'!$D$62:$M$62,HLOOKUP(AB47,'2) หลักการคำนวน Table'!$D$1:$M$5,5,TRUE),0),
IF($C47="SF WH",VLOOKUP("GOAL",'2) หลักการคำนวน Table'!$D$92:$M$92,HLOOKUP(AB47,'2) หลักการคำนวน Table'!$D$1:$M$5,5,TRUE),0))))),0)</f>
        <v>1.1499999999999999</v>
      </c>
      <c r="AO47" s="232">
        <f>IFERROR(IF($C47="Top WS",VLOOKUP("GOAL",'2) หลักการคำนวน Table'!$D$4:$M$4,HLOOKUP(AC47,'2) หลักการคำนวน Table'!$D$1:$M$5,5,TRUE),0),
IF($C47="WS SF",VLOOKUP("GOAL",'2) หลักการคำนวน Table'!$D$32:$M$32,HLOOKUP(AC47,'2) หลักการคำนวน Table'!$D$1:$M$5,5,TRUE),0),
IF($C47="WS WH",VLOOKUP("GOAL",'2) หลักการคำนวน Table'!$D$62:$M$62,HLOOKUP(AC47,'2) หลักการคำนวน Table'!$D$1:$M$5,5,TRUE),0),
IF($C47="SF WH",VLOOKUP("GOAL",'2) หลักการคำนวน Table'!$D$92:$M$92,HLOOKUP(AC47,'2) หลักการคำนวน Table'!$D$1:$M$5,5,TRUE),0))))),0)</f>
        <v>1.1000000000000001</v>
      </c>
      <c r="AP47" s="232">
        <f>IFERROR(IF($C47="Top WS",VLOOKUP("GOAL",'2) หลักการคำนวน Table'!$D$4:$M$4,HLOOKUP(AD47,'2) หลักการคำนวน Table'!$D$1:$M$5,5,TRUE),0),
IF($C47="WS SF",VLOOKUP("GOAL",'2) หลักการคำนวน Table'!$D$32:$M$32,HLOOKUP(AD47,'2) หลักการคำนวน Table'!$D$1:$M$5,5,TRUE),0),
IF($C47="WS WH",VLOOKUP("GOAL",'2) หลักการคำนวน Table'!$D$62:$M$62,HLOOKUP(AD47,'2) หลักการคำนวน Table'!$D$1:$M$5,5,TRUE),0),
IF($C47="SF WH",VLOOKUP("GOAL",'2) หลักการคำนวน Table'!$D$92:$M$92,HLOOKUP(AD47,'2) หลักการคำนวน Table'!$D$1:$M$5,5,TRUE),0))))),0)</f>
        <v>0.9</v>
      </c>
      <c r="AQ47" s="232">
        <f>IFERROR(IF($C47="Top WS",VLOOKUP("GOAL",'2) หลักการคำนวน Table'!$D$4:$M$4,HLOOKUP(AE47,'2) หลักการคำนวน Table'!$D$1:$M$5,5,TRUE),0),
IF($C47="WS SF",VLOOKUP("GOAL",'2) หลักการคำนวน Table'!$D$32:$M$32,HLOOKUP(AE47,'2) หลักการคำนวน Table'!$D$1:$M$5,5,TRUE),0),
IF($C47="WS WH",VLOOKUP("GOAL",'2) หลักการคำนวน Table'!$D$62:$M$62,HLOOKUP(AE47,'2) หลักการคำนวน Table'!$D$1:$M$5,5,TRUE),0),
IF($C47="SF WH",VLOOKUP("GOAL",'2) หลักการคำนวน Table'!$D$92:$M$92,HLOOKUP(AE47,'2) หลักการคำนวน Table'!$D$1:$M$5,5,TRUE),0))))),0)</f>
        <v>0.9</v>
      </c>
      <c r="AR47" s="232">
        <f>IFERROR(IF($C47="Top WS",VLOOKUP("GOAL",'2) หลักการคำนวน Table'!$D$4:$M$4,HLOOKUP(AF47,'2) หลักการคำนวน Table'!$D$1:$M$5,5,TRUE),0),
IF($C47="WS SF",VLOOKUP("GOAL",'2) หลักการคำนวน Table'!$D$32:$M$32,HLOOKUP(AF47,'2) หลักการคำนวน Table'!$D$1:$M$5,5,TRUE),0),
IF($C47="WS WH",VLOOKUP("GOAL",'2) หลักการคำนวน Table'!$D$62:$M$62,HLOOKUP(AF47,'2) หลักการคำนวน Table'!$D$1:$M$5,5,TRUE),0),
IF($C47="SF WH",VLOOKUP("GOAL",'2) หลักการคำนวน Table'!$D$92:$M$92,HLOOKUP(AF47,'2) หลักการคำนวน Table'!$D$1:$M$5,5,TRUE),0))))),0)</f>
        <v>0.9</v>
      </c>
      <c r="AS47" s="232">
        <f>IFERROR(IF($C47="Top WS",VLOOKUP("GOAL",'2) หลักการคำนวน Table'!$D$4:$M$4,HLOOKUP(AG47,'2) หลักการคำนวน Table'!$D$1:$M$5,5,TRUE),0),
IF($C47="WS SF",VLOOKUP("GOAL",'2) หลักการคำนวน Table'!$D$32:$M$32,HLOOKUP(AG47,'2) หลักการคำนวน Table'!$D$1:$M$5,5,TRUE),0),
IF($C47="WS WH",VLOOKUP("GOAL",'2) หลักการคำนวน Table'!$D$62:$M$62,HLOOKUP(AG47,'2) หลักการคำนวน Table'!$D$1:$M$5,5,TRUE),0),
IF($C47="SF WH",VLOOKUP("GOAL",'2) หลักการคำนวน Table'!$D$92:$M$92,HLOOKUP(AG47,'2) หลักการคำนวน Table'!$D$1:$M$5,5,TRUE),0))))),0)</f>
        <v>0.9</v>
      </c>
      <c r="AT47" s="232">
        <f>IFERROR(IF($C47="Top WS",VLOOKUP("GOAL",'2) หลักการคำนวน Table'!$D$4:$M$4,HLOOKUP(AH47,'2) หลักการคำนวน Table'!$D$1:$M$5,5,TRUE),0),
IF($C47="WS SF",VLOOKUP("GOAL",'2) หลักการคำนวน Table'!$D$32:$M$32,HLOOKUP(AH47,'2) หลักการคำนวน Table'!$D$1:$M$5,5,TRUE),0),
IF($C47="WS WH",VLOOKUP("GOAL",'2) หลักการคำนวน Table'!$D$62:$M$62,HLOOKUP(AH47,'2) หลักการคำนวน Table'!$D$1:$M$5,5,TRUE),0),
IF($C47="SF WH",VLOOKUP("GOAL",'2) หลักการคำนวน Table'!$D$92:$M$92,HLOOKUP(AH47,'2) หลักการคำนวน Table'!$D$1:$M$5,5,TRUE),0))))),0)</f>
        <v>0.9</v>
      </c>
      <c r="AU47" s="232">
        <f>IFERROR(IF($C47="Top WS",VLOOKUP("GOAL",'2) หลักการคำนวน Table'!$D$4:$M$4,HLOOKUP(AI47,'2) หลักการคำนวน Table'!$D$1:$M$5,5,TRUE),0),
IF($C47="WS SF",VLOOKUP("GOAL",'2) หลักการคำนวน Table'!$D$32:$M$32,HLOOKUP(AI47,'2) หลักการคำนวน Table'!$D$1:$M$5,5,TRUE),0),
IF($C47="WS WH",VLOOKUP("GOAL",'2) หลักการคำนวน Table'!$D$62:$M$62,HLOOKUP(AI47,'2) หลักการคำนวน Table'!$D$1:$M$5,5,TRUE),0),
IF($C47="SF WH",VLOOKUP("GOAL",'2) หลักการคำนวน Table'!$D$92:$M$92,HLOOKUP(AI47,'2) หลักการคำนวน Table'!$D$1:$M$5,5,TRUE),0))))),0)</f>
        <v>0.9</v>
      </c>
      <c r="AV47" s="232">
        <f>IFERROR(IF($C47="Top WS",VLOOKUP("GOAL",'2) หลักการคำนวน Table'!$D$4:$M$4,HLOOKUP(AP47,'2) หลักการคำนวน Table'!$D$1:$M$5,5,TRUE),0),
IF($C47="WS SF",VLOOKUP("GOAL",'2) หลักการคำนวน Table'!$D$32:$M$32,HLOOKUP(AP47,'2) หลักการคำนวน Table'!$D$1:$M$5,5,TRUE),0),
IF($C47="WS WH",VLOOKUP("GOAL",'2) หลักการคำนวน Table'!$D$62:$M$62,HLOOKUP(AP47,'2) หลักการคำนวน Table'!$D$1:$M$5,5,TRUE),0),
IF($C47="SF WH",VLOOKUP("GOAL",'2) หลักการคำนวน Table'!$D$92:$M$92,HLOOKUP(AP47,'2) หลักการคำนวน Table'!$D$1:$M$5,5,TRUE),0))))),0)</f>
        <v>0.9</v>
      </c>
      <c r="AW47" s="232">
        <f>IFERROR(IF($C47="Top WS",VLOOKUP("GOAL",'2) หลักการคำนวน Table'!$D$4:$M$4,HLOOKUP(AK47,'2) หลักการคำนวน Table'!$D$1:$M$5,5,TRUE),0),
IF($C47="WS SF",VLOOKUP("GOAL",'2) หลักการคำนวน Table'!$D$32:$M$32,HLOOKUP(AK47,'2) หลักการคำนวน Table'!$D$1:$M$5,5,TRUE),0),
IF($C47="WS WH",VLOOKUP("GOAL",'2) หลักการคำนวน Table'!$D$62:$M$62,HLOOKUP(AK47,'2) หลักการคำนวน Table'!$D$1:$M$5,5,TRUE),0),
IF($C47="SF WH",VLOOKUP("GOAL",'2) หลักการคำนวน Table'!$D$92:$M$92,HLOOKUP(AK47,'2) หลักการคำนวน Table'!$D$1:$M$5,5,TRUE),0))))),0)</f>
        <v>0.9</v>
      </c>
      <c r="AX47" s="232">
        <f>IFERROR(IF($C47="Top WS",VLOOKUP("GOAL",'2) หลักการคำนวน Table'!$D$4:$M$4,HLOOKUP(AL47,'2) หลักการคำนวน Table'!$D$1:$M$5,5,TRUE),0),
IF($C47="WS SF",VLOOKUP("GOAL",'2) หลักการคำนวน Table'!$D$32:$M$32,HLOOKUP(AL47,'2) หลักการคำนวน Table'!$D$1:$M$5,5,TRUE),0),
IF($C47="WS WH",VLOOKUP("GOAL",'2) หลักการคำนวน Table'!$D$62:$M$62,HLOOKUP(AL47,'2) หลักการคำนวน Table'!$D$1:$M$5,5,TRUE),0),
IF($C47="SF WH",VLOOKUP("GOAL",'2) หลักการคำนวน Table'!$D$92:$M$92,HLOOKUP(AL47,'2) หลักการคำนวน Table'!$D$1:$M$5,5,TRUE),0))))),0)</f>
        <v>0.9</v>
      </c>
      <c r="AY47" s="232">
        <f>IFERROR(IF($C47="Top WS",VLOOKUP("GOAL",'2) หลักการคำนวน Table'!$D$4:$M$4,HLOOKUP(AM47,'2) หลักการคำนวน Table'!$D$1:$M$5,5,TRUE),0),
IF($C47="WS SF",VLOOKUP("GOAL",'2) หลักการคำนวน Table'!$D$32:$M$32,HLOOKUP(AM47,'2) หลักการคำนวน Table'!$D$1:$M$5,5,TRUE),0),
IF($C47="WS WH",VLOOKUP("GOAL",'2) หลักการคำนวน Table'!$D$62:$M$62,HLOOKUP(AM47,'2) หลักการคำนวน Table'!$D$1:$M$5,5,TRUE),0),
IF($C47="SF WH",VLOOKUP("GOAL",'2) หลักการคำนวน Table'!$D$92:$M$92,HLOOKUP(AM47,'2) หลักการคำนวน Table'!$D$1:$M$5,5,TRUE),0))))),0)</f>
        <v>0.9</v>
      </c>
      <c r="AZ47" s="167">
        <f>IFERROR(IF($C47="Top WS",VLOOKUP($B47,'2) หลักการคำนวน Table'!$D$5:$M$20,HLOOKUP(AB47,'2) หลักการคำนวน Table'!$D$1:$M$5,5,TRUE),0),
IF($C47="WS SF",VLOOKUP($B47,'2) หลักการคำนวน Table'!$D$33:$M$48,HLOOKUP(AB47,'2) หลักการคำนวน Table'!$D$1:$M$5,5,TRUE),0),
IF($C47="WS WH",VLOOKUP($B47,'2) หลักการคำนวน Table'!$D$63:$M$78,HLOOKUP(AB47,'2) หลักการคำนวน Table'!$D$1:$M$5,5,TRUE),0),
IF($C47="SF WH",VLOOKUP($B47,'2) หลักการคำนวน Table'!$D$93:$M$108,HLOOKUP(AB47,'2) หลักการคำนวน Table'!$D$1:$M$5,5,TRUE),0))))),0)</f>
        <v>230</v>
      </c>
      <c r="BA47" s="167">
        <f>IFERROR(IF($C47="Top WS",VLOOKUP($B47,'2) หลักการคำนวน Table'!$D$5:$M$20,HLOOKUP(AC47,'2) หลักการคำนวน Table'!$D$1:$M$5,5,TRUE),0),
IF($C47="WS SF",VLOOKUP($B47,'2) หลักการคำนวน Table'!$D$33:$M$48,HLOOKUP(AC47,'2) หลักการคำนวน Table'!$D$1:$M$5,5,TRUE),0),
IF($C47="WS WH",VLOOKUP($B47,'2) หลักการคำนวน Table'!$D$63:$M$78,HLOOKUP(AC47,'2) หลักการคำนวน Table'!$D$1:$M$5,5,TRUE),0),
IF($C47="SF WH",VLOOKUP($B47,'2) หลักการคำนวน Table'!$D$93:$M$108,HLOOKUP(AC47,'2) หลักการคำนวน Table'!$D$1:$M$5,5,TRUE),0))))),0)</f>
        <v>220</v>
      </c>
      <c r="BB47" s="167">
        <f>IFERROR(IF($C47="Top WS",VLOOKUP($B47,'2) หลักการคำนวน Table'!$D$5:$M$20,HLOOKUP(AD47,'2) หลักการคำนวน Table'!$D$1:$M$5,5,TRUE),0),
IF($C47="WS SF",VLOOKUP($B47,'2) หลักการคำนวน Table'!$D$33:$M$48,HLOOKUP(AD47,'2) หลักการคำนวน Table'!$D$1:$M$5,5,TRUE),0),
IF($C47="WS WH",VLOOKUP($B47,'2) หลักการคำนวน Table'!$D$63:$M$78,HLOOKUP(AD47,'2) หลักการคำนวน Table'!$D$1:$M$5,5,TRUE),0),
IF($C47="SF WH",VLOOKUP($B47,'2) หลักการคำนวน Table'!$D$93:$M$108,HLOOKUP(AD47,'2) หลักการคำนวน Table'!$D$1:$M$5,5,TRUE),0))))),0)</f>
        <v>180</v>
      </c>
      <c r="BC47" s="167">
        <f>IFERROR(IF($C47="Top WS",VLOOKUP($B47,'2) หลักการคำนวน Table'!$D$5:$M$20,HLOOKUP(AE47,'2) หลักการคำนวน Table'!$D$1:$M$5,5,TRUE),0),
IF($C47="WS SF",VLOOKUP($B47,'2) หลักการคำนวน Table'!$D$33:$M$48,HLOOKUP(AE47,'2) หลักการคำนวน Table'!$D$1:$M$5,5,TRUE),0),
IF($C47="WS WH",VLOOKUP($B47,'2) หลักการคำนวน Table'!$D$63:$M$78,HLOOKUP(AE47,'2) หลักการคำนวน Table'!$D$1:$M$5,5,TRUE),0),
IF($C47="SF WH",VLOOKUP($B47,'2) หลักการคำนวน Table'!$D$93:$M$108,HLOOKUP(AE47,'2) หลักการคำนวน Table'!$D$1:$M$5,5,TRUE),0))))),0)</f>
        <v>180</v>
      </c>
      <c r="BD47" s="167">
        <f>IFERROR(IF($C47="Top WS",VLOOKUP($B47,'2) หลักการคำนวน Table'!$D$5:$M$20,HLOOKUP(AF47,'2) หลักการคำนวน Table'!$D$1:$M$5,5,TRUE),0),
IF($C47="WS SF",VLOOKUP($B47,'2) หลักการคำนวน Table'!$D$33:$M$48,HLOOKUP(AF47,'2) หลักการคำนวน Table'!$D$1:$M$5,5,TRUE),0),
IF($C47="WS WH",VLOOKUP($B47,'2) หลักการคำนวน Table'!$D$63:$M$78,HLOOKUP(AF47,'2) หลักการคำนวน Table'!$D$1:$M$5,5,TRUE),0),
IF($C47="SF WH",VLOOKUP($B47,'2) หลักการคำนวน Table'!$D$93:$M$108,HLOOKUP(AF47,'2) หลักการคำนวน Table'!$D$1:$M$5,5,TRUE),0))))),0)</f>
        <v>180</v>
      </c>
      <c r="BE47" s="167">
        <f>IFERROR(IF($C47="Top WS",VLOOKUP($B47,'2) หลักการคำนวน Table'!$D$5:$M$20,HLOOKUP(AG47,'2) หลักการคำนวน Table'!$D$1:$M$5,5,TRUE),0),
IF($C47="WS SF",VLOOKUP($B47,'2) หลักการคำนวน Table'!$D$33:$M$48,HLOOKUP(AG47,'2) หลักการคำนวน Table'!$D$1:$M$5,5,TRUE),0),
IF($C47="WS WH",VLOOKUP($B47,'2) หลักการคำนวน Table'!$D$63:$M$78,HLOOKUP(AG47,'2) หลักการคำนวน Table'!$D$1:$M$5,5,TRUE),0),
IF($C47="SF WH",VLOOKUP($B47,'2) หลักการคำนวน Table'!$D$93:$M$108,HLOOKUP(AG47,'2) หลักการคำนวน Table'!$D$1:$M$5,5,TRUE),0))))),0)</f>
        <v>180</v>
      </c>
      <c r="BF47" s="167">
        <f>IFERROR(IF($C47="Top WS",VLOOKUP($B47,'2) หลักการคำนวน Table'!$D$5:$M$20,HLOOKUP(AH47,'2) หลักการคำนวน Table'!$D$1:$M$5,5,TRUE),0),
IF($C47="WS SF",VLOOKUP($B47,'2) หลักการคำนวน Table'!$D$33:$M$48,HLOOKUP(AH47,'2) หลักการคำนวน Table'!$D$1:$M$5,5,TRUE),0),
IF($C47="WS WH",VLOOKUP($B47,'2) หลักการคำนวน Table'!$D$63:$M$78,HLOOKUP(AH47,'2) หลักการคำนวน Table'!$D$1:$M$5,5,TRUE),0),
IF($C47="SF WH",VLOOKUP($B47,'2) หลักการคำนวน Table'!$D$93:$M$108,HLOOKUP(AH47,'2) หลักการคำนวน Table'!$D$1:$M$5,5,TRUE),0))))),0)</f>
        <v>180</v>
      </c>
      <c r="BG47" s="167">
        <f>IFERROR(IF($C47="Top WS",VLOOKUP($B47,'2) หลักการคำนวน Table'!$D$5:$M$20,HLOOKUP(AI47,'2) หลักการคำนวน Table'!$D$1:$M$5,5,TRUE),0),
IF($C47="WS SF",VLOOKUP($B47,'2) หลักการคำนวน Table'!$D$33:$M$48,HLOOKUP(AI47,'2) หลักการคำนวน Table'!$D$1:$M$5,5,TRUE),0),
IF($C47="WS WH",VLOOKUP($B47,'2) หลักการคำนวน Table'!$D$63:$M$78,HLOOKUP(AI47,'2) หลักการคำนวน Table'!$D$1:$M$5,5,TRUE),0),
IF($C47="SF WH",VLOOKUP($B47,'2) หลักการคำนวน Table'!$D$93:$M$108,HLOOKUP(AI47,'2) หลักการคำนวน Table'!$D$1:$M$5,5,TRUE),0))))),0)</f>
        <v>180</v>
      </c>
      <c r="BH47" s="167">
        <f>IFERROR(IF($C47="Top WS",VLOOKUP($B47,'2) หลักการคำนวน Table'!$D$5:$M$20,HLOOKUP(AP47,'2) หลักการคำนวน Table'!$D$1:$M$5,5,TRUE),0),
IF($C47="WS SF",VLOOKUP($B47,'2) หลักการคำนวน Table'!$D$33:$M$48,HLOOKUP(AP47,'2) หลักการคำนวน Table'!$D$1:$M$5,5,TRUE),0),
IF($C47="WS WH",VLOOKUP($B47,'2) หลักการคำนวน Table'!$D$63:$M$78,HLOOKUP(AP47,'2) หลักการคำนวน Table'!$D$1:$M$5,5,TRUE),0),
IF($C47="SF WH",VLOOKUP($B47,'2) หลักการคำนวน Table'!$D$93:$M$108,HLOOKUP(AP47,'2) หลักการคำนวน Table'!$D$1:$M$5,5,TRUE),0))))),0)</f>
        <v>180</v>
      </c>
      <c r="BI47" s="167">
        <f>IFERROR(IF($C47="Top WS",VLOOKUP($B47,'2) หลักการคำนวน Table'!$D$5:$M$20,HLOOKUP(AK47,'2) หลักการคำนวน Table'!$D$1:$M$5,5,TRUE),0),
IF($C47="WS SF",VLOOKUP($B47,'2) หลักการคำนวน Table'!$D$33:$M$48,HLOOKUP(AK47,'2) หลักการคำนวน Table'!$D$1:$M$5,5,TRUE),0),
IF($C47="WS WH",VLOOKUP($B47,'2) หลักการคำนวน Table'!$D$63:$M$78,HLOOKUP(AK47,'2) หลักการคำนวน Table'!$D$1:$M$5,5,TRUE),0),
IF($C47="SF WH",VLOOKUP($B47,'2) หลักการคำนวน Table'!$D$93:$M$108,HLOOKUP(AK47,'2) หลักการคำนวน Table'!$D$1:$M$5,5,TRUE),0))))),0)</f>
        <v>180</v>
      </c>
      <c r="BJ47" s="167">
        <f>IFERROR(IF($C47="Top WS",VLOOKUP($B47,'2) หลักการคำนวน Table'!$D$5:$M$20,HLOOKUP(AL47,'2) หลักการคำนวน Table'!$D$1:$M$5,5,TRUE),0),
IF($C47="WS SF",VLOOKUP($B47,'2) หลักการคำนวน Table'!$D$33:$M$48,HLOOKUP(AL47,'2) หลักการคำนวน Table'!$D$1:$M$5,5,TRUE),0),
IF($C47="WS WH",VLOOKUP($B47,'2) หลักการคำนวน Table'!$D$63:$M$78,HLOOKUP(AL47,'2) หลักการคำนวน Table'!$D$1:$M$5,5,TRUE),0),
IF($C47="SF WH",VLOOKUP($B47,'2) หลักการคำนวน Table'!$D$93:$M$108,HLOOKUP(AL47,'2) หลักการคำนวน Table'!$D$1:$M$5,5,TRUE),0))))),0)</f>
        <v>180</v>
      </c>
      <c r="BK47" s="167">
        <f>IFERROR(IF($C47="Top WS",VLOOKUP($B47,'2) หลักการคำนวน Table'!$D$5:$M$20,HLOOKUP(AM47,'2) หลักการคำนวน Table'!$D$1:$M$5,5,TRUE),0),
IF($C47="WS SF",VLOOKUP($B47,'2) หลักการคำนวน Table'!$D$33:$M$48,HLOOKUP(AM47,'2) หลักการคำนวน Table'!$D$1:$M$5,5,TRUE),0),
IF($C47="WS WH",VLOOKUP($B47,'2) หลักการคำนวน Table'!$D$63:$M$78,HLOOKUP(AM47,'2) หลักการคำนวน Table'!$D$1:$M$5,5,TRUE),0),
IF($C47="SF WH",VLOOKUP($B47,'2) หลักการคำนวน Table'!$D$93:$M$108,HLOOKUP(AM47,'2) หลักการคำนวน Table'!$D$1:$M$5,5,TRUE),0))))),0)</f>
        <v>180</v>
      </c>
      <c r="BM47" s="119">
        <f>VLOOKUP(VLOOKUP(A47,ASTBase!E:S,13,FALSE),ASTBase!F:P,11,FALSE)</f>
        <v>120000</v>
      </c>
      <c r="BN47" s="196" cm="1">
        <f t="array" ref="BN47">INDEX(AN47:AY47,,Period!$D$2)</f>
        <v>1.1000000000000001</v>
      </c>
    </row>
    <row r="48" spans="1:66" x14ac:dyDescent="0.25">
      <c r="A48" s="117">
        <v>140001</v>
      </c>
      <c r="B48" s="117" t="s">
        <v>388</v>
      </c>
      <c r="C48" s="117" t="s">
        <v>178</v>
      </c>
      <c r="D48" s="118">
        <v>180495</v>
      </c>
      <c r="E48" s="118">
        <v>202906</v>
      </c>
      <c r="F48" s="118">
        <v>199895</v>
      </c>
      <c r="G48" s="118">
        <v>186999</v>
      </c>
      <c r="H48" s="118">
        <v>200706</v>
      </c>
      <c r="I48" s="118">
        <v>204210</v>
      </c>
      <c r="J48" s="118">
        <v>199495</v>
      </c>
      <c r="K48" s="118">
        <v>211741</v>
      </c>
      <c r="L48" s="118">
        <v>207508</v>
      </c>
      <c r="M48" s="118">
        <v>231623</v>
      </c>
      <c r="N48" s="118">
        <v>202599</v>
      </c>
      <c r="O48" s="118">
        <v>202570</v>
      </c>
      <c r="P48" s="117">
        <f>SUMIFS(Actual!C:C,Actual!$A:$A,'3)Target &amp; Cal'!$A48,Actual!$B:$B,'3)Target &amp; Cal'!$B48)</f>
        <v>173949.4</v>
      </c>
      <c r="Q48" s="117">
        <f>SUMIFS(Actual!D:D,Actual!$A:$A,'3)Target &amp; Cal'!$A48,Actual!$B:$B,'3)Target &amp; Cal'!$B48)</f>
        <v>177552.9</v>
      </c>
      <c r="R48" s="117">
        <f>SUMIFS(Actual!E:E,Actual!$A:$A,'3)Target &amp; Cal'!$A48,Actual!$B:$B,'3)Target &amp; Cal'!$B48)</f>
        <v>0</v>
      </c>
      <c r="S48" s="117">
        <f>SUMIFS(Actual!F:F,Actual!$A:$A,'3)Target &amp; Cal'!$A48,Actual!$B:$B,'3)Target &amp; Cal'!$B48)</f>
        <v>0</v>
      </c>
      <c r="T48" s="117">
        <f>SUMIFS(Actual!G:G,Actual!$A:$A,'3)Target &amp; Cal'!$A48,Actual!$B:$B,'3)Target &amp; Cal'!$B48)</f>
        <v>0</v>
      </c>
      <c r="U48" s="117">
        <f>SUMIFS(Actual!H:H,Actual!$A:$A,'3)Target &amp; Cal'!$A48,Actual!$B:$B,'3)Target &amp; Cal'!$B48)</f>
        <v>0</v>
      </c>
      <c r="V48" s="117">
        <f>SUMIFS(Actual!I:I,Actual!$A:$A,'3)Target &amp; Cal'!$A48,Actual!$B:$B,'3)Target &amp; Cal'!$B48)</f>
        <v>0</v>
      </c>
      <c r="W48" s="117">
        <f>SUMIFS(Actual!J:J,Actual!$A:$A,'3)Target &amp; Cal'!$A48,Actual!$B:$B,'3)Target &amp; Cal'!$B48)</f>
        <v>0</v>
      </c>
      <c r="X48" s="117">
        <f>SUMIFS(Actual!K:K,Actual!$A:$A,'3)Target &amp; Cal'!$A48,Actual!$B:$B,'3)Target &amp; Cal'!$B48)</f>
        <v>0</v>
      </c>
      <c r="Y48" s="117">
        <f>SUMIFS(Actual!L:L,Actual!$A:$A,'3)Target &amp; Cal'!$A48,Actual!$B:$B,'3)Target &amp; Cal'!$B48)</f>
        <v>0</v>
      </c>
      <c r="Z48" s="117">
        <f>SUMIFS(Actual!M:M,Actual!$A:$A,'3)Target &amp; Cal'!$A48,Actual!$B:$B,'3)Target &amp; Cal'!$B48)</f>
        <v>0</v>
      </c>
      <c r="AA48" s="117">
        <f>SUMIFS(Actual!N:N,Actual!$A:$A,'3)Target &amp; Cal'!$A48,Actual!$B:$B,'3)Target &amp; Cal'!$B48)</f>
        <v>0</v>
      </c>
      <c r="AB48" s="123">
        <f>IFERROR(IF(VLOOKUP($B48,Shortage!$A:$M,AB$2,FALSE)="Shortage",1,IFERROR(ROUND(P48/D48,4),0)),IFERROR(ROUND(P48/D48,4),0))</f>
        <v>1</v>
      </c>
      <c r="AC48" s="123">
        <f>IFERROR(IF(VLOOKUP($B48,Shortage!$A:$M,AC$2,FALSE)="Shortage",1,IFERROR(ROUND(Q48/E48,4),0)),IFERROR(ROUND(Q48/E48,4),0))</f>
        <v>0.87509999999999999</v>
      </c>
      <c r="AD48" s="123">
        <f>IFERROR(IF(VLOOKUP($B48,Shortage!$A:$M,AD$2,FALSE)="Shortage",1,IFERROR(ROUND(R48/F48,4),0)),IFERROR(ROUND(R48/F48,4),0))</f>
        <v>0</v>
      </c>
      <c r="AE48" s="123">
        <f>IFERROR(IF(VLOOKUP($B48,Shortage!$A:$M,AE$2,FALSE)="Shortage",1,IFERROR(ROUND(S48/G48,4),0)),IFERROR(ROUND(S48/G48,4),0))</f>
        <v>0</v>
      </c>
      <c r="AF48" s="123">
        <f>IFERROR(IF(VLOOKUP($B48,Shortage!$A:$M,AF$2,FALSE)="Shortage",1,IFERROR(ROUND(T48/H48,4),0)),IFERROR(ROUND(T48/H48,4),0))</f>
        <v>0</v>
      </c>
      <c r="AG48" s="123">
        <f>IFERROR(IF(VLOOKUP($B48,Shortage!$A:$M,AG$2,FALSE)="Shortage",1,IFERROR(ROUND(U48/I48,4),0)),IFERROR(ROUND(U48/I48,4),0))</f>
        <v>0</v>
      </c>
      <c r="AH48" s="123">
        <f>IFERROR(IF(VLOOKUP($B48,Shortage!$A:$M,AH$2,FALSE)="Shortage",1,IFERROR(ROUND(V48/J48,4),0)),IFERROR(ROUND(V48/J48,4),0))</f>
        <v>0</v>
      </c>
      <c r="AI48" s="123">
        <f>IFERROR(IF(VLOOKUP($B48,Shortage!$A:$M,AI$2,FALSE)="Shortage",1,IFERROR(ROUND(W48/K48,4),0)),IFERROR(ROUND(W48/K48,4),0))</f>
        <v>0</v>
      </c>
      <c r="AJ48" s="123">
        <f>IFERROR(IF(VLOOKUP($B48,Shortage!$A:$M,AP$2,FALSE)="Shortage",1,IFERROR(ROUND(X48/L48,4),0)),IFERROR(ROUND(X48/L48,4),0))</f>
        <v>0</v>
      </c>
      <c r="AK48" s="123">
        <f>IFERROR(IF(VLOOKUP($B48,Shortage!$A:$M,AK$2,FALSE)="Shortage",1,IFERROR(ROUND(Y48/M48,4),0)),IFERROR(ROUND(Y48/M48,4),0))</f>
        <v>0</v>
      </c>
      <c r="AL48" s="123">
        <f>IFERROR(IF(VLOOKUP($B48,Shortage!$A:$M,AL$2,FALSE)="Shortage",1,IFERROR(ROUND(Z48/N48,4),0)),IFERROR(ROUND(Z48/N48,4),0))</f>
        <v>0</v>
      </c>
      <c r="AM48" s="123">
        <f>IFERROR(IF(VLOOKUP($B48,Shortage!$A:$M,AM$2,FALSE)="Shortage",1,IFERROR(ROUND(AA48/O48,4),0)),IFERROR(ROUND(AA48/O48,4),0))</f>
        <v>0</v>
      </c>
      <c r="AN48" s="232">
        <f>IFERROR(IF($C48="Top WS",VLOOKUP("GOAL",'2) หลักการคำนวน Table'!$D$4:$M$4,HLOOKUP(AB48,'2) หลักการคำนวน Table'!$D$1:$M$5,5,TRUE),0),
IF($C48="WS SF",VLOOKUP("GOAL",'2) หลักการคำนวน Table'!$D$32:$M$32,HLOOKUP(AB48,'2) หลักการคำนวน Table'!$D$1:$M$5,5,TRUE),0),
IF($C48="WS WH",VLOOKUP("GOAL",'2) หลักการคำนวน Table'!$D$62:$M$62,HLOOKUP(AB48,'2) หลักการคำนวน Table'!$D$1:$M$5,5,TRUE),0),
IF($C48="SF WH",VLOOKUP("GOAL",'2) หลักการคำนวน Table'!$D$92:$M$92,HLOOKUP(AB48,'2) หลักการคำนวน Table'!$D$1:$M$5,5,TRUE),0))))),0)</f>
        <v>1</v>
      </c>
      <c r="AO48" s="232">
        <f>IFERROR(IF($C48="Top WS",VLOOKUP("GOAL",'2) หลักการคำนวน Table'!$D$4:$M$4,HLOOKUP(AC48,'2) หลักการคำนวน Table'!$D$1:$M$5,5,TRUE),0),
IF($C48="WS SF",VLOOKUP("GOAL",'2) หลักการคำนวน Table'!$D$32:$M$32,HLOOKUP(AC48,'2) หลักการคำนวน Table'!$D$1:$M$5,5,TRUE),0),
IF($C48="WS WH",VLOOKUP("GOAL",'2) หลักการคำนวน Table'!$D$62:$M$62,HLOOKUP(AC48,'2) หลักการคำนวน Table'!$D$1:$M$5,5,TRUE),0),
IF($C48="SF WH",VLOOKUP("GOAL",'2) หลักการคำนวน Table'!$D$92:$M$92,HLOOKUP(AC48,'2) หลักการคำนวน Table'!$D$1:$M$5,5,TRUE),0))))),0)</f>
        <v>0.9</v>
      </c>
      <c r="AP48" s="232">
        <f>IFERROR(IF($C48="Top WS",VLOOKUP("GOAL",'2) หลักการคำนวน Table'!$D$4:$M$4,HLOOKUP(AD48,'2) หลักการคำนวน Table'!$D$1:$M$5,5,TRUE),0),
IF($C48="WS SF",VLOOKUP("GOAL",'2) หลักการคำนวน Table'!$D$32:$M$32,HLOOKUP(AD48,'2) หลักการคำนวน Table'!$D$1:$M$5,5,TRUE),0),
IF($C48="WS WH",VLOOKUP("GOAL",'2) หลักการคำนวน Table'!$D$62:$M$62,HLOOKUP(AD48,'2) หลักการคำนวน Table'!$D$1:$M$5,5,TRUE),0),
IF($C48="SF WH",VLOOKUP("GOAL",'2) หลักการคำนวน Table'!$D$92:$M$92,HLOOKUP(AD48,'2) หลักการคำนวน Table'!$D$1:$M$5,5,TRUE),0))))),0)</f>
        <v>0.9</v>
      </c>
      <c r="AQ48" s="232">
        <f>IFERROR(IF($C48="Top WS",VLOOKUP("GOAL",'2) หลักการคำนวน Table'!$D$4:$M$4,HLOOKUP(AE48,'2) หลักการคำนวน Table'!$D$1:$M$5,5,TRUE),0),
IF($C48="WS SF",VLOOKUP("GOAL",'2) หลักการคำนวน Table'!$D$32:$M$32,HLOOKUP(AE48,'2) หลักการคำนวน Table'!$D$1:$M$5,5,TRUE),0),
IF($C48="WS WH",VLOOKUP("GOAL",'2) หลักการคำนวน Table'!$D$62:$M$62,HLOOKUP(AE48,'2) หลักการคำนวน Table'!$D$1:$M$5,5,TRUE),0),
IF($C48="SF WH",VLOOKUP("GOAL",'2) หลักการคำนวน Table'!$D$92:$M$92,HLOOKUP(AE48,'2) หลักการคำนวน Table'!$D$1:$M$5,5,TRUE),0))))),0)</f>
        <v>0.9</v>
      </c>
      <c r="AR48" s="232">
        <f>IFERROR(IF($C48="Top WS",VLOOKUP("GOAL",'2) หลักการคำนวน Table'!$D$4:$M$4,HLOOKUP(AF48,'2) หลักการคำนวน Table'!$D$1:$M$5,5,TRUE),0),
IF($C48="WS SF",VLOOKUP("GOAL",'2) หลักการคำนวน Table'!$D$32:$M$32,HLOOKUP(AF48,'2) หลักการคำนวน Table'!$D$1:$M$5,5,TRUE),0),
IF($C48="WS WH",VLOOKUP("GOAL",'2) หลักการคำนวน Table'!$D$62:$M$62,HLOOKUP(AF48,'2) หลักการคำนวน Table'!$D$1:$M$5,5,TRUE),0),
IF($C48="SF WH",VLOOKUP("GOAL",'2) หลักการคำนวน Table'!$D$92:$M$92,HLOOKUP(AF48,'2) หลักการคำนวน Table'!$D$1:$M$5,5,TRUE),0))))),0)</f>
        <v>0.9</v>
      </c>
      <c r="AS48" s="232">
        <f>IFERROR(IF($C48="Top WS",VLOOKUP("GOAL",'2) หลักการคำนวน Table'!$D$4:$M$4,HLOOKUP(AG48,'2) หลักการคำนวน Table'!$D$1:$M$5,5,TRUE),0),
IF($C48="WS SF",VLOOKUP("GOAL",'2) หลักการคำนวน Table'!$D$32:$M$32,HLOOKUP(AG48,'2) หลักการคำนวน Table'!$D$1:$M$5,5,TRUE),0),
IF($C48="WS WH",VLOOKUP("GOAL",'2) หลักการคำนวน Table'!$D$62:$M$62,HLOOKUP(AG48,'2) หลักการคำนวน Table'!$D$1:$M$5,5,TRUE),0),
IF($C48="SF WH",VLOOKUP("GOAL",'2) หลักการคำนวน Table'!$D$92:$M$92,HLOOKUP(AG48,'2) หลักการคำนวน Table'!$D$1:$M$5,5,TRUE),0))))),0)</f>
        <v>0.9</v>
      </c>
      <c r="AT48" s="232">
        <f>IFERROR(IF($C48="Top WS",VLOOKUP("GOAL",'2) หลักการคำนวน Table'!$D$4:$M$4,HLOOKUP(AH48,'2) หลักการคำนวน Table'!$D$1:$M$5,5,TRUE),0),
IF($C48="WS SF",VLOOKUP("GOAL",'2) หลักการคำนวน Table'!$D$32:$M$32,HLOOKUP(AH48,'2) หลักการคำนวน Table'!$D$1:$M$5,5,TRUE),0),
IF($C48="WS WH",VLOOKUP("GOAL",'2) หลักการคำนวน Table'!$D$62:$M$62,HLOOKUP(AH48,'2) หลักการคำนวน Table'!$D$1:$M$5,5,TRUE),0),
IF($C48="SF WH",VLOOKUP("GOAL",'2) หลักการคำนวน Table'!$D$92:$M$92,HLOOKUP(AH48,'2) หลักการคำนวน Table'!$D$1:$M$5,5,TRUE),0))))),0)</f>
        <v>0.9</v>
      </c>
      <c r="AU48" s="232">
        <f>IFERROR(IF($C48="Top WS",VLOOKUP("GOAL",'2) หลักการคำนวน Table'!$D$4:$M$4,HLOOKUP(AI48,'2) หลักการคำนวน Table'!$D$1:$M$5,5,TRUE),0),
IF($C48="WS SF",VLOOKUP("GOAL",'2) หลักการคำนวน Table'!$D$32:$M$32,HLOOKUP(AI48,'2) หลักการคำนวน Table'!$D$1:$M$5,5,TRUE),0),
IF($C48="WS WH",VLOOKUP("GOAL",'2) หลักการคำนวน Table'!$D$62:$M$62,HLOOKUP(AI48,'2) หลักการคำนวน Table'!$D$1:$M$5,5,TRUE),0),
IF($C48="SF WH",VLOOKUP("GOAL",'2) หลักการคำนวน Table'!$D$92:$M$92,HLOOKUP(AI48,'2) หลักการคำนวน Table'!$D$1:$M$5,5,TRUE),0))))),0)</f>
        <v>0.9</v>
      </c>
      <c r="AV48" s="232">
        <f>IFERROR(IF($C48="Top WS",VLOOKUP("GOAL",'2) หลักการคำนวน Table'!$D$4:$M$4,HLOOKUP(AP48,'2) หลักการคำนวน Table'!$D$1:$M$5,5,TRUE),0),
IF($C48="WS SF",VLOOKUP("GOAL",'2) หลักการคำนวน Table'!$D$32:$M$32,HLOOKUP(AP48,'2) หลักการคำนวน Table'!$D$1:$M$5,5,TRUE),0),
IF($C48="WS WH",VLOOKUP("GOAL",'2) หลักการคำนวน Table'!$D$62:$M$62,HLOOKUP(AP48,'2) หลักการคำนวน Table'!$D$1:$M$5,5,TRUE),0),
IF($C48="SF WH",VLOOKUP("GOAL",'2) หลักการคำนวน Table'!$D$92:$M$92,HLOOKUP(AP48,'2) หลักการคำนวน Table'!$D$1:$M$5,5,TRUE),0))))),0)</f>
        <v>0.9</v>
      </c>
      <c r="AW48" s="232">
        <f>IFERROR(IF($C48="Top WS",VLOOKUP("GOAL",'2) หลักการคำนวน Table'!$D$4:$M$4,HLOOKUP(AK48,'2) หลักการคำนวน Table'!$D$1:$M$5,5,TRUE),0),
IF($C48="WS SF",VLOOKUP("GOAL",'2) หลักการคำนวน Table'!$D$32:$M$32,HLOOKUP(AK48,'2) หลักการคำนวน Table'!$D$1:$M$5,5,TRUE),0),
IF($C48="WS WH",VLOOKUP("GOAL",'2) หลักการคำนวน Table'!$D$62:$M$62,HLOOKUP(AK48,'2) หลักการคำนวน Table'!$D$1:$M$5,5,TRUE),0),
IF($C48="SF WH",VLOOKUP("GOAL",'2) หลักการคำนวน Table'!$D$92:$M$92,HLOOKUP(AK48,'2) หลักการคำนวน Table'!$D$1:$M$5,5,TRUE),0))))),0)</f>
        <v>0.9</v>
      </c>
      <c r="AX48" s="232">
        <f>IFERROR(IF($C48="Top WS",VLOOKUP("GOAL",'2) หลักการคำนวน Table'!$D$4:$M$4,HLOOKUP(AL48,'2) หลักการคำนวน Table'!$D$1:$M$5,5,TRUE),0),
IF($C48="WS SF",VLOOKUP("GOAL",'2) หลักการคำนวน Table'!$D$32:$M$32,HLOOKUP(AL48,'2) หลักการคำนวน Table'!$D$1:$M$5,5,TRUE),0),
IF($C48="WS WH",VLOOKUP("GOAL",'2) หลักการคำนวน Table'!$D$62:$M$62,HLOOKUP(AL48,'2) หลักการคำนวน Table'!$D$1:$M$5,5,TRUE),0),
IF($C48="SF WH",VLOOKUP("GOAL",'2) หลักการคำนวน Table'!$D$92:$M$92,HLOOKUP(AL48,'2) หลักการคำนวน Table'!$D$1:$M$5,5,TRUE),0))))),0)</f>
        <v>0.9</v>
      </c>
      <c r="AY48" s="232">
        <f>IFERROR(IF($C48="Top WS",VLOOKUP("GOAL",'2) หลักการคำนวน Table'!$D$4:$M$4,HLOOKUP(AM48,'2) หลักการคำนวน Table'!$D$1:$M$5,5,TRUE),0),
IF($C48="WS SF",VLOOKUP("GOAL",'2) หลักการคำนวน Table'!$D$32:$M$32,HLOOKUP(AM48,'2) หลักการคำนวน Table'!$D$1:$M$5,5,TRUE),0),
IF($C48="WS WH",VLOOKUP("GOAL",'2) หลักการคำนวน Table'!$D$62:$M$62,HLOOKUP(AM48,'2) หลักการคำนวน Table'!$D$1:$M$5,5,TRUE),0),
IF($C48="SF WH",VLOOKUP("GOAL",'2) หลักการคำนวน Table'!$D$92:$M$92,HLOOKUP(AM48,'2) หลักการคำนวน Table'!$D$1:$M$5,5,TRUE),0))))),0)</f>
        <v>0.9</v>
      </c>
      <c r="AZ48" s="167">
        <f>IFERROR(IF($C48="Top WS",VLOOKUP($B48,'2) หลักการคำนวน Table'!$D$5:$M$20,HLOOKUP(AB48,'2) หลักการคำนวน Table'!$D$1:$M$5,5,TRUE),0),
IF($C48="WS SF",VLOOKUP($B48,'2) หลักการคำนวน Table'!$D$33:$M$48,HLOOKUP(AB48,'2) หลักการคำนวน Table'!$D$1:$M$5,5,TRUE),0),
IF($C48="WS WH",VLOOKUP($B48,'2) หลักการคำนวน Table'!$D$63:$M$78,HLOOKUP(AB48,'2) หลักการคำนวน Table'!$D$1:$M$5,5,TRUE),0),
IF($C48="SF WH",VLOOKUP($B48,'2) หลักการคำนวน Table'!$D$93:$M$108,HLOOKUP(AB48,'2) หลักการคำนวน Table'!$D$1:$M$5,5,TRUE),0))))),0)</f>
        <v>200</v>
      </c>
      <c r="BA48" s="167">
        <f>IFERROR(IF($C48="Top WS",VLOOKUP($B48,'2) หลักการคำนวน Table'!$D$5:$M$20,HLOOKUP(AC48,'2) หลักการคำนวน Table'!$D$1:$M$5,5,TRUE),0),
IF($C48="WS SF",VLOOKUP($B48,'2) หลักการคำนวน Table'!$D$33:$M$48,HLOOKUP(AC48,'2) หลักการคำนวน Table'!$D$1:$M$5,5,TRUE),0),
IF($C48="WS WH",VLOOKUP($B48,'2) หลักการคำนวน Table'!$D$63:$M$78,HLOOKUP(AC48,'2) หลักการคำนวน Table'!$D$1:$M$5,5,TRUE),0),
IF($C48="SF WH",VLOOKUP($B48,'2) หลักการคำนวน Table'!$D$93:$M$108,HLOOKUP(AC48,'2) หลักการคำนวน Table'!$D$1:$M$5,5,TRUE),0))))),0)</f>
        <v>180</v>
      </c>
      <c r="BB48" s="167">
        <f>IFERROR(IF($C48="Top WS",VLOOKUP($B48,'2) หลักการคำนวน Table'!$D$5:$M$20,HLOOKUP(AD48,'2) หลักการคำนวน Table'!$D$1:$M$5,5,TRUE),0),
IF($C48="WS SF",VLOOKUP($B48,'2) หลักการคำนวน Table'!$D$33:$M$48,HLOOKUP(AD48,'2) หลักการคำนวน Table'!$D$1:$M$5,5,TRUE),0),
IF($C48="WS WH",VLOOKUP($B48,'2) หลักการคำนวน Table'!$D$63:$M$78,HLOOKUP(AD48,'2) หลักการคำนวน Table'!$D$1:$M$5,5,TRUE),0),
IF($C48="SF WH",VLOOKUP($B48,'2) หลักการคำนวน Table'!$D$93:$M$108,HLOOKUP(AD48,'2) หลักการคำนวน Table'!$D$1:$M$5,5,TRUE),0))))),0)</f>
        <v>180</v>
      </c>
      <c r="BC48" s="167">
        <f>IFERROR(IF($C48="Top WS",VLOOKUP($B48,'2) หลักการคำนวน Table'!$D$5:$M$20,HLOOKUP(AE48,'2) หลักการคำนวน Table'!$D$1:$M$5,5,TRUE),0),
IF($C48="WS SF",VLOOKUP($B48,'2) หลักการคำนวน Table'!$D$33:$M$48,HLOOKUP(AE48,'2) หลักการคำนวน Table'!$D$1:$M$5,5,TRUE),0),
IF($C48="WS WH",VLOOKUP($B48,'2) หลักการคำนวน Table'!$D$63:$M$78,HLOOKUP(AE48,'2) หลักการคำนวน Table'!$D$1:$M$5,5,TRUE),0),
IF($C48="SF WH",VLOOKUP($B48,'2) หลักการคำนวน Table'!$D$93:$M$108,HLOOKUP(AE48,'2) หลักการคำนวน Table'!$D$1:$M$5,5,TRUE),0))))),0)</f>
        <v>180</v>
      </c>
      <c r="BD48" s="167">
        <f>IFERROR(IF($C48="Top WS",VLOOKUP($B48,'2) หลักการคำนวน Table'!$D$5:$M$20,HLOOKUP(AF48,'2) หลักการคำนวน Table'!$D$1:$M$5,5,TRUE),0),
IF($C48="WS SF",VLOOKUP($B48,'2) หลักการคำนวน Table'!$D$33:$M$48,HLOOKUP(AF48,'2) หลักการคำนวน Table'!$D$1:$M$5,5,TRUE),0),
IF($C48="WS WH",VLOOKUP($B48,'2) หลักการคำนวน Table'!$D$63:$M$78,HLOOKUP(AF48,'2) หลักการคำนวน Table'!$D$1:$M$5,5,TRUE),0),
IF($C48="SF WH",VLOOKUP($B48,'2) หลักการคำนวน Table'!$D$93:$M$108,HLOOKUP(AF48,'2) หลักการคำนวน Table'!$D$1:$M$5,5,TRUE),0))))),0)</f>
        <v>180</v>
      </c>
      <c r="BE48" s="167">
        <f>IFERROR(IF($C48="Top WS",VLOOKUP($B48,'2) หลักการคำนวน Table'!$D$5:$M$20,HLOOKUP(AG48,'2) หลักการคำนวน Table'!$D$1:$M$5,5,TRUE),0),
IF($C48="WS SF",VLOOKUP($B48,'2) หลักการคำนวน Table'!$D$33:$M$48,HLOOKUP(AG48,'2) หลักการคำนวน Table'!$D$1:$M$5,5,TRUE),0),
IF($C48="WS WH",VLOOKUP($B48,'2) หลักการคำนวน Table'!$D$63:$M$78,HLOOKUP(AG48,'2) หลักการคำนวน Table'!$D$1:$M$5,5,TRUE),0),
IF($C48="SF WH",VLOOKUP($B48,'2) หลักการคำนวน Table'!$D$93:$M$108,HLOOKUP(AG48,'2) หลักการคำนวน Table'!$D$1:$M$5,5,TRUE),0))))),0)</f>
        <v>180</v>
      </c>
      <c r="BF48" s="167">
        <f>IFERROR(IF($C48="Top WS",VLOOKUP($B48,'2) หลักการคำนวน Table'!$D$5:$M$20,HLOOKUP(AH48,'2) หลักการคำนวน Table'!$D$1:$M$5,5,TRUE),0),
IF($C48="WS SF",VLOOKUP($B48,'2) หลักการคำนวน Table'!$D$33:$M$48,HLOOKUP(AH48,'2) หลักการคำนวน Table'!$D$1:$M$5,5,TRUE),0),
IF($C48="WS WH",VLOOKUP($B48,'2) หลักการคำนวน Table'!$D$63:$M$78,HLOOKUP(AH48,'2) หลักการคำนวน Table'!$D$1:$M$5,5,TRUE),0),
IF($C48="SF WH",VLOOKUP($B48,'2) หลักการคำนวน Table'!$D$93:$M$108,HLOOKUP(AH48,'2) หลักการคำนวน Table'!$D$1:$M$5,5,TRUE),0))))),0)</f>
        <v>180</v>
      </c>
      <c r="BG48" s="167">
        <f>IFERROR(IF($C48="Top WS",VLOOKUP($B48,'2) หลักการคำนวน Table'!$D$5:$M$20,HLOOKUP(AI48,'2) หลักการคำนวน Table'!$D$1:$M$5,5,TRUE),0),
IF($C48="WS SF",VLOOKUP($B48,'2) หลักการคำนวน Table'!$D$33:$M$48,HLOOKUP(AI48,'2) หลักการคำนวน Table'!$D$1:$M$5,5,TRUE),0),
IF($C48="WS WH",VLOOKUP($B48,'2) หลักการคำนวน Table'!$D$63:$M$78,HLOOKUP(AI48,'2) หลักการคำนวน Table'!$D$1:$M$5,5,TRUE),0),
IF($C48="SF WH",VLOOKUP($B48,'2) หลักการคำนวน Table'!$D$93:$M$108,HLOOKUP(AI48,'2) หลักการคำนวน Table'!$D$1:$M$5,5,TRUE),0))))),0)</f>
        <v>180</v>
      </c>
      <c r="BH48" s="167">
        <f>IFERROR(IF($C48="Top WS",VLOOKUP($B48,'2) หลักการคำนวน Table'!$D$5:$M$20,HLOOKUP(AP48,'2) หลักการคำนวน Table'!$D$1:$M$5,5,TRUE),0),
IF($C48="WS SF",VLOOKUP($B48,'2) หลักการคำนวน Table'!$D$33:$M$48,HLOOKUP(AP48,'2) หลักการคำนวน Table'!$D$1:$M$5,5,TRUE),0),
IF($C48="WS WH",VLOOKUP($B48,'2) หลักการคำนวน Table'!$D$63:$M$78,HLOOKUP(AP48,'2) หลักการคำนวน Table'!$D$1:$M$5,5,TRUE),0),
IF($C48="SF WH",VLOOKUP($B48,'2) หลักการคำนวน Table'!$D$93:$M$108,HLOOKUP(AP48,'2) หลักการคำนวน Table'!$D$1:$M$5,5,TRUE),0))))),0)</f>
        <v>180</v>
      </c>
      <c r="BI48" s="167">
        <f>IFERROR(IF($C48="Top WS",VLOOKUP($B48,'2) หลักการคำนวน Table'!$D$5:$M$20,HLOOKUP(AK48,'2) หลักการคำนวน Table'!$D$1:$M$5,5,TRUE),0),
IF($C48="WS SF",VLOOKUP($B48,'2) หลักการคำนวน Table'!$D$33:$M$48,HLOOKUP(AK48,'2) หลักการคำนวน Table'!$D$1:$M$5,5,TRUE),0),
IF($C48="WS WH",VLOOKUP($B48,'2) หลักการคำนวน Table'!$D$63:$M$78,HLOOKUP(AK48,'2) หลักการคำนวน Table'!$D$1:$M$5,5,TRUE),0),
IF($C48="SF WH",VLOOKUP($B48,'2) หลักการคำนวน Table'!$D$93:$M$108,HLOOKUP(AK48,'2) หลักการคำนวน Table'!$D$1:$M$5,5,TRUE),0))))),0)</f>
        <v>180</v>
      </c>
      <c r="BJ48" s="167">
        <f>IFERROR(IF($C48="Top WS",VLOOKUP($B48,'2) หลักการคำนวน Table'!$D$5:$M$20,HLOOKUP(AL48,'2) หลักการคำนวน Table'!$D$1:$M$5,5,TRUE),0),
IF($C48="WS SF",VLOOKUP($B48,'2) หลักการคำนวน Table'!$D$33:$M$48,HLOOKUP(AL48,'2) หลักการคำนวน Table'!$D$1:$M$5,5,TRUE),0),
IF($C48="WS WH",VLOOKUP($B48,'2) หลักการคำนวน Table'!$D$63:$M$78,HLOOKUP(AL48,'2) หลักการคำนวน Table'!$D$1:$M$5,5,TRUE),0),
IF($C48="SF WH",VLOOKUP($B48,'2) หลักการคำนวน Table'!$D$93:$M$108,HLOOKUP(AL48,'2) หลักการคำนวน Table'!$D$1:$M$5,5,TRUE),0))))),0)</f>
        <v>180</v>
      </c>
      <c r="BK48" s="167">
        <f>IFERROR(IF($C48="Top WS",VLOOKUP($B48,'2) หลักการคำนวน Table'!$D$5:$M$20,HLOOKUP(AM48,'2) หลักการคำนวน Table'!$D$1:$M$5,5,TRUE),0),
IF($C48="WS SF",VLOOKUP($B48,'2) หลักการคำนวน Table'!$D$33:$M$48,HLOOKUP(AM48,'2) หลักการคำนวน Table'!$D$1:$M$5,5,TRUE),0),
IF($C48="WS WH",VLOOKUP($B48,'2) หลักการคำนวน Table'!$D$63:$M$78,HLOOKUP(AM48,'2) หลักการคำนวน Table'!$D$1:$M$5,5,TRUE),0),
IF($C48="SF WH",VLOOKUP($B48,'2) หลักการคำนวน Table'!$D$93:$M$108,HLOOKUP(AM48,'2) หลักการคำนวน Table'!$D$1:$M$5,5,TRUE),0))))),0)</f>
        <v>180</v>
      </c>
      <c r="BM48" s="119">
        <f>VLOOKUP(VLOOKUP(A48,ASTBase!E:S,13,FALSE),ASTBase!F:P,11,FALSE)</f>
        <v>140000</v>
      </c>
      <c r="BN48" s="196" cm="1">
        <f t="array" ref="BN48">INDEX(AN48:AY48,,Period!$D$2)</f>
        <v>0.9</v>
      </c>
    </row>
    <row r="49" spans="1:66" x14ac:dyDescent="0.25">
      <c r="A49" s="117">
        <v>140001</v>
      </c>
      <c r="B49" s="117" t="s">
        <v>389</v>
      </c>
      <c r="C49" s="117" t="s">
        <v>178</v>
      </c>
      <c r="D49" s="118">
        <v>78302</v>
      </c>
      <c r="E49" s="118">
        <v>73843</v>
      </c>
      <c r="F49" s="118">
        <v>85414</v>
      </c>
      <c r="G49" s="118">
        <v>70026</v>
      </c>
      <c r="H49" s="118">
        <v>58589</v>
      </c>
      <c r="I49" s="118">
        <v>74332</v>
      </c>
      <c r="J49" s="118">
        <v>68229</v>
      </c>
      <c r="K49" s="118">
        <v>77529</v>
      </c>
      <c r="L49" s="118">
        <v>77754</v>
      </c>
      <c r="M49" s="118">
        <v>86550</v>
      </c>
      <c r="N49" s="118">
        <v>70008</v>
      </c>
      <c r="O49" s="118">
        <v>70008</v>
      </c>
      <c r="P49" s="117">
        <f>SUMIFS(Actual!C:C,Actual!$A:$A,'3)Target &amp; Cal'!$A49,Actual!$B:$B,'3)Target &amp; Cal'!$B49)</f>
        <v>78289</v>
      </c>
      <c r="Q49" s="117">
        <f>SUMIFS(Actual!D:D,Actual!$A:$A,'3)Target &amp; Cal'!$A49,Actual!$B:$B,'3)Target &amp; Cal'!$B49)</f>
        <v>73276.3</v>
      </c>
      <c r="R49" s="117">
        <f>SUMIFS(Actual!E:E,Actual!$A:$A,'3)Target &amp; Cal'!$A49,Actual!$B:$B,'3)Target &amp; Cal'!$B49)</f>
        <v>0</v>
      </c>
      <c r="S49" s="117">
        <f>SUMIFS(Actual!F:F,Actual!$A:$A,'3)Target &amp; Cal'!$A49,Actual!$B:$B,'3)Target &amp; Cal'!$B49)</f>
        <v>0</v>
      </c>
      <c r="T49" s="117">
        <f>SUMIFS(Actual!G:G,Actual!$A:$A,'3)Target &amp; Cal'!$A49,Actual!$B:$B,'3)Target &amp; Cal'!$B49)</f>
        <v>0</v>
      </c>
      <c r="U49" s="117">
        <f>SUMIFS(Actual!H:H,Actual!$A:$A,'3)Target &amp; Cal'!$A49,Actual!$B:$B,'3)Target &amp; Cal'!$B49)</f>
        <v>0</v>
      </c>
      <c r="V49" s="117">
        <f>SUMIFS(Actual!I:I,Actual!$A:$A,'3)Target &amp; Cal'!$A49,Actual!$B:$B,'3)Target &amp; Cal'!$B49)</f>
        <v>0</v>
      </c>
      <c r="W49" s="117">
        <f>SUMIFS(Actual!J:J,Actual!$A:$A,'3)Target &amp; Cal'!$A49,Actual!$B:$B,'3)Target &amp; Cal'!$B49)</f>
        <v>0</v>
      </c>
      <c r="X49" s="117">
        <f>SUMIFS(Actual!K:K,Actual!$A:$A,'3)Target &amp; Cal'!$A49,Actual!$B:$B,'3)Target &amp; Cal'!$B49)</f>
        <v>0</v>
      </c>
      <c r="Y49" s="117">
        <f>SUMIFS(Actual!L:L,Actual!$A:$A,'3)Target &amp; Cal'!$A49,Actual!$B:$B,'3)Target &amp; Cal'!$B49)</f>
        <v>0</v>
      </c>
      <c r="Z49" s="117">
        <f>SUMIFS(Actual!M:M,Actual!$A:$A,'3)Target &amp; Cal'!$A49,Actual!$B:$B,'3)Target &amp; Cal'!$B49)</f>
        <v>0</v>
      </c>
      <c r="AA49" s="117">
        <f>SUMIFS(Actual!N:N,Actual!$A:$A,'3)Target &amp; Cal'!$A49,Actual!$B:$B,'3)Target &amp; Cal'!$B49)</f>
        <v>0</v>
      </c>
      <c r="AB49" s="123">
        <f>IFERROR(IF(VLOOKUP($B49,Shortage!$A:$M,AB$2,FALSE)="Shortage",1,IFERROR(ROUND(P49/D49,4),0)),IFERROR(ROUND(P49/D49,4),0))</f>
        <v>1</v>
      </c>
      <c r="AC49" s="123">
        <f>IFERROR(IF(VLOOKUP($B49,Shortage!$A:$M,AC$2,FALSE)="Shortage",1,IFERROR(ROUND(Q49/E49,4),0)),IFERROR(ROUND(Q49/E49,4),0))</f>
        <v>1</v>
      </c>
      <c r="AD49" s="123">
        <f>IFERROR(IF(VLOOKUP($B49,Shortage!$A:$M,AD$2,FALSE)="Shortage",1,IFERROR(ROUND(R49/F49,4),0)),IFERROR(ROUND(R49/F49,4),0))</f>
        <v>0</v>
      </c>
      <c r="AE49" s="123">
        <f>IFERROR(IF(VLOOKUP($B49,Shortage!$A:$M,AE$2,FALSE)="Shortage",1,IFERROR(ROUND(S49/G49,4),0)),IFERROR(ROUND(S49/G49,4),0))</f>
        <v>0</v>
      </c>
      <c r="AF49" s="123">
        <f>IFERROR(IF(VLOOKUP($B49,Shortage!$A:$M,AF$2,FALSE)="Shortage",1,IFERROR(ROUND(T49/H49,4),0)),IFERROR(ROUND(T49/H49,4),0))</f>
        <v>0</v>
      </c>
      <c r="AG49" s="123">
        <f>IFERROR(IF(VLOOKUP($B49,Shortage!$A:$M,AG$2,FALSE)="Shortage",1,IFERROR(ROUND(U49/I49,4),0)),IFERROR(ROUND(U49/I49,4),0))</f>
        <v>0</v>
      </c>
      <c r="AH49" s="123">
        <f>IFERROR(IF(VLOOKUP($B49,Shortage!$A:$M,AH$2,FALSE)="Shortage",1,IFERROR(ROUND(V49/J49,4),0)),IFERROR(ROUND(V49/J49,4),0))</f>
        <v>0</v>
      </c>
      <c r="AI49" s="123">
        <f>IFERROR(IF(VLOOKUP($B49,Shortage!$A:$M,AI$2,FALSE)="Shortage",1,IFERROR(ROUND(W49/K49,4),0)),IFERROR(ROUND(W49/K49,4),0))</f>
        <v>0</v>
      </c>
      <c r="AJ49" s="123">
        <f>IFERROR(IF(VLOOKUP($B49,Shortage!$A:$M,AP$2,FALSE)="Shortage",1,IFERROR(ROUND(X49/L49,4),0)),IFERROR(ROUND(X49/L49,4),0))</f>
        <v>0</v>
      </c>
      <c r="AK49" s="123">
        <f>IFERROR(IF(VLOOKUP($B49,Shortage!$A:$M,AK$2,FALSE)="Shortage",1,IFERROR(ROUND(Y49/M49,4),0)),IFERROR(ROUND(Y49/M49,4),0))</f>
        <v>0</v>
      </c>
      <c r="AL49" s="123">
        <f>IFERROR(IF(VLOOKUP($B49,Shortage!$A:$M,AL$2,FALSE)="Shortage",1,IFERROR(ROUND(Z49/N49,4),0)),IFERROR(ROUND(Z49/N49,4),0))</f>
        <v>0</v>
      </c>
      <c r="AM49" s="123">
        <f>IFERROR(IF(VLOOKUP($B49,Shortage!$A:$M,AM$2,FALSE)="Shortage",1,IFERROR(ROUND(AA49/O49,4),0)),IFERROR(ROUND(AA49/O49,4),0))</f>
        <v>0</v>
      </c>
      <c r="AN49" s="232">
        <f>IFERROR(IF($C49="Top WS",VLOOKUP("GOAL",'2) หลักการคำนวน Table'!$D$4:$M$4,HLOOKUP(AB49,'2) หลักการคำนวน Table'!$D$1:$M$5,5,TRUE),0),
IF($C49="WS SF",VLOOKUP("GOAL",'2) หลักการคำนวน Table'!$D$32:$M$32,HLOOKUP(AB49,'2) หลักการคำนวน Table'!$D$1:$M$5,5,TRUE),0),
IF($C49="WS WH",VLOOKUP("GOAL",'2) หลักการคำนวน Table'!$D$62:$M$62,HLOOKUP(AB49,'2) หลักการคำนวน Table'!$D$1:$M$5,5,TRUE),0),
IF($C49="SF WH",VLOOKUP("GOAL",'2) หลักการคำนวน Table'!$D$92:$M$92,HLOOKUP(AB49,'2) หลักการคำนวน Table'!$D$1:$M$5,5,TRUE),0))))),0)</f>
        <v>1</v>
      </c>
      <c r="AO49" s="232">
        <f>IFERROR(IF($C49="Top WS",VLOOKUP("GOAL",'2) หลักการคำนวน Table'!$D$4:$M$4,HLOOKUP(AC49,'2) หลักการคำนวน Table'!$D$1:$M$5,5,TRUE),0),
IF($C49="WS SF",VLOOKUP("GOAL",'2) หลักการคำนวน Table'!$D$32:$M$32,HLOOKUP(AC49,'2) หลักการคำนวน Table'!$D$1:$M$5,5,TRUE),0),
IF($C49="WS WH",VLOOKUP("GOAL",'2) หลักการคำนวน Table'!$D$62:$M$62,HLOOKUP(AC49,'2) หลักการคำนวน Table'!$D$1:$M$5,5,TRUE),0),
IF($C49="SF WH",VLOOKUP("GOAL",'2) หลักการคำนวน Table'!$D$92:$M$92,HLOOKUP(AC49,'2) หลักการคำนวน Table'!$D$1:$M$5,5,TRUE),0))))),0)</f>
        <v>1</v>
      </c>
      <c r="AP49" s="232">
        <f>IFERROR(IF($C49="Top WS",VLOOKUP("GOAL",'2) หลักการคำนวน Table'!$D$4:$M$4,HLOOKUP(AD49,'2) หลักการคำนวน Table'!$D$1:$M$5,5,TRUE),0),
IF($C49="WS SF",VLOOKUP("GOAL",'2) หลักการคำนวน Table'!$D$32:$M$32,HLOOKUP(AD49,'2) หลักการคำนวน Table'!$D$1:$M$5,5,TRUE),0),
IF($C49="WS WH",VLOOKUP("GOAL",'2) หลักการคำนวน Table'!$D$62:$M$62,HLOOKUP(AD49,'2) หลักการคำนวน Table'!$D$1:$M$5,5,TRUE),0),
IF($C49="SF WH",VLOOKUP("GOAL",'2) หลักการคำนวน Table'!$D$92:$M$92,HLOOKUP(AD49,'2) หลักการคำนวน Table'!$D$1:$M$5,5,TRUE),0))))),0)</f>
        <v>0.9</v>
      </c>
      <c r="AQ49" s="232">
        <f>IFERROR(IF($C49="Top WS",VLOOKUP("GOAL",'2) หลักการคำนวน Table'!$D$4:$M$4,HLOOKUP(AE49,'2) หลักการคำนวน Table'!$D$1:$M$5,5,TRUE),0),
IF($C49="WS SF",VLOOKUP("GOAL",'2) หลักการคำนวน Table'!$D$32:$M$32,HLOOKUP(AE49,'2) หลักการคำนวน Table'!$D$1:$M$5,5,TRUE),0),
IF($C49="WS WH",VLOOKUP("GOAL",'2) หลักการคำนวน Table'!$D$62:$M$62,HLOOKUP(AE49,'2) หลักการคำนวน Table'!$D$1:$M$5,5,TRUE),0),
IF($C49="SF WH",VLOOKUP("GOAL",'2) หลักการคำนวน Table'!$D$92:$M$92,HLOOKUP(AE49,'2) หลักการคำนวน Table'!$D$1:$M$5,5,TRUE),0))))),0)</f>
        <v>0.9</v>
      </c>
      <c r="AR49" s="232">
        <f>IFERROR(IF($C49="Top WS",VLOOKUP("GOAL",'2) หลักการคำนวน Table'!$D$4:$M$4,HLOOKUP(AF49,'2) หลักการคำนวน Table'!$D$1:$M$5,5,TRUE),0),
IF($C49="WS SF",VLOOKUP("GOAL",'2) หลักการคำนวน Table'!$D$32:$M$32,HLOOKUP(AF49,'2) หลักการคำนวน Table'!$D$1:$M$5,5,TRUE),0),
IF($C49="WS WH",VLOOKUP("GOAL",'2) หลักการคำนวน Table'!$D$62:$M$62,HLOOKUP(AF49,'2) หลักการคำนวน Table'!$D$1:$M$5,5,TRUE),0),
IF($C49="SF WH",VLOOKUP("GOAL",'2) หลักการคำนวน Table'!$D$92:$M$92,HLOOKUP(AF49,'2) หลักการคำนวน Table'!$D$1:$M$5,5,TRUE),0))))),0)</f>
        <v>0.9</v>
      </c>
      <c r="AS49" s="232">
        <f>IFERROR(IF($C49="Top WS",VLOOKUP("GOAL",'2) หลักการคำนวน Table'!$D$4:$M$4,HLOOKUP(AG49,'2) หลักการคำนวน Table'!$D$1:$M$5,5,TRUE),0),
IF($C49="WS SF",VLOOKUP("GOAL",'2) หลักการคำนวน Table'!$D$32:$M$32,HLOOKUP(AG49,'2) หลักการคำนวน Table'!$D$1:$M$5,5,TRUE),0),
IF($C49="WS WH",VLOOKUP("GOAL",'2) หลักการคำนวน Table'!$D$62:$M$62,HLOOKUP(AG49,'2) หลักการคำนวน Table'!$D$1:$M$5,5,TRUE),0),
IF($C49="SF WH",VLOOKUP("GOAL",'2) หลักการคำนวน Table'!$D$92:$M$92,HLOOKUP(AG49,'2) หลักการคำนวน Table'!$D$1:$M$5,5,TRUE),0))))),0)</f>
        <v>0.9</v>
      </c>
      <c r="AT49" s="232">
        <f>IFERROR(IF($C49="Top WS",VLOOKUP("GOAL",'2) หลักการคำนวน Table'!$D$4:$M$4,HLOOKUP(AH49,'2) หลักการคำนวน Table'!$D$1:$M$5,5,TRUE),0),
IF($C49="WS SF",VLOOKUP("GOAL",'2) หลักการคำนวน Table'!$D$32:$M$32,HLOOKUP(AH49,'2) หลักการคำนวน Table'!$D$1:$M$5,5,TRUE),0),
IF($C49="WS WH",VLOOKUP("GOAL",'2) หลักการคำนวน Table'!$D$62:$M$62,HLOOKUP(AH49,'2) หลักการคำนวน Table'!$D$1:$M$5,5,TRUE),0),
IF($C49="SF WH",VLOOKUP("GOAL",'2) หลักการคำนวน Table'!$D$92:$M$92,HLOOKUP(AH49,'2) หลักการคำนวน Table'!$D$1:$M$5,5,TRUE),0))))),0)</f>
        <v>0.9</v>
      </c>
      <c r="AU49" s="232">
        <f>IFERROR(IF($C49="Top WS",VLOOKUP("GOAL",'2) หลักการคำนวน Table'!$D$4:$M$4,HLOOKUP(AI49,'2) หลักการคำนวน Table'!$D$1:$M$5,5,TRUE),0),
IF($C49="WS SF",VLOOKUP("GOAL",'2) หลักการคำนวน Table'!$D$32:$M$32,HLOOKUP(AI49,'2) หลักการคำนวน Table'!$D$1:$M$5,5,TRUE),0),
IF($C49="WS WH",VLOOKUP("GOAL",'2) หลักการคำนวน Table'!$D$62:$M$62,HLOOKUP(AI49,'2) หลักการคำนวน Table'!$D$1:$M$5,5,TRUE),0),
IF($C49="SF WH",VLOOKUP("GOAL",'2) หลักการคำนวน Table'!$D$92:$M$92,HLOOKUP(AI49,'2) หลักการคำนวน Table'!$D$1:$M$5,5,TRUE),0))))),0)</f>
        <v>0.9</v>
      </c>
      <c r="AV49" s="232">
        <f>IFERROR(IF($C49="Top WS",VLOOKUP("GOAL",'2) หลักการคำนวน Table'!$D$4:$M$4,HLOOKUP(AP49,'2) หลักการคำนวน Table'!$D$1:$M$5,5,TRUE),0),
IF($C49="WS SF",VLOOKUP("GOAL",'2) หลักการคำนวน Table'!$D$32:$M$32,HLOOKUP(AP49,'2) หลักการคำนวน Table'!$D$1:$M$5,5,TRUE),0),
IF($C49="WS WH",VLOOKUP("GOAL",'2) หลักการคำนวน Table'!$D$62:$M$62,HLOOKUP(AP49,'2) หลักการคำนวน Table'!$D$1:$M$5,5,TRUE),0),
IF($C49="SF WH",VLOOKUP("GOAL",'2) หลักการคำนวน Table'!$D$92:$M$92,HLOOKUP(AP49,'2) หลักการคำนวน Table'!$D$1:$M$5,5,TRUE),0))))),0)</f>
        <v>0.9</v>
      </c>
      <c r="AW49" s="232">
        <f>IFERROR(IF($C49="Top WS",VLOOKUP("GOAL",'2) หลักการคำนวน Table'!$D$4:$M$4,HLOOKUP(AK49,'2) หลักการคำนวน Table'!$D$1:$M$5,5,TRUE),0),
IF($C49="WS SF",VLOOKUP("GOAL",'2) หลักการคำนวน Table'!$D$32:$M$32,HLOOKUP(AK49,'2) หลักการคำนวน Table'!$D$1:$M$5,5,TRUE),0),
IF($C49="WS WH",VLOOKUP("GOAL",'2) หลักการคำนวน Table'!$D$62:$M$62,HLOOKUP(AK49,'2) หลักการคำนวน Table'!$D$1:$M$5,5,TRUE),0),
IF($C49="SF WH",VLOOKUP("GOAL",'2) หลักการคำนวน Table'!$D$92:$M$92,HLOOKUP(AK49,'2) หลักการคำนวน Table'!$D$1:$M$5,5,TRUE),0))))),0)</f>
        <v>0.9</v>
      </c>
      <c r="AX49" s="232">
        <f>IFERROR(IF($C49="Top WS",VLOOKUP("GOAL",'2) หลักการคำนวน Table'!$D$4:$M$4,HLOOKUP(AL49,'2) หลักการคำนวน Table'!$D$1:$M$5,5,TRUE),0),
IF($C49="WS SF",VLOOKUP("GOAL",'2) หลักการคำนวน Table'!$D$32:$M$32,HLOOKUP(AL49,'2) หลักการคำนวน Table'!$D$1:$M$5,5,TRUE),0),
IF($C49="WS WH",VLOOKUP("GOAL",'2) หลักการคำนวน Table'!$D$62:$M$62,HLOOKUP(AL49,'2) หลักการคำนวน Table'!$D$1:$M$5,5,TRUE),0),
IF($C49="SF WH",VLOOKUP("GOAL",'2) หลักการคำนวน Table'!$D$92:$M$92,HLOOKUP(AL49,'2) หลักการคำนวน Table'!$D$1:$M$5,5,TRUE),0))))),0)</f>
        <v>0.9</v>
      </c>
      <c r="AY49" s="232">
        <f>IFERROR(IF($C49="Top WS",VLOOKUP("GOAL",'2) หลักการคำนวน Table'!$D$4:$M$4,HLOOKUP(AM49,'2) หลักการคำนวน Table'!$D$1:$M$5,5,TRUE),0),
IF($C49="WS SF",VLOOKUP("GOAL",'2) หลักการคำนวน Table'!$D$32:$M$32,HLOOKUP(AM49,'2) หลักการคำนวน Table'!$D$1:$M$5,5,TRUE),0),
IF($C49="WS WH",VLOOKUP("GOAL",'2) หลักการคำนวน Table'!$D$62:$M$62,HLOOKUP(AM49,'2) หลักการคำนวน Table'!$D$1:$M$5,5,TRUE),0),
IF($C49="SF WH",VLOOKUP("GOAL",'2) หลักการคำนวน Table'!$D$92:$M$92,HLOOKUP(AM49,'2) หลักการคำนวน Table'!$D$1:$M$5,5,TRUE),0))))),0)</f>
        <v>0.9</v>
      </c>
      <c r="AZ49" s="167">
        <f>IFERROR(IF($C49="Top WS",VLOOKUP($B49,'2) หลักการคำนวน Table'!$D$5:$M$20,HLOOKUP(AB49,'2) หลักการคำนวน Table'!$D$1:$M$5,5,TRUE),0),
IF($C49="WS SF",VLOOKUP($B49,'2) หลักการคำนวน Table'!$D$33:$M$48,HLOOKUP(AB49,'2) หลักการคำนวน Table'!$D$1:$M$5,5,TRUE),0),
IF($C49="WS WH",VLOOKUP($B49,'2) หลักการคำนวน Table'!$D$63:$M$78,HLOOKUP(AB49,'2) หลักการคำนวน Table'!$D$1:$M$5,5,TRUE),0),
IF($C49="SF WH",VLOOKUP($B49,'2) หลักการคำนวน Table'!$D$93:$M$108,HLOOKUP(AB49,'2) หลักการคำนวน Table'!$D$1:$M$5,5,TRUE),0))))),0)</f>
        <v>400</v>
      </c>
      <c r="BA49" s="167">
        <f>IFERROR(IF($C49="Top WS",VLOOKUP($B49,'2) หลักการคำนวน Table'!$D$5:$M$20,HLOOKUP(AC49,'2) หลักการคำนวน Table'!$D$1:$M$5,5,TRUE),0),
IF($C49="WS SF",VLOOKUP($B49,'2) หลักการคำนวน Table'!$D$33:$M$48,HLOOKUP(AC49,'2) หลักการคำนวน Table'!$D$1:$M$5,5,TRUE),0),
IF($C49="WS WH",VLOOKUP($B49,'2) หลักการคำนวน Table'!$D$63:$M$78,HLOOKUP(AC49,'2) หลักการคำนวน Table'!$D$1:$M$5,5,TRUE),0),
IF($C49="SF WH",VLOOKUP($B49,'2) หลักการคำนวน Table'!$D$93:$M$108,HLOOKUP(AC49,'2) หลักการคำนวน Table'!$D$1:$M$5,5,TRUE),0))))),0)</f>
        <v>400</v>
      </c>
      <c r="BB49" s="167">
        <f>IFERROR(IF($C49="Top WS",VLOOKUP($B49,'2) หลักการคำนวน Table'!$D$5:$M$20,HLOOKUP(AD49,'2) หลักการคำนวน Table'!$D$1:$M$5,5,TRUE),0),
IF($C49="WS SF",VLOOKUP($B49,'2) หลักการคำนวน Table'!$D$33:$M$48,HLOOKUP(AD49,'2) หลักการคำนวน Table'!$D$1:$M$5,5,TRUE),0),
IF($C49="WS WH",VLOOKUP($B49,'2) หลักการคำนวน Table'!$D$63:$M$78,HLOOKUP(AD49,'2) หลักการคำนวน Table'!$D$1:$M$5,5,TRUE),0),
IF($C49="SF WH",VLOOKUP($B49,'2) หลักการคำนวน Table'!$D$93:$M$108,HLOOKUP(AD49,'2) หลักการคำนวน Table'!$D$1:$M$5,5,TRUE),0))))),0)</f>
        <v>360</v>
      </c>
      <c r="BC49" s="167">
        <f>IFERROR(IF($C49="Top WS",VLOOKUP($B49,'2) หลักการคำนวน Table'!$D$5:$M$20,HLOOKUP(AE49,'2) หลักการคำนวน Table'!$D$1:$M$5,5,TRUE),0),
IF($C49="WS SF",VLOOKUP($B49,'2) หลักการคำนวน Table'!$D$33:$M$48,HLOOKUP(AE49,'2) หลักการคำนวน Table'!$D$1:$M$5,5,TRUE),0),
IF($C49="WS WH",VLOOKUP($B49,'2) หลักการคำนวน Table'!$D$63:$M$78,HLOOKUP(AE49,'2) หลักการคำนวน Table'!$D$1:$M$5,5,TRUE),0),
IF($C49="SF WH",VLOOKUP($B49,'2) หลักการคำนวน Table'!$D$93:$M$108,HLOOKUP(AE49,'2) หลักการคำนวน Table'!$D$1:$M$5,5,TRUE),0))))),0)</f>
        <v>360</v>
      </c>
      <c r="BD49" s="167">
        <f>IFERROR(IF($C49="Top WS",VLOOKUP($B49,'2) หลักการคำนวน Table'!$D$5:$M$20,HLOOKUP(AF49,'2) หลักการคำนวน Table'!$D$1:$M$5,5,TRUE),0),
IF($C49="WS SF",VLOOKUP($B49,'2) หลักการคำนวน Table'!$D$33:$M$48,HLOOKUP(AF49,'2) หลักการคำนวน Table'!$D$1:$M$5,5,TRUE),0),
IF($C49="WS WH",VLOOKUP($B49,'2) หลักการคำนวน Table'!$D$63:$M$78,HLOOKUP(AF49,'2) หลักการคำนวน Table'!$D$1:$M$5,5,TRUE),0),
IF($C49="SF WH",VLOOKUP($B49,'2) หลักการคำนวน Table'!$D$93:$M$108,HLOOKUP(AF49,'2) หลักการคำนวน Table'!$D$1:$M$5,5,TRUE),0))))),0)</f>
        <v>360</v>
      </c>
      <c r="BE49" s="167">
        <f>IFERROR(IF($C49="Top WS",VLOOKUP($B49,'2) หลักการคำนวน Table'!$D$5:$M$20,HLOOKUP(AG49,'2) หลักการคำนวน Table'!$D$1:$M$5,5,TRUE),0),
IF($C49="WS SF",VLOOKUP($B49,'2) หลักการคำนวน Table'!$D$33:$M$48,HLOOKUP(AG49,'2) หลักการคำนวน Table'!$D$1:$M$5,5,TRUE),0),
IF($C49="WS WH",VLOOKUP($B49,'2) หลักการคำนวน Table'!$D$63:$M$78,HLOOKUP(AG49,'2) หลักการคำนวน Table'!$D$1:$M$5,5,TRUE),0),
IF($C49="SF WH",VLOOKUP($B49,'2) หลักการคำนวน Table'!$D$93:$M$108,HLOOKUP(AG49,'2) หลักการคำนวน Table'!$D$1:$M$5,5,TRUE),0))))),0)</f>
        <v>360</v>
      </c>
      <c r="BF49" s="167">
        <f>IFERROR(IF($C49="Top WS",VLOOKUP($B49,'2) หลักการคำนวน Table'!$D$5:$M$20,HLOOKUP(AH49,'2) หลักการคำนวน Table'!$D$1:$M$5,5,TRUE),0),
IF($C49="WS SF",VLOOKUP($B49,'2) หลักการคำนวน Table'!$D$33:$M$48,HLOOKUP(AH49,'2) หลักการคำนวน Table'!$D$1:$M$5,5,TRUE),0),
IF($C49="WS WH",VLOOKUP($B49,'2) หลักการคำนวน Table'!$D$63:$M$78,HLOOKUP(AH49,'2) หลักการคำนวน Table'!$D$1:$M$5,5,TRUE),0),
IF($C49="SF WH",VLOOKUP($B49,'2) หลักการคำนวน Table'!$D$93:$M$108,HLOOKUP(AH49,'2) หลักการคำนวน Table'!$D$1:$M$5,5,TRUE),0))))),0)</f>
        <v>360</v>
      </c>
      <c r="BG49" s="167">
        <f>IFERROR(IF($C49="Top WS",VLOOKUP($B49,'2) หลักการคำนวน Table'!$D$5:$M$20,HLOOKUP(AI49,'2) หลักการคำนวน Table'!$D$1:$M$5,5,TRUE),0),
IF($C49="WS SF",VLOOKUP($B49,'2) หลักการคำนวน Table'!$D$33:$M$48,HLOOKUP(AI49,'2) หลักการคำนวน Table'!$D$1:$M$5,5,TRUE),0),
IF($C49="WS WH",VLOOKUP($B49,'2) หลักการคำนวน Table'!$D$63:$M$78,HLOOKUP(AI49,'2) หลักการคำนวน Table'!$D$1:$M$5,5,TRUE),0),
IF($C49="SF WH",VLOOKUP($B49,'2) หลักการคำนวน Table'!$D$93:$M$108,HLOOKUP(AI49,'2) หลักการคำนวน Table'!$D$1:$M$5,5,TRUE),0))))),0)</f>
        <v>360</v>
      </c>
      <c r="BH49" s="167">
        <f>IFERROR(IF($C49="Top WS",VLOOKUP($B49,'2) หลักการคำนวน Table'!$D$5:$M$20,HLOOKUP(AP49,'2) หลักการคำนวน Table'!$D$1:$M$5,5,TRUE),0),
IF($C49="WS SF",VLOOKUP($B49,'2) หลักการคำนวน Table'!$D$33:$M$48,HLOOKUP(AP49,'2) หลักการคำนวน Table'!$D$1:$M$5,5,TRUE),0),
IF($C49="WS WH",VLOOKUP($B49,'2) หลักการคำนวน Table'!$D$63:$M$78,HLOOKUP(AP49,'2) หลักการคำนวน Table'!$D$1:$M$5,5,TRUE),0),
IF($C49="SF WH",VLOOKUP($B49,'2) หลักการคำนวน Table'!$D$93:$M$108,HLOOKUP(AP49,'2) หลักการคำนวน Table'!$D$1:$M$5,5,TRUE),0))))),0)</f>
        <v>360</v>
      </c>
      <c r="BI49" s="167">
        <f>IFERROR(IF($C49="Top WS",VLOOKUP($B49,'2) หลักการคำนวน Table'!$D$5:$M$20,HLOOKUP(AK49,'2) หลักการคำนวน Table'!$D$1:$M$5,5,TRUE),0),
IF($C49="WS SF",VLOOKUP($B49,'2) หลักการคำนวน Table'!$D$33:$M$48,HLOOKUP(AK49,'2) หลักการคำนวน Table'!$D$1:$M$5,5,TRUE),0),
IF($C49="WS WH",VLOOKUP($B49,'2) หลักการคำนวน Table'!$D$63:$M$78,HLOOKUP(AK49,'2) หลักการคำนวน Table'!$D$1:$M$5,5,TRUE),0),
IF($C49="SF WH",VLOOKUP($B49,'2) หลักการคำนวน Table'!$D$93:$M$108,HLOOKUP(AK49,'2) หลักการคำนวน Table'!$D$1:$M$5,5,TRUE),0))))),0)</f>
        <v>360</v>
      </c>
      <c r="BJ49" s="167">
        <f>IFERROR(IF($C49="Top WS",VLOOKUP($B49,'2) หลักการคำนวน Table'!$D$5:$M$20,HLOOKUP(AL49,'2) หลักการคำนวน Table'!$D$1:$M$5,5,TRUE),0),
IF($C49="WS SF",VLOOKUP($B49,'2) หลักการคำนวน Table'!$D$33:$M$48,HLOOKUP(AL49,'2) หลักการคำนวน Table'!$D$1:$M$5,5,TRUE),0),
IF($C49="WS WH",VLOOKUP($B49,'2) หลักการคำนวน Table'!$D$63:$M$78,HLOOKUP(AL49,'2) หลักการคำนวน Table'!$D$1:$M$5,5,TRUE),0),
IF($C49="SF WH",VLOOKUP($B49,'2) หลักการคำนวน Table'!$D$93:$M$108,HLOOKUP(AL49,'2) หลักการคำนวน Table'!$D$1:$M$5,5,TRUE),0))))),0)</f>
        <v>360</v>
      </c>
      <c r="BK49" s="167">
        <f>IFERROR(IF($C49="Top WS",VLOOKUP($B49,'2) หลักการคำนวน Table'!$D$5:$M$20,HLOOKUP(AM49,'2) หลักการคำนวน Table'!$D$1:$M$5,5,TRUE),0),
IF($C49="WS SF",VLOOKUP($B49,'2) หลักการคำนวน Table'!$D$33:$M$48,HLOOKUP(AM49,'2) หลักการคำนวน Table'!$D$1:$M$5,5,TRUE),0),
IF($C49="WS WH",VLOOKUP($B49,'2) หลักการคำนวน Table'!$D$63:$M$78,HLOOKUP(AM49,'2) หลักการคำนวน Table'!$D$1:$M$5,5,TRUE),0),
IF($C49="SF WH",VLOOKUP($B49,'2) หลักการคำนวน Table'!$D$93:$M$108,HLOOKUP(AM49,'2) หลักการคำนวน Table'!$D$1:$M$5,5,TRUE),0))))),0)</f>
        <v>360</v>
      </c>
      <c r="BM49" s="119">
        <f>VLOOKUP(VLOOKUP(A49,ASTBase!E:S,13,FALSE),ASTBase!F:P,11,FALSE)</f>
        <v>140000</v>
      </c>
      <c r="BN49" s="196" cm="1">
        <f t="array" ref="BN49">INDEX(AN49:AY49,,Period!$D$2)</f>
        <v>1</v>
      </c>
    </row>
    <row r="50" spans="1:66" x14ac:dyDescent="0.25">
      <c r="A50" s="117">
        <v>140001</v>
      </c>
      <c r="B50" s="117" t="s">
        <v>390</v>
      </c>
      <c r="C50" s="117" t="s">
        <v>178</v>
      </c>
      <c r="D50" s="118">
        <v>17960</v>
      </c>
      <c r="E50" s="118">
        <v>10113</v>
      </c>
      <c r="F50" s="118">
        <v>11319</v>
      </c>
      <c r="G50" s="118">
        <v>16628</v>
      </c>
      <c r="H50" s="118">
        <v>15411</v>
      </c>
      <c r="I50" s="118">
        <v>17961</v>
      </c>
      <c r="J50" s="118">
        <v>16472</v>
      </c>
      <c r="K50" s="118">
        <v>17159</v>
      </c>
      <c r="L50" s="118">
        <v>16209</v>
      </c>
      <c r="M50" s="118">
        <v>15886</v>
      </c>
      <c r="N50" s="118">
        <v>16209</v>
      </c>
      <c r="O50" s="118">
        <v>16472</v>
      </c>
      <c r="P50" s="117">
        <f>SUMIFS(Actual!C:C,Actual!$A:$A,'3)Target &amp; Cal'!$A50,Actual!$B:$B,'3)Target &amp; Cal'!$B50)</f>
        <v>9249.9999999075008</v>
      </c>
      <c r="Q50" s="117">
        <f>SUMIFS(Actual!D:D,Actual!$A:$A,'3)Target &amp; Cal'!$A50,Actual!$B:$B,'3)Target &amp; Cal'!$B50)</f>
        <v>12599.999999873999</v>
      </c>
      <c r="R50" s="117">
        <f>SUMIFS(Actual!E:E,Actual!$A:$A,'3)Target &amp; Cal'!$A50,Actual!$B:$B,'3)Target &amp; Cal'!$B50)</f>
        <v>0</v>
      </c>
      <c r="S50" s="117">
        <f>SUMIFS(Actual!F:F,Actual!$A:$A,'3)Target &amp; Cal'!$A50,Actual!$B:$B,'3)Target &amp; Cal'!$B50)</f>
        <v>0</v>
      </c>
      <c r="T50" s="117">
        <f>SUMIFS(Actual!G:G,Actual!$A:$A,'3)Target &amp; Cal'!$A50,Actual!$B:$B,'3)Target &amp; Cal'!$B50)</f>
        <v>0</v>
      </c>
      <c r="U50" s="117">
        <f>SUMIFS(Actual!H:H,Actual!$A:$A,'3)Target &amp; Cal'!$A50,Actual!$B:$B,'3)Target &amp; Cal'!$B50)</f>
        <v>0</v>
      </c>
      <c r="V50" s="117">
        <f>SUMIFS(Actual!I:I,Actual!$A:$A,'3)Target &amp; Cal'!$A50,Actual!$B:$B,'3)Target &amp; Cal'!$B50)</f>
        <v>0</v>
      </c>
      <c r="W50" s="117">
        <f>SUMIFS(Actual!J:J,Actual!$A:$A,'3)Target &amp; Cal'!$A50,Actual!$B:$B,'3)Target &amp; Cal'!$B50)</f>
        <v>0</v>
      </c>
      <c r="X50" s="117">
        <f>SUMIFS(Actual!K:K,Actual!$A:$A,'3)Target &amp; Cal'!$A50,Actual!$B:$B,'3)Target &amp; Cal'!$B50)</f>
        <v>0</v>
      </c>
      <c r="Y50" s="117">
        <f>SUMIFS(Actual!L:L,Actual!$A:$A,'3)Target &amp; Cal'!$A50,Actual!$B:$B,'3)Target &amp; Cal'!$B50)</f>
        <v>0</v>
      </c>
      <c r="Z50" s="117">
        <f>SUMIFS(Actual!M:M,Actual!$A:$A,'3)Target &amp; Cal'!$A50,Actual!$B:$B,'3)Target &amp; Cal'!$B50)</f>
        <v>0</v>
      </c>
      <c r="AA50" s="117">
        <f>SUMIFS(Actual!N:N,Actual!$A:$A,'3)Target &amp; Cal'!$A50,Actual!$B:$B,'3)Target &amp; Cal'!$B50)</f>
        <v>0</v>
      </c>
      <c r="AB50" s="123">
        <f>IFERROR(IF(VLOOKUP($B50,Shortage!$A:$M,AB$2,FALSE)="Shortage",1,IFERROR(ROUND(P50/D50,4),0)),IFERROR(ROUND(P50/D50,4),0))</f>
        <v>0.51500000000000001</v>
      </c>
      <c r="AC50" s="123">
        <f>IFERROR(IF(VLOOKUP($B50,Shortage!$A:$M,AC$2,FALSE)="Shortage",1,IFERROR(ROUND(Q50/E50,4),0)),IFERROR(ROUND(Q50/E50,4),0))</f>
        <v>1.2459</v>
      </c>
      <c r="AD50" s="123">
        <f>IFERROR(IF(VLOOKUP($B50,Shortage!$A:$M,AD$2,FALSE)="Shortage",1,IFERROR(ROUND(R50/F50,4),0)),IFERROR(ROUND(R50/F50,4),0))</f>
        <v>0</v>
      </c>
      <c r="AE50" s="123">
        <f>IFERROR(IF(VLOOKUP($B50,Shortage!$A:$M,AE$2,FALSE)="Shortage",1,IFERROR(ROUND(S50/G50,4),0)),IFERROR(ROUND(S50/G50,4),0))</f>
        <v>0</v>
      </c>
      <c r="AF50" s="123">
        <f>IFERROR(IF(VLOOKUP($B50,Shortage!$A:$M,AF$2,FALSE)="Shortage",1,IFERROR(ROUND(T50/H50,4),0)),IFERROR(ROUND(T50/H50,4),0))</f>
        <v>0</v>
      </c>
      <c r="AG50" s="123">
        <f>IFERROR(IF(VLOOKUP($B50,Shortage!$A:$M,AG$2,FALSE)="Shortage",1,IFERROR(ROUND(U50/I50,4),0)),IFERROR(ROUND(U50/I50,4),0))</f>
        <v>0</v>
      </c>
      <c r="AH50" s="123">
        <f>IFERROR(IF(VLOOKUP($B50,Shortage!$A:$M,AH$2,FALSE)="Shortage",1,IFERROR(ROUND(V50/J50,4),0)),IFERROR(ROUND(V50/J50,4),0))</f>
        <v>0</v>
      </c>
      <c r="AI50" s="123">
        <f>IFERROR(IF(VLOOKUP($B50,Shortage!$A:$M,AI$2,FALSE)="Shortage",1,IFERROR(ROUND(W50/K50,4),0)),IFERROR(ROUND(W50/K50,4),0))</f>
        <v>0</v>
      </c>
      <c r="AJ50" s="123">
        <f>IFERROR(IF(VLOOKUP($B50,Shortage!$A:$M,AP$2,FALSE)="Shortage",1,IFERROR(ROUND(X50/L50,4),0)),IFERROR(ROUND(X50/L50,4),0))</f>
        <v>0</v>
      </c>
      <c r="AK50" s="123">
        <f>IFERROR(IF(VLOOKUP($B50,Shortage!$A:$M,AK$2,FALSE)="Shortage",1,IFERROR(ROUND(Y50/M50,4),0)),IFERROR(ROUND(Y50/M50,4),0))</f>
        <v>0</v>
      </c>
      <c r="AL50" s="123">
        <f>IFERROR(IF(VLOOKUP($B50,Shortage!$A:$M,AL$2,FALSE)="Shortage",1,IFERROR(ROUND(Z50/N50,4),0)),IFERROR(ROUND(Z50/N50,4),0))</f>
        <v>0</v>
      </c>
      <c r="AM50" s="123">
        <f>IFERROR(IF(VLOOKUP($B50,Shortage!$A:$M,AM$2,FALSE)="Shortage",1,IFERROR(ROUND(AA50/O50,4),0)),IFERROR(ROUND(AA50/O50,4),0))</f>
        <v>0</v>
      </c>
      <c r="AN50" s="232">
        <f>IFERROR(IF($C50="Top WS",VLOOKUP("GOAL",'2) หลักการคำนวน Table'!$D$4:$M$4,HLOOKUP(AB50,'2) หลักการคำนวน Table'!$D$1:$M$5,5,TRUE),0),
IF($C50="WS SF",VLOOKUP("GOAL",'2) หลักการคำนวน Table'!$D$32:$M$32,HLOOKUP(AB50,'2) หลักการคำนวน Table'!$D$1:$M$5,5,TRUE),0),
IF($C50="WS WH",VLOOKUP("GOAL",'2) หลักการคำนวน Table'!$D$62:$M$62,HLOOKUP(AB50,'2) หลักการคำนวน Table'!$D$1:$M$5,5,TRUE),0),
IF($C50="SF WH",VLOOKUP("GOAL",'2) หลักการคำนวน Table'!$D$92:$M$92,HLOOKUP(AB50,'2) หลักการคำนวน Table'!$D$1:$M$5,5,TRUE),0))))),0)</f>
        <v>0.9</v>
      </c>
      <c r="AO50" s="232">
        <f>IFERROR(IF($C50="Top WS",VLOOKUP("GOAL",'2) หลักการคำนวน Table'!$D$4:$M$4,HLOOKUP(AC50,'2) หลักการคำนวน Table'!$D$1:$M$5,5,TRUE),0),
IF($C50="WS SF",VLOOKUP("GOAL",'2) หลักการคำนวน Table'!$D$32:$M$32,HLOOKUP(AC50,'2) หลักการคำนวน Table'!$D$1:$M$5,5,TRUE),0),
IF($C50="WS WH",VLOOKUP("GOAL",'2) หลักการคำนวน Table'!$D$62:$M$62,HLOOKUP(AC50,'2) หลักการคำนวน Table'!$D$1:$M$5,5,TRUE),0),
IF($C50="SF WH",VLOOKUP("GOAL",'2) หลักการคำนวน Table'!$D$92:$M$92,HLOOKUP(AC50,'2) หลักการคำนวน Table'!$D$1:$M$5,5,TRUE),0))))),0)</f>
        <v>1.3</v>
      </c>
      <c r="AP50" s="232">
        <f>IFERROR(IF($C50="Top WS",VLOOKUP("GOAL",'2) หลักการคำนวน Table'!$D$4:$M$4,HLOOKUP(AD50,'2) หลักการคำนวน Table'!$D$1:$M$5,5,TRUE),0),
IF($C50="WS SF",VLOOKUP("GOAL",'2) หลักการคำนวน Table'!$D$32:$M$32,HLOOKUP(AD50,'2) หลักการคำนวน Table'!$D$1:$M$5,5,TRUE),0),
IF($C50="WS WH",VLOOKUP("GOAL",'2) หลักการคำนวน Table'!$D$62:$M$62,HLOOKUP(AD50,'2) หลักการคำนวน Table'!$D$1:$M$5,5,TRUE),0),
IF($C50="SF WH",VLOOKUP("GOAL",'2) หลักการคำนวน Table'!$D$92:$M$92,HLOOKUP(AD50,'2) หลักการคำนวน Table'!$D$1:$M$5,5,TRUE),0))))),0)</f>
        <v>0.9</v>
      </c>
      <c r="AQ50" s="232">
        <f>IFERROR(IF($C50="Top WS",VLOOKUP("GOAL",'2) หลักการคำนวน Table'!$D$4:$M$4,HLOOKUP(AE50,'2) หลักการคำนวน Table'!$D$1:$M$5,5,TRUE),0),
IF($C50="WS SF",VLOOKUP("GOAL",'2) หลักการคำนวน Table'!$D$32:$M$32,HLOOKUP(AE50,'2) หลักการคำนวน Table'!$D$1:$M$5,5,TRUE),0),
IF($C50="WS WH",VLOOKUP("GOAL",'2) หลักการคำนวน Table'!$D$62:$M$62,HLOOKUP(AE50,'2) หลักการคำนวน Table'!$D$1:$M$5,5,TRUE),0),
IF($C50="SF WH",VLOOKUP("GOAL",'2) หลักการคำนวน Table'!$D$92:$M$92,HLOOKUP(AE50,'2) หลักการคำนวน Table'!$D$1:$M$5,5,TRUE),0))))),0)</f>
        <v>0.9</v>
      </c>
      <c r="AR50" s="232">
        <f>IFERROR(IF($C50="Top WS",VLOOKUP("GOAL",'2) หลักการคำนวน Table'!$D$4:$M$4,HLOOKUP(AF50,'2) หลักการคำนวน Table'!$D$1:$M$5,5,TRUE),0),
IF($C50="WS SF",VLOOKUP("GOAL",'2) หลักการคำนวน Table'!$D$32:$M$32,HLOOKUP(AF50,'2) หลักการคำนวน Table'!$D$1:$M$5,5,TRUE),0),
IF($C50="WS WH",VLOOKUP("GOAL",'2) หลักการคำนวน Table'!$D$62:$M$62,HLOOKUP(AF50,'2) หลักการคำนวน Table'!$D$1:$M$5,5,TRUE),0),
IF($C50="SF WH",VLOOKUP("GOAL",'2) หลักการคำนวน Table'!$D$92:$M$92,HLOOKUP(AF50,'2) หลักการคำนวน Table'!$D$1:$M$5,5,TRUE),0))))),0)</f>
        <v>0.9</v>
      </c>
      <c r="AS50" s="232">
        <f>IFERROR(IF($C50="Top WS",VLOOKUP("GOAL",'2) หลักการคำนวน Table'!$D$4:$M$4,HLOOKUP(AG50,'2) หลักการคำนวน Table'!$D$1:$M$5,5,TRUE),0),
IF($C50="WS SF",VLOOKUP("GOAL",'2) หลักการคำนวน Table'!$D$32:$M$32,HLOOKUP(AG50,'2) หลักการคำนวน Table'!$D$1:$M$5,5,TRUE),0),
IF($C50="WS WH",VLOOKUP("GOAL",'2) หลักการคำนวน Table'!$D$62:$M$62,HLOOKUP(AG50,'2) หลักการคำนวน Table'!$D$1:$M$5,5,TRUE),0),
IF($C50="SF WH",VLOOKUP("GOAL",'2) หลักการคำนวน Table'!$D$92:$M$92,HLOOKUP(AG50,'2) หลักการคำนวน Table'!$D$1:$M$5,5,TRUE),0))))),0)</f>
        <v>0.9</v>
      </c>
      <c r="AT50" s="232">
        <f>IFERROR(IF($C50="Top WS",VLOOKUP("GOAL",'2) หลักการคำนวน Table'!$D$4:$M$4,HLOOKUP(AH50,'2) หลักการคำนวน Table'!$D$1:$M$5,5,TRUE),0),
IF($C50="WS SF",VLOOKUP("GOAL",'2) หลักการคำนวน Table'!$D$32:$M$32,HLOOKUP(AH50,'2) หลักการคำนวน Table'!$D$1:$M$5,5,TRUE),0),
IF($C50="WS WH",VLOOKUP("GOAL",'2) หลักการคำนวน Table'!$D$62:$M$62,HLOOKUP(AH50,'2) หลักการคำนวน Table'!$D$1:$M$5,5,TRUE),0),
IF($C50="SF WH",VLOOKUP("GOAL",'2) หลักการคำนวน Table'!$D$92:$M$92,HLOOKUP(AH50,'2) หลักการคำนวน Table'!$D$1:$M$5,5,TRUE),0))))),0)</f>
        <v>0.9</v>
      </c>
      <c r="AU50" s="232">
        <f>IFERROR(IF($C50="Top WS",VLOOKUP("GOAL",'2) หลักการคำนวน Table'!$D$4:$M$4,HLOOKUP(AI50,'2) หลักการคำนวน Table'!$D$1:$M$5,5,TRUE),0),
IF($C50="WS SF",VLOOKUP("GOAL",'2) หลักการคำนวน Table'!$D$32:$M$32,HLOOKUP(AI50,'2) หลักการคำนวน Table'!$D$1:$M$5,5,TRUE),0),
IF($C50="WS WH",VLOOKUP("GOAL",'2) หลักการคำนวน Table'!$D$62:$M$62,HLOOKUP(AI50,'2) หลักการคำนวน Table'!$D$1:$M$5,5,TRUE),0),
IF($C50="SF WH",VLOOKUP("GOAL",'2) หลักการคำนวน Table'!$D$92:$M$92,HLOOKUP(AI50,'2) หลักการคำนวน Table'!$D$1:$M$5,5,TRUE),0))))),0)</f>
        <v>0.9</v>
      </c>
      <c r="AV50" s="232">
        <f>IFERROR(IF($C50="Top WS",VLOOKUP("GOAL",'2) หลักการคำนวน Table'!$D$4:$M$4,HLOOKUP(AP50,'2) หลักการคำนวน Table'!$D$1:$M$5,5,TRUE),0),
IF($C50="WS SF",VLOOKUP("GOAL",'2) หลักการคำนวน Table'!$D$32:$M$32,HLOOKUP(AP50,'2) หลักการคำนวน Table'!$D$1:$M$5,5,TRUE),0),
IF($C50="WS WH",VLOOKUP("GOAL",'2) หลักการคำนวน Table'!$D$62:$M$62,HLOOKUP(AP50,'2) หลักการคำนวน Table'!$D$1:$M$5,5,TRUE),0),
IF($C50="SF WH",VLOOKUP("GOAL",'2) หลักการคำนวน Table'!$D$92:$M$92,HLOOKUP(AP50,'2) หลักการคำนวน Table'!$D$1:$M$5,5,TRUE),0))))),0)</f>
        <v>0.9</v>
      </c>
      <c r="AW50" s="232">
        <f>IFERROR(IF($C50="Top WS",VLOOKUP("GOAL",'2) หลักการคำนวน Table'!$D$4:$M$4,HLOOKUP(AK50,'2) หลักการคำนวน Table'!$D$1:$M$5,5,TRUE),0),
IF($C50="WS SF",VLOOKUP("GOAL",'2) หลักการคำนวน Table'!$D$32:$M$32,HLOOKUP(AK50,'2) หลักการคำนวน Table'!$D$1:$M$5,5,TRUE),0),
IF($C50="WS WH",VLOOKUP("GOAL",'2) หลักการคำนวน Table'!$D$62:$M$62,HLOOKUP(AK50,'2) หลักการคำนวน Table'!$D$1:$M$5,5,TRUE),0),
IF($C50="SF WH",VLOOKUP("GOAL",'2) หลักการคำนวน Table'!$D$92:$M$92,HLOOKUP(AK50,'2) หลักการคำนวน Table'!$D$1:$M$5,5,TRUE),0))))),0)</f>
        <v>0.9</v>
      </c>
      <c r="AX50" s="232">
        <f>IFERROR(IF($C50="Top WS",VLOOKUP("GOAL",'2) หลักการคำนวน Table'!$D$4:$M$4,HLOOKUP(AL50,'2) หลักการคำนวน Table'!$D$1:$M$5,5,TRUE),0),
IF($C50="WS SF",VLOOKUP("GOAL",'2) หลักการคำนวน Table'!$D$32:$M$32,HLOOKUP(AL50,'2) หลักการคำนวน Table'!$D$1:$M$5,5,TRUE),0),
IF($C50="WS WH",VLOOKUP("GOAL",'2) หลักการคำนวน Table'!$D$62:$M$62,HLOOKUP(AL50,'2) หลักการคำนวน Table'!$D$1:$M$5,5,TRUE),0),
IF($C50="SF WH",VLOOKUP("GOAL",'2) หลักการคำนวน Table'!$D$92:$M$92,HLOOKUP(AL50,'2) หลักการคำนวน Table'!$D$1:$M$5,5,TRUE),0))))),0)</f>
        <v>0.9</v>
      </c>
      <c r="AY50" s="232">
        <f>IFERROR(IF($C50="Top WS",VLOOKUP("GOAL",'2) หลักการคำนวน Table'!$D$4:$M$4,HLOOKUP(AM50,'2) หลักการคำนวน Table'!$D$1:$M$5,5,TRUE),0),
IF($C50="WS SF",VLOOKUP("GOAL",'2) หลักการคำนวน Table'!$D$32:$M$32,HLOOKUP(AM50,'2) หลักการคำนวน Table'!$D$1:$M$5,5,TRUE),0),
IF($C50="WS WH",VLOOKUP("GOAL",'2) หลักการคำนวน Table'!$D$62:$M$62,HLOOKUP(AM50,'2) หลักการคำนวน Table'!$D$1:$M$5,5,TRUE),0),
IF($C50="SF WH",VLOOKUP("GOAL",'2) หลักการคำนวน Table'!$D$92:$M$92,HLOOKUP(AM50,'2) หลักการคำนวน Table'!$D$1:$M$5,5,TRUE),0))))),0)</f>
        <v>0.9</v>
      </c>
      <c r="AZ50" s="167">
        <f>IFERROR(IF($C50="Top WS",VLOOKUP($B50,'2) หลักการคำนวน Table'!$D$5:$M$20,HLOOKUP(AB50,'2) หลักการคำนวน Table'!$D$1:$M$5,5,TRUE),0),
IF($C50="WS SF",VLOOKUP($B50,'2) หลักการคำนวน Table'!$D$33:$M$48,HLOOKUP(AB50,'2) หลักการคำนวน Table'!$D$1:$M$5,5,TRUE),0),
IF($C50="WS WH",VLOOKUP($B50,'2) หลักการคำนวน Table'!$D$63:$M$78,HLOOKUP(AB50,'2) หลักการคำนวน Table'!$D$1:$M$5,5,TRUE),0),
IF($C50="SF WH",VLOOKUP($B50,'2) หลักการคำนวน Table'!$D$93:$M$108,HLOOKUP(AB50,'2) หลักการคำนวน Table'!$D$1:$M$5,5,TRUE),0))))),0)</f>
        <v>720</v>
      </c>
      <c r="BA50" s="167">
        <f>IFERROR(IF($C50="Top WS",VLOOKUP($B50,'2) หลักการคำนวน Table'!$D$5:$M$20,HLOOKUP(AC50,'2) หลักการคำนวน Table'!$D$1:$M$5,5,TRUE),0),
IF($C50="WS SF",VLOOKUP($B50,'2) หลักการคำนวน Table'!$D$33:$M$48,HLOOKUP(AC50,'2) หลักการคำนวน Table'!$D$1:$M$5,5,TRUE),0),
IF($C50="WS WH",VLOOKUP($B50,'2) หลักการคำนวน Table'!$D$63:$M$78,HLOOKUP(AC50,'2) หลักการคำนวน Table'!$D$1:$M$5,5,TRUE),0),
IF($C50="SF WH",VLOOKUP($B50,'2) หลักการคำนวน Table'!$D$93:$M$108,HLOOKUP(AC50,'2) หลักการคำนวน Table'!$D$1:$M$5,5,TRUE),0))))),0)</f>
        <v>1040</v>
      </c>
      <c r="BB50" s="167">
        <f>IFERROR(IF($C50="Top WS",VLOOKUP($B50,'2) หลักการคำนวน Table'!$D$5:$M$20,HLOOKUP(AD50,'2) หลักการคำนวน Table'!$D$1:$M$5,5,TRUE),0),
IF($C50="WS SF",VLOOKUP($B50,'2) หลักการคำนวน Table'!$D$33:$M$48,HLOOKUP(AD50,'2) หลักการคำนวน Table'!$D$1:$M$5,5,TRUE),0),
IF($C50="WS WH",VLOOKUP($B50,'2) หลักการคำนวน Table'!$D$63:$M$78,HLOOKUP(AD50,'2) หลักการคำนวน Table'!$D$1:$M$5,5,TRUE),0),
IF($C50="SF WH",VLOOKUP($B50,'2) หลักการคำนวน Table'!$D$93:$M$108,HLOOKUP(AD50,'2) หลักการคำนวน Table'!$D$1:$M$5,5,TRUE),0))))),0)</f>
        <v>720</v>
      </c>
      <c r="BC50" s="167">
        <f>IFERROR(IF($C50="Top WS",VLOOKUP($B50,'2) หลักการคำนวน Table'!$D$5:$M$20,HLOOKUP(AE50,'2) หลักการคำนวน Table'!$D$1:$M$5,5,TRUE),0),
IF($C50="WS SF",VLOOKUP($B50,'2) หลักการคำนวน Table'!$D$33:$M$48,HLOOKUP(AE50,'2) หลักการคำนวน Table'!$D$1:$M$5,5,TRUE),0),
IF($C50="WS WH",VLOOKUP($B50,'2) หลักการคำนวน Table'!$D$63:$M$78,HLOOKUP(AE50,'2) หลักการคำนวน Table'!$D$1:$M$5,5,TRUE),0),
IF($C50="SF WH",VLOOKUP($B50,'2) หลักการคำนวน Table'!$D$93:$M$108,HLOOKUP(AE50,'2) หลักการคำนวน Table'!$D$1:$M$5,5,TRUE),0))))),0)</f>
        <v>720</v>
      </c>
      <c r="BD50" s="167">
        <f>IFERROR(IF($C50="Top WS",VLOOKUP($B50,'2) หลักการคำนวน Table'!$D$5:$M$20,HLOOKUP(AF50,'2) หลักการคำนวน Table'!$D$1:$M$5,5,TRUE),0),
IF($C50="WS SF",VLOOKUP($B50,'2) หลักการคำนวน Table'!$D$33:$M$48,HLOOKUP(AF50,'2) หลักการคำนวน Table'!$D$1:$M$5,5,TRUE),0),
IF($C50="WS WH",VLOOKUP($B50,'2) หลักการคำนวน Table'!$D$63:$M$78,HLOOKUP(AF50,'2) หลักการคำนวน Table'!$D$1:$M$5,5,TRUE),0),
IF($C50="SF WH",VLOOKUP($B50,'2) หลักการคำนวน Table'!$D$93:$M$108,HLOOKUP(AF50,'2) หลักการคำนวน Table'!$D$1:$M$5,5,TRUE),0))))),0)</f>
        <v>720</v>
      </c>
      <c r="BE50" s="167">
        <f>IFERROR(IF($C50="Top WS",VLOOKUP($B50,'2) หลักการคำนวน Table'!$D$5:$M$20,HLOOKUP(AG50,'2) หลักการคำนวน Table'!$D$1:$M$5,5,TRUE),0),
IF($C50="WS SF",VLOOKUP($B50,'2) หลักการคำนวน Table'!$D$33:$M$48,HLOOKUP(AG50,'2) หลักการคำนวน Table'!$D$1:$M$5,5,TRUE),0),
IF($C50="WS WH",VLOOKUP($B50,'2) หลักการคำนวน Table'!$D$63:$M$78,HLOOKUP(AG50,'2) หลักการคำนวน Table'!$D$1:$M$5,5,TRUE),0),
IF($C50="SF WH",VLOOKUP($B50,'2) หลักการคำนวน Table'!$D$93:$M$108,HLOOKUP(AG50,'2) หลักการคำนวน Table'!$D$1:$M$5,5,TRUE),0))))),0)</f>
        <v>720</v>
      </c>
      <c r="BF50" s="167">
        <f>IFERROR(IF($C50="Top WS",VLOOKUP($B50,'2) หลักการคำนวน Table'!$D$5:$M$20,HLOOKUP(AH50,'2) หลักการคำนวน Table'!$D$1:$M$5,5,TRUE),0),
IF($C50="WS SF",VLOOKUP($B50,'2) หลักการคำนวน Table'!$D$33:$M$48,HLOOKUP(AH50,'2) หลักการคำนวน Table'!$D$1:$M$5,5,TRUE),0),
IF($C50="WS WH",VLOOKUP($B50,'2) หลักการคำนวน Table'!$D$63:$M$78,HLOOKUP(AH50,'2) หลักการคำนวน Table'!$D$1:$M$5,5,TRUE),0),
IF($C50="SF WH",VLOOKUP($B50,'2) หลักการคำนวน Table'!$D$93:$M$108,HLOOKUP(AH50,'2) หลักการคำนวน Table'!$D$1:$M$5,5,TRUE),0))))),0)</f>
        <v>720</v>
      </c>
      <c r="BG50" s="167">
        <f>IFERROR(IF($C50="Top WS",VLOOKUP($B50,'2) หลักการคำนวน Table'!$D$5:$M$20,HLOOKUP(AI50,'2) หลักการคำนวน Table'!$D$1:$M$5,5,TRUE),0),
IF($C50="WS SF",VLOOKUP($B50,'2) หลักการคำนวน Table'!$D$33:$M$48,HLOOKUP(AI50,'2) หลักการคำนวน Table'!$D$1:$M$5,5,TRUE),0),
IF($C50="WS WH",VLOOKUP($B50,'2) หลักการคำนวน Table'!$D$63:$M$78,HLOOKUP(AI50,'2) หลักการคำนวน Table'!$D$1:$M$5,5,TRUE),0),
IF($C50="SF WH",VLOOKUP($B50,'2) หลักการคำนวน Table'!$D$93:$M$108,HLOOKUP(AI50,'2) หลักการคำนวน Table'!$D$1:$M$5,5,TRUE),0))))),0)</f>
        <v>720</v>
      </c>
      <c r="BH50" s="167">
        <f>IFERROR(IF($C50="Top WS",VLOOKUP($B50,'2) หลักการคำนวน Table'!$D$5:$M$20,HLOOKUP(AP50,'2) หลักการคำนวน Table'!$D$1:$M$5,5,TRUE),0),
IF($C50="WS SF",VLOOKUP($B50,'2) หลักการคำนวน Table'!$D$33:$M$48,HLOOKUP(AP50,'2) หลักการคำนวน Table'!$D$1:$M$5,5,TRUE),0),
IF($C50="WS WH",VLOOKUP($B50,'2) หลักการคำนวน Table'!$D$63:$M$78,HLOOKUP(AP50,'2) หลักการคำนวน Table'!$D$1:$M$5,5,TRUE),0),
IF($C50="SF WH",VLOOKUP($B50,'2) หลักการคำนวน Table'!$D$93:$M$108,HLOOKUP(AP50,'2) หลักการคำนวน Table'!$D$1:$M$5,5,TRUE),0))))),0)</f>
        <v>720</v>
      </c>
      <c r="BI50" s="167">
        <f>IFERROR(IF($C50="Top WS",VLOOKUP($B50,'2) หลักการคำนวน Table'!$D$5:$M$20,HLOOKUP(AK50,'2) หลักการคำนวน Table'!$D$1:$M$5,5,TRUE),0),
IF($C50="WS SF",VLOOKUP($B50,'2) หลักการคำนวน Table'!$D$33:$M$48,HLOOKUP(AK50,'2) หลักการคำนวน Table'!$D$1:$M$5,5,TRUE),0),
IF($C50="WS WH",VLOOKUP($B50,'2) หลักการคำนวน Table'!$D$63:$M$78,HLOOKUP(AK50,'2) หลักการคำนวน Table'!$D$1:$M$5,5,TRUE),0),
IF($C50="SF WH",VLOOKUP($B50,'2) หลักการคำนวน Table'!$D$93:$M$108,HLOOKUP(AK50,'2) หลักการคำนวน Table'!$D$1:$M$5,5,TRUE),0))))),0)</f>
        <v>720</v>
      </c>
      <c r="BJ50" s="167">
        <f>IFERROR(IF($C50="Top WS",VLOOKUP($B50,'2) หลักการคำนวน Table'!$D$5:$M$20,HLOOKUP(AL50,'2) หลักการคำนวน Table'!$D$1:$M$5,5,TRUE),0),
IF($C50="WS SF",VLOOKUP($B50,'2) หลักการคำนวน Table'!$D$33:$M$48,HLOOKUP(AL50,'2) หลักการคำนวน Table'!$D$1:$M$5,5,TRUE),0),
IF($C50="WS WH",VLOOKUP($B50,'2) หลักการคำนวน Table'!$D$63:$M$78,HLOOKUP(AL50,'2) หลักการคำนวน Table'!$D$1:$M$5,5,TRUE),0),
IF($C50="SF WH",VLOOKUP($B50,'2) หลักการคำนวน Table'!$D$93:$M$108,HLOOKUP(AL50,'2) หลักการคำนวน Table'!$D$1:$M$5,5,TRUE),0))))),0)</f>
        <v>720</v>
      </c>
      <c r="BK50" s="167">
        <f>IFERROR(IF($C50="Top WS",VLOOKUP($B50,'2) หลักการคำนวน Table'!$D$5:$M$20,HLOOKUP(AM50,'2) หลักการคำนวน Table'!$D$1:$M$5,5,TRUE),0),
IF($C50="WS SF",VLOOKUP($B50,'2) หลักการคำนวน Table'!$D$33:$M$48,HLOOKUP(AM50,'2) หลักการคำนวน Table'!$D$1:$M$5,5,TRUE),0),
IF($C50="WS WH",VLOOKUP($B50,'2) หลักการคำนวน Table'!$D$63:$M$78,HLOOKUP(AM50,'2) หลักการคำนวน Table'!$D$1:$M$5,5,TRUE),0),
IF($C50="SF WH",VLOOKUP($B50,'2) หลักการคำนวน Table'!$D$93:$M$108,HLOOKUP(AM50,'2) หลักการคำนวน Table'!$D$1:$M$5,5,TRUE),0))))),0)</f>
        <v>720</v>
      </c>
      <c r="BM50" s="119">
        <f>VLOOKUP(VLOOKUP(A50,ASTBase!E:S,13,FALSE),ASTBase!F:P,11,FALSE)</f>
        <v>140000</v>
      </c>
      <c r="BN50" s="196" cm="1">
        <f t="array" ref="BN50">INDEX(AN50:AY50,,Period!$D$2)</f>
        <v>1.3</v>
      </c>
    </row>
    <row r="51" spans="1:66" x14ac:dyDescent="0.25">
      <c r="A51" s="117">
        <v>140001</v>
      </c>
      <c r="B51" s="117" t="s">
        <v>392</v>
      </c>
      <c r="C51" s="117" t="s">
        <v>178</v>
      </c>
      <c r="D51" s="118">
        <v>140</v>
      </c>
      <c r="E51" s="118">
        <v>61</v>
      </c>
      <c r="F51" s="118">
        <v>61</v>
      </c>
      <c r="G51" s="118">
        <v>102</v>
      </c>
      <c r="H51" s="118">
        <v>84</v>
      </c>
      <c r="I51" s="118">
        <v>52</v>
      </c>
      <c r="J51" s="118">
        <v>133</v>
      </c>
      <c r="K51" s="118">
        <v>76</v>
      </c>
      <c r="L51" s="118">
        <v>86</v>
      </c>
      <c r="M51" s="118">
        <v>112</v>
      </c>
      <c r="N51" s="118">
        <v>119</v>
      </c>
      <c r="O51" s="118">
        <v>117</v>
      </c>
      <c r="P51" s="117">
        <f>SUMIFS(Actual!C:C,Actual!$A:$A,'3)Target &amp; Cal'!$A51,Actual!$B:$B,'3)Target &amp; Cal'!$B51)</f>
        <v>110.0646</v>
      </c>
      <c r="Q51" s="117">
        <f>SUMIFS(Actual!D:D,Actual!$A:$A,'3)Target &amp; Cal'!$A51,Actual!$B:$B,'3)Target &amp; Cal'!$B51)</f>
        <v>30.385799999999996</v>
      </c>
      <c r="R51" s="117">
        <f>SUMIFS(Actual!E:E,Actual!$A:$A,'3)Target &amp; Cal'!$A51,Actual!$B:$B,'3)Target &amp; Cal'!$B51)</f>
        <v>0</v>
      </c>
      <c r="S51" s="117">
        <f>SUMIFS(Actual!F:F,Actual!$A:$A,'3)Target &amp; Cal'!$A51,Actual!$B:$B,'3)Target &amp; Cal'!$B51)</f>
        <v>0</v>
      </c>
      <c r="T51" s="117">
        <f>SUMIFS(Actual!G:G,Actual!$A:$A,'3)Target &amp; Cal'!$A51,Actual!$B:$B,'3)Target &amp; Cal'!$B51)</f>
        <v>0</v>
      </c>
      <c r="U51" s="117">
        <f>SUMIFS(Actual!H:H,Actual!$A:$A,'3)Target &amp; Cal'!$A51,Actual!$B:$B,'3)Target &amp; Cal'!$B51)</f>
        <v>0</v>
      </c>
      <c r="V51" s="117">
        <f>SUMIFS(Actual!I:I,Actual!$A:$A,'3)Target &amp; Cal'!$A51,Actual!$B:$B,'3)Target &amp; Cal'!$B51)</f>
        <v>0</v>
      </c>
      <c r="W51" s="117">
        <f>SUMIFS(Actual!J:J,Actual!$A:$A,'3)Target &amp; Cal'!$A51,Actual!$B:$B,'3)Target &amp; Cal'!$B51)</f>
        <v>0</v>
      </c>
      <c r="X51" s="117">
        <f>SUMIFS(Actual!K:K,Actual!$A:$A,'3)Target &amp; Cal'!$A51,Actual!$B:$B,'3)Target &amp; Cal'!$B51)</f>
        <v>0</v>
      </c>
      <c r="Y51" s="117">
        <f>SUMIFS(Actual!L:L,Actual!$A:$A,'3)Target &amp; Cal'!$A51,Actual!$B:$B,'3)Target &amp; Cal'!$B51)</f>
        <v>0</v>
      </c>
      <c r="Z51" s="117">
        <f>SUMIFS(Actual!M:M,Actual!$A:$A,'3)Target &amp; Cal'!$A51,Actual!$B:$B,'3)Target &amp; Cal'!$B51)</f>
        <v>0</v>
      </c>
      <c r="AA51" s="117">
        <f>SUMIFS(Actual!N:N,Actual!$A:$A,'3)Target &amp; Cal'!$A51,Actual!$B:$B,'3)Target &amp; Cal'!$B51)</f>
        <v>0</v>
      </c>
      <c r="AB51" s="123">
        <f>IFERROR(IF(VLOOKUP($B51,Shortage!$A:$M,AB$2,FALSE)="Shortage",1,IFERROR(ROUND(P51/D51,4),0)),IFERROR(ROUND(P51/D51,4),0))</f>
        <v>0.78620000000000001</v>
      </c>
      <c r="AC51" s="123">
        <f>IFERROR(IF(VLOOKUP($B51,Shortage!$A:$M,AC$2,FALSE)="Shortage",1,IFERROR(ROUND(Q51/E51,4),0)),IFERROR(ROUND(Q51/E51,4),0))</f>
        <v>0.49809999999999999</v>
      </c>
      <c r="AD51" s="123">
        <f>IFERROR(IF(VLOOKUP($B51,Shortage!$A:$M,AD$2,FALSE)="Shortage",1,IFERROR(ROUND(R51/F51,4),0)),IFERROR(ROUND(R51/F51,4),0))</f>
        <v>0</v>
      </c>
      <c r="AE51" s="123">
        <f>IFERROR(IF(VLOOKUP($B51,Shortage!$A:$M,AE$2,FALSE)="Shortage",1,IFERROR(ROUND(S51/G51,4),0)),IFERROR(ROUND(S51/G51,4),0))</f>
        <v>0</v>
      </c>
      <c r="AF51" s="123">
        <f>IFERROR(IF(VLOOKUP($B51,Shortage!$A:$M,AF$2,FALSE)="Shortage",1,IFERROR(ROUND(T51/H51,4),0)),IFERROR(ROUND(T51/H51,4),0))</f>
        <v>0</v>
      </c>
      <c r="AG51" s="123">
        <f>IFERROR(IF(VLOOKUP($B51,Shortage!$A:$M,AG$2,FALSE)="Shortage",1,IFERROR(ROUND(U51/I51,4),0)),IFERROR(ROUND(U51/I51,4),0))</f>
        <v>0</v>
      </c>
      <c r="AH51" s="123">
        <f>IFERROR(IF(VLOOKUP($B51,Shortage!$A:$M,AH$2,FALSE)="Shortage",1,IFERROR(ROUND(V51/J51,4),0)),IFERROR(ROUND(V51/J51,4),0))</f>
        <v>0</v>
      </c>
      <c r="AI51" s="123">
        <f>IFERROR(IF(VLOOKUP($B51,Shortage!$A:$M,AI$2,FALSE)="Shortage",1,IFERROR(ROUND(W51/K51,4),0)),IFERROR(ROUND(W51/K51,4),0))</f>
        <v>0</v>
      </c>
      <c r="AJ51" s="123">
        <f>IFERROR(IF(VLOOKUP($B51,Shortage!$A:$M,AP$2,FALSE)="Shortage",1,IFERROR(ROUND(X51/L51,4),0)),IFERROR(ROUND(X51/L51,4),0))</f>
        <v>0</v>
      </c>
      <c r="AK51" s="123">
        <f>IFERROR(IF(VLOOKUP($B51,Shortage!$A:$M,AK$2,FALSE)="Shortage",1,IFERROR(ROUND(Y51/M51,4),0)),IFERROR(ROUND(Y51/M51,4),0))</f>
        <v>0</v>
      </c>
      <c r="AL51" s="123">
        <f>IFERROR(IF(VLOOKUP($B51,Shortage!$A:$M,AL$2,FALSE)="Shortage",1,IFERROR(ROUND(Z51/N51,4),0)),IFERROR(ROUND(Z51/N51,4),0))</f>
        <v>0</v>
      </c>
      <c r="AM51" s="123">
        <f>IFERROR(IF(VLOOKUP($B51,Shortage!$A:$M,AM$2,FALSE)="Shortage",1,IFERROR(ROUND(AA51/O51,4),0)),IFERROR(ROUND(AA51/O51,4),0))</f>
        <v>0</v>
      </c>
      <c r="AN51" s="232">
        <f>IFERROR(IF($C51="Top WS",VLOOKUP("GOAL",'2) หลักการคำนวน Table'!$D$4:$M$4,HLOOKUP(AB51,'2) หลักการคำนวน Table'!$D$1:$M$5,5,TRUE),0),
IF($C51="WS SF",VLOOKUP("GOAL",'2) หลักการคำนวน Table'!$D$32:$M$32,HLOOKUP(AB51,'2) หลักการคำนวน Table'!$D$1:$M$5,5,TRUE),0),
IF($C51="WS WH",VLOOKUP("GOAL",'2) หลักการคำนวน Table'!$D$62:$M$62,HLOOKUP(AB51,'2) หลักการคำนวน Table'!$D$1:$M$5,5,TRUE),0),
IF($C51="SF WH",VLOOKUP("GOAL",'2) หลักการคำนวน Table'!$D$92:$M$92,HLOOKUP(AB51,'2) หลักการคำนวน Table'!$D$1:$M$5,5,TRUE),0))))),0)</f>
        <v>0.9</v>
      </c>
      <c r="AO51" s="232">
        <f>IFERROR(IF($C51="Top WS",VLOOKUP("GOAL",'2) หลักการคำนวน Table'!$D$4:$M$4,HLOOKUP(AC51,'2) หลักการคำนวน Table'!$D$1:$M$5,5,TRUE),0),
IF($C51="WS SF",VLOOKUP("GOAL",'2) หลักการคำนวน Table'!$D$32:$M$32,HLOOKUP(AC51,'2) หลักการคำนวน Table'!$D$1:$M$5,5,TRUE),0),
IF($C51="WS WH",VLOOKUP("GOAL",'2) หลักการคำนวน Table'!$D$62:$M$62,HLOOKUP(AC51,'2) หลักการคำนวน Table'!$D$1:$M$5,5,TRUE),0),
IF($C51="SF WH",VLOOKUP("GOAL",'2) หลักการคำนวน Table'!$D$92:$M$92,HLOOKUP(AC51,'2) หลักการคำนวน Table'!$D$1:$M$5,5,TRUE),0))))),0)</f>
        <v>0.9</v>
      </c>
      <c r="AP51" s="232">
        <f>IFERROR(IF($C51="Top WS",VLOOKUP("GOAL",'2) หลักการคำนวน Table'!$D$4:$M$4,HLOOKUP(AD51,'2) หลักการคำนวน Table'!$D$1:$M$5,5,TRUE),0),
IF($C51="WS SF",VLOOKUP("GOAL",'2) หลักการคำนวน Table'!$D$32:$M$32,HLOOKUP(AD51,'2) หลักการคำนวน Table'!$D$1:$M$5,5,TRUE),0),
IF($C51="WS WH",VLOOKUP("GOAL",'2) หลักการคำนวน Table'!$D$62:$M$62,HLOOKUP(AD51,'2) หลักการคำนวน Table'!$D$1:$M$5,5,TRUE),0),
IF($C51="SF WH",VLOOKUP("GOAL",'2) หลักการคำนวน Table'!$D$92:$M$92,HLOOKUP(AD51,'2) หลักการคำนวน Table'!$D$1:$M$5,5,TRUE),0))))),0)</f>
        <v>0.9</v>
      </c>
      <c r="AQ51" s="232">
        <f>IFERROR(IF($C51="Top WS",VLOOKUP("GOAL",'2) หลักการคำนวน Table'!$D$4:$M$4,HLOOKUP(AE51,'2) หลักการคำนวน Table'!$D$1:$M$5,5,TRUE),0),
IF($C51="WS SF",VLOOKUP("GOAL",'2) หลักการคำนวน Table'!$D$32:$M$32,HLOOKUP(AE51,'2) หลักการคำนวน Table'!$D$1:$M$5,5,TRUE),0),
IF($C51="WS WH",VLOOKUP("GOAL",'2) หลักการคำนวน Table'!$D$62:$M$62,HLOOKUP(AE51,'2) หลักการคำนวน Table'!$D$1:$M$5,5,TRUE),0),
IF($C51="SF WH",VLOOKUP("GOAL",'2) หลักการคำนวน Table'!$D$92:$M$92,HLOOKUP(AE51,'2) หลักการคำนวน Table'!$D$1:$M$5,5,TRUE),0))))),0)</f>
        <v>0.9</v>
      </c>
      <c r="AR51" s="232">
        <f>IFERROR(IF($C51="Top WS",VLOOKUP("GOAL",'2) หลักการคำนวน Table'!$D$4:$M$4,HLOOKUP(AF51,'2) หลักการคำนวน Table'!$D$1:$M$5,5,TRUE),0),
IF($C51="WS SF",VLOOKUP("GOAL",'2) หลักการคำนวน Table'!$D$32:$M$32,HLOOKUP(AF51,'2) หลักการคำนวน Table'!$D$1:$M$5,5,TRUE),0),
IF($C51="WS WH",VLOOKUP("GOAL",'2) หลักการคำนวน Table'!$D$62:$M$62,HLOOKUP(AF51,'2) หลักการคำนวน Table'!$D$1:$M$5,5,TRUE),0),
IF($C51="SF WH",VLOOKUP("GOAL",'2) หลักการคำนวน Table'!$D$92:$M$92,HLOOKUP(AF51,'2) หลักการคำนวน Table'!$D$1:$M$5,5,TRUE),0))))),0)</f>
        <v>0.9</v>
      </c>
      <c r="AS51" s="232">
        <f>IFERROR(IF($C51="Top WS",VLOOKUP("GOAL",'2) หลักการคำนวน Table'!$D$4:$M$4,HLOOKUP(AG51,'2) หลักการคำนวน Table'!$D$1:$M$5,5,TRUE),0),
IF($C51="WS SF",VLOOKUP("GOAL",'2) หลักการคำนวน Table'!$D$32:$M$32,HLOOKUP(AG51,'2) หลักการคำนวน Table'!$D$1:$M$5,5,TRUE),0),
IF($C51="WS WH",VLOOKUP("GOAL",'2) หลักการคำนวน Table'!$D$62:$M$62,HLOOKUP(AG51,'2) หลักการคำนวน Table'!$D$1:$M$5,5,TRUE),0),
IF($C51="SF WH",VLOOKUP("GOAL",'2) หลักการคำนวน Table'!$D$92:$M$92,HLOOKUP(AG51,'2) หลักการคำนวน Table'!$D$1:$M$5,5,TRUE),0))))),0)</f>
        <v>0.9</v>
      </c>
      <c r="AT51" s="232">
        <f>IFERROR(IF($C51="Top WS",VLOOKUP("GOAL",'2) หลักการคำนวน Table'!$D$4:$M$4,HLOOKUP(AH51,'2) หลักการคำนวน Table'!$D$1:$M$5,5,TRUE),0),
IF($C51="WS SF",VLOOKUP("GOAL",'2) หลักการคำนวน Table'!$D$32:$M$32,HLOOKUP(AH51,'2) หลักการคำนวน Table'!$D$1:$M$5,5,TRUE),0),
IF($C51="WS WH",VLOOKUP("GOAL",'2) หลักการคำนวน Table'!$D$62:$M$62,HLOOKUP(AH51,'2) หลักการคำนวน Table'!$D$1:$M$5,5,TRUE),0),
IF($C51="SF WH",VLOOKUP("GOAL",'2) หลักการคำนวน Table'!$D$92:$M$92,HLOOKUP(AH51,'2) หลักการคำนวน Table'!$D$1:$M$5,5,TRUE),0))))),0)</f>
        <v>0.9</v>
      </c>
      <c r="AU51" s="232">
        <f>IFERROR(IF($C51="Top WS",VLOOKUP("GOAL",'2) หลักการคำนวน Table'!$D$4:$M$4,HLOOKUP(AI51,'2) หลักการคำนวน Table'!$D$1:$M$5,5,TRUE),0),
IF($C51="WS SF",VLOOKUP("GOAL",'2) หลักการคำนวน Table'!$D$32:$M$32,HLOOKUP(AI51,'2) หลักการคำนวน Table'!$D$1:$M$5,5,TRUE),0),
IF($C51="WS WH",VLOOKUP("GOAL",'2) หลักการคำนวน Table'!$D$62:$M$62,HLOOKUP(AI51,'2) หลักการคำนวน Table'!$D$1:$M$5,5,TRUE),0),
IF($C51="SF WH",VLOOKUP("GOAL",'2) หลักการคำนวน Table'!$D$92:$M$92,HLOOKUP(AI51,'2) หลักการคำนวน Table'!$D$1:$M$5,5,TRUE),0))))),0)</f>
        <v>0.9</v>
      </c>
      <c r="AV51" s="232">
        <f>IFERROR(IF($C51="Top WS",VLOOKUP("GOAL",'2) หลักการคำนวน Table'!$D$4:$M$4,HLOOKUP(AP51,'2) หลักการคำนวน Table'!$D$1:$M$5,5,TRUE),0),
IF($C51="WS SF",VLOOKUP("GOAL",'2) หลักการคำนวน Table'!$D$32:$M$32,HLOOKUP(AP51,'2) หลักการคำนวน Table'!$D$1:$M$5,5,TRUE),0),
IF($C51="WS WH",VLOOKUP("GOAL",'2) หลักการคำนวน Table'!$D$62:$M$62,HLOOKUP(AP51,'2) หลักการคำนวน Table'!$D$1:$M$5,5,TRUE),0),
IF($C51="SF WH",VLOOKUP("GOAL",'2) หลักการคำนวน Table'!$D$92:$M$92,HLOOKUP(AP51,'2) หลักการคำนวน Table'!$D$1:$M$5,5,TRUE),0))))),0)</f>
        <v>0.9</v>
      </c>
      <c r="AW51" s="232">
        <f>IFERROR(IF($C51="Top WS",VLOOKUP("GOAL",'2) หลักการคำนวน Table'!$D$4:$M$4,HLOOKUP(AK51,'2) หลักการคำนวน Table'!$D$1:$M$5,5,TRUE),0),
IF($C51="WS SF",VLOOKUP("GOAL",'2) หลักการคำนวน Table'!$D$32:$M$32,HLOOKUP(AK51,'2) หลักการคำนวน Table'!$D$1:$M$5,5,TRUE),0),
IF($C51="WS WH",VLOOKUP("GOAL",'2) หลักการคำนวน Table'!$D$62:$M$62,HLOOKUP(AK51,'2) หลักการคำนวน Table'!$D$1:$M$5,5,TRUE),0),
IF($C51="SF WH",VLOOKUP("GOAL",'2) หลักการคำนวน Table'!$D$92:$M$92,HLOOKUP(AK51,'2) หลักการคำนวน Table'!$D$1:$M$5,5,TRUE),0))))),0)</f>
        <v>0.9</v>
      </c>
      <c r="AX51" s="232">
        <f>IFERROR(IF($C51="Top WS",VLOOKUP("GOAL",'2) หลักการคำนวน Table'!$D$4:$M$4,HLOOKUP(AL51,'2) หลักการคำนวน Table'!$D$1:$M$5,5,TRUE),0),
IF($C51="WS SF",VLOOKUP("GOAL",'2) หลักการคำนวน Table'!$D$32:$M$32,HLOOKUP(AL51,'2) หลักการคำนวน Table'!$D$1:$M$5,5,TRUE),0),
IF($C51="WS WH",VLOOKUP("GOAL",'2) หลักการคำนวน Table'!$D$62:$M$62,HLOOKUP(AL51,'2) หลักการคำนวน Table'!$D$1:$M$5,5,TRUE),0),
IF($C51="SF WH",VLOOKUP("GOAL",'2) หลักการคำนวน Table'!$D$92:$M$92,HLOOKUP(AL51,'2) หลักการคำนวน Table'!$D$1:$M$5,5,TRUE),0))))),0)</f>
        <v>0.9</v>
      </c>
      <c r="AY51" s="232">
        <f>IFERROR(IF($C51="Top WS",VLOOKUP("GOAL",'2) หลักการคำนวน Table'!$D$4:$M$4,HLOOKUP(AM51,'2) หลักการคำนวน Table'!$D$1:$M$5,5,TRUE),0),
IF($C51="WS SF",VLOOKUP("GOAL",'2) หลักการคำนวน Table'!$D$32:$M$32,HLOOKUP(AM51,'2) หลักการคำนวน Table'!$D$1:$M$5,5,TRUE),0),
IF($C51="WS WH",VLOOKUP("GOAL",'2) หลักการคำนวน Table'!$D$62:$M$62,HLOOKUP(AM51,'2) หลักการคำนวน Table'!$D$1:$M$5,5,TRUE),0),
IF($C51="SF WH",VLOOKUP("GOAL",'2) หลักการคำนวน Table'!$D$92:$M$92,HLOOKUP(AM51,'2) หลักการคำนวน Table'!$D$1:$M$5,5,TRUE),0))))),0)</f>
        <v>0.9</v>
      </c>
      <c r="AZ51" s="167">
        <f>IFERROR(IF($C51="Top WS",VLOOKUP($B51,'2) หลักการคำนวน Table'!$D$5:$M$20,HLOOKUP(AB51,'2) หลักการคำนวน Table'!$D$1:$M$5,5,TRUE),0),
IF($C51="WS SF",VLOOKUP($B51,'2) หลักการคำนวน Table'!$D$33:$M$48,HLOOKUP(AB51,'2) หลักการคำนวน Table'!$D$1:$M$5,5,TRUE),0),
IF($C51="WS WH",VLOOKUP($B51,'2) หลักการคำนวน Table'!$D$63:$M$78,HLOOKUP(AB51,'2) หลักการคำนวน Table'!$D$1:$M$5,5,TRUE),0),
IF($C51="SF WH",VLOOKUP($B51,'2) หลักการคำนวน Table'!$D$93:$M$108,HLOOKUP(AB51,'2) หลักการคำนวน Table'!$D$1:$M$5,5,TRUE),0))))),0)</f>
        <v>360</v>
      </c>
      <c r="BA51" s="167">
        <f>IFERROR(IF($C51="Top WS",VLOOKUP($B51,'2) หลักการคำนวน Table'!$D$5:$M$20,HLOOKUP(AC51,'2) หลักการคำนวน Table'!$D$1:$M$5,5,TRUE),0),
IF($C51="WS SF",VLOOKUP($B51,'2) หลักการคำนวน Table'!$D$33:$M$48,HLOOKUP(AC51,'2) หลักการคำนวน Table'!$D$1:$M$5,5,TRUE),0),
IF($C51="WS WH",VLOOKUP($B51,'2) หลักการคำนวน Table'!$D$63:$M$78,HLOOKUP(AC51,'2) หลักการคำนวน Table'!$D$1:$M$5,5,TRUE),0),
IF($C51="SF WH",VLOOKUP($B51,'2) หลักการคำนวน Table'!$D$93:$M$108,HLOOKUP(AC51,'2) หลักการคำนวน Table'!$D$1:$M$5,5,TRUE),0))))),0)</f>
        <v>360</v>
      </c>
      <c r="BB51" s="167">
        <f>IFERROR(IF($C51="Top WS",VLOOKUP($B51,'2) หลักการคำนวน Table'!$D$5:$M$20,HLOOKUP(AD51,'2) หลักการคำนวน Table'!$D$1:$M$5,5,TRUE),0),
IF($C51="WS SF",VLOOKUP($B51,'2) หลักการคำนวน Table'!$D$33:$M$48,HLOOKUP(AD51,'2) หลักการคำนวน Table'!$D$1:$M$5,5,TRUE),0),
IF($C51="WS WH",VLOOKUP($B51,'2) หลักการคำนวน Table'!$D$63:$M$78,HLOOKUP(AD51,'2) หลักการคำนวน Table'!$D$1:$M$5,5,TRUE),0),
IF($C51="SF WH",VLOOKUP($B51,'2) หลักการคำนวน Table'!$D$93:$M$108,HLOOKUP(AD51,'2) หลักการคำนวน Table'!$D$1:$M$5,5,TRUE),0))))),0)</f>
        <v>360</v>
      </c>
      <c r="BC51" s="167">
        <f>IFERROR(IF($C51="Top WS",VLOOKUP($B51,'2) หลักการคำนวน Table'!$D$5:$M$20,HLOOKUP(AE51,'2) หลักการคำนวน Table'!$D$1:$M$5,5,TRUE),0),
IF($C51="WS SF",VLOOKUP($B51,'2) หลักการคำนวน Table'!$D$33:$M$48,HLOOKUP(AE51,'2) หลักการคำนวน Table'!$D$1:$M$5,5,TRUE),0),
IF($C51="WS WH",VLOOKUP($B51,'2) หลักการคำนวน Table'!$D$63:$M$78,HLOOKUP(AE51,'2) หลักการคำนวน Table'!$D$1:$M$5,5,TRUE),0),
IF($C51="SF WH",VLOOKUP($B51,'2) หลักการคำนวน Table'!$D$93:$M$108,HLOOKUP(AE51,'2) หลักการคำนวน Table'!$D$1:$M$5,5,TRUE),0))))),0)</f>
        <v>360</v>
      </c>
      <c r="BD51" s="167">
        <f>IFERROR(IF($C51="Top WS",VLOOKUP($B51,'2) หลักการคำนวน Table'!$D$5:$M$20,HLOOKUP(AF51,'2) หลักการคำนวน Table'!$D$1:$M$5,5,TRUE),0),
IF($C51="WS SF",VLOOKUP($B51,'2) หลักการคำนวน Table'!$D$33:$M$48,HLOOKUP(AF51,'2) หลักการคำนวน Table'!$D$1:$M$5,5,TRUE),0),
IF($C51="WS WH",VLOOKUP($B51,'2) หลักการคำนวน Table'!$D$63:$M$78,HLOOKUP(AF51,'2) หลักการคำนวน Table'!$D$1:$M$5,5,TRUE),0),
IF($C51="SF WH",VLOOKUP($B51,'2) หลักการคำนวน Table'!$D$93:$M$108,HLOOKUP(AF51,'2) หลักการคำนวน Table'!$D$1:$M$5,5,TRUE),0))))),0)</f>
        <v>360</v>
      </c>
      <c r="BE51" s="167">
        <f>IFERROR(IF($C51="Top WS",VLOOKUP($B51,'2) หลักการคำนวน Table'!$D$5:$M$20,HLOOKUP(AG51,'2) หลักการคำนวน Table'!$D$1:$M$5,5,TRUE),0),
IF($C51="WS SF",VLOOKUP($B51,'2) หลักการคำนวน Table'!$D$33:$M$48,HLOOKUP(AG51,'2) หลักการคำนวน Table'!$D$1:$M$5,5,TRUE),0),
IF($C51="WS WH",VLOOKUP($B51,'2) หลักการคำนวน Table'!$D$63:$M$78,HLOOKUP(AG51,'2) หลักการคำนวน Table'!$D$1:$M$5,5,TRUE),0),
IF($C51="SF WH",VLOOKUP($B51,'2) หลักการคำนวน Table'!$D$93:$M$108,HLOOKUP(AG51,'2) หลักการคำนวน Table'!$D$1:$M$5,5,TRUE),0))))),0)</f>
        <v>360</v>
      </c>
      <c r="BF51" s="167">
        <f>IFERROR(IF($C51="Top WS",VLOOKUP($B51,'2) หลักการคำนวน Table'!$D$5:$M$20,HLOOKUP(AH51,'2) หลักการคำนวน Table'!$D$1:$M$5,5,TRUE),0),
IF($C51="WS SF",VLOOKUP($B51,'2) หลักการคำนวน Table'!$D$33:$M$48,HLOOKUP(AH51,'2) หลักการคำนวน Table'!$D$1:$M$5,5,TRUE),0),
IF($C51="WS WH",VLOOKUP($B51,'2) หลักการคำนวน Table'!$D$63:$M$78,HLOOKUP(AH51,'2) หลักการคำนวน Table'!$D$1:$M$5,5,TRUE),0),
IF($C51="SF WH",VLOOKUP($B51,'2) หลักการคำนวน Table'!$D$93:$M$108,HLOOKUP(AH51,'2) หลักการคำนวน Table'!$D$1:$M$5,5,TRUE),0))))),0)</f>
        <v>360</v>
      </c>
      <c r="BG51" s="167">
        <f>IFERROR(IF($C51="Top WS",VLOOKUP($B51,'2) หลักการคำนวน Table'!$D$5:$M$20,HLOOKUP(AI51,'2) หลักการคำนวน Table'!$D$1:$M$5,5,TRUE),0),
IF($C51="WS SF",VLOOKUP($B51,'2) หลักการคำนวน Table'!$D$33:$M$48,HLOOKUP(AI51,'2) หลักการคำนวน Table'!$D$1:$M$5,5,TRUE),0),
IF($C51="WS WH",VLOOKUP($B51,'2) หลักการคำนวน Table'!$D$63:$M$78,HLOOKUP(AI51,'2) หลักการคำนวน Table'!$D$1:$M$5,5,TRUE),0),
IF($C51="SF WH",VLOOKUP($B51,'2) หลักการคำนวน Table'!$D$93:$M$108,HLOOKUP(AI51,'2) หลักการคำนวน Table'!$D$1:$M$5,5,TRUE),0))))),0)</f>
        <v>360</v>
      </c>
      <c r="BH51" s="167">
        <f>IFERROR(IF($C51="Top WS",VLOOKUP($B51,'2) หลักการคำนวน Table'!$D$5:$M$20,HLOOKUP(AP51,'2) หลักการคำนวน Table'!$D$1:$M$5,5,TRUE),0),
IF($C51="WS SF",VLOOKUP($B51,'2) หลักการคำนวน Table'!$D$33:$M$48,HLOOKUP(AP51,'2) หลักการคำนวน Table'!$D$1:$M$5,5,TRUE),0),
IF($C51="WS WH",VLOOKUP($B51,'2) หลักการคำนวน Table'!$D$63:$M$78,HLOOKUP(AP51,'2) หลักการคำนวน Table'!$D$1:$M$5,5,TRUE),0),
IF($C51="SF WH",VLOOKUP($B51,'2) หลักการคำนวน Table'!$D$93:$M$108,HLOOKUP(AP51,'2) หลักการคำนวน Table'!$D$1:$M$5,5,TRUE),0))))),0)</f>
        <v>360</v>
      </c>
      <c r="BI51" s="167">
        <f>IFERROR(IF($C51="Top WS",VLOOKUP($B51,'2) หลักการคำนวน Table'!$D$5:$M$20,HLOOKUP(AK51,'2) หลักการคำนวน Table'!$D$1:$M$5,5,TRUE),0),
IF($C51="WS SF",VLOOKUP($B51,'2) หลักการคำนวน Table'!$D$33:$M$48,HLOOKUP(AK51,'2) หลักการคำนวน Table'!$D$1:$M$5,5,TRUE),0),
IF($C51="WS WH",VLOOKUP($B51,'2) หลักการคำนวน Table'!$D$63:$M$78,HLOOKUP(AK51,'2) หลักการคำนวน Table'!$D$1:$M$5,5,TRUE),0),
IF($C51="SF WH",VLOOKUP($B51,'2) หลักการคำนวน Table'!$D$93:$M$108,HLOOKUP(AK51,'2) หลักการคำนวน Table'!$D$1:$M$5,5,TRUE),0))))),0)</f>
        <v>360</v>
      </c>
      <c r="BJ51" s="167">
        <f>IFERROR(IF($C51="Top WS",VLOOKUP($B51,'2) หลักการคำนวน Table'!$D$5:$M$20,HLOOKUP(AL51,'2) หลักการคำนวน Table'!$D$1:$M$5,5,TRUE),0),
IF($C51="WS SF",VLOOKUP($B51,'2) หลักการคำนวน Table'!$D$33:$M$48,HLOOKUP(AL51,'2) หลักการคำนวน Table'!$D$1:$M$5,5,TRUE),0),
IF($C51="WS WH",VLOOKUP($B51,'2) หลักการคำนวน Table'!$D$63:$M$78,HLOOKUP(AL51,'2) หลักการคำนวน Table'!$D$1:$M$5,5,TRUE),0),
IF($C51="SF WH",VLOOKUP($B51,'2) หลักการคำนวน Table'!$D$93:$M$108,HLOOKUP(AL51,'2) หลักการคำนวน Table'!$D$1:$M$5,5,TRUE),0))))),0)</f>
        <v>360</v>
      </c>
      <c r="BK51" s="167">
        <f>IFERROR(IF($C51="Top WS",VLOOKUP($B51,'2) หลักการคำนวน Table'!$D$5:$M$20,HLOOKUP(AM51,'2) หลักการคำนวน Table'!$D$1:$M$5,5,TRUE),0),
IF($C51="WS SF",VLOOKUP($B51,'2) หลักการคำนวน Table'!$D$33:$M$48,HLOOKUP(AM51,'2) หลักการคำนวน Table'!$D$1:$M$5,5,TRUE),0),
IF($C51="WS WH",VLOOKUP($B51,'2) หลักการคำนวน Table'!$D$63:$M$78,HLOOKUP(AM51,'2) หลักการคำนวน Table'!$D$1:$M$5,5,TRUE),0),
IF($C51="SF WH",VLOOKUP($B51,'2) หลักการคำนวน Table'!$D$93:$M$108,HLOOKUP(AM51,'2) หลักการคำนวน Table'!$D$1:$M$5,5,TRUE),0))))),0)</f>
        <v>360</v>
      </c>
      <c r="BM51" s="119">
        <f>VLOOKUP(VLOOKUP(A51,ASTBase!E:S,13,FALSE),ASTBase!F:P,11,FALSE)</f>
        <v>140000</v>
      </c>
      <c r="BN51" s="196" cm="1">
        <f t="array" ref="BN51">INDEX(AN51:AY51,,Period!$D$2)</f>
        <v>0.9</v>
      </c>
    </row>
    <row r="52" spans="1:66" x14ac:dyDescent="0.25">
      <c r="A52" s="117">
        <v>140001</v>
      </c>
      <c r="B52" s="117" t="s">
        <v>391</v>
      </c>
      <c r="C52" s="117" t="s">
        <v>178</v>
      </c>
      <c r="D52" s="118">
        <v>4270</v>
      </c>
      <c r="E52" s="118">
        <v>5030</v>
      </c>
      <c r="F52" s="118">
        <v>5438</v>
      </c>
      <c r="G52" s="118">
        <v>6108</v>
      </c>
      <c r="H52" s="118">
        <v>5626</v>
      </c>
      <c r="I52" s="118">
        <v>5555</v>
      </c>
      <c r="J52" s="118">
        <v>6191</v>
      </c>
      <c r="K52" s="118">
        <v>6415</v>
      </c>
      <c r="L52" s="118">
        <v>7354</v>
      </c>
      <c r="M52" s="118">
        <v>5503</v>
      </c>
      <c r="N52" s="118">
        <v>4622</v>
      </c>
      <c r="O52" s="118">
        <v>4619</v>
      </c>
      <c r="P52" s="117">
        <f>SUMIFS(Actual!C:C,Actual!$A:$A,'3)Target &amp; Cal'!$A52,Actual!$B:$B,'3)Target &amp; Cal'!$B52)</f>
        <v>3719.9999999358001</v>
      </c>
      <c r="Q52" s="117">
        <f>SUMIFS(Actual!D:D,Actual!$A:$A,'3)Target &amp; Cal'!$A52,Actual!$B:$B,'3)Target &amp; Cal'!$B52)</f>
        <v>5569.9999998803978</v>
      </c>
      <c r="R52" s="117">
        <f>SUMIFS(Actual!E:E,Actual!$A:$A,'3)Target &amp; Cal'!$A52,Actual!$B:$B,'3)Target &amp; Cal'!$B52)</f>
        <v>0</v>
      </c>
      <c r="S52" s="117">
        <f>SUMIFS(Actual!F:F,Actual!$A:$A,'3)Target &amp; Cal'!$A52,Actual!$B:$B,'3)Target &amp; Cal'!$B52)</f>
        <v>0</v>
      </c>
      <c r="T52" s="117">
        <f>SUMIFS(Actual!G:G,Actual!$A:$A,'3)Target &amp; Cal'!$A52,Actual!$B:$B,'3)Target &amp; Cal'!$B52)</f>
        <v>0</v>
      </c>
      <c r="U52" s="117">
        <f>SUMIFS(Actual!H:H,Actual!$A:$A,'3)Target &amp; Cal'!$A52,Actual!$B:$B,'3)Target &amp; Cal'!$B52)</f>
        <v>0</v>
      </c>
      <c r="V52" s="117">
        <f>SUMIFS(Actual!I:I,Actual!$A:$A,'3)Target &amp; Cal'!$A52,Actual!$B:$B,'3)Target &amp; Cal'!$B52)</f>
        <v>0</v>
      </c>
      <c r="W52" s="117">
        <f>SUMIFS(Actual!J:J,Actual!$A:$A,'3)Target &amp; Cal'!$A52,Actual!$B:$B,'3)Target &amp; Cal'!$B52)</f>
        <v>0</v>
      </c>
      <c r="X52" s="117">
        <f>SUMIFS(Actual!K:K,Actual!$A:$A,'3)Target &amp; Cal'!$A52,Actual!$B:$B,'3)Target &amp; Cal'!$B52)</f>
        <v>0</v>
      </c>
      <c r="Y52" s="117">
        <f>SUMIFS(Actual!L:L,Actual!$A:$A,'3)Target &amp; Cal'!$A52,Actual!$B:$B,'3)Target &amp; Cal'!$B52)</f>
        <v>0</v>
      </c>
      <c r="Z52" s="117">
        <f>SUMIFS(Actual!M:M,Actual!$A:$A,'3)Target &amp; Cal'!$A52,Actual!$B:$B,'3)Target &amp; Cal'!$B52)</f>
        <v>0</v>
      </c>
      <c r="AA52" s="117">
        <f>SUMIFS(Actual!N:N,Actual!$A:$A,'3)Target &amp; Cal'!$A52,Actual!$B:$B,'3)Target &amp; Cal'!$B52)</f>
        <v>0</v>
      </c>
      <c r="AB52" s="123">
        <f>IFERROR(IF(VLOOKUP($B52,Shortage!$A:$M,AB$2,FALSE)="Shortage",1,IFERROR(ROUND(P52/D52,4),0)),IFERROR(ROUND(P52/D52,4),0))</f>
        <v>1</v>
      </c>
      <c r="AC52" s="123">
        <f>IFERROR(IF(VLOOKUP($B52,Shortage!$A:$M,AC$2,FALSE)="Shortage",1,IFERROR(ROUND(Q52/E52,4),0)),IFERROR(ROUND(Q52/E52,4),0))</f>
        <v>1</v>
      </c>
      <c r="AD52" s="123">
        <f>IFERROR(IF(VLOOKUP($B52,Shortage!$A:$M,AD$2,FALSE)="Shortage",1,IFERROR(ROUND(R52/F52,4),0)),IFERROR(ROUND(R52/F52,4),0))</f>
        <v>0</v>
      </c>
      <c r="AE52" s="123">
        <f>IFERROR(IF(VLOOKUP($B52,Shortage!$A:$M,AE$2,FALSE)="Shortage",1,IFERROR(ROUND(S52/G52,4),0)),IFERROR(ROUND(S52/G52,4),0))</f>
        <v>0</v>
      </c>
      <c r="AF52" s="123">
        <f>IFERROR(IF(VLOOKUP($B52,Shortage!$A:$M,AF$2,FALSE)="Shortage",1,IFERROR(ROUND(T52/H52,4),0)),IFERROR(ROUND(T52/H52,4),0))</f>
        <v>0</v>
      </c>
      <c r="AG52" s="123">
        <f>IFERROR(IF(VLOOKUP($B52,Shortage!$A:$M,AG$2,FALSE)="Shortage",1,IFERROR(ROUND(U52/I52,4),0)),IFERROR(ROUND(U52/I52,4),0))</f>
        <v>0</v>
      </c>
      <c r="AH52" s="123">
        <f>IFERROR(IF(VLOOKUP($B52,Shortage!$A:$M,AH$2,FALSE)="Shortage",1,IFERROR(ROUND(V52/J52,4),0)),IFERROR(ROUND(V52/J52,4),0))</f>
        <v>0</v>
      </c>
      <c r="AI52" s="123">
        <f>IFERROR(IF(VLOOKUP($B52,Shortage!$A:$M,AI$2,FALSE)="Shortage",1,IFERROR(ROUND(W52/K52,4),0)),IFERROR(ROUND(W52/K52,4),0))</f>
        <v>0</v>
      </c>
      <c r="AJ52" s="123">
        <f>IFERROR(IF(VLOOKUP($B52,Shortage!$A:$M,AP$2,FALSE)="Shortage",1,IFERROR(ROUND(X52/L52,4),0)),IFERROR(ROUND(X52/L52,4),0))</f>
        <v>0</v>
      </c>
      <c r="AK52" s="123">
        <f>IFERROR(IF(VLOOKUP($B52,Shortage!$A:$M,AK$2,FALSE)="Shortage",1,IFERROR(ROUND(Y52/M52,4),0)),IFERROR(ROUND(Y52/M52,4),0))</f>
        <v>0</v>
      </c>
      <c r="AL52" s="123">
        <f>IFERROR(IF(VLOOKUP($B52,Shortage!$A:$M,AL$2,FALSE)="Shortage",1,IFERROR(ROUND(Z52/N52,4),0)),IFERROR(ROUND(Z52/N52,4),0))</f>
        <v>0</v>
      </c>
      <c r="AM52" s="123">
        <f>IFERROR(IF(VLOOKUP($B52,Shortage!$A:$M,AM$2,FALSE)="Shortage",1,IFERROR(ROUND(AA52/O52,4),0)),IFERROR(ROUND(AA52/O52,4),0))</f>
        <v>0</v>
      </c>
      <c r="AN52" s="232">
        <f>IFERROR(IF($C52="Top WS",VLOOKUP("GOAL",'2) หลักการคำนวน Table'!$D$4:$M$4,HLOOKUP(AB52,'2) หลักการคำนวน Table'!$D$1:$M$5,5,TRUE),0),
IF($C52="WS SF",VLOOKUP("GOAL",'2) หลักการคำนวน Table'!$D$32:$M$32,HLOOKUP(AB52,'2) หลักการคำนวน Table'!$D$1:$M$5,5,TRUE),0),
IF($C52="WS WH",VLOOKUP("GOAL",'2) หลักการคำนวน Table'!$D$62:$M$62,HLOOKUP(AB52,'2) หลักการคำนวน Table'!$D$1:$M$5,5,TRUE),0),
IF($C52="SF WH",VLOOKUP("GOAL",'2) หลักการคำนวน Table'!$D$92:$M$92,HLOOKUP(AB52,'2) หลักการคำนวน Table'!$D$1:$M$5,5,TRUE),0))))),0)</f>
        <v>1</v>
      </c>
      <c r="AO52" s="232">
        <f>IFERROR(IF($C52="Top WS",VLOOKUP("GOAL",'2) หลักการคำนวน Table'!$D$4:$M$4,HLOOKUP(AC52,'2) หลักการคำนวน Table'!$D$1:$M$5,5,TRUE),0),
IF($C52="WS SF",VLOOKUP("GOAL",'2) หลักการคำนวน Table'!$D$32:$M$32,HLOOKUP(AC52,'2) หลักการคำนวน Table'!$D$1:$M$5,5,TRUE),0),
IF($C52="WS WH",VLOOKUP("GOAL",'2) หลักการคำนวน Table'!$D$62:$M$62,HLOOKUP(AC52,'2) หลักการคำนวน Table'!$D$1:$M$5,5,TRUE),0),
IF($C52="SF WH",VLOOKUP("GOAL",'2) หลักการคำนวน Table'!$D$92:$M$92,HLOOKUP(AC52,'2) หลักการคำนวน Table'!$D$1:$M$5,5,TRUE),0))))),0)</f>
        <v>1</v>
      </c>
      <c r="AP52" s="232">
        <f>IFERROR(IF($C52="Top WS",VLOOKUP("GOAL",'2) หลักการคำนวน Table'!$D$4:$M$4,HLOOKUP(AD52,'2) หลักการคำนวน Table'!$D$1:$M$5,5,TRUE),0),
IF($C52="WS SF",VLOOKUP("GOAL",'2) หลักการคำนวน Table'!$D$32:$M$32,HLOOKUP(AD52,'2) หลักการคำนวน Table'!$D$1:$M$5,5,TRUE),0),
IF($C52="WS WH",VLOOKUP("GOAL",'2) หลักการคำนวน Table'!$D$62:$M$62,HLOOKUP(AD52,'2) หลักการคำนวน Table'!$D$1:$M$5,5,TRUE),0),
IF($C52="SF WH",VLOOKUP("GOAL",'2) หลักการคำนวน Table'!$D$92:$M$92,HLOOKUP(AD52,'2) หลักการคำนวน Table'!$D$1:$M$5,5,TRUE),0))))),0)</f>
        <v>0.9</v>
      </c>
      <c r="AQ52" s="232">
        <f>IFERROR(IF($C52="Top WS",VLOOKUP("GOAL",'2) หลักการคำนวน Table'!$D$4:$M$4,HLOOKUP(AE52,'2) หลักการคำนวน Table'!$D$1:$M$5,5,TRUE),0),
IF($C52="WS SF",VLOOKUP("GOAL",'2) หลักการคำนวน Table'!$D$32:$M$32,HLOOKUP(AE52,'2) หลักการคำนวน Table'!$D$1:$M$5,5,TRUE),0),
IF($C52="WS WH",VLOOKUP("GOAL",'2) หลักการคำนวน Table'!$D$62:$M$62,HLOOKUP(AE52,'2) หลักการคำนวน Table'!$D$1:$M$5,5,TRUE),0),
IF($C52="SF WH",VLOOKUP("GOAL",'2) หลักการคำนวน Table'!$D$92:$M$92,HLOOKUP(AE52,'2) หลักการคำนวน Table'!$D$1:$M$5,5,TRUE),0))))),0)</f>
        <v>0.9</v>
      </c>
      <c r="AR52" s="232">
        <f>IFERROR(IF($C52="Top WS",VLOOKUP("GOAL",'2) หลักการคำนวน Table'!$D$4:$M$4,HLOOKUP(AF52,'2) หลักการคำนวน Table'!$D$1:$M$5,5,TRUE),0),
IF($C52="WS SF",VLOOKUP("GOAL",'2) หลักการคำนวน Table'!$D$32:$M$32,HLOOKUP(AF52,'2) หลักการคำนวน Table'!$D$1:$M$5,5,TRUE),0),
IF($C52="WS WH",VLOOKUP("GOAL",'2) หลักการคำนวน Table'!$D$62:$M$62,HLOOKUP(AF52,'2) หลักการคำนวน Table'!$D$1:$M$5,5,TRUE),0),
IF($C52="SF WH",VLOOKUP("GOAL",'2) หลักการคำนวน Table'!$D$92:$M$92,HLOOKUP(AF52,'2) หลักการคำนวน Table'!$D$1:$M$5,5,TRUE),0))))),0)</f>
        <v>0.9</v>
      </c>
      <c r="AS52" s="232">
        <f>IFERROR(IF($C52="Top WS",VLOOKUP("GOAL",'2) หลักการคำนวน Table'!$D$4:$M$4,HLOOKUP(AG52,'2) หลักการคำนวน Table'!$D$1:$M$5,5,TRUE),0),
IF($C52="WS SF",VLOOKUP("GOAL",'2) หลักการคำนวน Table'!$D$32:$M$32,HLOOKUP(AG52,'2) หลักการคำนวน Table'!$D$1:$M$5,5,TRUE),0),
IF($C52="WS WH",VLOOKUP("GOAL",'2) หลักการคำนวน Table'!$D$62:$M$62,HLOOKUP(AG52,'2) หลักการคำนวน Table'!$D$1:$M$5,5,TRUE),0),
IF($C52="SF WH",VLOOKUP("GOAL",'2) หลักการคำนวน Table'!$D$92:$M$92,HLOOKUP(AG52,'2) หลักการคำนวน Table'!$D$1:$M$5,5,TRUE),0))))),0)</f>
        <v>0.9</v>
      </c>
      <c r="AT52" s="232">
        <f>IFERROR(IF($C52="Top WS",VLOOKUP("GOAL",'2) หลักการคำนวน Table'!$D$4:$M$4,HLOOKUP(AH52,'2) หลักการคำนวน Table'!$D$1:$M$5,5,TRUE),0),
IF($C52="WS SF",VLOOKUP("GOAL",'2) หลักการคำนวน Table'!$D$32:$M$32,HLOOKUP(AH52,'2) หลักการคำนวน Table'!$D$1:$M$5,5,TRUE),0),
IF($C52="WS WH",VLOOKUP("GOAL",'2) หลักการคำนวน Table'!$D$62:$M$62,HLOOKUP(AH52,'2) หลักการคำนวน Table'!$D$1:$M$5,5,TRUE),0),
IF($C52="SF WH",VLOOKUP("GOAL",'2) หลักการคำนวน Table'!$D$92:$M$92,HLOOKUP(AH52,'2) หลักการคำนวน Table'!$D$1:$M$5,5,TRUE),0))))),0)</f>
        <v>0.9</v>
      </c>
      <c r="AU52" s="232">
        <f>IFERROR(IF($C52="Top WS",VLOOKUP("GOAL",'2) หลักการคำนวน Table'!$D$4:$M$4,HLOOKUP(AI52,'2) หลักการคำนวน Table'!$D$1:$M$5,5,TRUE),0),
IF($C52="WS SF",VLOOKUP("GOAL",'2) หลักการคำนวน Table'!$D$32:$M$32,HLOOKUP(AI52,'2) หลักการคำนวน Table'!$D$1:$M$5,5,TRUE),0),
IF($C52="WS WH",VLOOKUP("GOAL",'2) หลักการคำนวน Table'!$D$62:$M$62,HLOOKUP(AI52,'2) หลักการคำนวน Table'!$D$1:$M$5,5,TRUE),0),
IF($C52="SF WH",VLOOKUP("GOAL",'2) หลักการคำนวน Table'!$D$92:$M$92,HLOOKUP(AI52,'2) หลักการคำนวน Table'!$D$1:$M$5,5,TRUE),0))))),0)</f>
        <v>0.9</v>
      </c>
      <c r="AV52" s="232">
        <f>IFERROR(IF($C52="Top WS",VLOOKUP("GOAL",'2) หลักการคำนวน Table'!$D$4:$M$4,HLOOKUP(AP52,'2) หลักการคำนวน Table'!$D$1:$M$5,5,TRUE),0),
IF($C52="WS SF",VLOOKUP("GOAL",'2) หลักการคำนวน Table'!$D$32:$M$32,HLOOKUP(AP52,'2) หลักการคำนวน Table'!$D$1:$M$5,5,TRUE),0),
IF($C52="WS WH",VLOOKUP("GOAL",'2) หลักการคำนวน Table'!$D$62:$M$62,HLOOKUP(AP52,'2) หลักการคำนวน Table'!$D$1:$M$5,5,TRUE),0),
IF($C52="SF WH",VLOOKUP("GOAL",'2) หลักการคำนวน Table'!$D$92:$M$92,HLOOKUP(AP52,'2) หลักการคำนวน Table'!$D$1:$M$5,5,TRUE),0))))),0)</f>
        <v>0.9</v>
      </c>
      <c r="AW52" s="232">
        <f>IFERROR(IF($C52="Top WS",VLOOKUP("GOAL",'2) หลักการคำนวน Table'!$D$4:$M$4,HLOOKUP(AK52,'2) หลักการคำนวน Table'!$D$1:$M$5,5,TRUE),0),
IF($C52="WS SF",VLOOKUP("GOAL",'2) หลักการคำนวน Table'!$D$32:$M$32,HLOOKUP(AK52,'2) หลักการคำนวน Table'!$D$1:$M$5,5,TRUE),0),
IF($C52="WS WH",VLOOKUP("GOAL",'2) หลักการคำนวน Table'!$D$62:$M$62,HLOOKUP(AK52,'2) หลักการคำนวน Table'!$D$1:$M$5,5,TRUE),0),
IF($C52="SF WH",VLOOKUP("GOAL",'2) หลักการคำนวน Table'!$D$92:$M$92,HLOOKUP(AK52,'2) หลักการคำนวน Table'!$D$1:$M$5,5,TRUE),0))))),0)</f>
        <v>0.9</v>
      </c>
      <c r="AX52" s="232">
        <f>IFERROR(IF($C52="Top WS",VLOOKUP("GOAL",'2) หลักการคำนวน Table'!$D$4:$M$4,HLOOKUP(AL52,'2) หลักการคำนวน Table'!$D$1:$M$5,5,TRUE),0),
IF($C52="WS SF",VLOOKUP("GOAL",'2) หลักการคำนวน Table'!$D$32:$M$32,HLOOKUP(AL52,'2) หลักการคำนวน Table'!$D$1:$M$5,5,TRUE),0),
IF($C52="WS WH",VLOOKUP("GOAL",'2) หลักการคำนวน Table'!$D$62:$M$62,HLOOKUP(AL52,'2) หลักการคำนวน Table'!$D$1:$M$5,5,TRUE),0),
IF($C52="SF WH",VLOOKUP("GOAL",'2) หลักการคำนวน Table'!$D$92:$M$92,HLOOKUP(AL52,'2) หลักการคำนวน Table'!$D$1:$M$5,5,TRUE),0))))),0)</f>
        <v>0.9</v>
      </c>
      <c r="AY52" s="232">
        <f>IFERROR(IF($C52="Top WS",VLOOKUP("GOAL",'2) หลักการคำนวน Table'!$D$4:$M$4,HLOOKUP(AM52,'2) หลักการคำนวน Table'!$D$1:$M$5,5,TRUE),0),
IF($C52="WS SF",VLOOKUP("GOAL",'2) หลักการคำนวน Table'!$D$32:$M$32,HLOOKUP(AM52,'2) หลักการคำนวน Table'!$D$1:$M$5,5,TRUE),0),
IF($C52="WS WH",VLOOKUP("GOAL",'2) หลักการคำนวน Table'!$D$62:$M$62,HLOOKUP(AM52,'2) หลักการคำนวน Table'!$D$1:$M$5,5,TRUE),0),
IF($C52="SF WH",VLOOKUP("GOAL",'2) หลักการคำนวน Table'!$D$92:$M$92,HLOOKUP(AM52,'2) หลักการคำนวน Table'!$D$1:$M$5,5,TRUE),0))))),0)</f>
        <v>0.9</v>
      </c>
      <c r="AZ52" s="167">
        <f>IFERROR(IF($C52="Top WS",VLOOKUP($B52,'2) หลักการคำนวน Table'!$D$5:$M$20,HLOOKUP(AB52,'2) หลักการคำนวน Table'!$D$1:$M$5,5,TRUE),0),
IF($C52="WS SF",VLOOKUP($B52,'2) หลักการคำนวน Table'!$D$33:$M$48,HLOOKUP(AB52,'2) หลักการคำนวน Table'!$D$1:$M$5,5,TRUE),0),
IF($C52="WS WH",VLOOKUP($B52,'2) หลักการคำนวน Table'!$D$63:$M$78,HLOOKUP(AB52,'2) หลักการคำนวน Table'!$D$1:$M$5,5,TRUE),0),
IF($C52="SF WH",VLOOKUP($B52,'2) หลักการคำนวน Table'!$D$93:$M$108,HLOOKUP(AB52,'2) หลักการคำนวน Table'!$D$1:$M$5,5,TRUE),0))))),0)</f>
        <v>600</v>
      </c>
      <c r="BA52" s="167">
        <f>IFERROR(IF($C52="Top WS",VLOOKUP($B52,'2) หลักการคำนวน Table'!$D$5:$M$20,HLOOKUP(AC52,'2) หลักการคำนวน Table'!$D$1:$M$5,5,TRUE),0),
IF($C52="WS SF",VLOOKUP($B52,'2) หลักการคำนวน Table'!$D$33:$M$48,HLOOKUP(AC52,'2) หลักการคำนวน Table'!$D$1:$M$5,5,TRUE),0),
IF($C52="WS WH",VLOOKUP($B52,'2) หลักการคำนวน Table'!$D$63:$M$78,HLOOKUP(AC52,'2) หลักการคำนวน Table'!$D$1:$M$5,5,TRUE),0),
IF($C52="SF WH",VLOOKUP($B52,'2) หลักการคำนวน Table'!$D$93:$M$108,HLOOKUP(AC52,'2) หลักการคำนวน Table'!$D$1:$M$5,5,TRUE),0))))),0)</f>
        <v>600</v>
      </c>
      <c r="BB52" s="167">
        <f>IFERROR(IF($C52="Top WS",VLOOKUP($B52,'2) หลักการคำนวน Table'!$D$5:$M$20,HLOOKUP(AD52,'2) หลักการคำนวน Table'!$D$1:$M$5,5,TRUE),0),
IF($C52="WS SF",VLOOKUP($B52,'2) หลักการคำนวน Table'!$D$33:$M$48,HLOOKUP(AD52,'2) หลักการคำนวน Table'!$D$1:$M$5,5,TRUE),0),
IF($C52="WS WH",VLOOKUP($B52,'2) หลักการคำนวน Table'!$D$63:$M$78,HLOOKUP(AD52,'2) หลักการคำนวน Table'!$D$1:$M$5,5,TRUE),0),
IF($C52="SF WH",VLOOKUP($B52,'2) หลักการคำนวน Table'!$D$93:$M$108,HLOOKUP(AD52,'2) หลักการคำนวน Table'!$D$1:$M$5,5,TRUE),0))))),0)</f>
        <v>540</v>
      </c>
      <c r="BC52" s="167">
        <f>IFERROR(IF($C52="Top WS",VLOOKUP($B52,'2) หลักการคำนวน Table'!$D$5:$M$20,HLOOKUP(AE52,'2) หลักการคำนวน Table'!$D$1:$M$5,5,TRUE),0),
IF($C52="WS SF",VLOOKUP($B52,'2) หลักการคำนวน Table'!$D$33:$M$48,HLOOKUP(AE52,'2) หลักการคำนวน Table'!$D$1:$M$5,5,TRUE),0),
IF($C52="WS WH",VLOOKUP($B52,'2) หลักการคำนวน Table'!$D$63:$M$78,HLOOKUP(AE52,'2) หลักการคำนวน Table'!$D$1:$M$5,5,TRUE),0),
IF($C52="SF WH",VLOOKUP($B52,'2) หลักการคำนวน Table'!$D$93:$M$108,HLOOKUP(AE52,'2) หลักการคำนวน Table'!$D$1:$M$5,5,TRUE),0))))),0)</f>
        <v>540</v>
      </c>
      <c r="BD52" s="167">
        <f>IFERROR(IF($C52="Top WS",VLOOKUP($B52,'2) หลักการคำนวน Table'!$D$5:$M$20,HLOOKUP(AF52,'2) หลักการคำนวน Table'!$D$1:$M$5,5,TRUE),0),
IF($C52="WS SF",VLOOKUP($B52,'2) หลักการคำนวน Table'!$D$33:$M$48,HLOOKUP(AF52,'2) หลักการคำนวน Table'!$D$1:$M$5,5,TRUE),0),
IF($C52="WS WH",VLOOKUP($B52,'2) หลักการคำนวน Table'!$D$63:$M$78,HLOOKUP(AF52,'2) หลักการคำนวน Table'!$D$1:$M$5,5,TRUE),0),
IF($C52="SF WH",VLOOKUP($B52,'2) หลักการคำนวน Table'!$D$93:$M$108,HLOOKUP(AF52,'2) หลักการคำนวน Table'!$D$1:$M$5,5,TRUE),0))))),0)</f>
        <v>540</v>
      </c>
      <c r="BE52" s="167">
        <f>IFERROR(IF($C52="Top WS",VLOOKUP($B52,'2) หลักการคำนวน Table'!$D$5:$M$20,HLOOKUP(AG52,'2) หลักการคำนวน Table'!$D$1:$M$5,5,TRUE),0),
IF($C52="WS SF",VLOOKUP($B52,'2) หลักการคำนวน Table'!$D$33:$M$48,HLOOKUP(AG52,'2) หลักการคำนวน Table'!$D$1:$M$5,5,TRUE),0),
IF($C52="WS WH",VLOOKUP($B52,'2) หลักการคำนวน Table'!$D$63:$M$78,HLOOKUP(AG52,'2) หลักการคำนวน Table'!$D$1:$M$5,5,TRUE),0),
IF($C52="SF WH",VLOOKUP($B52,'2) หลักการคำนวน Table'!$D$93:$M$108,HLOOKUP(AG52,'2) หลักการคำนวน Table'!$D$1:$M$5,5,TRUE),0))))),0)</f>
        <v>540</v>
      </c>
      <c r="BF52" s="167">
        <f>IFERROR(IF($C52="Top WS",VLOOKUP($B52,'2) หลักการคำนวน Table'!$D$5:$M$20,HLOOKUP(AH52,'2) หลักการคำนวน Table'!$D$1:$M$5,5,TRUE),0),
IF($C52="WS SF",VLOOKUP($B52,'2) หลักการคำนวน Table'!$D$33:$M$48,HLOOKUP(AH52,'2) หลักการคำนวน Table'!$D$1:$M$5,5,TRUE),0),
IF($C52="WS WH",VLOOKUP($B52,'2) หลักการคำนวน Table'!$D$63:$M$78,HLOOKUP(AH52,'2) หลักการคำนวน Table'!$D$1:$M$5,5,TRUE),0),
IF($C52="SF WH",VLOOKUP($B52,'2) หลักการคำนวน Table'!$D$93:$M$108,HLOOKUP(AH52,'2) หลักการคำนวน Table'!$D$1:$M$5,5,TRUE),0))))),0)</f>
        <v>540</v>
      </c>
      <c r="BG52" s="167">
        <f>IFERROR(IF($C52="Top WS",VLOOKUP($B52,'2) หลักการคำนวน Table'!$D$5:$M$20,HLOOKUP(AI52,'2) หลักการคำนวน Table'!$D$1:$M$5,5,TRUE),0),
IF($C52="WS SF",VLOOKUP($B52,'2) หลักการคำนวน Table'!$D$33:$M$48,HLOOKUP(AI52,'2) หลักการคำนวน Table'!$D$1:$M$5,5,TRUE),0),
IF($C52="WS WH",VLOOKUP($B52,'2) หลักการคำนวน Table'!$D$63:$M$78,HLOOKUP(AI52,'2) หลักการคำนวน Table'!$D$1:$M$5,5,TRUE),0),
IF($C52="SF WH",VLOOKUP($B52,'2) หลักการคำนวน Table'!$D$93:$M$108,HLOOKUP(AI52,'2) หลักการคำนวน Table'!$D$1:$M$5,5,TRUE),0))))),0)</f>
        <v>540</v>
      </c>
      <c r="BH52" s="167">
        <f>IFERROR(IF($C52="Top WS",VLOOKUP($B52,'2) หลักการคำนวน Table'!$D$5:$M$20,HLOOKUP(AP52,'2) หลักการคำนวน Table'!$D$1:$M$5,5,TRUE),0),
IF($C52="WS SF",VLOOKUP($B52,'2) หลักการคำนวน Table'!$D$33:$M$48,HLOOKUP(AP52,'2) หลักการคำนวน Table'!$D$1:$M$5,5,TRUE),0),
IF($C52="WS WH",VLOOKUP($B52,'2) หลักการคำนวน Table'!$D$63:$M$78,HLOOKUP(AP52,'2) หลักการคำนวน Table'!$D$1:$M$5,5,TRUE),0),
IF($C52="SF WH",VLOOKUP($B52,'2) หลักการคำนวน Table'!$D$93:$M$108,HLOOKUP(AP52,'2) หลักการคำนวน Table'!$D$1:$M$5,5,TRUE),0))))),0)</f>
        <v>540</v>
      </c>
      <c r="BI52" s="167">
        <f>IFERROR(IF($C52="Top WS",VLOOKUP($B52,'2) หลักการคำนวน Table'!$D$5:$M$20,HLOOKUP(AK52,'2) หลักการคำนวน Table'!$D$1:$M$5,5,TRUE),0),
IF($C52="WS SF",VLOOKUP($B52,'2) หลักการคำนวน Table'!$D$33:$M$48,HLOOKUP(AK52,'2) หลักการคำนวน Table'!$D$1:$M$5,5,TRUE),0),
IF($C52="WS WH",VLOOKUP($B52,'2) หลักการคำนวน Table'!$D$63:$M$78,HLOOKUP(AK52,'2) หลักการคำนวน Table'!$D$1:$M$5,5,TRUE),0),
IF($C52="SF WH",VLOOKUP($B52,'2) หลักการคำนวน Table'!$D$93:$M$108,HLOOKUP(AK52,'2) หลักการคำนวน Table'!$D$1:$M$5,5,TRUE),0))))),0)</f>
        <v>540</v>
      </c>
      <c r="BJ52" s="167">
        <f>IFERROR(IF($C52="Top WS",VLOOKUP($B52,'2) หลักการคำนวน Table'!$D$5:$M$20,HLOOKUP(AL52,'2) หลักการคำนวน Table'!$D$1:$M$5,5,TRUE),0),
IF($C52="WS SF",VLOOKUP($B52,'2) หลักการคำนวน Table'!$D$33:$M$48,HLOOKUP(AL52,'2) หลักการคำนวน Table'!$D$1:$M$5,5,TRUE),0),
IF($C52="WS WH",VLOOKUP($B52,'2) หลักการคำนวน Table'!$D$63:$M$78,HLOOKUP(AL52,'2) หลักการคำนวน Table'!$D$1:$M$5,5,TRUE),0),
IF($C52="SF WH",VLOOKUP($B52,'2) หลักการคำนวน Table'!$D$93:$M$108,HLOOKUP(AL52,'2) หลักการคำนวน Table'!$D$1:$M$5,5,TRUE),0))))),0)</f>
        <v>540</v>
      </c>
      <c r="BK52" s="167">
        <f>IFERROR(IF($C52="Top WS",VLOOKUP($B52,'2) หลักการคำนวน Table'!$D$5:$M$20,HLOOKUP(AM52,'2) หลักการคำนวน Table'!$D$1:$M$5,5,TRUE),0),
IF($C52="WS SF",VLOOKUP($B52,'2) หลักการคำนวน Table'!$D$33:$M$48,HLOOKUP(AM52,'2) หลักการคำนวน Table'!$D$1:$M$5,5,TRUE),0),
IF($C52="WS WH",VLOOKUP($B52,'2) หลักการคำนวน Table'!$D$63:$M$78,HLOOKUP(AM52,'2) หลักการคำนวน Table'!$D$1:$M$5,5,TRUE),0),
IF($C52="SF WH",VLOOKUP($B52,'2) หลักการคำนวน Table'!$D$93:$M$108,HLOOKUP(AM52,'2) หลักการคำนวน Table'!$D$1:$M$5,5,TRUE),0))))),0)</f>
        <v>540</v>
      </c>
      <c r="BM52" s="119">
        <f>VLOOKUP(VLOOKUP(A52,ASTBase!E:S,13,FALSE),ASTBase!F:P,11,FALSE)</f>
        <v>140000</v>
      </c>
      <c r="BN52" s="196" cm="1">
        <f t="array" ref="BN52">INDEX(AN52:AY52,,Period!$D$2)</f>
        <v>1</v>
      </c>
    </row>
    <row r="53" spans="1:66" x14ac:dyDescent="0.25">
      <c r="A53" s="117">
        <v>140001</v>
      </c>
      <c r="B53" s="117" t="s">
        <v>395</v>
      </c>
      <c r="C53" s="117" t="s">
        <v>178</v>
      </c>
      <c r="D53" s="118">
        <v>25582</v>
      </c>
      <c r="E53" s="118">
        <v>27977</v>
      </c>
      <c r="F53" s="118">
        <v>30738</v>
      </c>
      <c r="G53" s="118">
        <v>32334</v>
      </c>
      <c r="H53" s="118">
        <v>28811</v>
      </c>
      <c r="I53" s="118">
        <v>25164</v>
      </c>
      <c r="J53" s="118">
        <v>35978</v>
      </c>
      <c r="K53" s="118">
        <v>37673</v>
      </c>
      <c r="L53" s="118">
        <v>30332</v>
      </c>
      <c r="M53" s="118">
        <v>32188</v>
      </c>
      <c r="N53" s="118">
        <v>27138</v>
      </c>
      <c r="O53" s="118">
        <v>27139</v>
      </c>
      <c r="P53" s="117">
        <f>SUMIFS(Actual!C:C,Actual!$A:$A,'3)Target &amp; Cal'!$A53,Actual!$B:$B,'3)Target &amp; Cal'!$B53)</f>
        <v>25401.599999999995</v>
      </c>
      <c r="Q53" s="117">
        <f>SUMIFS(Actual!D:D,Actual!$A:$A,'3)Target &amp; Cal'!$A53,Actual!$B:$B,'3)Target &amp; Cal'!$B53)</f>
        <v>30375.479999999996</v>
      </c>
      <c r="R53" s="117">
        <f>SUMIFS(Actual!E:E,Actual!$A:$A,'3)Target &amp; Cal'!$A53,Actual!$B:$B,'3)Target &amp; Cal'!$B53)</f>
        <v>0</v>
      </c>
      <c r="S53" s="117">
        <f>SUMIFS(Actual!F:F,Actual!$A:$A,'3)Target &amp; Cal'!$A53,Actual!$B:$B,'3)Target &amp; Cal'!$B53)</f>
        <v>0</v>
      </c>
      <c r="T53" s="117">
        <f>SUMIFS(Actual!G:G,Actual!$A:$A,'3)Target &amp; Cal'!$A53,Actual!$B:$B,'3)Target &amp; Cal'!$B53)</f>
        <v>0</v>
      </c>
      <c r="U53" s="117">
        <f>SUMIFS(Actual!H:H,Actual!$A:$A,'3)Target &amp; Cal'!$A53,Actual!$B:$B,'3)Target &amp; Cal'!$B53)</f>
        <v>0</v>
      </c>
      <c r="V53" s="117">
        <f>SUMIFS(Actual!I:I,Actual!$A:$A,'3)Target &amp; Cal'!$A53,Actual!$B:$B,'3)Target &amp; Cal'!$B53)</f>
        <v>0</v>
      </c>
      <c r="W53" s="117">
        <f>SUMIFS(Actual!J:J,Actual!$A:$A,'3)Target &amp; Cal'!$A53,Actual!$B:$B,'3)Target &amp; Cal'!$B53)</f>
        <v>0</v>
      </c>
      <c r="X53" s="117">
        <f>SUMIFS(Actual!K:K,Actual!$A:$A,'3)Target &amp; Cal'!$A53,Actual!$B:$B,'3)Target &amp; Cal'!$B53)</f>
        <v>0</v>
      </c>
      <c r="Y53" s="117">
        <f>SUMIFS(Actual!L:L,Actual!$A:$A,'3)Target &amp; Cal'!$A53,Actual!$B:$B,'3)Target &amp; Cal'!$B53)</f>
        <v>0</v>
      </c>
      <c r="Z53" s="117">
        <f>SUMIFS(Actual!M:M,Actual!$A:$A,'3)Target &amp; Cal'!$A53,Actual!$B:$B,'3)Target &amp; Cal'!$B53)</f>
        <v>0</v>
      </c>
      <c r="AA53" s="117">
        <f>SUMIFS(Actual!N:N,Actual!$A:$A,'3)Target &amp; Cal'!$A53,Actual!$B:$B,'3)Target &amp; Cal'!$B53)</f>
        <v>0</v>
      </c>
      <c r="AB53" s="123">
        <f>IFERROR(IF(VLOOKUP($B53,Shortage!$A:$M,AB$2,FALSE)="Shortage",1,IFERROR(ROUND(P53/D53,4),0)),IFERROR(ROUND(P53/D53,4),0))</f>
        <v>0.9929</v>
      </c>
      <c r="AC53" s="123">
        <f>IFERROR(IF(VLOOKUP($B53,Shortage!$A:$M,AC$2,FALSE)="Shortage",1,IFERROR(ROUND(Q53/E53,4),0)),IFERROR(ROUND(Q53/E53,4),0))</f>
        <v>1.0857000000000001</v>
      </c>
      <c r="AD53" s="123">
        <f>IFERROR(IF(VLOOKUP($B53,Shortage!$A:$M,AD$2,FALSE)="Shortage",1,IFERROR(ROUND(R53/F53,4),0)),IFERROR(ROUND(R53/F53,4),0))</f>
        <v>0</v>
      </c>
      <c r="AE53" s="123">
        <f>IFERROR(IF(VLOOKUP($B53,Shortage!$A:$M,AE$2,FALSE)="Shortage",1,IFERROR(ROUND(S53/G53,4),0)),IFERROR(ROUND(S53/G53,4),0))</f>
        <v>0</v>
      </c>
      <c r="AF53" s="123">
        <f>IFERROR(IF(VLOOKUP($B53,Shortage!$A:$M,AF$2,FALSE)="Shortage",1,IFERROR(ROUND(T53/H53,4),0)),IFERROR(ROUND(T53/H53,4),0))</f>
        <v>0</v>
      </c>
      <c r="AG53" s="123">
        <f>IFERROR(IF(VLOOKUP($B53,Shortage!$A:$M,AG$2,FALSE)="Shortage",1,IFERROR(ROUND(U53/I53,4),0)),IFERROR(ROUND(U53/I53,4),0))</f>
        <v>0</v>
      </c>
      <c r="AH53" s="123">
        <f>IFERROR(IF(VLOOKUP($B53,Shortage!$A:$M,AH$2,FALSE)="Shortage",1,IFERROR(ROUND(V53/J53,4),0)),IFERROR(ROUND(V53/J53,4),0))</f>
        <v>0</v>
      </c>
      <c r="AI53" s="123">
        <f>IFERROR(IF(VLOOKUP($B53,Shortage!$A:$M,AI$2,FALSE)="Shortage",1,IFERROR(ROUND(W53/K53,4),0)),IFERROR(ROUND(W53/K53,4),0))</f>
        <v>0</v>
      </c>
      <c r="AJ53" s="123">
        <f>IFERROR(IF(VLOOKUP($B53,Shortage!$A:$M,AP$2,FALSE)="Shortage",1,IFERROR(ROUND(X53/L53,4),0)),IFERROR(ROUND(X53/L53,4),0))</f>
        <v>0</v>
      </c>
      <c r="AK53" s="123">
        <f>IFERROR(IF(VLOOKUP($B53,Shortage!$A:$M,AK$2,FALSE)="Shortage",1,IFERROR(ROUND(Y53/M53,4),0)),IFERROR(ROUND(Y53/M53,4),0))</f>
        <v>0</v>
      </c>
      <c r="AL53" s="123">
        <f>IFERROR(IF(VLOOKUP($B53,Shortage!$A:$M,AL$2,FALSE)="Shortage",1,IFERROR(ROUND(Z53/N53,4),0)),IFERROR(ROUND(Z53/N53,4),0))</f>
        <v>0</v>
      </c>
      <c r="AM53" s="123">
        <f>IFERROR(IF(VLOOKUP($B53,Shortage!$A:$M,AM$2,FALSE)="Shortage",1,IFERROR(ROUND(AA53/O53,4),0)),IFERROR(ROUND(AA53/O53,4),0))</f>
        <v>0</v>
      </c>
      <c r="AN53" s="232">
        <f>IFERROR(IF($C53="Top WS",VLOOKUP("GOAL",'2) หลักการคำนวน Table'!$D$4:$M$4,HLOOKUP(AB53,'2) หลักการคำนวน Table'!$D$1:$M$5,5,TRUE),0),
IF($C53="WS SF",VLOOKUP("GOAL",'2) หลักการคำนวน Table'!$D$32:$M$32,HLOOKUP(AB53,'2) หลักการคำนวน Table'!$D$1:$M$5,5,TRUE),0),
IF($C53="WS WH",VLOOKUP("GOAL",'2) หลักการคำนวน Table'!$D$62:$M$62,HLOOKUP(AB53,'2) หลักการคำนวน Table'!$D$1:$M$5,5,TRUE),0),
IF($C53="SF WH",VLOOKUP("GOAL",'2) หลักการคำนวน Table'!$D$92:$M$92,HLOOKUP(AB53,'2) หลักการคำนวน Table'!$D$1:$M$5,5,TRUE),0))))),0)</f>
        <v>1</v>
      </c>
      <c r="AO53" s="232">
        <f>IFERROR(IF($C53="Top WS",VLOOKUP("GOAL",'2) หลักการคำนวน Table'!$D$4:$M$4,HLOOKUP(AC53,'2) หลักการคำนวน Table'!$D$1:$M$5,5,TRUE),0),
IF($C53="WS SF",VLOOKUP("GOAL",'2) หลักการคำนวน Table'!$D$32:$M$32,HLOOKUP(AC53,'2) หลักการคำนวน Table'!$D$1:$M$5,5,TRUE),0),
IF($C53="WS WH",VLOOKUP("GOAL",'2) หลักการคำนวน Table'!$D$62:$M$62,HLOOKUP(AC53,'2) หลักการคำนวน Table'!$D$1:$M$5,5,TRUE),0),
IF($C53="SF WH",VLOOKUP("GOAL",'2) หลักการคำนวน Table'!$D$92:$M$92,HLOOKUP(AC53,'2) หลักการคำนวน Table'!$D$1:$M$5,5,TRUE),0))))),0)</f>
        <v>1.1000000000000001</v>
      </c>
      <c r="AP53" s="232">
        <f>IFERROR(IF($C53="Top WS",VLOOKUP("GOAL",'2) หลักการคำนวน Table'!$D$4:$M$4,HLOOKUP(AD53,'2) หลักการคำนวน Table'!$D$1:$M$5,5,TRUE),0),
IF($C53="WS SF",VLOOKUP("GOAL",'2) หลักการคำนวน Table'!$D$32:$M$32,HLOOKUP(AD53,'2) หลักการคำนวน Table'!$D$1:$M$5,5,TRUE),0),
IF($C53="WS WH",VLOOKUP("GOAL",'2) หลักการคำนวน Table'!$D$62:$M$62,HLOOKUP(AD53,'2) หลักการคำนวน Table'!$D$1:$M$5,5,TRUE),0),
IF($C53="SF WH",VLOOKUP("GOAL",'2) หลักการคำนวน Table'!$D$92:$M$92,HLOOKUP(AD53,'2) หลักการคำนวน Table'!$D$1:$M$5,5,TRUE),0))))),0)</f>
        <v>0.9</v>
      </c>
      <c r="AQ53" s="232">
        <f>IFERROR(IF($C53="Top WS",VLOOKUP("GOAL",'2) หลักการคำนวน Table'!$D$4:$M$4,HLOOKUP(AE53,'2) หลักการคำนวน Table'!$D$1:$M$5,5,TRUE),0),
IF($C53="WS SF",VLOOKUP("GOAL",'2) หลักการคำนวน Table'!$D$32:$M$32,HLOOKUP(AE53,'2) หลักการคำนวน Table'!$D$1:$M$5,5,TRUE),0),
IF($C53="WS WH",VLOOKUP("GOAL",'2) หลักการคำนวน Table'!$D$62:$M$62,HLOOKUP(AE53,'2) หลักการคำนวน Table'!$D$1:$M$5,5,TRUE),0),
IF($C53="SF WH",VLOOKUP("GOAL",'2) หลักการคำนวน Table'!$D$92:$M$92,HLOOKUP(AE53,'2) หลักการคำนวน Table'!$D$1:$M$5,5,TRUE),0))))),0)</f>
        <v>0.9</v>
      </c>
      <c r="AR53" s="232">
        <f>IFERROR(IF($C53="Top WS",VLOOKUP("GOAL",'2) หลักการคำนวน Table'!$D$4:$M$4,HLOOKUP(AF53,'2) หลักการคำนวน Table'!$D$1:$M$5,5,TRUE),0),
IF($C53="WS SF",VLOOKUP("GOAL",'2) หลักการคำนวน Table'!$D$32:$M$32,HLOOKUP(AF53,'2) หลักการคำนวน Table'!$D$1:$M$5,5,TRUE),0),
IF($C53="WS WH",VLOOKUP("GOAL",'2) หลักการคำนวน Table'!$D$62:$M$62,HLOOKUP(AF53,'2) หลักการคำนวน Table'!$D$1:$M$5,5,TRUE),0),
IF($C53="SF WH",VLOOKUP("GOAL",'2) หลักการคำนวน Table'!$D$92:$M$92,HLOOKUP(AF53,'2) หลักการคำนวน Table'!$D$1:$M$5,5,TRUE),0))))),0)</f>
        <v>0.9</v>
      </c>
      <c r="AS53" s="232">
        <f>IFERROR(IF($C53="Top WS",VLOOKUP("GOAL",'2) หลักการคำนวน Table'!$D$4:$M$4,HLOOKUP(AG53,'2) หลักการคำนวน Table'!$D$1:$M$5,5,TRUE),0),
IF($C53="WS SF",VLOOKUP("GOAL",'2) หลักการคำนวน Table'!$D$32:$M$32,HLOOKUP(AG53,'2) หลักการคำนวน Table'!$D$1:$M$5,5,TRUE),0),
IF($C53="WS WH",VLOOKUP("GOAL",'2) หลักการคำนวน Table'!$D$62:$M$62,HLOOKUP(AG53,'2) หลักการคำนวน Table'!$D$1:$M$5,5,TRUE),0),
IF($C53="SF WH",VLOOKUP("GOAL",'2) หลักการคำนวน Table'!$D$92:$M$92,HLOOKUP(AG53,'2) หลักการคำนวน Table'!$D$1:$M$5,5,TRUE),0))))),0)</f>
        <v>0.9</v>
      </c>
      <c r="AT53" s="232">
        <f>IFERROR(IF($C53="Top WS",VLOOKUP("GOAL",'2) หลักการคำนวน Table'!$D$4:$M$4,HLOOKUP(AH53,'2) หลักการคำนวน Table'!$D$1:$M$5,5,TRUE),0),
IF($C53="WS SF",VLOOKUP("GOAL",'2) หลักการคำนวน Table'!$D$32:$M$32,HLOOKUP(AH53,'2) หลักการคำนวน Table'!$D$1:$M$5,5,TRUE),0),
IF($C53="WS WH",VLOOKUP("GOAL",'2) หลักการคำนวน Table'!$D$62:$M$62,HLOOKUP(AH53,'2) หลักการคำนวน Table'!$D$1:$M$5,5,TRUE),0),
IF($C53="SF WH",VLOOKUP("GOAL",'2) หลักการคำนวน Table'!$D$92:$M$92,HLOOKUP(AH53,'2) หลักการคำนวน Table'!$D$1:$M$5,5,TRUE),0))))),0)</f>
        <v>0.9</v>
      </c>
      <c r="AU53" s="232">
        <f>IFERROR(IF($C53="Top WS",VLOOKUP("GOAL",'2) หลักการคำนวน Table'!$D$4:$M$4,HLOOKUP(AI53,'2) หลักการคำนวน Table'!$D$1:$M$5,5,TRUE),0),
IF($C53="WS SF",VLOOKUP("GOAL",'2) หลักการคำนวน Table'!$D$32:$M$32,HLOOKUP(AI53,'2) หลักการคำนวน Table'!$D$1:$M$5,5,TRUE),0),
IF($C53="WS WH",VLOOKUP("GOAL",'2) หลักการคำนวน Table'!$D$62:$M$62,HLOOKUP(AI53,'2) หลักการคำนวน Table'!$D$1:$M$5,5,TRUE),0),
IF($C53="SF WH",VLOOKUP("GOAL",'2) หลักการคำนวน Table'!$D$92:$M$92,HLOOKUP(AI53,'2) หลักการคำนวน Table'!$D$1:$M$5,5,TRUE),0))))),0)</f>
        <v>0.9</v>
      </c>
      <c r="AV53" s="232">
        <f>IFERROR(IF($C53="Top WS",VLOOKUP("GOAL",'2) หลักการคำนวน Table'!$D$4:$M$4,HLOOKUP(AP53,'2) หลักการคำนวน Table'!$D$1:$M$5,5,TRUE),0),
IF($C53="WS SF",VLOOKUP("GOAL",'2) หลักการคำนวน Table'!$D$32:$M$32,HLOOKUP(AP53,'2) หลักการคำนวน Table'!$D$1:$M$5,5,TRUE),0),
IF($C53="WS WH",VLOOKUP("GOAL",'2) หลักการคำนวน Table'!$D$62:$M$62,HLOOKUP(AP53,'2) หลักการคำนวน Table'!$D$1:$M$5,5,TRUE),0),
IF($C53="SF WH",VLOOKUP("GOAL",'2) หลักการคำนวน Table'!$D$92:$M$92,HLOOKUP(AP53,'2) หลักการคำนวน Table'!$D$1:$M$5,5,TRUE),0))))),0)</f>
        <v>0.9</v>
      </c>
      <c r="AW53" s="232">
        <f>IFERROR(IF($C53="Top WS",VLOOKUP("GOAL",'2) หลักการคำนวน Table'!$D$4:$M$4,HLOOKUP(AK53,'2) หลักการคำนวน Table'!$D$1:$M$5,5,TRUE),0),
IF($C53="WS SF",VLOOKUP("GOAL",'2) หลักการคำนวน Table'!$D$32:$M$32,HLOOKUP(AK53,'2) หลักการคำนวน Table'!$D$1:$M$5,5,TRUE),0),
IF($C53="WS WH",VLOOKUP("GOAL",'2) หลักการคำนวน Table'!$D$62:$M$62,HLOOKUP(AK53,'2) หลักการคำนวน Table'!$D$1:$M$5,5,TRUE),0),
IF($C53="SF WH",VLOOKUP("GOAL",'2) หลักการคำนวน Table'!$D$92:$M$92,HLOOKUP(AK53,'2) หลักการคำนวน Table'!$D$1:$M$5,5,TRUE),0))))),0)</f>
        <v>0.9</v>
      </c>
      <c r="AX53" s="232">
        <f>IFERROR(IF($C53="Top WS",VLOOKUP("GOAL",'2) หลักการคำนวน Table'!$D$4:$M$4,HLOOKUP(AL53,'2) หลักการคำนวน Table'!$D$1:$M$5,5,TRUE),0),
IF($C53="WS SF",VLOOKUP("GOAL",'2) หลักการคำนวน Table'!$D$32:$M$32,HLOOKUP(AL53,'2) หลักการคำนวน Table'!$D$1:$M$5,5,TRUE),0),
IF($C53="WS WH",VLOOKUP("GOAL",'2) หลักการคำนวน Table'!$D$62:$M$62,HLOOKUP(AL53,'2) หลักการคำนวน Table'!$D$1:$M$5,5,TRUE),0),
IF($C53="SF WH",VLOOKUP("GOAL",'2) หลักการคำนวน Table'!$D$92:$M$92,HLOOKUP(AL53,'2) หลักการคำนวน Table'!$D$1:$M$5,5,TRUE),0))))),0)</f>
        <v>0.9</v>
      </c>
      <c r="AY53" s="232">
        <f>IFERROR(IF($C53="Top WS",VLOOKUP("GOAL",'2) หลักการคำนวน Table'!$D$4:$M$4,HLOOKUP(AM53,'2) หลักการคำนวน Table'!$D$1:$M$5,5,TRUE),0),
IF($C53="WS SF",VLOOKUP("GOAL",'2) หลักการคำนวน Table'!$D$32:$M$32,HLOOKUP(AM53,'2) หลักการคำนวน Table'!$D$1:$M$5,5,TRUE),0),
IF($C53="WS WH",VLOOKUP("GOAL",'2) หลักการคำนวน Table'!$D$62:$M$62,HLOOKUP(AM53,'2) หลักการคำนวน Table'!$D$1:$M$5,5,TRUE),0),
IF($C53="SF WH",VLOOKUP("GOAL",'2) หลักการคำนวน Table'!$D$92:$M$92,HLOOKUP(AM53,'2) หลักการคำนวน Table'!$D$1:$M$5,5,TRUE),0))))),0)</f>
        <v>0.9</v>
      </c>
      <c r="AZ53" s="167">
        <f>IFERROR(IF($C53="Top WS",VLOOKUP($B53,'2) หลักการคำนวน Table'!$D$5:$M$20,HLOOKUP(AB53,'2) หลักการคำนวน Table'!$D$1:$M$5,5,TRUE),0),
IF($C53="WS SF",VLOOKUP($B53,'2) หลักการคำนวน Table'!$D$33:$M$48,HLOOKUP(AB53,'2) หลักการคำนวน Table'!$D$1:$M$5,5,TRUE),0),
IF($C53="WS WH",VLOOKUP($B53,'2) หลักการคำนวน Table'!$D$63:$M$78,HLOOKUP(AB53,'2) หลักการคำนวน Table'!$D$1:$M$5,5,TRUE),0),
IF($C53="SF WH",VLOOKUP($B53,'2) หลักการคำนวน Table'!$D$93:$M$108,HLOOKUP(AB53,'2) หลักการคำนวน Table'!$D$1:$M$5,5,TRUE),0))))),0)</f>
        <v>200</v>
      </c>
      <c r="BA53" s="167">
        <f>IFERROR(IF($C53="Top WS",VLOOKUP($B53,'2) หลักการคำนวน Table'!$D$5:$M$20,HLOOKUP(AC53,'2) หลักการคำนวน Table'!$D$1:$M$5,5,TRUE),0),
IF($C53="WS SF",VLOOKUP($B53,'2) หลักการคำนวน Table'!$D$33:$M$48,HLOOKUP(AC53,'2) หลักการคำนวน Table'!$D$1:$M$5,5,TRUE),0),
IF($C53="WS WH",VLOOKUP($B53,'2) หลักการคำนวน Table'!$D$63:$M$78,HLOOKUP(AC53,'2) หลักการคำนวน Table'!$D$1:$M$5,5,TRUE),0),
IF($C53="SF WH",VLOOKUP($B53,'2) หลักการคำนวน Table'!$D$93:$M$108,HLOOKUP(AC53,'2) หลักการคำนวน Table'!$D$1:$M$5,5,TRUE),0))))),0)</f>
        <v>220</v>
      </c>
      <c r="BB53" s="167">
        <f>IFERROR(IF($C53="Top WS",VLOOKUP($B53,'2) หลักการคำนวน Table'!$D$5:$M$20,HLOOKUP(AD53,'2) หลักการคำนวน Table'!$D$1:$M$5,5,TRUE),0),
IF($C53="WS SF",VLOOKUP($B53,'2) หลักการคำนวน Table'!$D$33:$M$48,HLOOKUP(AD53,'2) หลักการคำนวน Table'!$D$1:$M$5,5,TRUE),0),
IF($C53="WS WH",VLOOKUP($B53,'2) หลักการคำนวน Table'!$D$63:$M$78,HLOOKUP(AD53,'2) หลักการคำนวน Table'!$D$1:$M$5,5,TRUE),0),
IF($C53="SF WH",VLOOKUP($B53,'2) หลักการคำนวน Table'!$D$93:$M$108,HLOOKUP(AD53,'2) หลักการคำนวน Table'!$D$1:$M$5,5,TRUE),0))))),0)</f>
        <v>180</v>
      </c>
      <c r="BC53" s="167">
        <f>IFERROR(IF($C53="Top WS",VLOOKUP($B53,'2) หลักการคำนวน Table'!$D$5:$M$20,HLOOKUP(AE53,'2) หลักการคำนวน Table'!$D$1:$M$5,5,TRUE),0),
IF($C53="WS SF",VLOOKUP($B53,'2) หลักการคำนวน Table'!$D$33:$M$48,HLOOKUP(AE53,'2) หลักการคำนวน Table'!$D$1:$M$5,5,TRUE),0),
IF($C53="WS WH",VLOOKUP($B53,'2) หลักการคำนวน Table'!$D$63:$M$78,HLOOKUP(AE53,'2) หลักการคำนวน Table'!$D$1:$M$5,5,TRUE),0),
IF($C53="SF WH",VLOOKUP($B53,'2) หลักการคำนวน Table'!$D$93:$M$108,HLOOKUP(AE53,'2) หลักการคำนวน Table'!$D$1:$M$5,5,TRUE),0))))),0)</f>
        <v>180</v>
      </c>
      <c r="BD53" s="167">
        <f>IFERROR(IF($C53="Top WS",VLOOKUP($B53,'2) หลักการคำนวน Table'!$D$5:$M$20,HLOOKUP(AF53,'2) หลักการคำนวน Table'!$D$1:$M$5,5,TRUE),0),
IF($C53="WS SF",VLOOKUP($B53,'2) หลักการคำนวน Table'!$D$33:$M$48,HLOOKUP(AF53,'2) หลักการคำนวน Table'!$D$1:$M$5,5,TRUE),0),
IF($C53="WS WH",VLOOKUP($B53,'2) หลักการคำนวน Table'!$D$63:$M$78,HLOOKUP(AF53,'2) หลักการคำนวน Table'!$D$1:$M$5,5,TRUE),0),
IF($C53="SF WH",VLOOKUP($B53,'2) หลักการคำนวน Table'!$D$93:$M$108,HLOOKUP(AF53,'2) หลักการคำนวน Table'!$D$1:$M$5,5,TRUE),0))))),0)</f>
        <v>180</v>
      </c>
      <c r="BE53" s="167">
        <f>IFERROR(IF($C53="Top WS",VLOOKUP($B53,'2) หลักการคำนวน Table'!$D$5:$M$20,HLOOKUP(AG53,'2) หลักการคำนวน Table'!$D$1:$M$5,5,TRUE),0),
IF($C53="WS SF",VLOOKUP($B53,'2) หลักการคำนวน Table'!$D$33:$M$48,HLOOKUP(AG53,'2) หลักการคำนวน Table'!$D$1:$M$5,5,TRUE),0),
IF($C53="WS WH",VLOOKUP($B53,'2) หลักการคำนวน Table'!$D$63:$M$78,HLOOKUP(AG53,'2) หลักการคำนวน Table'!$D$1:$M$5,5,TRUE),0),
IF($C53="SF WH",VLOOKUP($B53,'2) หลักการคำนวน Table'!$D$93:$M$108,HLOOKUP(AG53,'2) หลักการคำนวน Table'!$D$1:$M$5,5,TRUE),0))))),0)</f>
        <v>180</v>
      </c>
      <c r="BF53" s="167">
        <f>IFERROR(IF($C53="Top WS",VLOOKUP($B53,'2) หลักการคำนวน Table'!$D$5:$M$20,HLOOKUP(AH53,'2) หลักการคำนวน Table'!$D$1:$M$5,5,TRUE),0),
IF($C53="WS SF",VLOOKUP($B53,'2) หลักการคำนวน Table'!$D$33:$M$48,HLOOKUP(AH53,'2) หลักการคำนวน Table'!$D$1:$M$5,5,TRUE),0),
IF($C53="WS WH",VLOOKUP($B53,'2) หลักการคำนวน Table'!$D$63:$M$78,HLOOKUP(AH53,'2) หลักการคำนวน Table'!$D$1:$M$5,5,TRUE),0),
IF($C53="SF WH",VLOOKUP($B53,'2) หลักการคำนวน Table'!$D$93:$M$108,HLOOKUP(AH53,'2) หลักการคำนวน Table'!$D$1:$M$5,5,TRUE),0))))),0)</f>
        <v>180</v>
      </c>
      <c r="BG53" s="167">
        <f>IFERROR(IF($C53="Top WS",VLOOKUP($B53,'2) หลักการคำนวน Table'!$D$5:$M$20,HLOOKUP(AI53,'2) หลักการคำนวน Table'!$D$1:$M$5,5,TRUE),0),
IF($C53="WS SF",VLOOKUP($B53,'2) หลักการคำนวน Table'!$D$33:$M$48,HLOOKUP(AI53,'2) หลักการคำนวน Table'!$D$1:$M$5,5,TRUE),0),
IF($C53="WS WH",VLOOKUP($B53,'2) หลักการคำนวน Table'!$D$63:$M$78,HLOOKUP(AI53,'2) หลักการคำนวน Table'!$D$1:$M$5,5,TRUE),0),
IF($C53="SF WH",VLOOKUP($B53,'2) หลักการคำนวน Table'!$D$93:$M$108,HLOOKUP(AI53,'2) หลักการคำนวน Table'!$D$1:$M$5,5,TRUE),0))))),0)</f>
        <v>180</v>
      </c>
      <c r="BH53" s="167">
        <f>IFERROR(IF($C53="Top WS",VLOOKUP($B53,'2) หลักการคำนวน Table'!$D$5:$M$20,HLOOKUP(AP53,'2) หลักการคำนวน Table'!$D$1:$M$5,5,TRUE),0),
IF($C53="WS SF",VLOOKUP($B53,'2) หลักการคำนวน Table'!$D$33:$M$48,HLOOKUP(AP53,'2) หลักการคำนวน Table'!$D$1:$M$5,5,TRUE),0),
IF($C53="WS WH",VLOOKUP($B53,'2) หลักการคำนวน Table'!$D$63:$M$78,HLOOKUP(AP53,'2) หลักการคำนวน Table'!$D$1:$M$5,5,TRUE),0),
IF($C53="SF WH",VLOOKUP($B53,'2) หลักการคำนวน Table'!$D$93:$M$108,HLOOKUP(AP53,'2) หลักการคำนวน Table'!$D$1:$M$5,5,TRUE),0))))),0)</f>
        <v>180</v>
      </c>
      <c r="BI53" s="167">
        <f>IFERROR(IF($C53="Top WS",VLOOKUP($B53,'2) หลักการคำนวน Table'!$D$5:$M$20,HLOOKUP(AK53,'2) หลักการคำนวน Table'!$D$1:$M$5,5,TRUE),0),
IF($C53="WS SF",VLOOKUP($B53,'2) หลักการคำนวน Table'!$D$33:$M$48,HLOOKUP(AK53,'2) หลักการคำนวน Table'!$D$1:$M$5,5,TRUE),0),
IF($C53="WS WH",VLOOKUP($B53,'2) หลักการคำนวน Table'!$D$63:$M$78,HLOOKUP(AK53,'2) หลักการคำนวน Table'!$D$1:$M$5,5,TRUE),0),
IF($C53="SF WH",VLOOKUP($B53,'2) หลักการคำนวน Table'!$D$93:$M$108,HLOOKUP(AK53,'2) หลักการคำนวน Table'!$D$1:$M$5,5,TRUE),0))))),0)</f>
        <v>180</v>
      </c>
      <c r="BJ53" s="167">
        <f>IFERROR(IF($C53="Top WS",VLOOKUP($B53,'2) หลักการคำนวน Table'!$D$5:$M$20,HLOOKUP(AL53,'2) หลักการคำนวน Table'!$D$1:$M$5,5,TRUE),0),
IF($C53="WS SF",VLOOKUP($B53,'2) หลักการคำนวน Table'!$D$33:$M$48,HLOOKUP(AL53,'2) หลักการคำนวน Table'!$D$1:$M$5,5,TRUE),0),
IF($C53="WS WH",VLOOKUP($B53,'2) หลักการคำนวน Table'!$D$63:$M$78,HLOOKUP(AL53,'2) หลักการคำนวน Table'!$D$1:$M$5,5,TRUE),0),
IF($C53="SF WH",VLOOKUP($B53,'2) หลักการคำนวน Table'!$D$93:$M$108,HLOOKUP(AL53,'2) หลักการคำนวน Table'!$D$1:$M$5,5,TRUE),0))))),0)</f>
        <v>180</v>
      </c>
      <c r="BK53" s="167">
        <f>IFERROR(IF($C53="Top WS",VLOOKUP($B53,'2) หลักการคำนวน Table'!$D$5:$M$20,HLOOKUP(AM53,'2) หลักการคำนวน Table'!$D$1:$M$5,5,TRUE),0),
IF($C53="WS SF",VLOOKUP($B53,'2) หลักการคำนวน Table'!$D$33:$M$48,HLOOKUP(AM53,'2) หลักการคำนวน Table'!$D$1:$M$5,5,TRUE),0),
IF($C53="WS WH",VLOOKUP($B53,'2) หลักการคำนวน Table'!$D$63:$M$78,HLOOKUP(AM53,'2) หลักการคำนวน Table'!$D$1:$M$5,5,TRUE),0),
IF($C53="SF WH",VLOOKUP($B53,'2) หลักการคำนวน Table'!$D$93:$M$108,HLOOKUP(AM53,'2) หลักการคำนวน Table'!$D$1:$M$5,5,TRUE),0))))),0)</f>
        <v>180</v>
      </c>
      <c r="BM53" s="119">
        <f>VLOOKUP(VLOOKUP(A53,ASTBase!E:S,13,FALSE),ASTBase!F:P,11,FALSE)</f>
        <v>140000</v>
      </c>
      <c r="BN53" s="196" cm="1">
        <f t="array" ref="BN53">INDEX(AN53:AY53,,Period!$D$2)</f>
        <v>1.1000000000000001</v>
      </c>
    </row>
    <row r="54" spans="1:66" x14ac:dyDescent="0.25">
      <c r="A54" s="117">
        <v>140001</v>
      </c>
      <c r="B54" s="117" t="s">
        <v>402</v>
      </c>
      <c r="C54" s="117" t="s">
        <v>178</v>
      </c>
      <c r="D54" s="118">
        <v>1848</v>
      </c>
      <c r="E54" s="118">
        <v>2095</v>
      </c>
      <c r="F54" s="118">
        <v>1702</v>
      </c>
      <c r="G54" s="118">
        <v>1801</v>
      </c>
      <c r="H54" s="118">
        <v>1836</v>
      </c>
      <c r="I54" s="118">
        <v>1892</v>
      </c>
      <c r="J54" s="118">
        <v>2130</v>
      </c>
      <c r="K54" s="118">
        <v>3165</v>
      </c>
      <c r="L54" s="118">
        <v>2076</v>
      </c>
      <c r="M54" s="118">
        <v>1888</v>
      </c>
      <c r="N54" s="118">
        <v>2380</v>
      </c>
      <c r="O54" s="118">
        <v>2382</v>
      </c>
      <c r="P54" s="117">
        <f>SUMIFS(Actual!C:C,Actual!$A:$A,'3)Target &amp; Cal'!$A54,Actual!$B:$B,'3)Target &amp; Cal'!$B54)</f>
        <v>3371</v>
      </c>
      <c r="Q54" s="117">
        <f>SUMIFS(Actual!D:D,Actual!$A:$A,'3)Target &amp; Cal'!$A54,Actual!$B:$B,'3)Target &amp; Cal'!$B54)</f>
        <v>129</v>
      </c>
      <c r="R54" s="117">
        <f>SUMIFS(Actual!E:E,Actual!$A:$A,'3)Target &amp; Cal'!$A54,Actual!$B:$B,'3)Target &amp; Cal'!$B54)</f>
        <v>0</v>
      </c>
      <c r="S54" s="117">
        <f>SUMIFS(Actual!F:F,Actual!$A:$A,'3)Target &amp; Cal'!$A54,Actual!$B:$B,'3)Target &amp; Cal'!$B54)</f>
        <v>0</v>
      </c>
      <c r="T54" s="117">
        <f>SUMIFS(Actual!G:G,Actual!$A:$A,'3)Target &amp; Cal'!$A54,Actual!$B:$B,'3)Target &amp; Cal'!$B54)</f>
        <v>0</v>
      </c>
      <c r="U54" s="117">
        <f>SUMIFS(Actual!H:H,Actual!$A:$A,'3)Target &amp; Cal'!$A54,Actual!$B:$B,'3)Target &amp; Cal'!$B54)</f>
        <v>0</v>
      </c>
      <c r="V54" s="117">
        <f>SUMIFS(Actual!I:I,Actual!$A:$A,'3)Target &amp; Cal'!$A54,Actual!$B:$B,'3)Target &amp; Cal'!$B54)</f>
        <v>0</v>
      </c>
      <c r="W54" s="117">
        <f>SUMIFS(Actual!J:J,Actual!$A:$A,'3)Target &amp; Cal'!$A54,Actual!$B:$B,'3)Target &amp; Cal'!$B54)</f>
        <v>0</v>
      </c>
      <c r="X54" s="117">
        <f>SUMIFS(Actual!K:K,Actual!$A:$A,'3)Target &amp; Cal'!$A54,Actual!$B:$B,'3)Target &amp; Cal'!$B54)</f>
        <v>0</v>
      </c>
      <c r="Y54" s="117">
        <f>SUMIFS(Actual!L:L,Actual!$A:$A,'3)Target &amp; Cal'!$A54,Actual!$B:$B,'3)Target &amp; Cal'!$B54)</f>
        <v>0</v>
      </c>
      <c r="Z54" s="117">
        <f>SUMIFS(Actual!M:M,Actual!$A:$A,'3)Target &amp; Cal'!$A54,Actual!$B:$B,'3)Target &amp; Cal'!$B54)</f>
        <v>0</v>
      </c>
      <c r="AA54" s="117">
        <f>SUMIFS(Actual!N:N,Actual!$A:$A,'3)Target &amp; Cal'!$A54,Actual!$B:$B,'3)Target &amp; Cal'!$B54)</f>
        <v>0</v>
      </c>
      <c r="AB54" s="123">
        <f>IFERROR(IF(VLOOKUP($B54,Shortage!$A:$M,AB$2,FALSE)="Shortage",1,IFERROR(ROUND(P54/D54,4),0)),IFERROR(ROUND(P54/D54,4),0))</f>
        <v>1.8241000000000001</v>
      </c>
      <c r="AC54" s="123">
        <f>IFERROR(IF(VLOOKUP($B54,Shortage!$A:$M,AC$2,FALSE)="Shortage",1,IFERROR(ROUND(Q54/E54,4),0)),IFERROR(ROUND(Q54/E54,4),0))</f>
        <v>6.1600000000000002E-2</v>
      </c>
      <c r="AD54" s="123">
        <f>IFERROR(IF(VLOOKUP($B54,Shortage!$A:$M,AD$2,FALSE)="Shortage",1,IFERROR(ROUND(R54/F54,4),0)),IFERROR(ROUND(R54/F54,4),0))</f>
        <v>0</v>
      </c>
      <c r="AE54" s="123">
        <f>IFERROR(IF(VLOOKUP($B54,Shortage!$A:$M,AE$2,FALSE)="Shortage",1,IFERROR(ROUND(S54/G54,4),0)),IFERROR(ROUND(S54/G54,4),0))</f>
        <v>0</v>
      </c>
      <c r="AF54" s="123">
        <f>IFERROR(IF(VLOOKUP($B54,Shortage!$A:$M,AF$2,FALSE)="Shortage",1,IFERROR(ROUND(T54/H54,4),0)),IFERROR(ROUND(T54/H54,4),0))</f>
        <v>0</v>
      </c>
      <c r="AG54" s="123">
        <f>IFERROR(IF(VLOOKUP($B54,Shortage!$A:$M,AG$2,FALSE)="Shortage",1,IFERROR(ROUND(U54/I54,4),0)),IFERROR(ROUND(U54/I54,4),0))</f>
        <v>0</v>
      </c>
      <c r="AH54" s="123">
        <f>IFERROR(IF(VLOOKUP($B54,Shortage!$A:$M,AH$2,FALSE)="Shortage",1,IFERROR(ROUND(V54/J54,4),0)),IFERROR(ROUND(V54/J54,4),0))</f>
        <v>0</v>
      </c>
      <c r="AI54" s="123">
        <f>IFERROR(IF(VLOOKUP($B54,Shortage!$A:$M,AI$2,FALSE)="Shortage",1,IFERROR(ROUND(W54/K54,4),0)),IFERROR(ROUND(W54/K54,4),0))</f>
        <v>0</v>
      </c>
      <c r="AJ54" s="123">
        <f>IFERROR(IF(VLOOKUP($B54,Shortage!$A:$M,AP$2,FALSE)="Shortage",1,IFERROR(ROUND(X54/L54,4),0)),IFERROR(ROUND(X54/L54,4),0))</f>
        <v>0</v>
      </c>
      <c r="AK54" s="123">
        <f>IFERROR(IF(VLOOKUP($B54,Shortage!$A:$M,AK$2,FALSE)="Shortage",1,IFERROR(ROUND(Y54/M54,4),0)),IFERROR(ROUND(Y54/M54,4),0))</f>
        <v>0</v>
      </c>
      <c r="AL54" s="123">
        <f>IFERROR(IF(VLOOKUP($B54,Shortage!$A:$M,AL$2,FALSE)="Shortage",1,IFERROR(ROUND(Z54/N54,4),0)),IFERROR(ROUND(Z54/N54,4),0))</f>
        <v>0</v>
      </c>
      <c r="AM54" s="123">
        <f>IFERROR(IF(VLOOKUP($B54,Shortage!$A:$M,AM$2,FALSE)="Shortage",1,IFERROR(ROUND(AA54/O54,4),0)),IFERROR(ROUND(AA54/O54,4),0))</f>
        <v>0</v>
      </c>
      <c r="AN54" s="232">
        <f>IFERROR(IF($C54="Top WS",VLOOKUP("GOAL",'2) หลักการคำนวน Table'!$D$4:$M$4,HLOOKUP(AB54,'2) หลักการคำนวน Table'!$D$1:$M$5,5,TRUE),0),
IF($C54="WS SF",VLOOKUP("GOAL",'2) หลักการคำนวน Table'!$D$32:$M$32,HLOOKUP(AB54,'2) หลักการคำนวน Table'!$D$1:$M$5,5,TRUE),0),
IF($C54="WS WH",VLOOKUP("GOAL",'2) หลักการคำนวน Table'!$D$62:$M$62,HLOOKUP(AB54,'2) หลักการคำนวน Table'!$D$1:$M$5,5,TRUE),0),
IF($C54="SF WH",VLOOKUP("GOAL",'2) หลักการคำนวน Table'!$D$92:$M$92,HLOOKUP(AB54,'2) หลักการคำนวน Table'!$D$1:$M$5,5,TRUE),0))))),0)</f>
        <v>1.3</v>
      </c>
      <c r="AO54" s="232">
        <f>IFERROR(IF($C54="Top WS",VLOOKUP("GOAL",'2) หลักการคำนวน Table'!$D$4:$M$4,HLOOKUP(AC54,'2) หลักการคำนวน Table'!$D$1:$M$5,5,TRUE),0),
IF($C54="WS SF",VLOOKUP("GOAL",'2) หลักการคำนวน Table'!$D$32:$M$32,HLOOKUP(AC54,'2) หลักการคำนวน Table'!$D$1:$M$5,5,TRUE),0),
IF($C54="WS WH",VLOOKUP("GOAL",'2) หลักการคำนวน Table'!$D$62:$M$62,HLOOKUP(AC54,'2) หลักการคำนวน Table'!$D$1:$M$5,5,TRUE),0),
IF($C54="SF WH",VLOOKUP("GOAL",'2) หลักการคำนวน Table'!$D$92:$M$92,HLOOKUP(AC54,'2) หลักการคำนวน Table'!$D$1:$M$5,5,TRUE),0))))),0)</f>
        <v>0.9</v>
      </c>
      <c r="AP54" s="232">
        <f>IFERROR(IF($C54="Top WS",VLOOKUP("GOAL",'2) หลักการคำนวน Table'!$D$4:$M$4,HLOOKUP(AD54,'2) หลักการคำนวน Table'!$D$1:$M$5,5,TRUE),0),
IF($C54="WS SF",VLOOKUP("GOAL",'2) หลักการคำนวน Table'!$D$32:$M$32,HLOOKUP(AD54,'2) หลักการคำนวน Table'!$D$1:$M$5,5,TRUE),0),
IF($C54="WS WH",VLOOKUP("GOAL",'2) หลักการคำนวน Table'!$D$62:$M$62,HLOOKUP(AD54,'2) หลักการคำนวน Table'!$D$1:$M$5,5,TRUE),0),
IF($C54="SF WH",VLOOKUP("GOAL",'2) หลักการคำนวน Table'!$D$92:$M$92,HLOOKUP(AD54,'2) หลักการคำนวน Table'!$D$1:$M$5,5,TRUE),0))))),0)</f>
        <v>0.9</v>
      </c>
      <c r="AQ54" s="232">
        <f>IFERROR(IF($C54="Top WS",VLOOKUP("GOAL",'2) หลักการคำนวน Table'!$D$4:$M$4,HLOOKUP(AE54,'2) หลักการคำนวน Table'!$D$1:$M$5,5,TRUE),0),
IF($C54="WS SF",VLOOKUP("GOAL",'2) หลักการคำนวน Table'!$D$32:$M$32,HLOOKUP(AE54,'2) หลักการคำนวน Table'!$D$1:$M$5,5,TRUE),0),
IF($C54="WS WH",VLOOKUP("GOAL",'2) หลักการคำนวน Table'!$D$62:$M$62,HLOOKUP(AE54,'2) หลักการคำนวน Table'!$D$1:$M$5,5,TRUE),0),
IF($C54="SF WH",VLOOKUP("GOAL",'2) หลักการคำนวน Table'!$D$92:$M$92,HLOOKUP(AE54,'2) หลักการคำนวน Table'!$D$1:$M$5,5,TRUE),0))))),0)</f>
        <v>0.9</v>
      </c>
      <c r="AR54" s="232">
        <f>IFERROR(IF($C54="Top WS",VLOOKUP("GOAL",'2) หลักการคำนวน Table'!$D$4:$M$4,HLOOKUP(AF54,'2) หลักการคำนวน Table'!$D$1:$M$5,5,TRUE),0),
IF($C54="WS SF",VLOOKUP("GOAL",'2) หลักการคำนวน Table'!$D$32:$M$32,HLOOKUP(AF54,'2) หลักการคำนวน Table'!$D$1:$M$5,5,TRUE),0),
IF($C54="WS WH",VLOOKUP("GOAL",'2) หลักการคำนวน Table'!$D$62:$M$62,HLOOKUP(AF54,'2) หลักการคำนวน Table'!$D$1:$M$5,5,TRUE),0),
IF($C54="SF WH",VLOOKUP("GOAL",'2) หลักการคำนวน Table'!$D$92:$M$92,HLOOKUP(AF54,'2) หลักการคำนวน Table'!$D$1:$M$5,5,TRUE),0))))),0)</f>
        <v>0.9</v>
      </c>
      <c r="AS54" s="232">
        <f>IFERROR(IF($C54="Top WS",VLOOKUP("GOAL",'2) หลักการคำนวน Table'!$D$4:$M$4,HLOOKUP(AG54,'2) หลักการคำนวน Table'!$D$1:$M$5,5,TRUE),0),
IF($C54="WS SF",VLOOKUP("GOAL",'2) หลักการคำนวน Table'!$D$32:$M$32,HLOOKUP(AG54,'2) หลักการคำนวน Table'!$D$1:$M$5,5,TRUE),0),
IF($C54="WS WH",VLOOKUP("GOAL",'2) หลักการคำนวน Table'!$D$62:$M$62,HLOOKUP(AG54,'2) หลักการคำนวน Table'!$D$1:$M$5,5,TRUE),0),
IF($C54="SF WH",VLOOKUP("GOAL",'2) หลักการคำนวน Table'!$D$92:$M$92,HLOOKUP(AG54,'2) หลักการคำนวน Table'!$D$1:$M$5,5,TRUE),0))))),0)</f>
        <v>0.9</v>
      </c>
      <c r="AT54" s="232">
        <f>IFERROR(IF($C54="Top WS",VLOOKUP("GOAL",'2) หลักการคำนวน Table'!$D$4:$M$4,HLOOKUP(AH54,'2) หลักการคำนวน Table'!$D$1:$M$5,5,TRUE),0),
IF($C54="WS SF",VLOOKUP("GOAL",'2) หลักการคำนวน Table'!$D$32:$M$32,HLOOKUP(AH54,'2) หลักการคำนวน Table'!$D$1:$M$5,5,TRUE),0),
IF($C54="WS WH",VLOOKUP("GOAL",'2) หลักการคำนวน Table'!$D$62:$M$62,HLOOKUP(AH54,'2) หลักการคำนวน Table'!$D$1:$M$5,5,TRUE),0),
IF($C54="SF WH",VLOOKUP("GOAL",'2) หลักการคำนวน Table'!$D$92:$M$92,HLOOKUP(AH54,'2) หลักการคำนวน Table'!$D$1:$M$5,5,TRUE),0))))),0)</f>
        <v>0.9</v>
      </c>
      <c r="AU54" s="232">
        <f>IFERROR(IF($C54="Top WS",VLOOKUP("GOAL",'2) หลักการคำนวน Table'!$D$4:$M$4,HLOOKUP(AI54,'2) หลักการคำนวน Table'!$D$1:$M$5,5,TRUE),0),
IF($C54="WS SF",VLOOKUP("GOAL",'2) หลักการคำนวน Table'!$D$32:$M$32,HLOOKUP(AI54,'2) หลักการคำนวน Table'!$D$1:$M$5,5,TRUE),0),
IF($C54="WS WH",VLOOKUP("GOAL",'2) หลักการคำนวน Table'!$D$62:$M$62,HLOOKUP(AI54,'2) หลักการคำนวน Table'!$D$1:$M$5,5,TRUE),0),
IF($C54="SF WH",VLOOKUP("GOAL",'2) หลักการคำนวน Table'!$D$92:$M$92,HLOOKUP(AI54,'2) หลักการคำนวน Table'!$D$1:$M$5,5,TRUE),0))))),0)</f>
        <v>0.9</v>
      </c>
      <c r="AV54" s="232">
        <f>IFERROR(IF($C54="Top WS",VLOOKUP("GOAL",'2) หลักการคำนวน Table'!$D$4:$M$4,HLOOKUP(AP54,'2) หลักการคำนวน Table'!$D$1:$M$5,5,TRUE),0),
IF($C54="WS SF",VLOOKUP("GOAL",'2) หลักการคำนวน Table'!$D$32:$M$32,HLOOKUP(AP54,'2) หลักการคำนวน Table'!$D$1:$M$5,5,TRUE),0),
IF($C54="WS WH",VLOOKUP("GOAL",'2) หลักการคำนวน Table'!$D$62:$M$62,HLOOKUP(AP54,'2) หลักการคำนวน Table'!$D$1:$M$5,5,TRUE),0),
IF($C54="SF WH",VLOOKUP("GOAL",'2) หลักการคำนวน Table'!$D$92:$M$92,HLOOKUP(AP54,'2) หลักการคำนวน Table'!$D$1:$M$5,5,TRUE),0))))),0)</f>
        <v>0.9</v>
      </c>
      <c r="AW54" s="232">
        <f>IFERROR(IF($C54="Top WS",VLOOKUP("GOAL",'2) หลักการคำนวน Table'!$D$4:$M$4,HLOOKUP(AK54,'2) หลักการคำนวน Table'!$D$1:$M$5,5,TRUE),0),
IF($C54="WS SF",VLOOKUP("GOAL",'2) หลักการคำนวน Table'!$D$32:$M$32,HLOOKUP(AK54,'2) หลักการคำนวน Table'!$D$1:$M$5,5,TRUE),0),
IF($C54="WS WH",VLOOKUP("GOAL",'2) หลักการคำนวน Table'!$D$62:$M$62,HLOOKUP(AK54,'2) หลักการคำนวน Table'!$D$1:$M$5,5,TRUE),0),
IF($C54="SF WH",VLOOKUP("GOAL",'2) หลักการคำนวน Table'!$D$92:$M$92,HLOOKUP(AK54,'2) หลักการคำนวน Table'!$D$1:$M$5,5,TRUE),0))))),0)</f>
        <v>0.9</v>
      </c>
      <c r="AX54" s="232">
        <f>IFERROR(IF($C54="Top WS",VLOOKUP("GOAL",'2) หลักการคำนวน Table'!$D$4:$M$4,HLOOKUP(AL54,'2) หลักการคำนวน Table'!$D$1:$M$5,5,TRUE),0),
IF($C54="WS SF",VLOOKUP("GOAL",'2) หลักการคำนวน Table'!$D$32:$M$32,HLOOKUP(AL54,'2) หลักการคำนวน Table'!$D$1:$M$5,5,TRUE),0),
IF($C54="WS WH",VLOOKUP("GOAL",'2) หลักการคำนวน Table'!$D$62:$M$62,HLOOKUP(AL54,'2) หลักการคำนวน Table'!$D$1:$M$5,5,TRUE),0),
IF($C54="SF WH",VLOOKUP("GOAL",'2) หลักการคำนวน Table'!$D$92:$M$92,HLOOKUP(AL54,'2) หลักการคำนวน Table'!$D$1:$M$5,5,TRUE),0))))),0)</f>
        <v>0.9</v>
      </c>
      <c r="AY54" s="232">
        <f>IFERROR(IF($C54="Top WS",VLOOKUP("GOAL",'2) หลักการคำนวน Table'!$D$4:$M$4,HLOOKUP(AM54,'2) หลักการคำนวน Table'!$D$1:$M$5,5,TRUE),0),
IF($C54="WS SF",VLOOKUP("GOAL",'2) หลักการคำนวน Table'!$D$32:$M$32,HLOOKUP(AM54,'2) หลักการคำนวน Table'!$D$1:$M$5,5,TRUE),0),
IF($C54="WS WH",VLOOKUP("GOAL",'2) หลักการคำนวน Table'!$D$62:$M$62,HLOOKUP(AM54,'2) หลักการคำนวน Table'!$D$1:$M$5,5,TRUE),0),
IF($C54="SF WH",VLOOKUP("GOAL",'2) หลักการคำนวน Table'!$D$92:$M$92,HLOOKUP(AM54,'2) หลักการคำนวน Table'!$D$1:$M$5,5,TRUE),0))))),0)</f>
        <v>0.9</v>
      </c>
      <c r="AZ54" s="167">
        <f>IFERROR(IF($C54="Top WS",VLOOKUP($B54,'2) หลักการคำนวน Table'!$D$5:$M$20,HLOOKUP(AB54,'2) หลักการคำนวน Table'!$D$1:$M$5,5,TRUE),0),
IF($C54="WS SF",VLOOKUP($B54,'2) หลักการคำนวน Table'!$D$33:$M$48,HLOOKUP(AB54,'2) หลักการคำนวน Table'!$D$1:$M$5,5,TRUE),0),
IF($C54="WS WH",VLOOKUP($B54,'2) หลักการคำนวน Table'!$D$63:$M$78,HLOOKUP(AB54,'2) หลักการคำนวน Table'!$D$1:$M$5,5,TRUE),0),
IF($C54="SF WH",VLOOKUP($B54,'2) หลักการคำนวน Table'!$D$93:$M$108,HLOOKUP(AB54,'2) หลักการคำนวน Table'!$D$1:$M$5,5,TRUE),0))))),0)</f>
        <v>260</v>
      </c>
      <c r="BA54" s="167">
        <f>IFERROR(IF($C54="Top WS",VLOOKUP($B54,'2) หลักการคำนวน Table'!$D$5:$M$20,HLOOKUP(AC54,'2) หลักการคำนวน Table'!$D$1:$M$5,5,TRUE),0),
IF($C54="WS SF",VLOOKUP($B54,'2) หลักการคำนวน Table'!$D$33:$M$48,HLOOKUP(AC54,'2) หลักการคำนวน Table'!$D$1:$M$5,5,TRUE),0),
IF($C54="WS WH",VLOOKUP($B54,'2) หลักการคำนวน Table'!$D$63:$M$78,HLOOKUP(AC54,'2) หลักการคำนวน Table'!$D$1:$M$5,5,TRUE),0),
IF($C54="SF WH",VLOOKUP($B54,'2) หลักการคำนวน Table'!$D$93:$M$108,HLOOKUP(AC54,'2) หลักการคำนวน Table'!$D$1:$M$5,5,TRUE),0))))),0)</f>
        <v>180</v>
      </c>
      <c r="BB54" s="167">
        <f>IFERROR(IF($C54="Top WS",VLOOKUP($B54,'2) หลักการคำนวน Table'!$D$5:$M$20,HLOOKUP(AD54,'2) หลักการคำนวน Table'!$D$1:$M$5,5,TRUE),0),
IF($C54="WS SF",VLOOKUP($B54,'2) หลักการคำนวน Table'!$D$33:$M$48,HLOOKUP(AD54,'2) หลักการคำนวน Table'!$D$1:$M$5,5,TRUE),0),
IF($C54="WS WH",VLOOKUP($B54,'2) หลักการคำนวน Table'!$D$63:$M$78,HLOOKUP(AD54,'2) หลักการคำนวน Table'!$D$1:$M$5,5,TRUE),0),
IF($C54="SF WH",VLOOKUP($B54,'2) หลักการคำนวน Table'!$D$93:$M$108,HLOOKUP(AD54,'2) หลักการคำนวน Table'!$D$1:$M$5,5,TRUE),0))))),0)</f>
        <v>180</v>
      </c>
      <c r="BC54" s="167">
        <f>IFERROR(IF($C54="Top WS",VLOOKUP($B54,'2) หลักการคำนวน Table'!$D$5:$M$20,HLOOKUP(AE54,'2) หลักการคำนวน Table'!$D$1:$M$5,5,TRUE),0),
IF($C54="WS SF",VLOOKUP($B54,'2) หลักการคำนวน Table'!$D$33:$M$48,HLOOKUP(AE54,'2) หลักการคำนวน Table'!$D$1:$M$5,5,TRUE),0),
IF($C54="WS WH",VLOOKUP($B54,'2) หลักการคำนวน Table'!$D$63:$M$78,HLOOKUP(AE54,'2) หลักการคำนวน Table'!$D$1:$M$5,5,TRUE),0),
IF($C54="SF WH",VLOOKUP($B54,'2) หลักการคำนวน Table'!$D$93:$M$108,HLOOKUP(AE54,'2) หลักการคำนวน Table'!$D$1:$M$5,5,TRUE),0))))),0)</f>
        <v>180</v>
      </c>
      <c r="BD54" s="167">
        <f>IFERROR(IF($C54="Top WS",VLOOKUP($B54,'2) หลักการคำนวน Table'!$D$5:$M$20,HLOOKUP(AF54,'2) หลักการคำนวน Table'!$D$1:$M$5,5,TRUE),0),
IF($C54="WS SF",VLOOKUP($B54,'2) หลักการคำนวน Table'!$D$33:$M$48,HLOOKUP(AF54,'2) หลักการคำนวน Table'!$D$1:$M$5,5,TRUE),0),
IF($C54="WS WH",VLOOKUP($B54,'2) หลักการคำนวน Table'!$D$63:$M$78,HLOOKUP(AF54,'2) หลักการคำนวน Table'!$D$1:$M$5,5,TRUE),0),
IF($C54="SF WH",VLOOKUP($B54,'2) หลักการคำนวน Table'!$D$93:$M$108,HLOOKUP(AF54,'2) หลักการคำนวน Table'!$D$1:$M$5,5,TRUE),0))))),0)</f>
        <v>180</v>
      </c>
      <c r="BE54" s="167">
        <f>IFERROR(IF($C54="Top WS",VLOOKUP($B54,'2) หลักการคำนวน Table'!$D$5:$M$20,HLOOKUP(AG54,'2) หลักการคำนวน Table'!$D$1:$M$5,5,TRUE),0),
IF($C54="WS SF",VLOOKUP($B54,'2) หลักการคำนวน Table'!$D$33:$M$48,HLOOKUP(AG54,'2) หลักการคำนวน Table'!$D$1:$M$5,5,TRUE),0),
IF($C54="WS WH",VLOOKUP($B54,'2) หลักการคำนวน Table'!$D$63:$M$78,HLOOKUP(AG54,'2) หลักการคำนวน Table'!$D$1:$M$5,5,TRUE),0),
IF($C54="SF WH",VLOOKUP($B54,'2) หลักการคำนวน Table'!$D$93:$M$108,HLOOKUP(AG54,'2) หลักการคำนวน Table'!$D$1:$M$5,5,TRUE),0))))),0)</f>
        <v>180</v>
      </c>
      <c r="BF54" s="167">
        <f>IFERROR(IF($C54="Top WS",VLOOKUP($B54,'2) หลักการคำนวน Table'!$D$5:$M$20,HLOOKUP(AH54,'2) หลักการคำนวน Table'!$D$1:$M$5,5,TRUE),0),
IF($C54="WS SF",VLOOKUP($B54,'2) หลักการคำนวน Table'!$D$33:$M$48,HLOOKUP(AH54,'2) หลักการคำนวน Table'!$D$1:$M$5,5,TRUE),0),
IF($C54="WS WH",VLOOKUP($B54,'2) หลักการคำนวน Table'!$D$63:$M$78,HLOOKUP(AH54,'2) หลักการคำนวน Table'!$D$1:$M$5,5,TRUE),0),
IF($C54="SF WH",VLOOKUP($B54,'2) หลักการคำนวน Table'!$D$93:$M$108,HLOOKUP(AH54,'2) หลักการคำนวน Table'!$D$1:$M$5,5,TRUE),0))))),0)</f>
        <v>180</v>
      </c>
      <c r="BG54" s="167">
        <f>IFERROR(IF($C54="Top WS",VLOOKUP($B54,'2) หลักการคำนวน Table'!$D$5:$M$20,HLOOKUP(AI54,'2) หลักการคำนวน Table'!$D$1:$M$5,5,TRUE),0),
IF($C54="WS SF",VLOOKUP($B54,'2) หลักการคำนวน Table'!$D$33:$M$48,HLOOKUP(AI54,'2) หลักการคำนวน Table'!$D$1:$M$5,5,TRUE),0),
IF($C54="WS WH",VLOOKUP($B54,'2) หลักการคำนวน Table'!$D$63:$M$78,HLOOKUP(AI54,'2) หลักการคำนวน Table'!$D$1:$M$5,5,TRUE),0),
IF($C54="SF WH",VLOOKUP($B54,'2) หลักการคำนวน Table'!$D$93:$M$108,HLOOKUP(AI54,'2) หลักการคำนวน Table'!$D$1:$M$5,5,TRUE),0))))),0)</f>
        <v>180</v>
      </c>
      <c r="BH54" s="167">
        <f>IFERROR(IF($C54="Top WS",VLOOKUP($B54,'2) หลักการคำนวน Table'!$D$5:$M$20,HLOOKUP(AP54,'2) หลักการคำนวน Table'!$D$1:$M$5,5,TRUE),0),
IF($C54="WS SF",VLOOKUP($B54,'2) หลักการคำนวน Table'!$D$33:$M$48,HLOOKUP(AP54,'2) หลักการคำนวน Table'!$D$1:$M$5,5,TRUE),0),
IF($C54="WS WH",VLOOKUP($B54,'2) หลักการคำนวน Table'!$D$63:$M$78,HLOOKUP(AP54,'2) หลักการคำนวน Table'!$D$1:$M$5,5,TRUE),0),
IF($C54="SF WH",VLOOKUP($B54,'2) หลักการคำนวน Table'!$D$93:$M$108,HLOOKUP(AP54,'2) หลักการคำนวน Table'!$D$1:$M$5,5,TRUE),0))))),0)</f>
        <v>180</v>
      </c>
      <c r="BI54" s="167">
        <f>IFERROR(IF($C54="Top WS",VLOOKUP($B54,'2) หลักการคำนวน Table'!$D$5:$M$20,HLOOKUP(AK54,'2) หลักการคำนวน Table'!$D$1:$M$5,5,TRUE),0),
IF($C54="WS SF",VLOOKUP($B54,'2) หลักการคำนวน Table'!$D$33:$M$48,HLOOKUP(AK54,'2) หลักการคำนวน Table'!$D$1:$M$5,5,TRUE),0),
IF($C54="WS WH",VLOOKUP($B54,'2) หลักการคำนวน Table'!$D$63:$M$78,HLOOKUP(AK54,'2) หลักการคำนวน Table'!$D$1:$M$5,5,TRUE),0),
IF($C54="SF WH",VLOOKUP($B54,'2) หลักการคำนวน Table'!$D$93:$M$108,HLOOKUP(AK54,'2) หลักการคำนวน Table'!$D$1:$M$5,5,TRUE),0))))),0)</f>
        <v>180</v>
      </c>
      <c r="BJ54" s="167">
        <f>IFERROR(IF($C54="Top WS",VLOOKUP($B54,'2) หลักการคำนวน Table'!$D$5:$M$20,HLOOKUP(AL54,'2) หลักการคำนวน Table'!$D$1:$M$5,5,TRUE),0),
IF($C54="WS SF",VLOOKUP($B54,'2) หลักการคำนวน Table'!$D$33:$M$48,HLOOKUP(AL54,'2) หลักการคำนวน Table'!$D$1:$M$5,5,TRUE),0),
IF($C54="WS WH",VLOOKUP($B54,'2) หลักการคำนวน Table'!$D$63:$M$78,HLOOKUP(AL54,'2) หลักการคำนวน Table'!$D$1:$M$5,5,TRUE),0),
IF($C54="SF WH",VLOOKUP($B54,'2) หลักการคำนวน Table'!$D$93:$M$108,HLOOKUP(AL54,'2) หลักการคำนวน Table'!$D$1:$M$5,5,TRUE),0))))),0)</f>
        <v>180</v>
      </c>
      <c r="BK54" s="167">
        <f>IFERROR(IF($C54="Top WS",VLOOKUP($B54,'2) หลักการคำนวน Table'!$D$5:$M$20,HLOOKUP(AM54,'2) หลักการคำนวน Table'!$D$1:$M$5,5,TRUE),0),
IF($C54="WS SF",VLOOKUP($B54,'2) หลักการคำนวน Table'!$D$33:$M$48,HLOOKUP(AM54,'2) หลักการคำนวน Table'!$D$1:$M$5,5,TRUE),0),
IF($C54="WS WH",VLOOKUP($B54,'2) หลักการคำนวน Table'!$D$63:$M$78,HLOOKUP(AM54,'2) หลักการคำนวน Table'!$D$1:$M$5,5,TRUE),0),
IF($C54="SF WH",VLOOKUP($B54,'2) หลักการคำนวน Table'!$D$93:$M$108,HLOOKUP(AM54,'2) หลักการคำนวน Table'!$D$1:$M$5,5,TRUE),0))))),0)</f>
        <v>180</v>
      </c>
      <c r="BM54" s="119">
        <f>VLOOKUP(VLOOKUP(A54,ASTBase!E:S,13,FALSE),ASTBase!F:P,11,FALSE)</f>
        <v>140000</v>
      </c>
      <c r="BN54" s="196" cm="1">
        <f t="array" ref="BN54">INDEX(AN54:AY54,,Period!$D$2)</f>
        <v>0.9</v>
      </c>
    </row>
    <row r="55" spans="1:66" x14ac:dyDescent="0.25">
      <c r="A55" s="117">
        <v>140001</v>
      </c>
      <c r="B55" s="117" t="s">
        <v>396</v>
      </c>
      <c r="C55" s="117" t="s">
        <v>178</v>
      </c>
      <c r="D55" s="118">
        <v>8</v>
      </c>
      <c r="E55" s="118">
        <v>12</v>
      </c>
      <c r="F55" s="118">
        <v>12</v>
      </c>
      <c r="G55" s="118">
        <v>8</v>
      </c>
      <c r="H55" s="118">
        <v>11</v>
      </c>
      <c r="I55" s="118">
        <v>15</v>
      </c>
      <c r="J55" s="118">
        <v>10</v>
      </c>
      <c r="K55" s="118">
        <v>20</v>
      </c>
      <c r="L55" s="118">
        <v>18</v>
      </c>
      <c r="M55" s="118">
        <v>14</v>
      </c>
      <c r="N55" s="118">
        <v>24</v>
      </c>
      <c r="O55" s="118">
        <v>25</v>
      </c>
      <c r="P55" s="117">
        <f>SUMIFS(Actual!C:C,Actual!$A:$A,'3)Target &amp; Cal'!$A55,Actual!$B:$B,'3)Target &amp; Cal'!$B55)</f>
        <v>0</v>
      </c>
      <c r="Q55" s="117">
        <f>SUMIFS(Actual!D:D,Actual!$A:$A,'3)Target &amp; Cal'!$A55,Actual!$B:$B,'3)Target &amp; Cal'!$B55)</f>
        <v>0</v>
      </c>
      <c r="R55" s="117">
        <f>SUMIFS(Actual!E:E,Actual!$A:$A,'3)Target &amp; Cal'!$A55,Actual!$B:$B,'3)Target &amp; Cal'!$B55)</f>
        <v>0</v>
      </c>
      <c r="S55" s="117">
        <f>SUMIFS(Actual!F:F,Actual!$A:$A,'3)Target &amp; Cal'!$A55,Actual!$B:$B,'3)Target &amp; Cal'!$B55)</f>
        <v>0</v>
      </c>
      <c r="T55" s="117">
        <f>SUMIFS(Actual!G:G,Actual!$A:$A,'3)Target &amp; Cal'!$A55,Actual!$B:$B,'3)Target &amp; Cal'!$B55)</f>
        <v>0</v>
      </c>
      <c r="U55" s="117">
        <f>SUMIFS(Actual!H:H,Actual!$A:$A,'3)Target &amp; Cal'!$A55,Actual!$B:$B,'3)Target &amp; Cal'!$B55)</f>
        <v>0</v>
      </c>
      <c r="V55" s="117">
        <f>SUMIFS(Actual!I:I,Actual!$A:$A,'3)Target &amp; Cal'!$A55,Actual!$B:$B,'3)Target &amp; Cal'!$B55)</f>
        <v>0</v>
      </c>
      <c r="W55" s="117">
        <f>SUMIFS(Actual!J:J,Actual!$A:$A,'3)Target &amp; Cal'!$A55,Actual!$B:$B,'3)Target &amp; Cal'!$B55)</f>
        <v>0</v>
      </c>
      <c r="X55" s="117">
        <f>SUMIFS(Actual!K:K,Actual!$A:$A,'3)Target &amp; Cal'!$A55,Actual!$B:$B,'3)Target &amp; Cal'!$B55)</f>
        <v>0</v>
      </c>
      <c r="Y55" s="117">
        <f>SUMIFS(Actual!L:L,Actual!$A:$A,'3)Target &amp; Cal'!$A55,Actual!$B:$B,'3)Target &amp; Cal'!$B55)</f>
        <v>0</v>
      </c>
      <c r="Z55" s="117">
        <f>SUMIFS(Actual!M:M,Actual!$A:$A,'3)Target &amp; Cal'!$A55,Actual!$B:$B,'3)Target &amp; Cal'!$B55)</f>
        <v>0</v>
      </c>
      <c r="AA55" s="117">
        <f>SUMIFS(Actual!N:N,Actual!$A:$A,'3)Target &amp; Cal'!$A55,Actual!$B:$B,'3)Target &amp; Cal'!$B55)</f>
        <v>0</v>
      </c>
      <c r="AB55" s="123">
        <f>IFERROR(IF(VLOOKUP($B55,Shortage!$A:$M,AB$2,FALSE)="Shortage",1,IFERROR(ROUND(P55/D55,4),0)),IFERROR(ROUND(P55/D55,4),0))</f>
        <v>0</v>
      </c>
      <c r="AC55" s="123">
        <f>IFERROR(IF(VLOOKUP($B55,Shortage!$A:$M,AC$2,FALSE)="Shortage",1,IFERROR(ROUND(Q55/E55,4),0)),IFERROR(ROUND(Q55/E55,4),0))</f>
        <v>0</v>
      </c>
      <c r="AD55" s="123">
        <f>IFERROR(IF(VLOOKUP($B55,Shortage!$A:$M,AD$2,FALSE)="Shortage",1,IFERROR(ROUND(R55/F55,4),0)),IFERROR(ROUND(R55/F55,4),0))</f>
        <v>0</v>
      </c>
      <c r="AE55" s="123">
        <f>IFERROR(IF(VLOOKUP($B55,Shortage!$A:$M,AE$2,FALSE)="Shortage",1,IFERROR(ROUND(S55/G55,4),0)),IFERROR(ROUND(S55/G55,4),0))</f>
        <v>0</v>
      </c>
      <c r="AF55" s="123">
        <f>IFERROR(IF(VLOOKUP($B55,Shortage!$A:$M,AF$2,FALSE)="Shortage",1,IFERROR(ROUND(T55/H55,4),0)),IFERROR(ROUND(T55/H55,4),0))</f>
        <v>0</v>
      </c>
      <c r="AG55" s="123">
        <f>IFERROR(IF(VLOOKUP($B55,Shortage!$A:$M,AG$2,FALSE)="Shortage",1,IFERROR(ROUND(U55/I55,4),0)),IFERROR(ROUND(U55/I55,4),0))</f>
        <v>0</v>
      </c>
      <c r="AH55" s="123">
        <f>IFERROR(IF(VLOOKUP($B55,Shortage!$A:$M,AH$2,FALSE)="Shortage",1,IFERROR(ROUND(V55/J55,4),0)),IFERROR(ROUND(V55/J55,4),0))</f>
        <v>0</v>
      </c>
      <c r="AI55" s="123">
        <f>IFERROR(IF(VLOOKUP($B55,Shortage!$A:$M,AI$2,FALSE)="Shortage",1,IFERROR(ROUND(W55/K55,4),0)),IFERROR(ROUND(W55/K55,4),0))</f>
        <v>0</v>
      </c>
      <c r="AJ55" s="123">
        <f>IFERROR(IF(VLOOKUP($B55,Shortage!$A:$M,AP$2,FALSE)="Shortage",1,IFERROR(ROUND(X55/L55,4),0)),IFERROR(ROUND(X55/L55,4),0))</f>
        <v>0</v>
      </c>
      <c r="AK55" s="123">
        <f>IFERROR(IF(VLOOKUP($B55,Shortage!$A:$M,AK$2,FALSE)="Shortage",1,IFERROR(ROUND(Y55/M55,4),0)),IFERROR(ROUND(Y55/M55,4),0))</f>
        <v>0</v>
      </c>
      <c r="AL55" s="123">
        <f>IFERROR(IF(VLOOKUP($B55,Shortage!$A:$M,AL$2,FALSE)="Shortage",1,IFERROR(ROUND(Z55/N55,4),0)),IFERROR(ROUND(Z55/N55,4),0))</f>
        <v>0</v>
      </c>
      <c r="AM55" s="123">
        <f>IFERROR(IF(VLOOKUP($B55,Shortage!$A:$M,AM$2,FALSE)="Shortage",1,IFERROR(ROUND(AA55/O55,4),0)),IFERROR(ROUND(AA55/O55,4),0))</f>
        <v>0</v>
      </c>
      <c r="AN55" s="232">
        <f>IFERROR(IF($C55="Top WS",VLOOKUP("GOAL",'2) หลักการคำนวน Table'!$D$4:$M$4,HLOOKUP(AB55,'2) หลักการคำนวน Table'!$D$1:$M$5,5,TRUE),0),
IF($C55="WS SF",VLOOKUP("GOAL",'2) หลักการคำนวน Table'!$D$32:$M$32,HLOOKUP(AB55,'2) หลักการคำนวน Table'!$D$1:$M$5,5,TRUE),0),
IF($C55="WS WH",VLOOKUP("GOAL",'2) หลักการคำนวน Table'!$D$62:$M$62,HLOOKUP(AB55,'2) หลักการคำนวน Table'!$D$1:$M$5,5,TRUE),0),
IF($C55="SF WH",VLOOKUP("GOAL",'2) หลักการคำนวน Table'!$D$92:$M$92,HLOOKUP(AB55,'2) หลักการคำนวน Table'!$D$1:$M$5,5,TRUE),0))))),0)</f>
        <v>0.9</v>
      </c>
      <c r="AO55" s="232">
        <f>IFERROR(IF($C55="Top WS",VLOOKUP("GOAL",'2) หลักการคำนวน Table'!$D$4:$M$4,HLOOKUP(AC55,'2) หลักการคำนวน Table'!$D$1:$M$5,5,TRUE),0),
IF($C55="WS SF",VLOOKUP("GOAL",'2) หลักการคำนวน Table'!$D$32:$M$32,HLOOKUP(AC55,'2) หลักการคำนวน Table'!$D$1:$M$5,5,TRUE),0),
IF($C55="WS WH",VLOOKUP("GOAL",'2) หลักการคำนวน Table'!$D$62:$M$62,HLOOKUP(AC55,'2) หลักการคำนวน Table'!$D$1:$M$5,5,TRUE),0),
IF($C55="SF WH",VLOOKUP("GOAL",'2) หลักการคำนวน Table'!$D$92:$M$92,HLOOKUP(AC55,'2) หลักการคำนวน Table'!$D$1:$M$5,5,TRUE),0))))),0)</f>
        <v>0.9</v>
      </c>
      <c r="AP55" s="232">
        <f>IFERROR(IF($C55="Top WS",VLOOKUP("GOAL",'2) หลักการคำนวน Table'!$D$4:$M$4,HLOOKUP(AD55,'2) หลักการคำนวน Table'!$D$1:$M$5,5,TRUE),0),
IF($C55="WS SF",VLOOKUP("GOAL",'2) หลักการคำนวน Table'!$D$32:$M$32,HLOOKUP(AD55,'2) หลักการคำนวน Table'!$D$1:$M$5,5,TRUE),0),
IF($C55="WS WH",VLOOKUP("GOAL",'2) หลักการคำนวน Table'!$D$62:$M$62,HLOOKUP(AD55,'2) หลักการคำนวน Table'!$D$1:$M$5,5,TRUE),0),
IF($C55="SF WH",VLOOKUP("GOAL",'2) หลักการคำนวน Table'!$D$92:$M$92,HLOOKUP(AD55,'2) หลักการคำนวน Table'!$D$1:$M$5,5,TRUE),0))))),0)</f>
        <v>0.9</v>
      </c>
      <c r="AQ55" s="232">
        <f>IFERROR(IF($C55="Top WS",VLOOKUP("GOAL",'2) หลักการคำนวน Table'!$D$4:$M$4,HLOOKUP(AE55,'2) หลักการคำนวน Table'!$D$1:$M$5,5,TRUE),0),
IF($C55="WS SF",VLOOKUP("GOAL",'2) หลักการคำนวน Table'!$D$32:$M$32,HLOOKUP(AE55,'2) หลักการคำนวน Table'!$D$1:$M$5,5,TRUE),0),
IF($C55="WS WH",VLOOKUP("GOAL",'2) หลักการคำนวน Table'!$D$62:$M$62,HLOOKUP(AE55,'2) หลักการคำนวน Table'!$D$1:$M$5,5,TRUE),0),
IF($C55="SF WH",VLOOKUP("GOAL",'2) หลักการคำนวน Table'!$D$92:$M$92,HLOOKUP(AE55,'2) หลักการคำนวน Table'!$D$1:$M$5,5,TRUE),0))))),0)</f>
        <v>0.9</v>
      </c>
      <c r="AR55" s="232">
        <f>IFERROR(IF($C55="Top WS",VLOOKUP("GOAL",'2) หลักการคำนวน Table'!$D$4:$M$4,HLOOKUP(AF55,'2) หลักการคำนวน Table'!$D$1:$M$5,5,TRUE),0),
IF($C55="WS SF",VLOOKUP("GOAL",'2) หลักการคำนวน Table'!$D$32:$M$32,HLOOKUP(AF55,'2) หลักการคำนวน Table'!$D$1:$M$5,5,TRUE),0),
IF($C55="WS WH",VLOOKUP("GOAL",'2) หลักการคำนวน Table'!$D$62:$M$62,HLOOKUP(AF55,'2) หลักการคำนวน Table'!$D$1:$M$5,5,TRUE),0),
IF($C55="SF WH",VLOOKUP("GOAL",'2) หลักการคำนวน Table'!$D$92:$M$92,HLOOKUP(AF55,'2) หลักการคำนวน Table'!$D$1:$M$5,5,TRUE),0))))),0)</f>
        <v>0.9</v>
      </c>
      <c r="AS55" s="232">
        <f>IFERROR(IF($C55="Top WS",VLOOKUP("GOAL",'2) หลักการคำนวน Table'!$D$4:$M$4,HLOOKUP(AG55,'2) หลักการคำนวน Table'!$D$1:$M$5,5,TRUE),0),
IF($C55="WS SF",VLOOKUP("GOAL",'2) หลักการคำนวน Table'!$D$32:$M$32,HLOOKUP(AG55,'2) หลักการคำนวน Table'!$D$1:$M$5,5,TRUE),0),
IF($C55="WS WH",VLOOKUP("GOAL",'2) หลักการคำนวน Table'!$D$62:$M$62,HLOOKUP(AG55,'2) หลักการคำนวน Table'!$D$1:$M$5,5,TRUE),0),
IF($C55="SF WH",VLOOKUP("GOAL",'2) หลักการคำนวน Table'!$D$92:$M$92,HLOOKUP(AG55,'2) หลักการคำนวน Table'!$D$1:$M$5,5,TRUE),0))))),0)</f>
        <v>0.9</v>
      </c>
      <c r="AT55" s="232">
        <f>IFERROR(IF($C55="Top WS",VLOOKUP("GOAL",'2) หลักการคำนวน Table'!$D$4:$M$4,HLOOKUP(AH55,'2) หลักการคำนวน Table'!$D$1:$M$5,5,TRUE),0),
IF($C55="WS SF",VLOOKUP("GOAL",'2) หลักการคำนวน Table'!$D$32:$M$32,HLOOKUP(AH55,'2) หลักการคำนวน Table'!$D$1:$M$5,5,TRUE),0),
IF($C55="WS WH",VLOOKUP("GOAL",'2) หลักการคำนวน Table'!$D$62:$M$62,HLOOKUP(AH55,'2) หลักการคำนวน Table'!$D$1:$M$5,5,TRUE),0),
IF($C55="SF WH",VLOOKUP("GOAL",'2) หลักการคำนวน Table'!$D$92:$M$92,HLOOKUP(AH55,'2) หลักการคำนวน Table'!$D$1:$M$5,5,TRUE),0))))),0)</f>
        <v>0.9</v>
      </c>
      <c r="AU55" s="232">
        <f>IFERROR(IF($C55="Top WS",VLOOKUP("GOAL",'2) หลักการคำนวน Table'!$D$4:$M$4,HLOOKUP(AI55,'2) หลักการคำนวน Table'!$D$1:$M$5,5,TRUE),0),
IF($C55="WS SF",VLOOKUP("GOAL",'2) หลักการคำนวน Table'!$D$32:$M$32,HLOOKUP(AI55,'2) หลักการคำนวน Table'!$D$1:$M$5,5,TRUE),0),
IF($C55="WS WH",VLOOKUP("GOAL",'2) หลักการคำนวน Table'!$D$62:$M$62,HLOOKUP(AI55,'2) หลักการคำนวน Table'!$D$1:$M$5,5,TRUE),0),
IF($C55="SF WH",VLOOKUP("GOAL",'2) หลักการคำนวน Table'!$D$92:$M$92,HLOOKUP(AI55,'2) หลักการคำนวน Table'!$D$1:$M$5,5,TRUE),0))))),0)</f>
        <v>0.9</v>
      </c>
      <c r="AV55" s="232">
        <f>IFERROR(IF($C55="Top WS",VLOOKUP("GOAL",'2) หลักการคำนวน Table'!$D$4:$M$4,HLOOKUP(AP55,'2) หลักการคำนวน Table'!$D$1:$M$5,5,TRUE),0),
IF($C55="WS SF",VLOOKUP("GOAL",'2) หลักการคำนวน Table'!$D$32:$M$32,HLOOKUP(AP55,'2) หลักการคำนวน Table'!$D$1:$M$5,5,TRUE),0),
IF($C55="WS WH",VLOOKUP("GOAL",'2) หลักการคำนวน Table'!$D$62:$M$62,HLOOKUP(AP55,'2) หลักการคำนวน Table'!$D$1:$M$5,5,TRUE),0),
IF($C55="SF WH",VLOOKUP("GOAL",'2) หลักการคำนวน Table'!$D$92:$M$92,HLOOKUP(AP55,'2) หลักการคำนวน Table'!$D$1:$M$5,5,TRUE),0))))),0)</f>
        <v>0.9</v>
      </c>
      <c r="AW55" s="232">
        <f>IFERROR(IF($C55="Top WS",VLOOKUP("GOAL",'2) หลักการคำนวน Table'!$D$4:$M$4,HLOOKUP(AK55,'2) หลักการคำนวน Table'!$D$1:$M$5,5,TRUE),0),
IF($C55="WS SF",VLOOKUP("GOAL",'2) หลักการคำนวน Table'!$D$32:$M$32,HLOOKUP(AK55,'2) หลักการคำนวน Table'!$D$1:$M$5,5,TRUE),0),
IF($C55="WS WH",VLOOKUP("GOAL",'2) หลักการคำนวน Table'!$D$62:$M$62,HLOOKUP(AK55,'2) หลักการคำนวน Table'!$D$1:$M$5,5,TRUE),0),
IF($C55="SF WH",VLOOKUP("GOAL",'2) หลักการคำนวน Table'!$D$92:$M$92,HLOOKUP(AK55,'2) หลักการคำนวน Table'!$D$1:$M$5,5,TRUE),0))))),0)</f>
        <v>0.9</v>
      </c>
      <c r="AX55" s="232">
        <f>IFERROR(IF($C55="Top WS",VLOOKUP("GOAL",'2) หลักการคำนวน Table'!$D$4:$M$4,HLOOKUP(AL55,'2) หลักการคำนวน Table'!$D$1:$M$5,5,TRUE),0),
IF($C55="WS SF",VLOOKUP("GOAL",'2) หลักการคำนวน Table'!$D$32:$M$32,HLOOKUP(AL55,'2) หลักการคำนวน Table'!$D$1:$M$5,5,TRUE),0),
IF($C55="WS WH",VLOOKUP("GOAL",'2) หลักการคำนวน Table'!$D$62:$M$62,HLOOKUP(AL55,'2) หลักการคำนวน Table'!$D$1:$M$5,5,TRUE),0),
IF($C55="SF WH",VLOOKUP("GOAL",'2) หลักการคำนวน Table'!$D$92:$M$92,HLOOKUP(AL55,'2) หลักการคำนวน Table'!$D$1:$M$5,5,TRUE),0))))),0)</f>
        <v>0.9</v>
      </c>
      <c r="AY55" s="232">
        <f>IFERROR(IF($C55="Top WS",VLOOKUP("GOAL",'2) หลักการคำนวน Table'!$D$4:$M$4,HLOOKUP(AM55,'2) หลักการคำนวน Table'!$D$1:$M$5,5,TRUE),0),
IF($C55="WS SF",VLOOKUP("GOAL",'2) หลักการคำนวน Table'!$D$32:$M$32,HLOOKUP(AM55,'2) หลักการคำนวน Table'!$D$1:$M$5,5,TRUE),0),
IF($C55="WS WH",VLOOKUP("GOAL",'2) หลักการคำนวน Table'!$D$62:$M$62,HLOOKUP(AM55,'2) หลักการคำนวน Table'!$D$1:$M$5,5,TRUE),0),
IF($C55="SF WH",VLOOKUP("GOAL",'2) หลักการคำนวน Table'!$D$92:$M$92,HLOOKUP(AM55,'2) หลักการคำนวน Table'!$D$1:$M$5,5,TRUE),0))))),0)</f>
        <v>0.9</v>
      </c>
      <c r="AZ55" s="167">
        <f>IFERROR(IF($C55="Top WS",VLOOKUP($B55,'2) หลักการคำนวน Table'!$D$5:$M$20,HLOOKUP(AB55,'2) หลักการคำนวน Table'!$D$1:$M$5,5,TRUE),0),
IF($C55="WS SF",VLOOKUP($B55,'2) หลักการคำนวน Table'!$D$33:$M$48,HLOOKUP(AB55,'2) หลักการคำนวน Table'!$D$1:$M$5,5,TRUE),0),
IF($C55="WS WH",VLOOKUP($B55,'2) หลักการคำนวน Table'!$D$63:$M$78,HLOOKUP(AB55,'2) หลักการคำนวน Table'!$D$1:$M$5,5,TRUE),0),
IF($C55="SF WH",VLOOKUP($B55,'2) หลักการคำนวน Table'!$D$93:$M$108,HLOOKUP(AB55,'2) หลักการคำนวน Table'!$D$1:$M$5,5,TRUE),0))))),0)</f>
        <v>360</v>
      </c>
      <c r="BA55" s="167">
        <f>IFERROR(IF($C55="Top WS",VLOOKUP($B55,'2) หลักการคำนวน Table'!$D$5:$M$20,HLOOKUP(AC55,'2) หลักการคำนวน Table'!$D$1:$M$5,5,TRUE),0),
IF($C55="WS SF",VLOOKUP($B55,'2) หลักการคำนวน Table'!$D$33:$M$48,HLOOKUP(AC55,'2) หลักการคำนวน Table'!$D$1:$M$5,5,TRUE),0),
IF($C55="WS WH",VLOOKUP($B55,'2) หลักการคำนวน Table'!$D$63:$M$78,HLOOKUP(AC55,'2) หลักการคำนวน Table'!$D$1:$M$5,5,TRUE),0),
IF($C55="SF WH",VLOOKUP($B55,'2) หลักการคำนวน Table'!$D$93:$M$108,HLOOKUP(AC55,'2) หลักการคำนวน Table'!$D$1:$M$5,5,TRUE),0))))),0)</f>
        <v>360</v>
      </c>
      <c r="BB55" s="167">
        <f>IFERROR(IF($C55="Top WS",VLOOKUP($B55,'2) หลักการคำนวน Table'!$D$5:$M$20,HLOOKUP(AD55,'2) หลักการคำนวน Table'!$D$1:$M$5,5,TRUE),0),
IF($C55="WS SF",VLOOKUP($B55,'2) หลักการคำนวน Table'!$D$33:$M$48,HLOOKUP(AD55,'2) หลักการคำนวน Table'!$D$1:$M$5,5,TRUE),0),
IF($C55="WS WH",VLOOKUP($B55,'2) หลักการคำนวน Table'!$D$63:$M$78,HLOOKUP(AD55,'2) หลักการคำนวน Table'!$D$1:$M$5,5,TRUE),0),
IF($C55="SF WH",VLOOKUP($B55,'2) หลักการคำนวน Table'!$D$93:$M$108,HLOOKUP(AD55,'2) หลักการคำนวน Table'!$D$1:$M$5,5,TRUE),0))))),0)</f>
        <v>360</v>
      </c>
      <c r="BC55" s="167">
        <f>IFERROR(IF($C55="Top WS",VLOOKUP($B55,'2) หลักการคำนวน Table'!$D$5:$M$20,HLOOKUP(AE55,'2) หลักการคำนวน Table'!$D$1:$M$5,5,TRUE),0),
IF($C55="WS SF",VLOOKUP($B55,'2) หลักการคำนวน Table'!$D$33:$M$48,HLOOKUP(AE55,'2) หลักการคำนวน Table'!$D$1:$M$5,5,TRUE),0),
IF($C55="WS WH",VLOOKUP($B55,'2) หลักการคำนวน Table'!$D$63:$M$78,HLOOKUP(AE55,'2) หลักการคำนวน Table'!$D$1:$M$5,5,TRUE),0),
IF($C55="SF WH",VLOOKUP($B55,'2) หลักการคำนวน Table'!$D$93:$M$108,HLOOKUP(AE55,'2) หลักการคำนวน Table'!$D$1:$M$5,5,TRUE),0))))),0)</f>
        <v>360</v>
      </c>
      <c r="BD55" s="167">
        <f>IFERROR(IF($C55="Top WS",VLOOKUP($B55,'2) หลักการคำนวน Table'!$D$5:$M$20,HLOOKUP(AF55,'2) หลักการคำนวน Table'!$D$1:$M$5,5,TRUE),0),
IF($C55="WS SF",VLOOKUP($B55,'2) หลักการคำนวน Table'!$D$33:$M$48,HLOOKUP(AF55,'2) หลักการคำนวน Table'!$D$1:$M$5,5,TRUE),0),
IF($C55="WS WH",VLOOKUP($B55,'2) หลักการคำนวน Table'!$D$63:$M$78,HLOOKUP(AF55,'2) หลักการคำนวน Table'!$D$1:$M$5,5,TRUE),0),
IF($C55="SF WH",VLOOKUP($B55,'2) หลักการคำนวน Table'!$D$93:$M$108,HLOOKUP(AF55,'2) หลักการคำนวน Table'!$D$1:$M$5,5,TRUE),0))))),0)</f>
        <v>360</v>
      </c>
      <c r="BE55" s="167">
        <f>IFERROR(IF($C55="Top WS",VLOOKUP($B55,'2) หลักการคำนวน Table'!$D$5:$M$20,HLOOKUP(AG55,'2) หลักการคำนวน Table'!$D$1:$M$5,5,TRUE),0),
IF($C55="WS SF",VLOOKUP($B55,'2) หลักการคำนวน Table'!$D$33:$M$48,HLOOKUP(AG55,'2) หลักการคำนวน Table'!$D$1:$M$5,5,TRUE),0),
IF($C55="WS WH",VLOOKUP($B55,'2) หลักการคำนวน Table'!$D$63:$M$78,HLOOKUP(AG55,'2) หลักการคำนวน Table'!$D$1:$M$5,5,TRUE),0),
IF($C55="SF WH",VLOOKUP($B55,'2) หลักการคำนวน Table'!$D$93:$M$108,HLOOKUP(AG55,'2) หลักการคำนวน Table'!$D$1:$M$5,5,TRUE),0))))),0)</f>
        <v>360</v>
      </c>
      <c r="BF55" s="167">
        <f>IFERROR(IF($C55="Top WS",VLOOKUP($B55,'2) หลักการคำนวน Table'!$D$5:$M$20,HLOOKUP(AH55,'2) หลักการคำนวน Table'!$D$1:$M$5,5,TRUE),0),
IF($C55="WS SF",VLOOKUP($B55,'2) หลักการคำนวน Table'!$D$33:$M$48,HLOOKUP(AH55,'2) หลักการคำนวน Table'!$D$1:$M$5,5,TRUE),0),
IF($C55="WS WH",VLOOKUP($B55,'2) หลักการคำนวน Table'!$D$63:$M$78,HLOOKUP(AH55,'2) หลักการคำนวน Table'!$D$1:$M$5,5,TRUE),0),
IF($C55="SF WH",VLOOKUP($B55,'2) หลักการคำนวน Table'!$D$93:$M$108,HLOOKUP(AH55,'2) หลักการคำนวน Table'!$D$1:$M$5,5,TRUE),0))))),0)</f>
        <v>360</v>
      </c>
      <c r="BG55" s="167">
        <f>IFERROR(IF($C55="Top WS",VLOOKUP($B55,'2) หลักการคำนวน Table'!$D$5:$M$20,HLOOKUP(AI55,'2) หลักการคำนวน Table'!$D$1:$M$5,5,TRUE),0),
IF($C55="WS SF",VLOOKUP($B55,'2) หลักการคำนวน Table'!$D$33:$M$48,HLOOKUP(AI55,'2) หลักการคำนวน Table'!$D$1:$M$5,5,TRUE),0),
IF($C55="WS WH",VLOOKUP($B55,'2) หลักการคำนวน Table'!$D$63:$M$78,HLOOKUP(AI55,'2) หลักการคำนวน Table'!$D$1:$M$5,5,TRUE),0),
IF($C55="SF WH",VLOOKUP($B55,'2) หลักการคำนวน Table'!$D$93:$M$108,HLOOKUP(AI55,'2) หลักการคำนวน Table'!$D$1:$M$5,5,TRUE),0))))),0)</f>
        <v>360</v>
      </c>
      <c r="BH55" s="167">
        <f>IFERROR(IF($C55="Top WS",VLOOKUP($B55,'2) หลักการคำนวน Table'!$D$5:$M$20,HLOOKUP(AP55,'2) หลักการคำนวน Table'!$D$1:$M$5,5,TRUE),0),
IF($C55="WS SF",VLOOKUP($B55,'2) หลักการคำนวน Table'!$D$33:$M$48,HLOOKUP(AP55,'2) หลักการคำนวน Table'!$D$1:$M$5,5,TRUE),0),
IF($C55="WS WH",VLOOKUP($B55,'2) หลักการคำนวน Table'!$D$63:$M$78,HLOOKUP(AP55,'2) หลักการคำนวน Table'!$D$1:$M$5,5,TRUE),0),
IF($C55="SF WH",VLOOKUP($B55,'2) หลักการคำนวน Table'!$D$93:$M$108,HLOOKUP(AP55,'2) หลักการคำนวน Table'!$D$1:$M$5,5,TRUE),0))))),0)</f>
        <v>360</v>
      </c>
      <c r="BI55" s="167">
        <f>IFERROR(IF($C55="Top WS",VLOOKUP($B55,'2) หลักการคำนวน Table'!$D$5:$M$20,HLOOKUP(AK55,'2) หลักการคำนวน Table'!$D$1:$M$5,5,TRUE),0),
IF($C55="WS SF",VLOOKUP($B55,'2) หลักการคำนวน Table'!$D$33:$M$48,HLOOKUP(AK55,'2) หลักการคำนวน Table'!$D$1:$M$5,5,TRUE),0),
IF($C55="WS WH",VLOOKUP($B55,'2) หลักการคำนวน Table'!$D$63:$M$78,HLOOKUP(AK55,'2) หลักการคำนวน Table'!$D$1:$M$5,5,TRUE),0),
IF($C55="SF WH",VLOOKUP($B55,'2) หลักการคำนวน Table'!$D$93:$M$108,HLOOKUP(AK55,'2) หลักการคำนวน Table'!$D$1:$M$5,5,TRUE),0))))),0)</f>
        <v>360</v>
      </c>
      <c r="BJ55" s="167">
        <f>IFERROR(IF($C55="Top WS",VLOOKUP($B55,'2) หลักการคำนวน Table'!$D$5:$M$20,HLOOKUP(AL55,'2) หลักการคำนวน Table'!$D$1:$M$5,5,TRUE),0),
IF($C55="WS SF",VLOOKUP($B55,'2) หลักการคำนวน Table'!$D$33:$M$48,HLOOKUP(AL55,'2) หลักการคำนวน Table'!$D$1:$M$5,5,TRUE),0),
IF($C55="WS WH",VLOOKUP($B55,'2) หลักการคำนวน Table'!$D$63:$M$78,HLOOKUP(AL55,'2) หลักการคำนวน Table'!$D$1:$M$5,5,TRUE),0),
IF($C55="SF WH",VLOOKUP($B55,'2) หลักการคำนวน Table'!$D$93:$M$108,HLOOKUP(AL55,'2) หลักการคำนวน Table'!$D$1:$M$5,5,TRUE),0))))),0)</f>
        <v>360</v>
      </c>
      <c r="BK55" s="167">
        <f>IFERROR(IF($C55="Top WS",VLOOKUP($B55,'2) หลักการคำนวน Table'!$D$5:$M$20,HLOOKUP(AM55,'2) หลักการคำนวน Table'!$D$1:$M$5,5,TRUE),0),
IF($C55="WS SF",VLOOKUP($B55,'2) หลักการคำนวน Table'!$D$33:$M$48,HLOOKUP(AM55,'2) หลักการคำนวน Table'!$D$1:$M$5,5,TRUE),0),
IF($C55="WS WH",VLOOKUP($B55,'2) หลักการคำนวน Table'!$D$63:$M$78,HLOOKUP(AM55,'2) หลักการคำนวน Table'!$D$1:$M$5,5,TRUE),0),
IF($C55="SF WH",VLOOKUP($B55,'2) หลักการคำนวน Table'!$D$93:$M$108,HLOOKUP(AM55,'2) หลักการคำนวน Table'!$D$1:$M$5,5,TRUE),0))))),0)</f>
        <v>360</v>
      </c>
      <c r="BM55" s="119">
        <f>VLOOKUP(VLOOKUP(A55,ASTBase!E:S,13,FALSE),ASTBase!F:P,11,FALSE)</f>
        <v>140000</v>
      </c>
      <c r="BN55" s="196" cm="1">
        <f t="array" ref="BN55">INDEX(AN55:AY55,,Period!$D$2)</f>
        <v>0.9</v>
      </c>
    </row>
    <row r="56" spans="1:66" x14ac:dyDescent="0.25">
      <c r="A56" s="117">
        <v>140001</v>
      </c>
      <c r="B56" s="117" t="s">
        <v>394</v>
      </c>
      <c r="C56" s="117" t="s">
        <v>178</v>
      </c>
      <c r="D56" s="118">
        <v>108</v>
      </c>
      <c r="E56" s="118">
        <v>160</v>
      </c>
      <c r="F56" s="118">
        <v>87</v>
      </c>
      <c r="G56" s="118">
        <v>30</v>
      </c>
      <c r="H56" s="118">
        <v>2</v>
      </c>
      <c r="I56" s="118">
        <v>141</v>
      </c>
      <c r="J56" s="118">
        <v>127</v>
      </c>
      <c r="K56" s="118">
        <v>198</v>
      </c>
      <c r="L56" s="118">
        <v>141</v>
      </c>
      <c r="M56" s="118">
        <v>125</v>
      </c>
      <c r="N56" s="118">
        <v>136</v>
      </c>
      <c r="O56" s="118">
        <v>136</v>
      </c>
      <c r="P56" s="117">
        <f>SUMIFS(Actual!C:C,Actual!$A:$A,'3)Target &amp; Cal'!$A56,Actual!$B:$B,'3)Target &amp; Cal'!$B56)</f>
        <v>108</v>
      </c>
      <c r="Q56" s="117">
        <f>SUMIFS(Actual!D:D,Actual!$A:$A,'3)Target &amp; Cal'!$A56,Actual!$B:$B,'3)Target &amp; Cal'!$B56)</f>
        <v>86.399999999999991</v>
      </c>
      <c r="R56" s="117">
        <f>SUMIFS(Actual!E:E,Actual!$A:$A,'3)Target &amp; Cal'!$A56,Actual!$B:$B,'3)Target &amp; Cal'!$B56)</f>
        <v>0</v>
      </c>
      <c r="S56" s="117">
        <f>SUMIFS(Actual!F:F,Actual!$A:$A,'3)Target &amp; Cal'!$A56,Actual!$B:$B,'3)Target &amp; Cal'!$B56)</f>
        <v>0</v>
      </c>
      <c r="T56" s="117">
        <f>SUMIFS(Actual!G:G,Actual!$A:$A,'3)Target &amp; Cal'!$A56,Actual!$B:$B,'3)Target &amp; Cal'!$B56)</f>
        <v>0</v>
      </c>
      <c r="U56" s="117">
        <f>SUMIFS(Actual!H:H,Actual!$A:$A,'3)Target &amp; Cal'!$A56,Actual!$B:$B,'3)Target &amp; Cal'!$B56)</f>
        <v>0</v>
      </c>
      <c r="V56" s="117">
        <f>SUMIFS(Actual!I:I,Actual!$A:$A,'3)Target &amp; Cal'!$A56,Actual!$B:$B,'3)Target &amp; Cal'!$B56)</f>
        <v>0</v>
      </c>
      <c r="W56" s="117">
        <f>SUMIFS(Actual!J:J,Actual!$A:$A,'3)Target &amp; Cal'!$A56,Actual!$B:$B,'3)Target &amp; Cal'!$B56)</f>
        <v>0</v>
      </c>
      <c r="X56" s="117">
        <f>SUMIFS(Actual!K:K,Actual!$A:$A,'3)Target &amp; Cal'!$A56,Actual!$B:$B,'3)Target &amp; Cal'!$B56)</f>
        <v>0</v>
      </c>
      <c r="Y56" s="117">
        <f>SUMIFS(Actual!L:L,Actual!$A:$A,'3)Target &amp; Cal'!$A56,Actual!$B:$B,'3)Target &amp; Cal'!$B56)</f>
        <v>0</v>
      </c>
      <c r="Z56" s="117">
        <f>SUMIFS(Actual!M:M,Actual!$A:$A,'3)Target &amp; Cal'!$A56,Actual!$B:$B,'3)Target &amp; Cal'!$B56)</f>
        <v>0</v>
      </c>
      <c r="AA56" s="117">
        <f>SUMIFS(Actual!N:N,Actual!$A:$A,'3)Target &amp; Cal'!$A56,Actual!$B:$B,'3)Target &amp; Cal'!$B56)</f>
        <v>0</v>
      </c>
      <c r="AB56" s="123">
        <f>IFERROR(IF(VLOOKUP($B56,Shortage!$A:$M,AB$2,FALSE)="Shortage",1,IFERROR(ROUND(P56/D56,4),0)),IFERROR(ROUND(P56/D56,4),0))</f>
        <v>1</v>
      </c>
      <c r="AC56" s="123">
        <f>IFERROR(IF(VLOOKUP($B56,Shortage!$A:$M,AC$2,FALSE)="Shortage",1,IFERROR(ROUND(Q56/E56,4),0)),IFERROR(ROUND(Q56/E56,4),0))</f>
        <v>0.54</v>
      </c>
      <c r="AD56" s="123">
        <f>IFERROR(IF(VLOOKUP($B56,Shortage!$A:$M,AD$2,FALSE)="Shortage",1,IFERROR(ROUND(R56/F56,4),0)),IFERROR(ROUND(R56/F56,4),0))</f>
        <v>0</v>
      </c>
      <c r="AE56" s="123">
        <f>IFERROR(IF(VLOOKUP($B56,Shortage!$A:$M,AE$2,FALSE)="Shortage",1,IFERROR(ROUND(S56/G56,4),0)),IFERROR(ROUND(S56/G56,4),0))</f>
        <v>0</v>
      </c>
      <c r="AF56" s="123">
        <f>IFERROR(IF(VLOOKUP($B56,Shortage!$A:$M,AF$2,FALSE)="Shortage",1,IFERROR(ROUND(T56/H56,4),0)),IFERROR(ROUND(T56/H56,4),0))</f>
        <v>0</v>
      </c>
      <c r="AG56" s="123">
        <f>IFERROR(IF(VLOOKUP($B56,Shortage!$A:$M,AG$2,FALSE)="Shortage",1,IFERROR(ROUND(U56/I56,4),0)),IFERROR(ROUND(U56/I56,4),0))</f>
        <v>0</v>
      </c>
      <c r="AH56" s="123">
        <f>IFERROR(IF(VLOOKUP($B56,Shortage!$A:$M,AH$2,FALSE)="Shortage",1,IFERROR(ROUND(V56/J56,4),0)),IFERROR(ROUND(V56/J56,4),0))</f>
        <v>0</v>
      </c>
      <c r="AI56" s="123">
        <f>IFERROR(IF(VLOOKUP($B56,Shortage!$A:$M,AI$2,FALSE)="Shortage",1,IFERROR(ROUND(W56/K56,4),0)),IFERROR(ROUND(W56/K56,4),0))</f>
        <v>0</v>
      </c>
      <c r="AJ56" s="123">
        <f>IFERROR(IF(VLOOKUP($B56,Shortage!$A:$M,AP$2,FALSE)="Shortage",1,IFERROR(ROUND(X56/L56,4),0)),IFERROR(ROUND(X56/L56,4),0))</f>
        <v>0</v>
      </c>
      <c r="AK56" s="123">
        <f>IFERROR(IF(VLOOKUP($B56,Shortage!$A:$M,AK$2,FALSE)="Shortage",1,IFERROR(ROUND(Y56/M56,4),0)),IFERROR(ROUND(Y56/M56,4),0))</f>
        <v>0</v>
      </c>
      <c r="AL56" s="123">
        <f>IFERROR(IF(VLOOKUP($B56,Shortage!$A:$M,AL$2,FALSE)="Shortage",1,IFERROR(ROUND(Z56/N56,4),0)),IFERROR(ROUND(Z56/N56,4),0))</f>
        <v>0</v>
      </c>
      <c r="AM56" s="123">
        <f>IFERROR(IF(VLOOKUP($B56,Shortage!$A:$M,AM$2,FALSE)="Shortage",1,IFERROR(ROUND(AA56/O56,4),0)),IFERROR(ROUND(AA56/O56,4),0))</f>
        <v>0</v>
      </c>
      <c r="AN56" s="232">
        <f>IFERROR(IF($C56="Top WS",VLOOKUP("GOAL",'2) หลักการคำนวน Table'!$D$4:$M$4,HLOOKUP(AB56,'2) หลักการคำนวน Table'!$D$1:$M$5,5,TRUE),0),
IF($C56="WS SF",VLOOKUP("GOAL",'2) หลักการคำนวน Table'!$D$32:$M$32,HLOOKUP(AB56,'2) หลักการคำนวน Table'!$D$1:$M$5,5,TRUE),0),
IF($C56="WS WH",VLOOKUP("GOAL",'2) หลักการคำนวน Table'!$D$62:$M$62,HLOOKUP(AB56,'2) หลักการคำนวน Table'!$D$1:$M$5,5,TRUE),0),
IF($C56="SF WH",VLOOKUP("GOAL",'2) หลักการคำนวน Table'!$D$92:$M$92,HLOOKUP(AB56,'2) หลักการคำนวน Table'!$D$1:$M$5,5,TRUE),0))))),0)</f>
        <v>1</v>
      </c>
      <c r="AO56" s="232">
        <f>IFERROR(IF($C56="Top WS",VLOOKUP("GOAL",'2) หลักการคำนวน Table'!$D$4:$M$4,HLOOKUP(AC56,'2) หลักการคำนวน Table'!$D$1:$M$5,5,TRUE),0),
IF($C56="WS SF",VLOOKUP("GOAL",'2) หลักการคำนวน Table'!$D$32:$M$32,HLOOKUP(AC56,'2) หลักการคำนวน Table'!$D$1:$M$5,5,TRUE),0),
IF($C56="WS WH",VLOOKUP("GOAL",'2) หลักการคำนวน Table'!$D$62:$M$62,HLOOKUP(AC56,'2) หลักการคำนวน Table'!$D$1:$M$5,5,TRUE),0),
IF($C56="SF WH",VLOOKUP("GOAL",'2) หลักการคำนวน Table'!$D$92:$M$92,HLOOKUP(AC56,'2) หลักการคำนวน Table'!$D$1:$M$5,5,TRUE),0))))),0)</f>
        <v>0.9</v>
      </c>
      <c r="AP56" s="232">
        <f>IFERROR(IF($C56="Top WS",VLOOKUP("GOAL",'2) หลักการคำนวน Table'!$D$4:$M$4,HLOOKUP(AD56,'2) หลักการคำนวน Table'!$D$1:$M$5,5,TRUE),0),
IF($C56="WS SF",VLOOKUP("GOAL",'2) หลักการคำนวน Table'!$D$32:$M$32,HLOOKUP(AD56,'2) หลักการคำนวน Table'!$D$1:$M$5,5,TRUE),0),
IF($C56="WS WH",VLOOKUP("GOAL",'2) หลักการคำนวน Table'!$D$62:$M$62,HLOOKUP(AD56,'2) หลักการคำนวน Table'!$D$1:$M$5,5,TRUE),0),
IF($C56="SF WH",VLOOKUP("GOAL",'2) หลักการคำนวน Table'!$D$92:$M$92,HLOOKUP(AD56,'2) หลักการคำนวน Table'!$D$1:$M$5,5,TRUE),0))))),0)</f>
        <v>0.9</v>
      </c>
      <c r="AQ56" s="232">
        <f>IFERROR(IF($C56="Top WS",VLOOKUP("GOAL",'2) หลักการคำนวน Table'!$D$4:$M$4,HLOOKUP(AE56,'2) หลักการคำนวน Table'!$D$1:$M$5,5,TRUE),0),
IF($C56="WS SF",VLOOKUP("GOAL",'2) หลักการคำนวน Table'!$D$32:$M$32,HLOOKUP(AE56,'2) หลักการคำนวน Table'!$D$1:$M$5,5,TRUE),0),
IF($C56="WS WH",VLOOKUP("GOAL",'2) หลักการคำนวน Table'!$D$62:$M$62,HLOOKUP(AE56,'2) หลักการคำนวน Table'!$D$1:$M$5,5,TRUE),0),
IF($C56="SF WH",VLOOKUP("GOAL",'2) หลักการคำนวน Table'!$D$92:$M$92,HLOOKUP(AE56,'2) หลักการคำนวน Table'!$D$1:$M$5,5,TRUE),0))))),0)</f>
        <v>0.9</v>
      </c>
      <c r="AR56" s="232">
        <f>IFERROR(IF($C56="Top WS",VLOOKUP("GOAL",'2) หลักการคำนวน Table'!$D$4:$M$4,HLOOKUP(AF56,'2) หลักการคำนวน Table'!$D$1:$M$5,5,TRUE),0),
IF($C56="WS SF",VLOOKUP("GOAL",'2) หลักการคำนวน Table'!$D$32:$M$32,HLOOKUP(AF56,'2) หลักการคำนวน Table'!$D$1:$M$5,5,TRUE),0),
IF($C56="WS WH",VLOOKUP("GOAL",'2) หลักการคำนวน Table'!$D$62:$M$62,HLOOKUP(AF56,'2) หลักการคำนวน Table'!$D$1:$M$5,5,TRUE),0),
IF($C56="SF WH",VLOOKUP("GOAL",'2) หลักการคำนวน Table'!$D$92:$M$92,HLOOKUP(AF56,'2) หลักการคำนวน Table'!$D$1:$M$5,5,TRUE),0))))),0)</f>
        <v>0.9</v>
      </c>
      <c r="AS56" s="232">
        <f>IFERROR(IF($C56="Top WS",VLOOKUP("GOAL",'2) หลักการคำนวน Table'!$D$4:$M$4,HLOOKUP(AG56,'2) หลักการคำนวน Table'!$D$1:$M$5,5,TRUE),0),
IF($C56="WS SF",VLOOKUP("GOAL",'2) หลักการคำนวน Table'!$D$32:$M$32,HLOOKUP(AG56,'2) หลักการคำนวน Table'!$D$1:$M$5,5,TRUE),0),
IF($C56="WS WH",VLOOKUP("GOAL",'2) หลักการคำนวน Table'!$D$62:$M$62,HLOOKUP(AG56,'2) หลักการคำนวน Table'!$D$1:$M$5,5,TRUE),0),
IF($C56="SF WH",VLOOKUP("GOAL",'2) หลักการคำนวน Table'!$D$92:$M$92,HLOOKUP(AG56,'2) หลักการคำนวน Table'!$D$1:$M$5,5,TRUE),0))))),0)</f>
        <v>0.9</v>
      </c>
      <c r="AT56" s="232">
        <f>IFERROR(IF($C56="Top WS",VLOOKUP("GOAL",'2) หลักการคำนวน Table'!$D$4:$M$4,HLOOKUP(AH56,'2) หลักการคำนวน Table'!$D$1:$M$5,5,TRUE),0),
IF($C56="WS SF",VLOOKUP("GOAL",'2) หลักการคำนวน Table'!$D$32:$M$32,HLOOKUP(AH56,'2) หลักการคำนวน Table'!$D$1:$M$5,5,TRUE),0),
IF($C56="WS WH",VLOOKUP("GOAL",'2) หลักการคำนวน Table'!$D$62:$M$62,HLOOKUP(AH56,'2) หลักการคำนวน Table'!$D$1:$M$5,5,TRUE),0),
IF($C56="SF WH",VLOOKUP("GOAL",'2) หลักการคำนวน Table'!$D$92:$M$92,HLOOKUP(AH56,'2) หลักการคำนวน Table'!$D$1:$M$5,5,TRUE),0))))),0)</f>
        <v>0.9</v>
      </c>
      <c r="AU56" s="232">
        <f>IFERROR(IF($C56="Top WS",VLOOKUP("GOAL",'2) หลักการคำนวน Table'!$D$4:$M$4,HLOOKUP(AI56,'2) หลักการคำนวน Table'!$D$1:$M$5,5,TRUE),0),
IF($C56="WS SF",VLOOKUP("GOAL",'2) หลักการคำนวน Table'!$D$32:$M$32,HLOOKUP(AI56,'2) หลักการคำนวน Table'!$D$1:$M$5,5,TRUE),0),
IF($C56="WS WH",VLOOKUP("GOAL",'2) หลักการคำนวน Table'!$D$62:$M$62,HLOOKUP(AI56,'2) หลักการคำนวน Table'!$D$1:$M$5,5,TRUE),0),
IF($C56="SF WH",VLOOKUP("GOAL",'2) หลักการคำนวน Table'!$D$92:$M$92,HLOOKUP(AI56,'2) หลักการคำนวน Table'!$D$1:$M$5,5,TRUE),0))))),0)</f>
        <v>0.9</v>
      </c>
      <c r="AV56" s="232">
        <f>IFERROR(IF($C56="Top WS",VLOOKUP("GOAL",'2) หลักการคำนวน Table'!$D$4:$M$4,HLOOKUP(AP56,'2) หลักการคำนวน Table'!$D$1:$M$5,5,TRUE),0),
IF($C56="WS SF",VLOOKUP("GOAL",'2) หลักการคำนวน Table'!$D$32:$M$32,HLOOKUP(AP56,'2) หลักการคำนวน Table'!$D$1:$M$5,5,TRUE),0),
IF($C56="WS WH",VLOOKUP("GOAL",'2) หลักการคำนวน Table'!$D$62:$M$62,HLOOKUP(AP56,'2) หลักการคำนวน Table'!$D$1:$M$5,5,TRUE),0),
IF($C56="SF WH",VLOOKUP("GOAL",'2) หลักการคำนวน Table'!$D$92:$M$92,HLOOKUP(AP56,'2) หลักการคำนวน Table'!$D$1:$M$5,5,TRUE),0))))),0)</f>
        <v>0.9</v>
      </c>
      <c r="AW56" s="232">
        <f>IFERROR(IF($C56="Top WS",VLOOKUP("GOAL",'2) หลักการคำนวน Table'!$D$4:$M$4,HLOOKUP(AK56,'2) หลักการคำนวน Table'!$D$1:$M$5,5,TRUE),0),
IF($C56="WS SF",VLOOKUP("GOAL",'2) หลักการคำนวน Table'!$D$32:$M$32,HLOOKUP(AK56,'2) หลักการคำนวน Table'!$D$1:$M$5,5,TRUE),0),
IF($C56="WS WH",VLOOKUP("GOAL",'2) หลักการคำนวน Table'!$D$62:$M$62,HLOOKUP(AK56,'2) หลักการคำนวน Table'!$D$1:$M$5,5,TRUE),0),
IF($C56="SF WH",VLOOKUP("GOAL",'2) หลักการคำนวน Table'!$D$92:$M$92,HLOOKUP(AK56,'2) หลักการคำนวน Table'!$D$1:$M$5,5,TRUE),0))))),0)</f>
        <v>0.9</v>
      </c>
      <c r="AX56" s="232">
        <f>IFERROR(IF($C56="Top WS",VLOOKUP("GOAL",'2) หลักการคำนวน Table'!$D$4:$M$4,HLOOKUP(AL56,'2) หลักการคำนวน Table'!$D$1:$M$5,5,TRUE),0),
IF($C56="WS SF",VLOOKUP("GOAL",'2) หลักการคำนวน Table'!$D$32:$M$32,HLOOKUP(AL56,'2) หลักการคำนวน Table'!$D$1:$M$5,5,TRUE),0),
IF($C56="WS WH",VLOOKUP("GOAL",'2) หลักการคำนวน Table'!$D$62:$M$62,HLOOKUP(AL56,'2) หลักการคำนวน Table'!$D$1:$M$5,5,TRUE),0),
IF($C56="SF WH",VLOOKUP("GOAL",'2) หลักการคำนวน Table'!$D$92:$M$92,HLOOKUP(AL56,'2) หลักการคำนวน Table'!$D$1:$M$5,5,TRUE),0))))),0)</f>
        <v>0.9</v>
      </c>
      <c r="AY56" s="232">
        <f>IFERROR(IF($C56="Top WS",VLOOKUP("GOAL",'2) หลักการคำนวน Table'!$D$4:$M$4,HLOOKUP(AM56,'2) หลักการคำนวน Table'!$D$1:$M$5,5,TRUE),0),
IF($C56="WS SF",VLOOKUP("GOAL",'2) หลักการคำนวน Table'!$D$32:$M$32,HLOOKUP(AM56,'2) หลักการคำนวน Table'!$D$1:$M$5,5,TRUE),0),
IF($C56="WS WH",VLOOKUP("GOAL",'2) หลักการคำนวน Table'!$D$62:$M$62,HLOOKUP(AM56,'2) หลักการคำนวน Table'!$D$1:$M$5,5,TRUE),0),
IF($C56="SF WH",VLOOKUP("GOAL",'2) หลักการคำนวน Table'!$D$92:$M$92,HLOOKUP(AM56,'2) หลักการคำนวน Table'!$D$1:$M$5,5,TRUE),0))))),0)</f>
        <v>0.9</v>
      </c>
      <c r="AZ56" s="167">
        <f>IFERROR(IF($C56="Top WS",VLOOKUP($B56,'2) หลักการคำนวน Table'!$D$5:$M$20,HLOOKUP(AB56,'2) หลักการคำนวน Table'!$D$1:$M$5,5,TRUE),0),
IF($C56="WS SF",VLOOKUP($B56,'2) หลักการคำนวน Table'!$D$33:$M$48,HLOOKUP(AB56,'2) หลักการคำนวน Table'!$D$1:$M$5,5,TRUE),0),
IF($C56="WS WH",VLOOKUP($B56,'2) หลักการคำนวน Table'!$D$63:$M$78,HLOOKUP(AB56,'2) หลักการคำนวน Table'!$D$1:$M$5,5,TRUE),0),
IF($C56="SF WH",VLOOKUP($B56,'2) หลักการคำนวน Table'!$D$93:$M$108,HLOOKUP(AB56,'2) หลักการคำนวน Table'!$D$1:$M$5,5,TRUE),0))))),0)</f>
        <v>200</v>
      </c>
      <c r="BA56" s="167">
        <f>IFERROR(IF($C56="Top WS",VLOOKUP($B56,'2) หลักการคำนวน Table'!$D$5:$M$20,HLOOKUP(AC56,'2) หลักการคำนวน Table'!$D$1:$M$5,5,TRUE),0),
IF($C56="WS SF",VLOOKUP($B56,'2) หลักการคำนวน Table'!$D$33:$M$48,HLOOKUP(AC56,'2) หลักการคำนวน Table'!$D$1:$M$5,5,TRUE),0),
IF($C56="WS WH",VLOOKUP($B56,'2) หลักการคำนวน Table'!$D$63:$M$78,HLOOKUP(AC56,'2) หลักการคำนวน Table'!$D$1:$M$5,5,TRUE),0),
IF($C56="SF WH",VLOOKUP($B56,'2) หลักการคำนวน Table'!$D$93:$M$108,HLOOKUP(AC56,'2) หลักการคำนวน Table'!$D$1:$M$5,5,TRUE),0))))),0)</f>
        <v>180</v>
      </c>
      <c r="BB56" s="167">
        <f>IFERROR(IF($C56="Top WS",VLOOKUP($B56,'2) หลักการคำนวน Table'!$D$5:$M$20,HLOOKUP(AD56,'2) หลักการคำนวน Table'!$D$1:$M$5,5,TRUE),0),
IF($C56="WS SF",VLOOKUP($B56,'2) หลักการคำนวน Table'!$D$33:$M$48,HLOOKUP(AD56,'2) หลักการคำนวน Table'!$D$1:$M$5,5,TRUE),0),
IF($C56="WS WH",VLOOKUP($B56,'2) หลักการคำนวน Table'!$D$63:$M$78,HLOOKUP(AD56,'2) หลักการคำนวน Table'!$D$1:$M$5,5,TRUE),0),
IF($C56="SF WH",VLOOKUP($B56,'2) หลักการคำนวน Table'!$D$93:$M$108,HLOOKUP(AD56,'2) หลักการคำนวน Table'!$D$1:$M$5,5,TRUE),0))))),0)</f>
        <v>180</v>
      </c>
      <c r="BC56" s="167">
        <f>IFERROR(IF($C56="Top WS",VLOOKUP($B56,'2) หลักการคำนวน Table'!$D$5:$M$20,HLOOKUP(AE56,'2) หลักการคำนวน Table'!$D$1:$M$5,5,TRUE),0),
IF($C56="WS SF",VLOOKUP($B56,'2) หลักการคำนวน Table'!$D$33:$M$48,HLOOKUP(AE56,'2) หลักการคำนวน Table'!$D$1:$M$5,5,TRUE),0),
IF($C56="WS WH",VLOOKUP($B56,'2) หลักการคำนวน Table'!$D$63:$M$78,HLOOKUP(AE56,'2) หลักการคำนวน Table'!$D$1:$M$5,5,TRUE),0),
IF($C56="SF WH",VLOOKUP($B56,'2) หลักการคำนวน Table'!$D$93:$M$108,HLOOKUP(AE56,'2) หลักการคำนวน Table'!$D$1:$M$5,5,TRUE),0))))),0)</f>
        <v>180</v>
      </c>
      <c r="BD56" s="167">
        <f>IFERROR(IF($C56="Top WS",VLOOKUP($B56,'2) หลักการคำนวน Table'!$D$5:$M$20,HLOOKUP(AF56,'2) หลักการคำนวน Table'!$D$1:$M$5,5,TRUE),0),
IF($C56="WS SF",VLOOKUP($B56,'2) หลักการคำนวน Table'!$D$33:$M$48,HLOOKUP(AF56,'2) หลักการคำนวน Table'!$D$1:$M$5,5,TRUE),0),
IF($C56="WS WH",VLOOKUP($B56,'2) หลักการคำนวน Table'!$D$63:$M$78,HLOOKUP(AF56,'2) หลักการคำนวน Table'!$D$1:$M$5,5,TRUE),0),
IF($C56="SF WH",VLOOKUP($B56,'2) หลักการคำนวน Table'!$D$93:$M$108,HLOOKUP(AF56,'2) หลักการคำนวน Table'!$D$1:$M$5,5,TRUE),0))))),0)</f>
        <v>180</v>
      </c>
      <c r="BE56" s="167">
        <f>IFERROR(IF($C56="Top WS",VLOOKUP($B56,'2) หลักการคำนวน Table'!$D$5:$M$20,HLOOKUP(AG56,'2) หลักการคำนวน Table'!$D$1:$M$5,5,TRUE),0),
IF($C56="WS SF",VLOOKUP($B56,'2) หลักการคำนวน Table'!$D$33:$M$48,HLOOKUP(AG56,'2) หลักการคำนวน Table'!$D$1:$M$5,5,TRUE),0),
IF($C56="WS WH",VLOOKUP($B56,'2) หลักการคำนวน Table'!$D$63:$M$78,HLOOKUP(AG56,'2) หลักการคำนวน Table'!$D$1:$M$5,5,TRUE),0),
IF($C56="SF WH",VLOOKUP($B56,'2) หลักการคำนวน Table'!$D$93:$M$108,HLOOKUP(AG56,'2) หลักการคำนวน Table'!$D$1:$M$5,5,TRUE),0))))),0)</f>
        <v>180</v>
      </c>
      <c r="BF56" s="167">
        <f>IFERROR(IF($C56="Top WS",VLOOKUP($B56,'2) หลักการคำนวน Table'!$D$5:$M$20,HLOOKUP(AH56,'2) หลักการคำนวน Table'!$D$1:$M$5,5,TRUE),0),
IF($C56="WS SF",VLOOKUP($B56,'2) หลักการคำนวน Table'!$D$33:$M$48,HLOOKUP(AH56,'2) หลักการคำนวน Table'!$D$1:$M$5,5,TRUE),0),
IF($C56="WS WH",VLOOKUP($B56,'2) หลักการคำนวน Table'!$D$63:$M$78,HLOOKUP(AH56,'2) หลักการคำนวน Table'!$D$1:$M$5,5,TRUE),0),
IF($C56="SF WH",VLOOKUP($B56,'2) หลักการคำนวน Table'!$D$93:$M$108,HLOOKUP(AH56,'2) หลักการคำนวน Table'!$D$1:$M$5,5,TRUE),0))))),0)</f>
        <v>180</v>
      </c>
      <c r="BG56" s="167">
        <f>IFERROR(IF($C56="Top WS",VLOOKUP($B56,'2) หลักการคำนวน Table'!$D$5:$M$20,HLOOKUP(AI56,'2) หลักการคำนวน Table'!$D$1:$M$5,5,TRUE),0),
IF($C56="WS SF",VLOOKUP($B56,'2) หลักการคำนวน Table'!$D$33:$M$48,HLOOKUP(AI56,'2) หลักการคำนวน Table'!$D$1:$M$5,5,TRUE),0),
IF($C56="WS WH",VLOOKUP($B56,'2) หลักการคำนวน Table'!$D$63:$M$78,HLOOKUP(AI56,'2) หลักการคำนวน Table'!$D$1:$M$5,5,TRUE),0),
IF($C56="SF WH",VLOOKUP($B56,'2) หลักการคำนวน Table'!$D$93:$M$108,HLOOKUP(AI56,'2) หลักการคำนวน Table'!$D$1:$M$5,5,TRUE),0))))),0)</f>
        <v>180</v>
      </c>
      <c r="BH56" s="167">
        <f>IFERROR(IF($C56="Top WS",VLOOKUP($B56,'2) หลักการคำนวน Table'!$D$5:$M$20,HLOOKUP(AP56,'2) หลักการคำนวน Table'!$D$1:$M$5,5,TRUE),0),
IF($C56="WS SF",VLOOKUP($B56,'2) หลักการคำนวน Table'!$D$33:$M$48,HLOOKUP(AP56,'2) หลักการคำนวน Table'!$D$1:$M$5,5,TRUE),0),
IF($C56="WS WH",VLOOKUP($B56,'2) หลักการคำนวน Table'!$D$63:$M$78,HLOOKUP(AP56,'2) หลักการคำนวน Table'!$D$1:$M$5,5,TRUE),0),
IF($C56="SF WH",VLOOKUP($B56,'2) หลักการคำนวน Table'!$D$93:$M$108,HLOOKUP(AP56,'2) หลักการคำนวน Table'!$D$1:$M$5,5,TRUE),0))))),0)</f>
        <v>180</v>
      </c>
      <c r="BI56" s="167">
        <f>IFERROR(IF($C56="Top WS",VLOOKUP($B56,'2) หลักการคำนวน Table'!$D$5:$M$20,HLOOKUP(AK56,'2) หลักการคำนวน Table'!$D$1:$M$5,5,TRUE),0),
IF($C56="WS SF",VLOOKUP($B56,'2) หลักการคำนวน Table'!$D$33:$M$48,HLOOKUP(AK56,'2) หลักการคำนวน Table'!$D$1:$M$5,5,TRUE),0),
IF($C56="WS WH",VLOOKUP($B56,'2) หลักการคำนวน Table'!$D$63:$M$78,HLOOKUP(AK56,'2) หลักการคำนวน Table'!$D$1:$M$5,5,TRUE),0),
IF($C56="SF WH",VLOOKUP($B56,'2) หลักการคำนวน Table'!$D$93:$M$108,HLOOKUP(AK56,'2) หลักการคำนวน Table'!$D$1:$M$5,5,TRUE),0))))),0)</f>
        <v>180</v>
      </c>
      <c r="BJ56" s="167">
        <f>IFERROR(IF($C56="Top WS",VLOOKUP($B56,'2) หลักการคำนวน Table'!$D$5:$M$20,HLOOKUP(AL56,'2) หลักการคำนวน Table'!$D$1:$M$5,5,TRUE),0),
IF($C56="WS SF",VLOOKUP($B56,'2) หลักการคำนวน Table'!$D$33:$M$48,HLOOKUP(AL56,'2) หลักการคำนวน Table'!$D$1:$M$5,5,TRUE),0),
IF($C56="WS WH",VLOOKUP($B56,'2) หลักการคำนวน Table'!$D$63:$M$78,HLOOKUP(AL56,'2) หลักการคำนวน Table'!$D$1:$M$5,5,TRUE),0),
IF($C56="SF WH",VLOOKUP($B56,'2) หลักการคำนวน Table'!$D$93:$M$108,HLOOKUP(AL56,'2) หลักการคำนวน Table'!$D$1:$M$5,5,TRUE),0))))),0)</f>
        <v>180</v>
      </c>
      <c r="BK56" s="167">
        <f>IFERROR(IF($C56="Top WS",VLOOKUP($B56,'2) หลักการคำนวน Table'!$D$5:$M$20,HLOOKUP(AM56,'2) หลักการคำนวน Table'!$D$1:$M$5,5,TRUE),0),
IF($C56="WS SF",VLOOKUP($B56,'2) หลักการคำนวน Table'!$D$33:$M$48,HLOOKUP(AM56,'2) หลักการคำนวน Table'!$D$1:$M$5,5,TRUE),0),
IF($C56="WS WH",VLOOKUP($B56,'2) หลักการคำนวน Table'!$D$63:$M$78,HLOOKUP(AM56,'2) หลักการคำนวน Table'!$D$1:$M$5,5,TRUE),0),
IF($C56="SF WH",VLOOKUP($B56,'2) หลักการคำนวน Table'!$D$93:$M$108,HLOOKUP(AM56,'2) หลักการคำนวน Table'!$D$1:$M$5,5,TRUE),0))))),0)</f>
        <v>180</v>
      </c>
      <c r="BM56" s="119">
        <f>VLOOKUP(VLOOKUP(A56,ASTBase!E:S,13,FALSE),ASTBase!F:P,11,FALSE)</f>
        <v>140000</v>
      </c>
      <c r="BN56" s="196" cm="1">
        <f t="array" ref="BN56">INDEX(AN56:AY56,,Period!$D$2)</f>
        <v>0.9</v>
      </c>
    </row>
    <row r="57" spans="1:66" x14ac:dyDescent="0.25">
      <c r="A57" s="117">
        <v>140001</v>
      </c>
      <c r="B57" s="117" t="s">
        <v>405</v>
      </c>
      <c r="C57" s="117" t="s">
        <v>178</v>
      </c>
      <c r="D57" s="118">
        <v>344</v>
      </c>
      <c r="E57" s="118">
        <v>328</v>
      </c>
      <c r="F57" s="118">
        <v>344</v>
      </c>
      <c r="G57" s="118">
        <v>234</v>
      </c>
      <c r="H57" s="118">
        <v>199</v>
      </c>
      <c r="I57" s="118">
        <v>344</v>
      </c>
      <c r="J57" s="118">
        <v>244</v>
      </c>
      <c r="K57" s="118">
        <v>252</v>
      </c>
      <c r="L57" s="118">
        <v>175</v>
      </c>
      <c r="M57" s="118">
        <v>232</v>
      </c>
      <c r="N57" s="118">
        <v>328</v>
      </c>
      <c r="O57" s="118">
        <v>325</v>
      </c>
      <c r="P57" s="117">
        <f>SUMIFS(Actual!C:C,Actual!$A:$A,'3)Target &amp; Cal'!$A57,Actual!$B:$B,'3)Target &amp; Cal'!$B57)</f>
        <v>43.019999999999996</v>
      </c>
      <c r="Q57" s="117">
        <f>SUMIFS(Actual!D:D,Actual!$A:$A,'3)Target &amp; Cal'!$A57,Actual!$B:$B,'3)Target &amp; Cal'!$B57)</f>
        <v>37.799999999999997</v>
      </c>
      <c r="R57" s="117">
        <f>SUMIFS(Actual!E:E,Actual!$A:$A,'3)Target &amp; Cal'!$A57,Actual!$B:$B,'3)Target &amp; Cal'!$B57)</f>
        <v>0</v>
      </c>
      <c r="S57" s="117">
        <f>SUMIFS(Actual!F:F,Actual!$A:$A,'3)Target &amp; Cal'!$A57,Actual!$B:$B,'3)Target &amp; Cal'!$B57)</f>
        <v>0</v>
      </c>
      <c r="T57" s="117">
        <f>SUMIFS(Actual!G:G,Actual!$A:$A,'3)Target &amp; Cal'!$A57,Actual!$B:$B,'3)Target &amp; Cal'!$B57)</f>
        <v>0</v>
      </c>
      <c r="U57" s="117">
        <f>SUMIFS(Actual!H:H,Actual!$A:$A,'3)Target &amp; Cal'!$A57,Actual!$B:$B,'3)Target &amp; Cal'!$B57)</f>
        <v>0</v>
      </c>
      <c r="V57" s="117">
        <f>SUMIFS(Actual!I:I,Actual!$A:$A,'3)Target &amp; Cal'!$A57,Actual!$B:$B,'3)Target &amp; Cal'!$B57)</f>
        <v>0</v>
      </c>
      <c r="W57" s="117">
        <f>SUMIFS(Actual!J:J,Actual!$A:$A,'3)Target &amp; Cal'!$A57,Actual!$B:$B,'3)Target &amp; Cal'!$B57)</f>
        <v>0</v>
      </c>
      <c r="X57" s="117">
        <f>SUMIFS(Actual!K:K,Actual!$A:$A,'3)Target &amp; Cal'!$A57,Actual!$B:$B,'3)Target &amp; Cal'!$B57)</f>
        <v>0</v>
      </c>
      <c r="Y57" s="117">
        <f>SUMIFS(Actual!L:L,Actual!$A:$A,'3)Target &amp; Cal'!$A57,Actual!$B:$B,'3)Target &amp; Cal'!$B57)</f>
        <v>0</v>
      </c>
      <c r="Z57" s="117">
        <f>SUMIFS(Actual!M:M,Actual!$A:$A,'3)Target &amp; Cal'!$A57,Actual!$B:$B,'3)Target &amp; Cal'!$B57)</f>
        <v>0</v>
      </c>
      <c r="AA57" s="117">
        <f>SUMIFS(Actual!N:N,Actual!$A:$A,'3)Target &amp; Cal'!$A57,Actual!$B:$B,'3)Target &amp; Cal'!$B57)</f>
        <v>0</v>
      </c>
      <c r="AB57" s="123">
        <f>IFERROR(IF(VLOOKUP($B57,Shortage!$A:$M,AB$2,FALSE)="Shortage",1,IFERROR(ROUND(P57/D57,4),0)),IFERROR(ROUND(P57/D57,4),0))</f>
        <v>0.12509999999999999</v>
      </c>
      <c r="AC57" s="123">
        <f>IFERROR(IF(VLOOKUP($B57,Shortage!$A:$M,AC$2,FALSE)="Shortage",1,IFERROR(ROUND(Q57/E57,4),0)),IFERROR(ROUND(Q57/E57,4),0))</f>
        <v>0.1152</v>
      </c>
      <c r="AD57" s="123">
        <f>IFERROR(IF(VLOOKUP($B57,Shortage!$A:$M,AD$2,FALSE)="Shortage",1,IFERROR(ROUND(R57/F57,4),0)),IFERROR(ROUND(R57/F57,4),0))</f>
        <v>0</v>
      </c>
      <c r="AE57" s="123">
        <f>IFERROR(IF(VLOOKUP($B57,Shortage!$A:$M,AE$2,FALSE)="Shortage",1,IFERROR(ROUND(S57/G57,4),0)),IFERROR(ROUND(S57/G57,4),0))</f>
        <v>0</v>
      </c>
      <c r="AF57" s="123">
        <f>IFERROR(IF(VLOOKUP($B57,Shortage!$A:$M,AF$2,FALSE)="Shortage",1,IFERROR(ROUND(T57/H57,4),0)),IFERROR(ROUND(T57/H57,4),0))</f>
        <v>0</v>
      </c>
      <c r="AG57" s="123">
        <f>IFERROR(IF(VLOOKUP($B57,Shortage!$A:$M,AG$2,FALSE)="Shortage",1,IFERROR(ROUND(U57/I57,4),0)),IFERROR(ROUND(U57/I57,4),0))</f>
        <v>0</v>
      </c>
      <c r="AH57" s="123">
        <f>IFERROR(IF(VLOOKUP($B57,Shortage!$A:$M,AH$2,FALSE)="Shortage",1,IFERROR(ROUND(V57/J57,4),0)),IFERROR(ROUND(V57/J57,4),0))</f>
        <v>0</v>
      </c>
      <c r="AI57" s="123">
        <f>IFERROR(IF(VLOOKUP($B57,Shortage!$A:$M,AI$2,FALSE)="Shortage",1,IFERROR(ROUND(W57/K57,4),0)),IFERROR(ROUND(W57/K57,4),0))</f>
        <v>0</v>
      </c>
      <c r="AJ57" s="123">
        <f>IFERROR(IF(VLOOKUP($B57,Shortage!$A:$M,AP$2,FALSE)="Shortage",1,IFERROR(ROUND(X57/L57,4),0)),IFERROR(ROUND(X57/L57,4),0))</f>
        <v>0</v>
      </c>
      <c r="AK57" s="123">
        <f>IFERROR(IF(VLOOKUP($B57,Shortage!$A:$M,AK$2,FALSE)="Shortage",1,IFERROR(ROUND(Y57/M57,4),0)),IFERROR(ROUND(Y57/M57,4),0))</f>
        <v>0</v>
      </c>
      <c r="AL57" s="123">
        <f>IFERROR(IF(VLOOKUP($B57,Shortage!$A:$M,AL$2,FALSE)="Shortage",1,IFERROR(ROUND(Z57/N57,4),0)),IFERROR(ROUND(Z57/N57,4),0))</f>
        <v>0</v>
      </c>
      <c r="AM57" s="123">
        <f>IFERROR(IF(VLOOKUP($B57,Shortage!$A:$M,AM$2,FALSE)="Shortage",1,IFERROR(ROUND(AA57/O57,4),0)),IFERROR(ROUND(AA57/O57,4),0))</f>
        <v>0</v>
      </c>
      <c r="AN57" s="232">
        <f>IFERROR(IF($C57="Top WS",VLOOKUP("GOAL",'2) หลักการคำนวน Table'!$D$4:$M$4,HLOOKUP(AB57,'2) หลักการคำนวน Table'!$D$1:$M$5,5,TRUE),0),
IF($C57="WS SF",VLOOKUP("GOAL",'2) หลักการคำนวน Table'!$D$32:$M$32,HLOOKUP(AB57,'2) หลักการคำนวน Table'!$D$1:$M$5,5,TRUE),0),
IF($C57="WS WH",VLOOKUP("GOAL",'2) หลักการคำนวน Table'!$D$62:$M$62,HLOOKUP(AB57,'2) หลักการคำนวน Table'!$D$1:$M$5,5,TRUE),0),
IF($C57="SF WH",VLOOKUP("GOAL",'2) หลักการคำนวน Table'!$D$92:$M$92,HLOOKUP(AB57,'2) หลักการคำนวน Table'!$D$1:$M$5,5,TRUE),0))))),0)</f>
        <v>0.9</v>
      </c>
      <c r="AO57" s="232">
        <f>IFERROR(IF($C57="Top WS",VLOOKUP("GOAL",'2) หลักการคำนวน Table'!$D$4:$M$4,HLOOKUP(AC57,'2) หลักการคำนวน Table'!$D$1:$M$5,5,TRUE),0),
IF($C57="WS SF",VLOOKUP("GOAL",'2) หลักการคำนวน Table'!$D$32:$M$32,HLOOKUP(AC57,'2) หลักการคำนวน Table'!$D$1:$M$5,5,TRUE),0),
IF($C57="WS WH",VLOOKUP("GOAL",'2) หลักการคำนวน Table'!$D$62:$M$62,HLOOKUP(AC57,'2) หลักการคำนวน Table'!$D$1:$M$5,5,TRUE),0),
IF($C57="SF WH",VLOOKUP("GOAL",'2) หลักการคำนวน Table'!$D$92:$M$92,HLOOKUP(AC57,'2) หลักการคำนวน Table'!$D$1:$M$5,5,TRUE),0))))),0)</f>
        <v>0.9</v>
      </c>
      <c r="AP57" s="232">
        <f>IFERROR(IF($C57="Top WS",VLOOKUP("GOAL",'2) หลักการคำนวน Table'!$D$4:$M$4,HLOOKUP(AD57,'2) หลักการคำนวน Table'!$D$1:$M$5,5,TRUE),0),
IF($C57="WS SF",VLOOKUP("GOAL",'2) หลักการคำนวน Table'!$D$32:$M$32,HLOOKUP(AD57,'2) หลักการคำนวน Table'!$D$1:$M$5,5,TRUE),0),
IF($C57="WS WH",VLOOKUP("GOAL",'2) หลักการคำนวน Table'!$D$62:$M$62,HLOOKUP(AD57,'2) หลักการคำนวน Table'!$D$1:$M$5,5,TRUE),0),
IF($C57="SF WH",VLOOKUP("GOAL",'2) หลักการคำนวน Table'!$D$92:$M$92,HLOOKUP(AD57,'2) หลักการคำนวน Table'!$D$1:$M$5,5,TRUE),0))))),0)</f>
        <v>0.9</v>
      </c>
      <c r="AQ57" s="232">
        <f>IFERROR(IF($C57="Top WS",VLOOKUP("GOAL",'2) หลักการคำนวน Table'!$D$4:$M$4,HLOOKUP(AE57,'2) หลักการคำนวน Table'!$D$1:$M$5,5,TRUE),0),
IF($C57="WS SF",VLOOKUP("GOAL",'2) หลักการคำนวน Table'!$D$32:$M$32,HLOOKUP(AE57,'2) หลักการคำนวน Table'!$D$1:$M$5,5,TRUE),0),
IF($C57="WS WH",VLOOKUP("GOAL",'2) หลักการคำนวน Table'!$D$62:$M$62,HLOOKUP(AE57,'2) หลักการคำนวน Table'!$D$1:$M$5,5,TRUE),0),
IF($C57="SF WH",VLOOKUP("GOAL",'2) หลักการคำนวน Table'!$D$92:$M$92,HLOOKUP(AE57,'2) หลักการคำนวน Table'!$D$1:$M$5,5,TRUE),0))))),0)</f>
        <v>0.9</v>
      </c>
      <c r="AR57" s="232">
        <f>IFERROR(IF($C57="Top WS",VLOOKUP("GOAL",'2) หลักการคำนวน Table'!$D$4:$M$4,HLOOKUP(AF57,'2) หลักการคำนวน Table'!$D$1:$M$5,5,TRUE),0),
IF($C57="WS SF",VLOOKUP("GOAL",'2) หลักการคำนวน Table'!$D$32:$M$32,HLOOKUP(AF57,'2) หลักการคำนวน Table'!$D$1:$M$5,5,TRUE),0),
IF($C57="WS WH",VLOOKUP("GOAL",'2) หลักการคำนวน Table'!$D$62:$M$62,HLOOKUP(AF57,'2) หลักการคำนวน Table'!$D$1:$M$5,5,TRUE),0),
IF($C57="SF WH",VLOOKUP("GOAL",'2) หลักการคำนวน Table'!$D$92:$M$92,HLOOKUP(AF57,'2) หลักการคำนวน Table'!$D$1:$M$5,5,TRUE),0))))),0)</f>
        <v>0.9</v>
      </c>
      <c r="AS57" s="232">
        <f>IFERROR(IF($C57="Top WS",VLOOKUP("GOAL",'2) หลักการคำนวน Table'!$D$4:$M$4,HLOOKUP(AG57,'2) หลักการคำนวน Table'!$D$1:$M$5,5,TRUE),0),
IF($C57="WS SF",VLOOKUP("GOAL",'2) หลักการคำนวน Table'!$D$32:$M$32,HLOOKUP(AG57,'2) หลักการคำนวน Table'!$D$1:$M$5,5,TRUE),0),
IF($C57="WS WH",VLOOKUP("GOAL",'2) หลักการคำนวน Table'!$D$62:$M$62,HLOOKUP(AG57,'2) หลักการคำนวน Table'!$D$1:$M$5,5,TRUE),0),
IF($C57="SF WH",VLOOKUP("GOAL",'2) หลักการคำนวน Table'!$D$92:$M$92,HLOOKUP(AG57,'2) หลักการคำนวน Table'!$D$1:$M$5,5,TRUE),0))))),0)</f>
        <v>0.9</v>
      </c>
      <c r="AT57" s="232">
        <f>IFERROR(IF($C57="Top WS",VLOOKUP("GOAL",'2) หลักการคำนวน Table'!$D$4:$M$4,HLOOKUP(AH57,'2) หลักการคำนวน Table'!$D$1:$M$5,5,TRUE),0),
IF($C57="WS SF",VLOOKUP("GOAL",'2) หลักการคำนวน Table'!$D$32:$M$32,HLOOKUP(AH57,'2) หลักการคำนวน Table'!$D$1:$M$5,5,TRUE),0),
IF($C57="WS WH",VLOOKUP("GOAL",'2) หลักการคำนวน Table'!$D$62:$M$62,HLOOKUP(AH57,'2) หลักการคำนวน Table'!$D$1:$M$5,5,TRUE),0),
IF($C57="SF WH",VLOOKUP("GOAL",'2) หลักการคำนวน Table'!$D$92:$M$92,HLOOKUP(AH57,'2) หลักการคำนวน Table'!$D$1:$M$5,5,TRUE),0))))),0)</f>
        <v>0.9</v>
      </c>
      <c r="AU57" s="232">
        <f>IFERROR(IF($C57="Top WS",VLOOKUP("GOAL",'2) หลักการคำนวน Table'!$D$4:$M$4,HLOOKUP(AI57,'2) หลักการคำนวน Table'!$D$1:$M$5,5,TRUE),0),
IF($C57="WS SF",VLOOKUP("GOAL",'2) หลักการคำนวน Table'!$D$32:$M$32,HLOOKUP(AI57,'2) หลักการคำนวน Table'!$D$1:$M$5,5,TRUE),0),
IF($C57="WS WH",VLOOKUP("GOAL",'2) หลักการคำนวน Table'!$D$62:$M$62,HLOOKUP(AI57,'2) หลักการคำนวน Table'!$D$1:$M$5,5,TRUE),0),
IF($C57="SF WH",VLOOKUP("GOAL",'2) หลักการคำนวน Table'!$D$92:$M$92,HLOOKUP(AI57,'2) หลักการคำนวน Table'!$D$1:$M$5,5,TRUE),0))))),0)</f>
        <v>0.9</v>
      </c>
      <c r="AV57" s="232">
        <f>IFERROR(IF($C57="Top WS",VLOOKUP("GOAL",'2) หลักการคำนวน Table'!$D$4:$M$4,HLOOKUP(AP57,'2) หลักการคำนวน Table'!$D$1:$M$5,5,TRUE),0),
IF($C57="WS SF",VLOOKUP("GOAL",'2) หลักการคำนวน Table'!$D$32:$M$32,HLOOKUP(AP57,'2) หลักการคำนวน Table'!$D$1:$M$5,5,TRUE),0),
IF($C57="WS WH",VLOOKUP("GOAL",'2) หลักการคำนวน Table'!$D$62:$M$62,HLOOKUP(AP57,'2) หลักการคำนวน Table'!$D$1:$M$5,5,TRUE),0),
IF($C57="SF WH",VLOOKUP("GOAL",'2) หลักการคำนวน Table'!$D$92:$M$92,HLOOKUP(AP57,'2) หลักการคำนวน Table'!$D$1:$M$5,5,TRUE),0))))),0)</f>
        <v>0.9</v>
      </c>
      <c r="AW57" s="232">
        <f>IFERROR(IF($C57="Top WS",VLOOKUP("GOAL",'2) หลักการคำนวน Table'!$D$4:$M$4,HLOOKUP(AK57,'2) หลักการคำนวน Table'!$D$1:$M$5,5,TRUE),0),
IF($C57="WS SF",VLOOKUP("GOAL",'2) หลักการคำนวน Table'!$D$32:$M$32,HLOOKUP(AK57,'2) หลักการคำนวน Table'!$D$1:$M$5,5,TRUE),0),
IF($C57="WS WH",VLOOKUP("GOAL",'2) หลักการคำนวน Table'!$D$62:$M$62,HLOOKUP(AK57,'2) หลักการคำนวน Table'!$D$1:$M$5,5,TRUE),0),
IF($C57="SF WH",VLOOKUP("GOAL",'2) หลักการคำนวน Table'!$D$92:$M$92,HLOOKUP(AK57,'2) หลักการคำนวน Table'!$D$1:$M$5,5,TRUE),0))))),0)</f>
        <v>0.9</v>
      </c>
      <c r="AX57" s="232">
        <f>IFERROR(IF($C57="Top WS",VLOOKUP("GOAL",'2) หลักการคำนวน Table'!$D$4:$M$4,HLOOKUP(AL57,'2) หลักการคำนวน Table'!$D$1:$M$5,5,TRUE),0),
IF($C57="WS SF",VLOOKUP("GOAL",'2) หลักการคำนวน Table'!$D$32:$M$32,HLOOKUP(AL57,'2) หลักการคำนวน Table'!$D$1:$M$5,5,TRUE),0),
IF($C57="WS WH",VLOOKUP("GOAL",'2) หลักการคำนวน Table'!$D$62:$M$62,HLOOKUP(AL57,'2) หลักการคำนวน Table'!$D$1:$M$5,5,TRUE),0),
IF($C57="SF WH",VLOOKUP("GOAL",'2) หลักการคำนวน Table'!$D$92:$M$92,HLOOKUP(AL57,'2) หลักการคำนวน Table'!$D$1:$M$5,5,TRUE),0))))),0)</f>
        <v>0.9</v>
      </c>
      <c r="AY57" s="232">
        <f>IFERROR(IF($C57="Top WS",VLOOKUP("GOAL",'2) หลักการคำนวน Table'!$D$4:$M$4,HLOOKUP(AM57,'2) หลักการคำนวน Table'!$D$1:$M$5,5,TRUE),0),
IF($C57="WS SF",VLOOKUP("GOAL",'2) หลักการคำนวน Table'!$D$32:$M$32,HLOOKUP(AM57,'2) หลักการคำนวน Table'!$D$1:$M$5,5,TRUE),0),
IF($C57="WS WH",VLOOKUP("GOAL",'2) หลักการคำนวน Table'!$D$62:$M$62,HLOOKUP(AM57,'2) หลักการคำนวน Table'!$D$1:$M$5,5,TRUE),0),
IF($C57="SF WH",VLOOKUP("GOAL",'2) หลักการคำนวน Table'!$D$92:$M$92,HLOOKUP(AM57,'2) หลักการคำนวน Table'!$D$1:$M$5,5,TRUE),0))))),0)</f>
        <v>0.9</v>
      </c>
      <c r="AZ57" s="167">
        <f>IFERROR(IF($C57="Top WS",VLOOKUP($B57,'2) หลักการคำนวน Table'!$D$5:$M$20,HLOOKUP(AB57,'2) หลักการคำนวน Table'!$D$1:$M$5,5,TRUE),0),
IF($C57="WS SF",VLOOKUP($B57,'2) หลักการคำนวน Table'!$D$33:$M$48,HLOOKUP(AB57,'2) หลักการคำนวน Table'!$D$1:$M$5,5,TRUE),0),
IF($C57="WS WH",VLOOKUP($B57,'2) หลักการคำนวน Table'!$D$63:$M$78,HLOOKUP(AB57,'2) หลักการคำนวน Table'!$D$1:$M$5,5,TRUE),0),
IF($C57="SF WH",VLOOKUP($B57,'2) หลักการคำนวน Table'!$D$93:$M$108,HLOOKUP(AB57,'2) หลักการคำนวน Table'!$D$1:$M$5,5,TRUE),0))))),0)</f>
        <v>360</v>
      </c>
      <c r="BA57" s="167">
        <f>IFERROR(IF($C57="Top WS",VLOOKUP($B57,'2) หลักการคำนวน Table'!$D$5:$M$20,HLOOKUP(AC57,'2) หลักการคำนวน Table'!$D$1:$M$5,5,TRUE),0),
IF($C57="WS SF",VLOOKUP($B57,'2) หลักการคำนวน Table'!$D$33:$M$48,HLOOKUP(AC57,'2) หลักการคำนวน Table'!$D$1:$M$5,5,TRUE),0),
IF($C57="WS WH",VLOOKUP($B57,'2) หลักการคำนวน Table'!$D$63:$M$78,HLOOKUP(AC57,'2) หลักการคำนวน Table'!$D$1:$M$5,5,TRUE),0),
IF($C57="SF WH",VLOOKUP($B57,'2) หลักการคำนวน Table'!$D$93:$M$108,HLOOKUP(AC57,'2) หลักการคำนวน Table'!$D$1:$M$5,5,TRUE),0))))),0)</f>
        <v>360</v>
      </c>
      <c r="BB57" s="167">
        <f>IFERROR(IF($C57="Top WS",VLOOKUP($B57,'2) หลักการคำนวน Table'!$D$5:$M$20,HLOOKUP(AD57,'2) หลักการคำนวน Table'!$D$1:$M$5,5,TRUE),0),
IF($C57="WS SF",VLOOKUP($B57,'2) หลักการคำนวน Table'!$D$33:$M$48,HLOOKUP(AD57,'2) หลักการคำนวน Table'!$D$1:$M$5,5,TRUE),0),
IF($C57="WS WH",VLOOKUP($B57,'2) หลักการคำนวน Table'!$D$63:$M$78,HLOOKUP(AD57,'2) หลักการคำนวน Table'!$D$1:$M$5,5,TRUE),0),
IF($C57="SF WH",VLOOKUP($B57,'2) หลักการคำนวน Table'!$D$93:$M$108,HLOOKUP(AD57,'2) หลักการคำนวน Table'!$D$1:$M$5,5,TRUE),0))))),0)</f>
        <v>360</v>
      </c>
      <c r="BC57" s="167">
        <f>IFERROR(IF($C57="Top WS",VLOOKUP($B57,'2) หลักการคำนวน Table'!$D$5:$M$20,HLOOKUP(AE57,'2) หลักการคำนวน Table'!$D$1:$M$5,5,TRUE),0),
IF($C57="WS SF",VLOOKUP($B57,'2) หลักการคำนวน Table'!$D$33:$M$48,HLOOKUP(AE57,'2) หลักการคำนวน Table'!$D$1:$M$5,5,TRUE),0),
IF($C57="WS WH",VLOOKUP($B57,'2) หลักการคำนวน Table'!$D$63:$M$78,HLOOKUP(AE57,'2) หลักการคำนวน Table'!$D$1:$M$5,5,TRUE),0),
IF($C57="SF WH",VLOOKUP($B57,'2) หลักการคำนวน Table'!$D$93:$M$108,HLOOKUP(AE57,'2) หลักการคำนวน Table'!$D$1:$M$5,5,TRUE),0))))),0)</f>
        <v>360</v>
      </c>
      <c r="BD57" s="167">
        <f>IFERROR(IF($C57="Top WS",VLOOKUP($B57,'2) หลักการคำนวน Table'!$D$5:$M$20,HLOOKUP(AF57,'2) หลักการคำนวน Table'!$D$1:$M$5,5,TRUE),0),
IF($C57="WS SF",VLOOKUP($B57,'2) หลักการคำนวน Table'!$D$33:$M$48,HLOOKUP(AF57,'2) หลักการคำนวน Table'!$D$1:$M$5,5,TRUE),0),
IF($C57="WS WH",VLOOKUP($B57,'2) หลักการคำนวน Table'!$D$63:$M$78,HLOOKUP(AF57,'2) หลักการคำนวน Table'!$D$1:$M$5,5,TRUE),0),
IF($C57="SF WH",VLOOKUP($B57,'2) หลักการคำนวน Table'!$D$93:$M$108,HLOOKUP(AF57,'2) หลักการคำนวน Table'!$D$1:$M$5,5,TRUE),0))))),0)</f>
        <v>360</v>
      </c>
      <c r="BE57" s="167">
        <f>IFERROR(IF($C57="Top WS",VLOOKUP($B57,'2) หลักการคำนวน Table'!$D$5:$M$20,HLOOKUP(AG57,'2) หลักการคำนวน Table'!$D$1:$M$5,5,TRUE),0),
IF($C57="WS SF",VLOOKUP($B57,'2) หลักการคำนวน Table'!$D$33:$M$48,HLOOKUP(AG57,'2) หลักการคำนวน Table'!$D$1:$M$5,5,TRUE),0),
IF($C57="WS WH",VLOOKUP($B57,'2) หลักการคำนวน Table'!$D$63:$M$78,HLOOKUP(AG57,'2) หลักการคำนวน Table'!$D$1:$M$5,5,TRUE),0),
IF($C57="SF WH",VLOOKUP($B57,'2) หลักการคำนวน Table'!$D$93:$M$108,HLOOKUP(AG57,'2) หลักการคำนวน Table'!$D$1:$M$5,5,TRUE),0))))),0)</f>
        <v>360</v>
      </c>
      <c r="BF57" s="167">
        <f>IFERROR(IF($C57="Top WS",VLOOKUP($B57,'2) หลักการคำนวน Table'!$D$5:$M$20,HLOOKUP(AH57,'2) หลักการคำนวน Table'!$D$1:$M$5,5,TRUE),0),
IF($C57="WS SF",VLOOKUP($B57,'2) หลักการคำนวน Table'!$D$33:$M$48,HLOOKUP(AH57,'2) หลักการคำนวน Table'!$D$1:$M$5,5,TRUE),0),
IF($C57="WS WH",VLOOKUP($B57,'2) หลักการคำนวน Table'!$D$63:$M$78,HLOOKUP(AH57,'2) หลักการคำนวน Table'!$D$1:$M$5,5,TRUE),0),
IF($C57="SF WH",VLOOKUP($B57,'2) หลักการคำนวน Table'!$D$93:$M$108,HLOOKUP(AH57,'2) หลักการคำนวน Table'!$D$1:$M$5,5,TRUE),0))))),0)</f>
        <v>360</v>
      </c>
      <c r="BG57" s="167">
        <f>IFERROR(IF($C57="Top WS",VLOOKUP($B57,'2) หลักการคำนวน Table'!$D$5:$M$20,HLOOKUP(AI57,'2) หลักการคำนวน Table'!$D$1:$M$5,5,TRUE),0),
IF($C57="WS SF",VLOOKUP($B57,'2) หลักการคำนวน Table'!$D$33:$M$48,HLOOKUP(AI57,'2) หลักการคำนวน Table'!$D$1:$M$5,5,TRUE),0),
IF($C57="WS WH",VLOOKUP($B57,'2) หลักการคำนวน Table'!$D$63:$M$78,HLOOKUP(AI57,'2) หลักการคำนวน Table'!$D$1:$M$5,5,TRUE),0),
IF($C57="SF WH",VLOOKUP($B57,'2) หลักการคำนวน Table'!$D$93:$M$108,HLOOKUP(AI57,'2) หลักการคำนวน Table'!$D$1:$M$5,5,TRUE),0))))),0)</f>
        <v>360</v>
      </c>
      <c r="BH57" s="167">
        <f>IFERROR(IF($C57="Top WS",VLOOKUP($B57,'2) หลักการคำนวน Table'!$D$5:$M$20,HLOOKUP(AP57,'2) หลักการคำนวน Table'!$D$1:$M$5,5,TRUE),0),
IF($C57="WS SF",VLOOKUP($B57,'2) หลักการคำนวน Table'!$D$33:$M$48,HLOOKUP(AP57,'2) หลักการคำนวน Table'!$D$1:$M$5,5,TRUE),0),
IF($C57="WS WH",VLOOKUP($B57,'2) หลักการคำนวน Table'!$D$63:$M$78,HLOOKUP(AP57,'2) หลักการคำนวน Table'!$D$1:$M$5,5,TRUE),0),
IF($C57="SF WH",VLOOKUP($B57,'2) หลักการคำนวน Table'!$D$93:$M$108,HLOOKUP(AP57,'2) หลักการคำนวน Table'!$D$1:$M$5,5,TRUE),0))))),0)</f>
        <v>360</v>
      </c>
      <c r="BI57" s="167">
        <f>IFERROR(IF($C57="Top WS",VLOOKUP($B57,'2) หลักการคำนวน Table'!$D$5:$M$20,HLOOKUP(AK57,'2) หลักการคำนวน Table'!$D$1:$M$5,5,TRUE),0),
IF($C57="WS SF",VLOOKUP($B57,'2) หลักการคำนวน Table'!$D$33:$M$48,HLOOKUP(AK57,'2) หลักการคำนวน Table'!$D$1:$M$5,5,TRUE),0),
IF($C57="WS WH",VLOOKUP($B57,'2) หลักการคำนวน Table'!$D$63:$M$78,HLOOKUP(AK57,'2) หลักการคำนวน Table'!$D$1:$M$5,5,TRUE),0),
IF($C57="SF WH",VLOOKUP($B57,'2) หลักการคำนวน Table'!$D$93:$M$108,HLOOKUP(AK57,'2) หลักการคำนวน Table'!$D$1:$M$5,5,TRUE),0))))),0)</f>
        <v>360</v>
      </c>
      <c r="BJ57" s="167">
        <f>IFERROR(IF($C57="Top WS",VLOOKUP($B57,'2) หลักการคำนวน Table'!$D$5:$M$20,HLOOKUP(AL57,'2) หลักการคำนวน Table'!$D$1:$M$5,5,TRUE),0),
IF($C57="WS SF",VLOOKUP($B57,'2) หลักการคำนวน Table'!$D$33:$M$48,HLOOKUP(AL57,'2) หลักการคำนวน Table'!$D$1:$M$5,5,TRUE),0),
IF($C57="WS WH",VLOOKUP($B57,'2) หลักการคำนวน Table'!$D$63:$M$78,HLOOKUP(AL57,'2) หลักการคำนวน Table'!$D$1:$M$5,5,TRUE),0),
IF($C57="SF WH",VLOOKUP($B57,'2) หลักการคำนวน Table'!$D$93:$M$108,HLOOKUP(AL57,'2) หลักการคำนวน Table'!$D$1:$M$5,5,TRUE),0))))),0)</f>
        <v>360</v>
      </c>
      <c r="BK57" s="167">
        <f>IFERROR(IF($C57="Top WS",VLOOKUP($B57,'2) หลักการคำนวน Table'!$D$5:$M$20,HLOOKUP(AM57,'2) หลักการคำนวน Table'!$D$1:$M$5,5,TRUE),0),
IF($C57="WS SF",VLOOKUP($B57,'2) หลักการคำนวน Table'!$D$33:$M$48,HLOOKUP(AM57,'2) หลักการคำนวน Table'!$D$1:$M$5,5,TRUE),0),
IF($C57="WS WH",VLOOKUP($B57,'2) หลักการคำนวน Table'!$D$63:$M$78,HLOOKUP(AM57,'2) หลักการคำนวน Table'!$D$1:$M$5,5,TRUE),0),
IF($C57="SF WH",VLOOKUP($B57,'2) หลักการคำนวน Table'!$D$93:$M$108,HLOOKUP(AM57,'2) หลักการคำนวน Table'!$D$1:$M$5,5,TRUE),0))))),0)</f>
        <v>360</v>
      </c>
      <c r="BM57" s="119">
        <f>VLOOKUP(VLOOKUP(A57,ASTBase!E:S,13,FALSE),ASTBase!F:P,11,FALSE)</f>
        <v>140000</v>
      </c>
      <c r="BN57" s="196" cm="1">
        <f t="array" ref="BN57">INDEX(AN57:AY57,,Period!$D$2)</f>
        <v>0.9</v>
      </c>
    </row>
    <row r="58" spans="1:66" x14ac:dyDescent="0.25">
      <c r="A58" s="117">
        <v>140001</v>
      </c>
      <c r="B58" s="117" t="s">
        <v>393</v>
      </c>
      <c r="C58" s="117" t="s">
        <v>178</v>
      </c>
      <c r="D58" s="118">
        <v>145</v>
      </c>
      <c r="E58" s="118">
        <v>103</v>
      </c>
      <c r="F58" s="118">
        <v>110</v>
      </c>
      <c r="G58" s="118">
        <v>112</v>
      </c>
      <c r="H58" s="118">
        <v>91</v>
      </c>
      <c r="I58" s="118">
        <v>107</v>
      </c>
      <c r="J58" s="118">
        <v>136</v>
      </c>
      <c r="K58" s="118">
        <v>141</v>
      </c>
      <c r="L58" s="118">
        <v>134</v>
      </c>
      <c r="M58" s="118">
        <v>139</v>
      </c>
      <c r="N58" s="118">
        <v>107</v>
      </c>
      <c r="O58" s="118">
        <v>108</v>
      </c>
      <c r="P58" s="117">
        <f>SUMIFS(Actual!C:C,Actual!$A:$A,'3)Target &amp; Cal'!$A58,Actual!$B:$B,'3)Target &amp; Cal'!$B58)</f>
        <v>120</v>
      </c>
      <c r="Q58" s="117">
        <f>SUMIFS(Actual!D:D,Actual!$A:$A,'3)Target &amp; Cal'!$A58,Actual!$B:$B,'3)Target &amp; Cal'!$B58)</f>
        <v>120</v>
      </c>
      <c r="R58" s="117">
        <f>SUMIFS(Actual!E:E,Actual!$A:$A,'3)Target &amp; Cal'!$A58,Actual!$B:$B,'3)Target &amp; Cal'!$B58)</f>
        <v>0</v>
      </c>
      <c r="S58" s="117">
        <f>SUMIFS(Actual!F:F,Actual!$A:$A,'3)Target &amp; Cal'!$A58,Actual!$B:$B,'3)Target &amp; Cal'!$B58)</f>
        <v>0</v>
      </c>
      <c r="T58" s="117">
        <f>SUMIFS(Actual!G:G,Actual!$A:$A,'3)Target &amp; Cal'!$A58,Actual!$B:$B,'3)Target &amp; Cal'!$B58)</f>
        <v>0</v>
      </c>
      <c r="U58" s="117">
        <f>SUMIFS(Actual!H:H,Actual!$A:$A,'3)Target &amp; Cal'!$A58,Actual!$B:$B,'3)Target &amp; Cal'!$B58)</f>
        <v>0</v>
      </c>
      <c r="V58" s="117">
        <f>SUMIFS(Actual!I:I,Actual!$A:$A,'3)Target &amp; Cal'!$A58,Actual!$B:$B,'3)Target &amp; Cal'!$B58)</f>
        <v>0</v>
      </c>
      <c r="W58" s="117">
        <f>SUMIFS(Actual!J:J,Actual!$A:$A,'3)Target &amp; Cal'!$A58,Actual!$B:$B,'3)Target &amp; Cal'!$B58)</f>
        <v>0</v>
      </c>
      <c r="X58" s="117">
        <f>SUMIFS(Actual!K:K,Actual!$A:$A,'3)Target &amp; Cal'!$A58,Actual!$B:$B,'3)Target &amp; Cal'!$B58)</f>
        <v>0</v>
      </c>
      <c r="Y58" s="117">
        <f>SUMIFS(Actual!L:L,Actual!$A:$A,'3)Target &amp; Cal'!$A58,Actual!$B:$B,'3)Target &amp; Cal'!$B58)</f>
        <v>0</v>
      </c>
      <c r="Z58" s="117">
        <f>SUMIFS(Actual!M:M,Actual!$A:$A,'3)Target &amp; Cal'!$A58,Actual!$B:$B,'3)Target &amp; Cal'!$B58)</f>
        <v>0</v>
      </c>
      <c r="AA58" s="117">
        <f>SUMIFS(Actual!N:N,Actual!$A:$A,'3)Target &amp; Cal'!$A58,Actual!$B:$B,'3)Target &amp; Cal'!$B58)</f>
        <v>0</v>
      </c>
      <c r="AB58" s="123">
        <f>IFERROR(IF(VLOOKUP($B58,Shortage!$A:$M,AB$2,FALSE)="Shortage",1,IFERROR(ROUND(P58/D58,4),0)),IFERROR(ROUND(P58/D58,4),0))</f>
        <v>0.8276</v>
      </c>
      <c r="AC58" s="123">
        <f>IFERROR(IF(VLOOKUP($B58,Shortage!$A:$M,AC$2,FALSE)="Shortage",1,IFERROR(ROUND(Q58/E58,4),0)),IFERROR(ROUND(Q58/E58,4),0))</f>
        <v>1.165</v>
      </c>
      <c r="AD58" s="123">
        <f>IFERROR(IF(VLOOKUP($B58,Shortage!$A:$M,AD$2,FALSE)="Shortage",1,IFERROR(ROUND(R58/F58,4),0)),IFERROR(ROUND(R58/F58,4),0))</f>
        <v>0</v>
      </c>
      <c r="AE58" s="123">
        <f>IFERROR(IF(VLOOKUP($B58,Shortage!$A:$M,AE$2,FALSE)="Shortage",1,IFERROR(ROUND(S58/G58,4),0)),IFERROR(ROUND(S58/G58,4),0))</f>
        <v>0</v>
      </c>
      <c r="AF58" s="123">
        <f>IFERROR(IF(VLOOKUP($B58,Shortage!$A:$M,AF$2,FALSE)="Shortage",1,IFERROR(ROUND(T58/H58,4),0)),IFERROR(ROUND(T58/H58,4),0))</f>
        <v>0</v>
      </c>
      <c r="AG58" s="123">
        <f>IFERROR(IF(VLOOKUP($B58,Shortage!$A:$M,AG$2,FALSE)="Shortage",1,IFERROR(ROUND(U58/I58,4),0)),IFERROR(ROUND(U58/I58,4),0))</f>
        <v>0</v>
      </c>
      <c r="AH58" s="123">
        <f>IFERROR(IF(VLOOKUP($B58,Shortage!$A:$M,AH$2,FALSE)="Shortage",1,IFERROR(ROUND(V58/J58,4),0)),IFERROR(ROUND(V58/J58,4),0))</f>
        <v>0</v>
      </c>
      <c r="AI58" s="123">
        <f>IFERROR(IF(VLOOKUP($B58,Shortage!$A:$M,AI$2,FALSE)="Shortage",1,IFERROR(ROUND(W58/K58,4),0)),IFERROR(ROUND(W58/K58,4),0))</f>
        <v>0</v>
      </c>
      <c r="AJ58" s="123">
        <f>IFERROR(IF(VLOOKUP($B58,Shortage!$A:$M,AP$2,FALSE)="Shortage",1,IFERROR(ROUND(X58/L58,4),0)),IFERROR(ROUND(X58/L58,4),0))</f>
        <v>0</v>
      </c>
      <c r="AK58" s="123">
        <f>IFERROR(IF(VLOOKUP($B58,Shortage!$A:$M,AK$2,FALSE)="Shortage",1,IFERROR(ROUND(Y58/M58,4),0)),IFERROR(ROUND(Y58/M58,4),0))</f>
        <v>0</v>
      </c>
      <c r="AL58" s="123">
        <f>IFERROR(IF(VLOOKUP($B58,Shortage!$A:$M,AL$2,FALSE)="Shortage",1,IFERROR(ROUND(Z58/N58,4),0)),IFERROR(ROUND(Z58/N58,4),0))</f>
        <v>0</v>
      </c>
      <c r="AM58" s="123">
        <f>IFERROR(IF(VLOOKUP($B58,Shortage!$A:$M,AM$2,FALSE)="Shortage",1,IFERROR(ROUND(AA58/O58,4),0)),IFERROR(ROUND(AA58/O58,4),0))</f>
        <v>0</v>
      </c>
      <c r="AN58" s="232">
        <f>IFERROR(IF($C58="Top WS",VLOOKUP("GOAL",'2) หลักการคำนวน Table'!$D$4:$M$4,HLOOKUP(AB58,'2) หลักการคำนวน Table'!$D$1:$M$5,5,TRUE),0),
IF($C58="WS SF",VLOOKUP("GOAL",'2) หลักการคำนวน Table'!$D$32:$M$32,HLOOKUP(AB58,'2) หลักการคำนวน Table'!$D$1:$M$5,5,TRUE),0),
IF($C58="WS WH",VLOOKUP("GOAL",'2) หลักการคำนวน Table'!$D$62:$M$62,HLOOKUP(AB58,'2) หลักการคำนวน Table'!$D$1:$M$5,5,TRUE),0),
IF($C58="SF WH",VLOOKUP("GOAL",'2) หลักการคำนวน Table'!$D$92:$M$92,HLOOKUP(AB58,'2) หลักการคำนวน Table'!$D$1:$M$5,5,TRUE),0))))),0)</f>
        <v>0.9</v>
      </c>
      <c r="AO58" s="232">
        <f>IFERROR(IF($C58="Top WS",VLOOKUP("GOAL",'2) หลักการคำนวน Table'!$D$4:$M$4,HLOOKUP(AC58,'2) หลักการคำนวน Table'!$D$1:$M$5,5,TRUE),0),
IF($C58="WS SF",VLOOKUP("GOAL",'2) หลักการคำนวน Table'!$D$32:$M$32,HLOOKUP(AC58,'2) หลักการคำนวน Table'!$D$1:$M$5,5,TRUE),0),
IF($C58="WS WH",VLOOKUP("GOAL",'2) หลักการคำนวน Table'!$D$62:$M$62,HLOOKUP(AC58,'2) หลักการคำนวน Table'!$D$1:$M$5,5,TRUE),0),
IF($C58="SF WH",VLOOKUP("GOAL",'2) หลักการคำนวน Table'!$D$92:$M$92,HLOOKUP(AC58,'2) หลักการคำนวน Table'!$D$1:$M$5,5,TRUE),0))))),0)</f>
        <v>1.2</v>
      </c>
      <c r="AP58" s="232">
        <f>IFERROR(IF($C58="Top WS",VLOOKUP("GOAL",'2) หลักการคำนวน Table'!$D$4:$M$4,HLOOKUP(AD58,'2) หลักการคำนวน Table'!$D$1:$M$5,5,TRUE),0),
IF($C58="WS SF",VLOOKUP("GOAL",'2) หลักการคำนวน Table'!$D$32:$M$32,HLOOKUP(AD58,'2) หลักการคำนวน Table'!$D$1:$M$5,5,TRUE),0),
IF($C58="WS WH",VLOOKUP("GOAL",'2) หลักการคำนวน Table'!$D$62:$M$62,HLOOKUP(AD58,'2) หลักการคำนวน Table'!$D$1:$M$5,5,TRUE),0),
IF($C58="SF WH",VLOOKUP("GOAL",'2) หลักการคำนวน Table'!$D$92:$M$92,HLOOKUP(AD58,'2) หลักการคำนวน Table'!$D$1:$M$5,5,TRUE),0))))),0)</f>
        <v>0.9</v>
      </c>
      <c r="AQ58" s="232">
        <f>IFERROR(IF($C58="Top WS",VLOOKUP("GOAL",'2) หลักการคำนวน Table'!$D$4:$M$4,HLOOKUP(AE58,'2) หลักการคำนวน Table'!$D$1:$M$5,5,TRUE),0),
IF($C58="WS SF",VLOOKUP("GOAL",'2) หลักการคำนวน Table'!$D$32:$M$32,HLOOKUP(AE58,'2) หลักการคำนวน Table'!$D$1:$M$5,5,TRUE),0),
IF($C58="WS WH",VLOOKUP("GOAL",'2) หลักการคำนวน Table'!$D$62:$M$62,HLOOKUP(AE58,'2) หลักการคำนวน Table'!$D$1:$M$5,5,TRUE),0),
IF($C58="SF WH",VLOOKUP("GOAL",'2) หลักการคำนวน Table'!$D$92:$M$92,HLOOKUP(AE58,'2) หลักการคำนวน Table'!$D$1:$M$5,5,TRUE),0))))),0)</f>
        <v>0.9</v>
      </c>
      <c r="AR58" s="232">
        <f>IFERROR(IF($C58="Top WS",VLOOKUP("GOAL",'2) หลักการคำนวน Table'!$D$4:$M$4,HLOOKUP(AF58,'2) หลักการคำนวน Table'!$D$1:$M$5,5,TRUE),0),
IF($C58="WS SF",VLOOKUP("GOAL",'2) หลักการคำนวน Table'!$D$32:$M$32,HLOOKUP(AF58,'2) หลักการคำนวน Table'!$D$1:$M$5,5,TRUE),0),
IF($C58="WS WH",VLOOKUP("GOAL",'2) หลักการคำนวน Table'!$D$62:$M$62,HLOOKUP(AF58,'2) หลักการคำนวน Table'!$D$1:$M$5,5,TRUE),0),
IF($C58="SF WH",VLOOKUP("GOAL",'2) หลักการคำนวน Table'!$D$92:$M$92,HLOOKUP(AF58,'2) หลักการคำนวน Table'!$D$1:$M$5,5,TRUE),0))))),0)</f>
        <v>0.9</v>
      </c>
      <c r="AS58" s="232">
        <f>IFERROR(IF($C58="Top WS",VLOOKUP("GOAL",'2) หลักการคำนวน Table'!$D$4:$M$4,HLOOKUP(AG58,'2) หลักการคำนวน Table'!$D$1:$M$5,5,TRUE),0),
IF($C58="WS SF",VLOOKUP("GOAL",'2) หลักการคำนวน Table'!$D$32:$M$32,HLOOKUP(AG58,'2) หลักการคำนวน Table'!$D$1:$M$5,5,TRUE),0),
IF($C58="WS WH",VLOOKUP("GOAL",'2) หลักการคำนวน Table'!$D$62:$M$62,HLOOKUP(AG58,'2) หลักการคำนวน Table'!$D$1:$M$5,5,TRUE),0),
IF($C58="SF WH",VLOOKUP("GOAL",'2) หลักการคำนวน Table'!$D$92:$M$92,HLOOKUP(AG58,'2) หลักการคำนวน Table'!$D$1:$M$5,5,TRUE),0))))),0)</f>
        <v>0.9</v>
      </c>
      <c r="AT58" s="232">
        <f>IFERROR(IF($C58="Top WS",VLOOKUP("GOAL",'2) หลักการคำนวน Table'!$D$4:$M$4,HLOOKUP(AH58,'2) หลักการคำนวน Table'!$D$1:$M$5,5,TRUE),0),
IF($C58="WS SF",VLOOKUP("GOAL",'2) หลักการคำนวน Table'!$D$32:$M$32,HLOOKUP(AH58,'2) หลักการคำนวน Table'!$D$1:$M$5,5,TRUE),0),
IF($C58="WS WH",VLOOKUP("GOAL",'2) หลักการคำนวน Table'!$D$62:$M$62,HLOOKUP(AH58,'2) หลักการคำนวน Table'!$D$1:$M$5,5,TRUE),0),
IF($C58="SF WH",VLOOKUP("GOAL",'2) หลักการคำนวน Table'!$D$92:$M$92,HLOOKUP(AH58,'2) หลักการคำนวน Table'!$D$1:$M$5,5,TRUE),0))))),0)</f>
        <v>0.9</v>
      </c>
      <c r="AU58" s="232">
        <f>IFERROR(IF($C58="Top WS",VLOOKUP("GOAL",'2) หลักการคำนวน Table'!$D$4:$M$4,HLOOKUP(AI58,'2) หลักการคำนวน Table'!$D$1:$M$5,5,TRUE),0),
IF($C58="WS SF",VLOOKUP("GOAL",'2) หลักการคำนวน Table'!$D$32:$M$32,HLOOKUP(AI58,'2) หลักการคำนวน Table'!$D$1:$M$5,5,TRUE),0),
IF($C58="WS WH",VLOOKUP("GOAL",'2) หลักการคำนวน Table'!$D$62:$M$62,HLOOKUP(AI58,'2) หลักการคำนวน Table'!$D$1:$M$5,5,TRUE),0),
IF($C58="SF WH",VLOOKUP("GOAL",'2) หลักการคำนวน Table'!$D$92:$M$92,HLOOKUP(AI58,'2) หลักการคำนวน Table'!$D$1:$M$5,5,TRUE),0))))),0)</f>
        <v>0.9</v>
      </c>
      <c r="AV58" s="232">
        <f>IFERROR(IF($C58="Top WS",VLOOKUP("GOAL",'2) หลักการคำนวน Table'!$D$4:$M$4,HLOOKUP(AP58,'2) หลักการคำนวน Table'!$D$1:$M$5,5,TRUE),0),
IF($C58="WS SF",VLOOKUP("GOAL",'2) หลักการคำนวน Table'!$D$32:$M$32,HLOOKUP(AP58,'2) หลักการคำนวน Table'!$D$1:$M$5,5,TRUE),0),
IF($C58="WS WH",VLOOKUP("GOAL",'2) หลักการคำนวน Table'!$D$62:$M$62,HLOOKUP(AP58,'2) หลักการคำนวน Table'!$D$1:$M$5,5,TRUE),0),
IF($C58="SF WH",VLOOKUP("GOAL",'2) หลักการคำนวน Table'!$D$92:$M$92,HLOOKUP(AP58,'2) หลักการคำนวน Table'!$D$1:$M$5,5,TRUE),0))))),0)</f>
        <v>0.9</v>
      </c>
      <c r="AW58" s="232">
        <f>IFERROR(IF($C58="Top WS",VLOOKUP("GOAL",'2) หลักการคำนวน Table'!$D$4:$M$4,HLOOKUP(AK58,'2) หลักการคำนวน Table'!$D$1:$M$5,5,TRUE),0),
IF($C58="WS SF",VLOOKUP("GOAL",'2) หลักการคำนวน Table'!$D$32:$M$32,HLOOKUP(AK58,'2) หลักการคำนวน Table'!$D$1:$M$5,5,TRUE),0),
IF($C58="WS WH",VLOOKUP("GOAL",'2) หลักการคำนวน Table'!$D$62:$M$62,HLOOKUP(AK58,'2) หลักการคำนวน Table'!$D$1:$M$5,5,TRUE),0),
IF($C58="SF WH",VLOOKUP("GOAL",'2) หลักการคำนวน Table'!$D$92:$M$92,HLOOKUP(AK58,'2) หลักการคำนวน Table'!$D$1:$M$5,5,TRUE),0))))),0)</f>
        <v>0.9</v>
      </c>
      <c r="AX58" s="232">
        <f>IFERROR(IF($C58="Top WS",VLOOKUP("GOAL",'2) หลักการคำนวน Table'!$D$4:$M$4,HLOOKUP(AL58,'2) หลักการคำนวน Table'!$D$1:$M$5,5,TRUE),0),
IF($C58="WS SF",VLOOKUP("GOAL",'2) หลักการคำนวน Table'!$D$32:$M$32,HLOOKUP(AL58,'2) หลักการคำนวน Table'!$D$1:$M$5,5,TRUE),0),
IF($C58="WS WH",VLOOKUP("GOAL",'2) หลักการคำนวน Table'!$D$62:$M$62,HLOOKUP(AL58,'2) หลักการคำนวน Table'!$D$1:$M$5,5,TRUE),0),
IF($C58="SF WH",VLOOKUP("GOAL",'2) หลักการคำนวน Table'!$D$92:$M$92,HLOOKUP(AL58,'2) หลักการคำนวน Table'!$D$1:$M$5,5,TRUE),0))))),0)</f>
        <v>0.9</v>
      </c>
      <c r="AY58" s="232">
        <f>IFERROR(IF($C58="Top WS",VLOOKUP("GOAL",'2) หลักการคำนวน Table'!$D$4:$M$4,HLOOKUP(AM58,'2) หลักการคำนวน Table'!$D$1:$M$5,5,TRUE),0),
IF($C58="WS SF",VLOOKUP("GOAL",'2) หลักการคำนวน Table'!$D$32:$M$32,HLOOKUP(AM58,'2) หลักการคำนวน Table'!$D$1:$M$5,5,TRUE),0),
IF($C58="WS WH",VLOOKUP("GOAL",'2) หลักการคำนวน Table'!$D$62:$M$62,HLOOKUP(AM58,'2) หลักการคำนวน Table'!$D$1:$M$5,5,TRUE),0),
IF($C58="SF WH",VLOOKUP("GOAL",'2) หลักการคำนวน Table'!$D$92:$M$92,HLOOKUP(AM58,'2) หลักการคำนวน Table'!$D$1:$M$5,5,TRUE),0))))),0)</f>
        <v>0.9</v>
      </c>
      <c r="AZ58" s="167">
        <f>IFERROR(IF($C58="Top WS",VLOOKUP($B58,'2) หลักการคำนวน Table'!$D$5:$M$20,HLOOKUP(AB58,'2) หลักการคำนวน Table'!$D$1:$M$5,5,TRUE),0),
IF($C58="WS SF",VLOOKUP($B58,'2) หลักการคำนวน Table'!$D$33:$M$48,HLOOKUP(AB58,'2) หลักการคำนวน Table'!$D$1:$M$5,5,TRUE),0),
IF($C58="WS WH",VLOOKUP($B58,'2) หลักการคำนวน Table'!$D$63:$M$78,HLOOKUP(AB58,'2) หลักการคำนวน Table'!$D$1:$M$5,5,TRUE),0),
IF($C58="SF WH",VLOOKUP($B58,'2) หลักการคำนวน Table'!$D$93:$M$108,HLOOKUP(AB58,'2) หลักการคำนวน Table'!$D$1:$M$5,5,TRUE),0))))),0)</f>
        <v>180</v>
      </c>
      <c r="BA58" s="167">
        <f>IFERROR(IF($C58="Top WS",VLOOKUP($B58,'2) หลักการคำนวน Table'!$D$5:$M$20,HLOOKUP(AC58,'2) หลักการคำนวน Table'!$D$1:$M$5,5,TRUE),0),
IF($C58="WS SF",VLOOKUP($B58,'2) หลักการคำนวน Table'!$D$33:$M$48,HLOOKUP(AC58,'2) หลักการคำนวน Table'!$D$1:$M$5,5,TRUE),0),
IF($C58="WS WH",VLOOKUP($B58,'2) หลักการคำนวน Table'!$D$63:$M$78,HLOOKUP(AC58,'2) หลักการคำนวน Table'!$D$1:$M$5,5,TRUE),0),
IF($C58="SF WH",VLOOKUP($B58,'2) หลักการคำนวน Table'!$D$93:$M$108,HLOOKUP(AC58,'2) หลักการคำนวน Table'!$D$1:$M$5,5,TRUE),0))))),0)</f>
        <v>240</v>
      </c>
      <c r="BB58" s="167">
        <f>IFERROR(IF($C58="Top WS",VLOOKUP($B58,'2) หลักการคำนวน Table'!$D$5:$M$20,HLOOKUP(AD58,'2) หลักการคำนวน Table'!$D$1:$M$5,5,TRUE),0),
IF($C58="WS SF",VLOOKUP($B58,'2) หลักการคำนวน Table'!$D$33:$M$48,HLOOKUP(AD58,'2) หลักการคำนวน Table'!$D$1:$M$5,5,TRUE),0),
IF($C58="WS WH",VLOOKUP($B58,'2) หลักการคำนวน Table'!$D$63:$M$78,HLOOKUP(AD58,'2) หลักการคำนวน Table'!$D$1:$M$5,5,TRUE),0),
IF($C58="SF WH",VLOOKUP($B58,'2) หลักการคำนวน Table'!$D$93:$M$108,HLOOKUP(AD58,'2) หลักการคำนวน Table'!$D$1:$M$5,5,TRUE),0))))),0)</f>
        <v>180</v>
      </c>
      <c r="BC58" s="167">
        <f>IFERROR(IF($C58="Top WS",VLOOKUP($B58,'2) หลักการคำนวน Table'!$D$5:$M$20,HLOOKUP(AE58,'2) หลักการคำนวน Table'!$D$1:$M$5,5,TRUE),0),
IF($C58="WS SF",VLOOKUP($B58,'2) หลักการคำนวน Table'!$D$33:$M$48,HLOOKUP(AE58,'2) หลักการคำนวน Table'!$D$1:$M$5,5,TRUE),0),
IF($C58="WS WH",VLOOKUP($B58,'2) หลักการคำนวน Table'!$D$63:$M$78,HLOOKUP(AE58,'2) หลักการคำนวน Table'!$D$1:$M$5,5,TRUE),0),
IF($C58="SF WH",VLOOKUP($B58,'2) หลักการคำนวน Table'!$D$93:$M$108,HLOOKUP(AE58,'2) หลักการคำนวน Table'!$D$1:$M$5,5,TRUE),0))))),0)</f>
        <v>180</v>
      </c>
      <c r="BD58" s="167">
        <f>IFERROR(IF($C58="Top WS",VLOOKUP($B58,'2) หลักการคำนวน Table'!$D$5:$M$20,HLOOKUP(AF58,'2) หลักการคำนวน Table'!$D$1:$M$5,5,TRUE),0),
IF($C58="WS SF",VLOOKUP($B58,'2) หลักการคำนวน Table'!$D$33:$M$48,HLOOKUP(AF58,'2) หลักการคำนวน Table'!$D$1:$M$5,5,TRUE),0),
IF($C58="WS WH",VLOOKUP($B58,'2) หลักการคำนวน Table'!$D$63:$M$78,HLOOKUP(AF58,'2) หลักการคำนวน Table'!$D$1:$M$5,5,TRUE),0),
IF($C58="SF WH",VLOOKUP($B58,'2) หลักการคำนวน Table'!$D$93:$M$108,HLOOKUP(AF58,'2) หลักการคำนวน Table'!$D$1:$M$5,5,TRUE),0))))),0)</f>
        <v>180</v>
      </c>
      <c r="BE58" s="167">
        <f>IFERROR(IF($C58="Top WS",VLOOKUP($B58,'2) หลักการคำนวน Table'!$D$5:$M$20,HLOOKUP(AG58,'2) หลักการคำนวน Table'!$D$1:$M$5,5,TRUE),0),
IF($C58="WS SF",VLOOKUP($B58,'2) หลักการคำนวน Table'!$D$33:$M$48,HLOOKUP(AG58,'2) หลักการคำนวน Table'!$D$1:$M$5,5,TRUE),0),
IF($C58="WS WH",VLOOKUP($B58,'2) หลักการคำนวน Table'!$D$63:$M$78,HLOOKUP(AG58,'2) หลักการคำนวน Table'!$D$1:$M$5,5,TRUE),0),
IF($C58="SF WH",VLOOKUP($B58,'2) หลักการคำนวน Table'!$D$93:$M$108,HLOOKUP(AG58,'2) หลักการคำนวน Table'!$D$1:$M$5,5,TRUE),0))))),0)</f>
        <v>180</v>
      </c>
      <c r="BF58" s="167">
        <f>IFERROR(IF($C58="Top WS",VLOOKUP($B58,'2) หลักการคำนวน Table'!$D$5:$M$20,HLOOKUP(AH58,'2) หลักการคำนวน Table'!$D$1:$M$5,5,TRUE),0),
IF($C58="WS SF",VLOOKUP($B58,'2) หลักการคำนวน Table'!$D$33:$M$48,HLOOKUP(AH58,'2) หลักการคำนวน Table'!$D$1:$M$5,5,TRUE),0),
IF($C58="WS WH",VLOOKUP($B58,'2) หลักการคำนวน Table'!$D$63:$M$78,HLOOKUP(AH58,'2) หลักการคำนวน Table'!$D$1:$M$5,5,TRUE),0),
IF($C58="SF WH",VLOOKUP($B58,'2) หลักการคำนวน Table'!$D$93:$M$108,HLOOKUP(AH58,'2) หลักการคำนวน Table'!$D$1:$M$5,5,TRUE),0))))),0)</f>
        <v>180</v>
      </c>
      <c r="BG58" s="167">
        <f>IFERROR(IF($C58="Top WS",VLOOKUP($B58,'2) หลักการคำนวน Table'!$D$5:$M$20,HLOOKUP(AI58,'2) หลักการคำนวน Table'!$D$1:$M$5,5,TRUE),0),
IF($C58="WS SF",VLOOKUP($B58,'2) หลักการคำนวน Table'!$D$33:$M$48,HLOOKUP(AI58,'2) หลักการคำนวน Table'!$D$1:$M$5,5,TRUE),0),
IF($C58="WS WH",VLOOKUP($B58,'2) หลักการคำนวน Table'!$D$63:$M$78,HLOOKUP(AI58,'2) หลักการคำนวน Table'!$D$1:$M$5,5,TRUE),0),
IF($C58="SF WH",VLOOKUP($B58,'2) หลักการคำนวน Table'!$D$93:$M$108,HLOOKUP(AI58,'2) หลักการคำนวน Table'!$D$1:$M$5,5,TRUE),0))))),0)</f>
        <v>180</v>
      </c>
      <c r="BH58" s="167">
        <f>IFERROR(IF($C58="Top WS",VLOOKUP($B58,'2) หลักการคำนวน Table'!$D$5:$M$20,HLOOKUP(AP58,'2) หลักการคำนวน Table'!$D$1:$M$5,5,TRUE),0),
IF($C58="WS SF",VLOOKUP($B58,'2) หลักการคำนวน Table'!$D$33:$M$48,HLOOKUP(AP58,'2) หลักการคำนวน Table'!$D$1:$M$5,5,TRUE),0),
IF($C58="WS WH",VLOOKUP($B58,'2) หลักการคำนวน Table'!$D$63:$M$78,HLOOKUP(AP58,'2) หลักการคำนวน Table'!$D$1:$M$5,5,TRUE),0),
IF($C58="SF WH",VLOOKUP($B58,'2) หลักการคำนวน Table'!$D$93:$M$108,HLOOKUP(AP58,'2) หลักการคำนวน Table'!$D$1:$M$5,5,TRUE),0))))),0)</f>
        <v>180</v>
      </c>
      <c r="BI58" s="167">
        <f>IFERROR(IF($C58="Top WS",VLOOKUP($B58,'2) หลักการคำนวน Table'!$D$5:$M$20,HLOOKUP(AK58,'2) หลักการคำนวน Table'!$D$1:$M$5,5,TRUE),0),
IF($C58="WS SF",VLOOKUP($B58,'2) หลักการคำนวน Table'!$D$33:$M$48,HLOOKUP(AK58,'2) หลักการคำนวน Table'!$D$1:$M$5,5,TRUE),0),
IF($C58="WS WH",VLOOKUP($B58,'2) หลักการคำนวน Table'!$D$63:$M$78,HLOOKUP(AK58,'2) หลักการคำนวน Table'!$D$1:$M$5,5,TRUE),0),
IF($C58="SF WH",VLOOKUP($B58,'2) หลักการคำนวน Table'!$D$93:$M$108,HLOOKUP(AK58,'2) หลักการคำนวน Table'!$D$1:$M$5,5,TRUE),0))))),0)</f>
        <v>180</v>
      </c>
      <c r="BJ58" s="167">
        <f>IFERROR(IF($C58="Top WS",VLOOKUP($B58,'2) หลักการคำนวน Table'!$D$5:$M$20,HLOOKUP(AL58,'2) หลักการคำนวน Table'!$D$1:$M$5,5,TRUE),0),
IF($C58="WS SF",VLOOKUP($B58,'2) หลักการคำนวน Table'!$D$33:$M$48,HLOOKUP(AL58,'2) หลักการคำนวน Table'!$D$1:$M$5,5,TRUE),0),
IF($C58="WS WH",VLOOKUP($B58,'2) หลักการคำนวน Table'!$D$63:$M$78,HLOOKUP(AL58,'2) หลักการคำนวน Table'!$D$1:$M$5,5,TRUE),0),
IF($C58="SF WH",VLOOKUP($B58,'2) หลักการคำนวน Table'!$D$93:$M$108,HLOOKUP(AL58,'2) หลักการคำนวน Table'!$D$1:$M$5,5,TRUE),0))))),0)</f>
        <v>180</v>
      </c>
      <c r="BK58" s="167">
        <f>IFERROR(IF($C58="Top WS",VLOOKUP($B58,'2) หลักการคำนวน Table'!$D$5:$M$20,HLOOKUP(AM58,'2) หลักการคำนวน Table'!$D$1:$M$5,5,TRUE),0),
IF($C58="WS SF",VLOOKUP($B58,'2) หลักการคำนวน Table'!$D$33:$M$48,HLOOKUP(AM58,'2) หลักการคำนวน Table'!$D$1:$M$5,5,TRUE),0),
IF($C58="WS WH",VLOOKUP($B58,'2) หลักการคำนวน Table'!$D$63:$M$78,HLOOKUP(AM58,'2) หลักการคำนวน Table'!$D$1:$M$5,5,TRUE),0),
IF($C58="SF WH",VLOOKUP($B58,'2) หลักการคำนวน Table'!$D$93:$M$108,HLOOKUP(AM58,'2) หลักการคำนวน Table'!$D$1:$M$5,5,TRUE),0))))),0)</f>
        <v>180</v>
      </c>
      <c r="BM58" s="119">
        <f>VLOOKUP(VLOOKUP(A58,ASTBase!E:S,13,FALSE),ASTBase!F:P,11,FALSE)</f>
        <v>140000</v>
      </c>
      <c r="BN58" s="196" cm="1">
        <f t="array" ref="BN58">INDEX(AN58:AY58,,Period!$D$2)</f>
        <v>1.2</v>
      </c>
    </row>
    <row r="59" spans="1:66" x14ac:dyDescent="0.25">
      <c r="A59" s="117">
        <v>140002</v>
      </c>
      <c r="B59" s="117" t="s">
        <v>388</v>
      </c>
      <c r="C59" s="117" t="s">
        <v>179</v>
      </c>
      <c r="D59" s="118">
        <v>13488</v>
      </c>
      <c r="E59" s="118">
        <v>15162</v>
      </c>
      <c r="F59" s="118">
        <v>14936</v>
      </c>
      <c r="G59" s="118">
        <v>13974</v>
      </c>
      <c r="H59" s="118">
        <v>14997</v>
      </c>
      <c r="I59" s="118">
        <v>15259</v>
      </c>
      <c r="J59" s="118">
        <v>14906</v>
      </c>
      <c r="K59" s="118">
        <v>15821</v>
      </c>
      <c r="L59" s="118">
        <v>15505</v>
      </c>
      <c r="M59" s="118">
        <v>17307</v>
      </c>
      <c r="N59" s="118">
        <v>15136</v>
      </c>
      <c r="O59" s="118">
        <v>15138</v>
      </c>
      <c r="P59" s="117">
        <f>SUMIFS(Actual!C:C,Actual!$A:$A,'3)Target &amp; Cal'!$A59,Actual!$B:$B,'3)Target &amp; Cal'!$B59)</f>
        <v>15074.4</v>
      </c>
      <c r="Q59" s="117">
        <f>SUMIFS(Actual!D:D,Actual!$A:$A,'3)Target &amp; Cal'!$A59,Actual!$B:$B,'3)Target &amp; Cal'!$B59)</f>
        <v>12196.8</v>
      </c>
      <c r="R59" s="117">
        <f>SUMIFS(Actual!E:E,Actual!$A:$A,'3)Target &amp; Cal'!$A59,Actual!$B:$B,'3)Target &amp; Cal'!$B59)</f>
        <v>0</v>
      </c>
      <c r="S59" s="117">
        <f>SUMIFS(Actual!F:F,Actual!$A:$A,'3)Target &amp; Cal'!$A59,Actual!$B:$B,'3)Target &amp; Cal'!$B59)</f>
        <v>0</v>
      </c>
      <c r="T59" s="117">
        <f>SUMIFS(Actual!G:G,Actual!$A:$A,'3)Target &amp; Cal'!$A59,Actual!$B:$B,'3)Target &amp; Cal'!$B59)</f>
        <v>0</v>
      </c>
      <c r="U59" s="117">
        <f>SUMIFS(Actual!H:H,Actual!$A:$A,'3)Target &amp; Cal'!$A59,Actual!$B:$B,'3)Target &amp; Cal'!$B59)</f>
        <v>0</v>
      </c>
      <c r="V59" s="117">
        <f>SUMIFS(Actual!I:I,Actual!$A:$A,'3)Target &amp; Cal'!$A59,Actual!$B:$B,'3)Target &amp; Cal'!$B59)</f>
        <v>0</v>
      </c>
      <c r="W59" s="117">
        <f>SUMIFS(Actual!J:J,Actual!$A:$A,'3)Target &amp; Cal'!$A59,Actual!$B:$B,'3)Target &amp; Cal'!$B59)</f>
        <v>0</v>
      </c>
      <c r="X59" s="117">
        <f>SUMIFS(Actual!K:K,Actual!$A:$A,'3)Target &amp; Cal'!$A59,Actual!$B:$B,'3)Target &amp; Cal'!$B59)</f>
        <v>0</v>
      </c>
      <c r="Y59" s="117">
        <f>SUMIFS(Actual!L:L,Actual!$A:$A,'3)Target &amp; Cal'!$A59,Actual!$B:$B,'3)Target &amp; Cal'!$B59)</f>
        <v>0</v>
      </c>
      <c r="Z59" s="117">
        <f>SUMIFS(Actual!M:M,Actual!$A:$A,'3)Target &amp; Cal'!$A59,Actual!$B:$B,'3)Target &amp; Cal'!$B59)</f>
        <v>0</v>
      </c>
      <c r="AA59" s="117">
        <f>SUMIFS(Actual!N:N,Actual!$A:$A,'3)Target &amp; Cal'!$A59,Actual!$B:$B,'3)Target &amp; Cal'!$B59)</f>
        <v>0</v>
      </c>
      <c r="AB59" s="123">
        <f>IFERROR(IF(VLOOKUP($B59,Shortage!$A:$M,AB$2,FALSE)="Shortage",1,IFERROR(ROUND(P59/D59,4),0)),IFERROR(ROUND(P59/D59,4),0))</f>
        <v>1</v>
      </c>
      <c r="AC59" s="123">
        <f>IFERROR(IF(VLOOKUP($B59,Shortage!$A:$M,AC$2,FALSE)="Shortage",1,IFERROR(ROUND(Q59/E59,4),0)),IFERROR(ROUND(Q59/E59,4),0))</f>
        <v>0.8044</v>
      </c>
      <c r="AD59" s="123">
        <f>IFERROR(IF(VLOOKUP($B59,Shortage!$A:$M,AD$2,FALSE)="Shortage",1,IFERROR(ROUND(R59/F59,4),0)),IFERROR(ROUND(R59/F59,4),0))</f>
        <v>0</v>
      </c>
      <c r="AE59" s="123">
        <f>IFERROR(IF(VLOOKUP($B59,Shortage!$A:$M,AE$2,FALSE)="Shortage",1,IFERROR(ROUND(S59/G59,4),0)),IFERROR(ROUND(S59/G59,4),0))</f>
        <v>0</v>
      </c>
      <c r="AF59" s="123">
        <f>IFERROR(IF(VLOOKUP($B59,Shortage!$A:$M,AF$2,FALSE)="Shortage",1,IFERROR(ROUND(T59/H59,4),0)),IFERROR(ROUND(T59/H59,4),0))</f>
        <v>0</v>
      </c>
      <c r="AG59" s="123">
        <f>IFERROR(IF(VLOOKUP($B59,Shortage!$A:$M,AG$2,FALSE)="Shortage",1,IFERROR(ROUND(U59/I59,4),0)),IFERROR(ROUND(U59/I59,4),0))</f>
        <v>0</v>
      </c>
      <c r="AH59" s="123">
        <f>IFERROR(IF(VLOOKUP($B59,Shortage!$A:$M,AH$2,FALSE)="Shortage",1,IFERROR(ROUND(V59/J59,4),0)),IFERROR(ROUND(V59/J59,4),0))</f>
        <v>0</v>
      </c>
      <c r="AI59" s="123">
        <f>IFERROR(IF(VLOOKUP($B59,Shortage!$A:$M,AI$2,FALSE)="Shortage",1,IFERROR(ROUND(W59/K59,4),0)),IFERROR(ROUND(W59/K59,4),0))</f>
        <v>0</v>
      </c>
      <c r="AJ59" s="123">
        <f>IFERROR(IF(VLOOKUP($B59,Shortage!$A:$M,AP$2,FALSE)="Shortage",1,IFERROR(ROUND(X59/L59,4),0)),IFERROR(ROUND(X59/L59,4),0))</f>
        <v>0</v>
      </c>
      <c r="AK59" s="123">
        <f>IFERROR(IF(VLOOKUP($B59,Shortage!$A:$M,AK$2,FALSE)="Shortage",1,IFERROR(ROUND(Y59/M59,4),0)),IFERROR(ROUND(Y59/M59,4),0))</f>
        <v>0</v>
      </c>
      <c r="AL59" s="123">
        <f>IFERROR(IF(VLOOKUP($B59,Shortage!$A:$M,AL$2,FALSE)="Shortage",1,IFERROR(ROUND(Z59/N59,4),0)),IFERROR(ROUND(Z59/N59,4),0))</f>
        <v>0</v>
      </c>
      <c r="AM59" s="123">
        <f>IFERROR(IF(VLOOKUP($B59,Shortage!$A:$M,AM$2,FALSE)="Shortage",1,IFERROR(ROUND(AA59/O59,4),0)),IFERROR(ROUND(AA59/O59,4),0))</f>
        <v>0</v>
      </c>
      <c r="AN59" s="232">
        <f>IFERROR(IF($C59="Top WS",VLOOKUP("GOAL",'2) หลักการคำนวน Table'!$D$4:$M$4,HLOOKUP(AB59,'2) หลักการคำนวน Table'!$D$1:$M$5,5,TRUE),0),
IF($C59="WS SF",VLOOKUP("GOAL",'2) หลักการคำนวน Table'!$D$32:$M$32,HLOOKUP(AB59,'2) หลักการคำนวน Table'!$D$1:$M$5,5,TRUE),0),
IF($C59="WS WH",VLOOKUP("GOAL",'2) หลักการคำนวน Table'!$D$62:$M$62,HLOOKUP(AB59,'2) หลักการคำนวน Table'!$D$1:$M$5,5,TRUE),0),
IF($C59="SF WH",VLOOKUP("GOAL",'2) หลักการคำนวน Table'!$D$92:$M$92,HLOOKUP(AB59,'2) หลักการคำนวน Table'!$D$1:$M$5,5,TRUE),0))))),0)</f>
        <v>1</v>
      </c>
      <c r="AO59" s="232">
        <f>IFERROR(IF($C59="Top WS",VLOOKUP("GOAL",'2) หลักการคำนวน Table'!$D$4:$M$4,HLOOKUP(AC59,'2) หลักการคำนวน Table'!$D$1:$M$5,5,TRUE),0),
IF($C59="WS SF",VLOOKUP("GOAL",'2) หลักการคำนวน Table'!$D$32:$M$32,HLOOKUP(AC59,'2) หลักการคำนวน Table'!$D$1:$M$5,5,TRUE),0),
IF($C59="WS WH",VLOOKUP("GOAL",'2) หลักการคำนวน Table'!$D$62:$M$62,HLOOKUP(AC59,'2) หลักการคำนวน Table'!$D$1:$M$5,5,TRUE),0),
IF($C59="SF WH",VLOOKUP("GOAL",'2) หลักการคำนวน Table'!$D$92:$M$92,HLOOKUP(AC59,'2) หลักการคำนวน Table'!$D$1:$M$5,5,TRUE),0))))),0)</f>
        <v>0.9</v>
      </c>
      <c r="AP59" s="232">
        <f>IFERROR(IF($C59="Top WS",VLOOKUP("GOAL",'2) หลักการคำนวน Table'!$D$4:$M$4,HLOOKUP(AD59,'2) หลักการคำนวน Table'!$D$1:$M$5,5,TRUE),0),
IF($C59="WS SF",VLOOKUP("GOAL",'2) หลักการคำนวน Table'!$D$32:$M$32,HLOOKUP(AD59,'2) หลักการคำนวน Table'!$D$1:$M$5,5,TRUE),0),
IF($C59="WS WH",VLOOKUP("GOAL",'2) หลักการคำนวน Table'!$D$62:$M$62,HLOOKUP(AD59,'2) หลักการคำนวน Table'!$D$1:$M$5,5,TRUE),0),
IF($C59="SF WH",VLOOKUP("GOAL",'2) หลักการคำนวน Table'!$D$92:$M$92,HLOOKUP(AD59,'2) หลักการคำนวน Table'!$D$1:$M$5,5,TRUE),0))))),0)</f>
        <v>0.9</v>
      </c>
      <c r="AQ59" s="232">
        <f>IFERROR(IF($C59="Top WS",VLOOKUP("GOAL",'2) หลักการคำนวน Table'!$D$4:$M$4,HLOOKUP(AE59,'2) หลักการคำนวน Table'!$D$1:$M$5,5,TRUE),0),
IF($C59="WS SF",VLOOKUP("GOAL",'2) หลักการคำนวน Table'!$D$32:$M$32,HLOOKUP(AE59,'2) หลักการคำนวน Table'!$D$1:$M$5,5,TRUE),0),
IF($C59="WS WH",VLOOKUP("GOAL",'2) หลักการคำนวน Table'!$D$62:$M$62,HLOOKUP(AE59,'2) หลักการคำนวน Table'!$D$1:$M$5,5,TRUE),0),
IF($C59="SF WH",VLOOKUP("GOAL",'2) หลักการคำนวน Table'!$D$92:$M$92,HLOOKUP(AE59,'2) หลักการคำนวน Table'!$D$1:$M$5,5,TRUE),0))))),0)</f>
        <v>0.9</v>
      </c>
      <c r="AR59" s="232">
        <f>IFERROR(IF($C59="Top WS",VLOOKUP("GOAL",'2) หลักการคำนวน Table'!$D$4:$M$4,HLOOKUP(AF59,'2) หลักการคำนวน Table'!$D$1:$M$5,5,TRUE),0),
IF($C59="WS SF",VLOOKUP("GOAL",'2) หลักการคำนวน Table'!$D$32:$M$32,HLOOKUP(AF59,'2) หลักการคำนวน Table'!$D$1:$M$5,5,TRUE),0),
IF($C59="WS WH",VLOOKUP("GOAL",'2) หลักการคำนวน Table'!$D$62:$M$62,HLOOKUP(AF59,'2) หลักการคำนวน Table'!$D$1:$M$5,5,TRUE),0),
IF($C59="SF WH",VLOOKUP("GOAL",'2) หลักการคำนวน Table'!$D$92:$M$92,HLOOKUP(AF59,'2) หลักการคำนวน Table'!$D$1:$M$5,5,TRUE),0))))),0)</f>
        <v>0.9</v>
      </c>
      <c r="AS59" s="232">
        <f>IFERROR(IF($C59="Top WS",VLOOKUP("GOAL",'2) หลักการคำนวน Table'!$D$4:$M$4,HLOOKUP(AG59,'2) หลักการคำนวน Table'!$D$1:$M$5,5,TRUE),0),
IF($C59="WS SF",VLOOKUP("GOAL",'2) หลักการคำนวน Table'!$D$32:$M$32,HLOOKUP(AG59,'2) หลักการคำนวน Table'!$D$1:$M$5,5,TRUE),0),
IF($C59="WS WH",VLOOKUP("GOAL",'2) หลักการคำนวน Table'!$D$62:$M$62,HLOOKUP(AG59,'2) หลักการคำนวน Table'!$D$1:$M$5,5,TRUE),0),
IF($C59="SF WH",VLOOKUP("GOAL",'2) หลักการคำนวน Table'!$D$92:$M$92,HLOOKUP(AG59,'2) หลักการคำนวน Table'!$D$1:$M$5,5,TRUE),0))))),0)</f>
        <v>0.9</v>
      </c>
      <c r="AT59" s="232">
        <f>IFERROR(IF($C59="Top WS",VLOOKUP("GOAL",'2) หลักการคำนวน Table'!$D$4:$M$4,HLOOKUP(AH59,'2) หลักการคำนวน Table'!$D$1:$M$5,5,TRUE),0),
IF($C59="WS SF",VLOOKUP("GOAL",'2) หลักการคำนวน Table'!$D$32:$M$32,HLOOKUP(AH59,'2) หลักการคำนวน Table'!$D$1:$M$5,5,TRUE),0),
IF($C59="WS WH",VLOOKUP("GOAL",'2) หลักการคำนวน Table'!$D$62:$M$62,HLOOKUP(AH59,'2) หลักการคำนวน Table'!$D$1:$M$5,5,TRUE),0),
IF($C59="SF WH",VLOOKUP("GOAL",'2) หลักการคำนวน Table'!$D$92:$M$92,HLOOKUP(AH59,'2) หลักการคำนวน Table'!$D$1:$M$5,5,TRUE),0))))),0)</f>
        <v>0.9</v>
      </c>
      <c r="AU59" s="232">
        <f>IFERROR(IF($C59="Top WS",VLOOKUP("GOAL",'2) หลักการคำนวน Table'!$D$4:$M$4,HLOOKUP(AI59,'2) หลักการคำนวน Table'!$D$1:$M$5,5,TRUE),0),
IF($C59="WS SF",VLOOKUP("GOAL",'2) หลักการคำนวน Table'!$D$32:$M$32,HLOOKUP(AI59,'2) หลักการคำนวน Table'!$D$1:$M$5,5,TRUE),0),
IF($C59="WS WH",VLOOKUP("GOAL",'2) หลักการคำนวน Table'!$D$62:$M$62,HLOOKUP(AI59,'2) หลักการคำนวน Table'!$D$1:$M$5,5,TRUE),0),
IF($C59="SF WH",VLOOKUP("GOAL",'2) หลักการคำนวน Table'!$D$92:$M$92,HLOOKUP(AI59,'2) หลักการคำนวน Table'!$D$1:$M$5,5,TRUE),0))))),0)</f>
        <v>0.9</v>
      </c>
      <c r="AV59" s="232">
        <f>IFERROR(IF($C59="Top WS",VLOOKUP("GOAL",'2) หลักการคำนวน Table'!$D$4:$M$4,HLOOKUP(AP59,'2) หลักการคำนวน Table'!$D$1:$M$5,5,TRUE),0),
IF($C59="WS SF",VLOOKUP("GOAL",'2) หลักการคำนวน Table'!$D$32:$M$32,HLOOKUP(AP59,'2) หลักการคำนวน Table'!$D$1:$M$5,5,TRUE),0),
IF($C59="WS WH",VLOOKUP("GOAL",'2) หลักการคำนวน Table'!$D$62:$M$62,HLOOKUP(AP59,'2) หลักการคำนวน Table'!$D$1:$M$5,5,TRUE),0),
IF($C59="SF WH",VLOOKUP("GOAL",'2) หลักการคำนวน Table'!$D$92:$M$92,HLOOKUP(AP59,'2) หลักการคำนวน Table'!$D$1:$M$5,5,TRUE),0))))),0)</f>
        <v>0.9</v>
      </c>
      <c r="AW59" s="232">
        <f>IFERROR(IF($C59="Top WS",VLOOKUP("GOAL",'2) หลักการคำนวน Table'!$D$4:$M$4,HLOOKUP(AK59,'2) หลักการคำนวน Table'!$D$1:$M$5,5,TRUE),0),
IF($C59="WS SF",VLOOKUP("GOAL",'2) หลักการคำนวน Table'!$D$32:$M$32,HLOOKUP(AK59,'2) หลักการคำนวน Table'!$D$1:$M$5,5,TRUE),0),
IF($C59="WS WH",VLOOKUP("GOAL",'2) หลักการคำนวน Table'!$D$62:$M$62,HLOOKUP(AK59,'2) หลักการคำนวน Table'!$D$1:$M$5,5,TRUE),0),
IF($C59="SF WH",VLOOKUP("GOAL",'2) หลักการคำนวน Table'!$D$92:$M$92,HLOOKUP(AK59,'2) หลักการคำนวน Table'!$D$1:$M$5,5,TRUE),0))))),0)</f>
        <v>0.9</v>
      </c>
      <c r="AX59" s="232">
        <f>IFERROR(IF($C59="Top WS",VLOOKUP("GOAL",'2) หลักการคำนวน Table'!$D$4:$M$4,HLOOKUP(AL59,'2) หลักการคำนวน Table'!$D$1:$M$5,5,TRUE),0),
IF($C59="WS SF",VLOOKUP("GOAL",'2) หลักการคำนวน Table'!$D$32:$M$32,HLOOKUP(AL59,'2) หลักการคำนวน Table'!$D$1:$M$5,5,TRUE),0),
IF($C59="WS WH",VLOOKUP("GOAL",'2) หลักการคำนวน Table'!$D$62:$M$62,HLOOKUP(AL59,'2) หลักการคำนวน Table'!$D$1:$M$5,5,TRUE),0),
IF($C59="SF WH",VLOOKUP("GOAL",'2) หลักการคำนวน Table'!$D$92:$M$92,HLOOKUP(AL59,'2) หลักการคำนวน Table'!$D$1:$M$5,5,TRUE),0))))),0)</f>
        <v>0.9</v>
      </c>
      <c r="AY59" s="232">
        <f>IFERROR(IF($C59="Top WS",VLOOKUP("GOAL",'2) หลักการคำนวน Table'!$D$4:$M$4,HLOOKUP(AM59,'2) หลักการคำนวน Table'!$D$1:$M$5,5,TRUE),0),
IF($C59="WS SF",VLOOKUP("GOAL",'2) หลักการคำนวน Table'!$D$32:$M$32,HLOOKUP(AM59,'2) หลักการคำนวน Table'!$D$1:$M$5,5,TRUE),0),
IF($C59="WS WH",VLOOKUP("GOAL",'2) หลักการคำนวน Table'!$D$62:$M$62,HLOOKUP(AM59,'2) หลักการคำนวน Table'!$D$1:$M$5,5,TRUE),0),
IF($C59="SF WH",VLOOKUP("GOAL",'2) หลักการคำนวน Table'!$D$92:$M$92,HLOOKUP(AM59,'2) หลักการคำนวน Table'!$D$1:$M$5,5,TRUE),0))))),0)</f>
        <v>0.9</v>
      </c>
      <c r="AZ59" s="167">
        <f>IFERROR(IF($C59="Top WS",VLOOKUP($B59,'2) หลักการคำนวน Table'!$D$5:$M$20,HLOOKUP(AB59,'2) หลักการคำนวน Table'!$D$1:$M$5,5,TRUE),0),
IF($C59="WS SF",VLOOKUP($B59,'2) หลักการคำนวน Table'!$D$33:$M$48,HLOOKUP(AB59,'2) หลักการคำนวน Table'!$D$1:$M$5,5,TRUE),0),
IF($C59="WS WH",VLOOKUP($B59,'2) หลักการคำนวน Table'!$D$63:$M$78,HLOOKUP(AB59,'2) หลักการคำนวน Table'!$D$1:$M$5,5,TRUE),0),
IF($C59="SF WH",VLOOKUP($B59,'2) หลักการคำนวน Table'!$D$93:$M$108,HLOOKUP(AB59,'2) หลักการคำนวน Table'!$D$1:$M$5,5,TRUE),0))))),0)</f>
        <v>175</v>
      </c>
      <c r="BA59" s="167">
        <f>IFERROR(IF($C59="Top WS",VLOOKUP($B59,'2) หลักการคำนวน Table'!$D$5:$M$20,HLOOKUP(AC59,'2) หลักการคำนวน Table'!$D$1:$M$5,5,TRUE),0),
IF($C59="WS SF",VLOOKUP($B59,'2) หลักการคำนวน Table'!$D$33:$M$48,HLOOKUP(AC59,'2) หลักการคำนวน Table'!$D$1:$M$5,5,TRUE),0),
IF($C59="WS WH",VLOOKUP($B59,'2) หลักการคำนวน Table'!$D$63:$M$78,HLOOKUP(AC59,'2) หลักการคำนวน Table'!$D$1:$M$5,5,TRUE),0),
IF($C59="SF WH",VLOOKUP($B59,'2) หลักการคำนวน Table'!$D$93:$M$108,HLOOKUP(AC59,'2) หลักการคำนวน Table'!$D$1:$M$5,5,TRUE),0))))),0)</f>
        <v>157.5</v>
      </c>
      <c r="BB59" s="167">
        <f>IFERROR(IF($C59="Top WS",VLOOKUP($B59,'2) หลักการคำนวน Table'!$D$5:$M$20,HLOOKUP(AD59,'2) หลักการคำนวน Table'!$D$1:$M$5,5,TRUE),0),
IF($C59="WS SF",VLOOKUP($B59,'2) หลักการคำนวน Table'!$D$33:$M$48,HLOOKUP(AD59,'2) หลักการคำนวน Table'!$D$1:$M$5,5,TRUE),0),
IF($C59="WS WH",VLOOKUP($B59,'2) หลักการคำนวน Table'!$D$63:$M$78,HLOOKUP(AD59,'2) หลักการคำนวน Table'!$D$1:$M$5,5,TRUE),0),
IF($C59="SF WH",VLOOKUP($B59,'2) หลักการคำนวน Table'!$D$93:$M$108,HLOOKUP(AD59,'2) หลักการคำนวน Table'!$D$1:$M$5,5,TRUE),0))))),0)</f>
        <v>157.5</v>
      </c>
      <c r="BC59" s="167">
        <f>IFERROR(IF($C59="Top WS",VLOOKUP($B59,'2) หลักการคำนวน Table'!$D$5:$M$20,HLOOKUP(AE59,'2) หลักการคำนวน Table'!$D$1:$M$5,5,TRUE),0),
IF($C59="WS SF",VLOOKUP($B59,'2) หลักการคำนวน Table'!$D$33:$M$48,HLOOKUP(AE59,'2) หลักการคำนวน Table'!$D$1:$M$5,5,TRUE),0),
IF($C59="WS WH",VLOOKUP($B59,'2) หลักการคำนวน Table'!$D$63:$M$78,HLOOKUP(AE59,'2) หลักการคำนวน Table'!$D$1:$M$5,5,TRUE),0),
IF($C59="SF WH",VLOOKUP($B59,'2) หลักการคำนวน Table'!$D$93:$M$108,HLOOKUP(AE59,'2) หลักการคำนวน Table'!$D$1:$M$5,5,TRUE),0))))),0)</f>
        <v>157.5</v>
      </c>
      <c r="BD59" s="167">
        <f>IFERROR(IF($C59="Top WS",VLOOKUP($B59,'2) หลักการคำนวน Table'!$D$5:$M$20,HLOOKUP(AF59,'2) หลักการคำนวน Table'!$D$1:$M$5,5,TRUE),0),
IF($C59="WS SF",VLOOKUP($B59,'2) หลักการคำนวน Table'!$D$33:$M$48,HLOOKUP(AF59,'2) หลักการคำนวน Table'!$D$1:$M$5,5,TRUE),0),
IF($C59="WS WH",VLOOKUP($B59,'2) หลักการคำนวน Table'!$D$63:$M$78,HLOOKUP(AF59,'2) หลักการคำนวน Table'!$D$1:$M$5,5,TRUE),0),
IF($C59="SF WH",VLOOKUP($B59,'2) หลักการคำนวน Table'!$D$93:$M$108,HLOOKUP(AF59,'2) หลักการคำนวน Table'!$D$1:$M$5,5,TRUE),0))))),0)</f>
        <v>157.5</v>
      </c>
      <c r="BE59" s="167">
        <f>IFERROR(IF($C59="Top WS",VLOOKUP($B59,'2) หลักการคำนวน Table'!$D$5:$M$20,HLOOKUP(AG59,'2) หลักการคำนวน Table'!$D$1:$M$5,5,TRUE),0),
IF($C59="WS SF",VLOOKUP($B59,'2) หลักการคำนวน Table'!$D$33:$M$48,HLOOKUP(AG59,'2) หลักการคำนวน Table'!$D$1:$M$5,5,TRUE),0),
IF($C59="WS WH",VLOOKUP($B59,'2) หลักการคำนวน Table'!$D$63:$M$78,HLOOKUP(AG59,'2) หลักการคำนวน Table'!$D$1:$M$5,5,TRUE),0),
IF($C59="SF WH",VLOOKUP($B59,'2) หลักการคำนวน Table'!$D$93:$M$108,HLOOKUP(AG59,'2) หลักการคำนวน Table'!$D$1:$M$5,5,TRUE),0))))),0)</f>
        <v>157.5</v>
      </c>
      <c r="BF59" s="167">
        <f>IFERROR(IF($C59="Top WS",VLOOKUP($B59,'2) หลักการคำนวน Table'!$D$5:$M$20,HLOOKUP(AH59,'2) หลักการคำนวน Table'!$D$1:$M$5,5,TRUE),0),
IF($C59="WS SF",VLOOKUP($B59,'2) หลักการคำนวน Table'!$D$33:$M$48,HLOOKUP(AH59,'2) หลักการคำนวน Table'!$D$1:$M$5,5,TRUE),0),
IF($C59="WS WH",VLOOKUP($B59,'2) หลักการคำนวน Table'!$D$63:$M$78,HLOOKUP(AH59,'2) หลักการคำนวน Table'!$D$1:$M$5,5,TRUE),0),
IF($C59="SF WH",VLOOKUP($B59,'2) หลักการคำนวน Table'!$D$93:$M$108,HLOOKUP(AH59,'2) หลักการคำนวน Table'!$D$1:$M$5,5,TRUE),0))))),0)</f>
        <v>157.5</v>
      </c>
      <c r="BG59" s="167">
        <f>IFERROR(IF($C59="Top WS",VLOOKUP($B59,'2) หลักการคำนวน Table'!$D$5:$M$20,HLOOKUP(AI59,'2) หลักการคำนวน Table'!$D$1:$M$5,5,TRUE),0),
IF($C59="WS SF",VLOOKUP($B59,'2) หลักการคำนวน Table'!$D$33:$M$48,HLOOKUP(AI59,'2) หลักการคำนวน Table'!$D$1:$M$5,5,TRUE),0),
IF($C59="WS WH",VLOOKUP($B59,'2) หลักการคำนวน Table'!$D$63:$M$78,HLOOKUP(AI59,'2) หลักการคำนวน Table'!$D$1:$M$5,5,TRUE),0),
IF($C59="SF WH",VLOOKUP($B59,'2) หลักการคำนวน Table'!$D$93:$M$108,HLOOKUP(AI59,'2) หลักการคำนวน Table'!$D$1:$M$5,5,TRUE),0))))),0)</f>
        <v>157.5</v>
      </c>
      <c r="BH59" s="167">
        <f>IFERROR(IF($C59="Top WS",VLOOKUP($B59,'2) หลักการคำนวน Table'!$D$5:$M$20,HLOOKUP(AP59,'2) หลักการคำนวน Table'!$D$1:$M$5,5,TRUE),0),
IF($C59="WS SF",VLOOKUP($B59,'2) หลักการคำนวน Table'!$D$33:$M$48,HLOOKUP(AP59,'2) หลักการคำนวน Table'!$D$1:$M$5,5,TRUE),0),
IF($C59="WS WH",VLOOKUP($B59,'2) หลักการคำนวน Table'!$D$63:$M$78,HLOOKUP(AP59,'2) หลักการคำนวน Table'!$D$1:$M$5,5,TRUE),0),
IF($C59="SF WH",VLOOKUP($B59,'2) หลักการคำนวน Table'!$D$93:$M$108,HLOOKUP(AP59,'2) หลักการคำนวน Table'!$D$1:$M$5,5,TRUE),0))))),0)</f>
        <v>157.5</v>
      </c>
      <c r="BI59" s="167">
        <f>IFERROR(IF($C59="Top WS",VLOOKUP($B59,'2) หลักการคำนวน Table'!$D$5:$M$20,HLOOKUP(AK59,'2) หลักการคำนวน Table'!$D$1:$M$5,5,TRUE),0),
IF($C59="WS SF",VLOOKUP($B59,'2) หลักการคำนวน Table'!$D$33:$M$48,HLOOKUP(AK59,'2) หลักการคำนวน Table'!$D$1:$M$5,5,TRUE),0),
IF($C59="WS WH",VLOOKUP($B59,'2) หลักการคำนวน Table'!$D$63:$M$78,HLOOKUP(AK59,'2) หลักการคำนวน Table'!$D$1:$M$5,5,TRUE),0),
IF($C59="SF WH",VLOOKUP($B59,'2) หลักการคำนวน Table'!$D$93:$M$108,HLOOKUP(AK59,'2) หลักการคำนวน Table'!$D$1:$M$5,5,TRUE),0))))),0)</f>
        <v>157.5</v>
      </c>
      <c r="BJ59" s="167">
        <f>IFERROR(IF($C59="Top WS",VLOOKUP($B59,'2) หลักการคำนวน Table'!$D$5:$M$20,HLOOKUP(AL59,'2) หลักการคำนวน Table'!$D$1:$M$5,5,TRUE),0),
IF($C59="WS SF",VLOOKUP($B59,'2) หลักการคำนวน Table'!$D$33:$M$48,HLOOKUP(AL59,'2) หลักการคำนวน Table'!$D$1:$M$5,5,TRUE),0),
IF($C59="WS WH",VLOOKUP($B59,'2) หลักการคำนวน Table'!$D$63:$M$78,HLOOKUP(AL59,'2) หลักการคำนวน Table'!$D$1:$M$5,5,TRUE),0),
IF($C59="SF WH",VLOOKUP($B59,'2) หลักการคำนวน Table'!$D$93:$M$108,HLOOKUP(AL59,'2) หลักการคำนวน Table'!$D$1:$M$5,5,TRUE),0))))),0)</f>
        <v>157.5</v>
      </c>
      <c r="BK59" s="167">
        <f>IFERROR(IF($C59="Top WS",VLOOKUP($B59,'2) หลักการคำนวน Table'!$D$5:$M$20,HLOOKUP(AM59,'2) หลักการคำนวน Table'!$D$1:$M$5,5,TRUE),0),
IF($C59="WS SF",VLOOKUP($B59,'2) หลักการคำนวน Table'!$D$33:$M$48,HLOOKUP(AM59,'2) หลักการคำนวน Table'!$D$1:$M$5,5,TRUE),0),
IF($C59="WS WH",VLOOKUP($B59,'2) หลักการคำนวน Table'!$D$63:$M$78,HLOOKUP(AM59,'2) หลักการคำนวน Table'!$D$1:$M$5,5,TRUE),0),
IF($C59="SF WH",VLOOKUP($B59,'2) หลักการคำนวน Table'!$D$93:$M$108,HLOOKUP(AM59,'2) หลักการคำนวน Table'!$D$1:$M$5,5,TRUE),0))))),0)</f>
        <v>157.5</v>
      </c>
      <c r="BM59" s="119">
        <f>VLOOKUP(VLOOKUP(A59,ASTBase!E:S,13,FALSE),ASTBase!F:P,11,FALSE)</f>
        <v>140000</v>
      </c>
      <c r="BN59" s="196" cm="1">
        <f t="array" ref="BN59">INDEX(AN59:AY59,,Period!$D$2)</f>
        <v>0.9</v>
      </c>
    </row>
    <row r="60" spans="1:66" x14ac:dyDescent="0.25">
      <c r="A60" s="117">
        <v>140002</v>
      </c>
      <c r="B60" s="117" t="s">
        <v>389</v>
      </c>
      <c r="C60" s="117" t="s">
        <v>179</v>
      </c>
      <c r="D60" s="118">
        <v>4535</v>
      </c>
      <c r="E60" s="118">
        <v>4277</v>
      </c>
      <c r="F60" s="118">
        <v>4947</v>
      </c>
      <c r="G60" s="118">
        <v>4056</v>
      </c>
      <c r="H60" s="118">
        <v>3393</v>
      </c>
      <c r="I60" s="118">
        <v>4305</v>
      </c>
      <c r="J60" s="118">
        <v>3952</v>
      </c>
      <c r="K60" s="118">
        <v>4490</v>
      </c>
      <c r="L60" s="118">
        <v>4503</v>
      </c>
      <c r="M60" s="118">
        <v>5014</v>
      </c>
      <c r="N60" s="118">
        <v>4053</v>
      </c>
      <c r="O60" s="118">
        <v>4058</v>
      </c>
      <c r="P60" s="117">
        <f>SUMIFS(Actual!C:C,Actual!$A:$A,'3)Target &amp; Cal'!$A60,Actual!$B:$B,'3)Target &amp; Cal'!$B60)</f>
        <v>5302.0999999999995</v>
      </c>
      <c r="Q60" s="117">
        <f>SUMIFS(Actual!D:D,Actual!$A:$A,'3)Target &amp; Cal'!$A60,Actual!$B:$B,'3)Target &amp; Cal'!$B60)</f>
        <v>3901.7999999999997</v>
      </c>
      <c r="R60" s="117">
        <f>SUMIFS(Actual!E:E,Actual!$A:$A,'3)Target &amp; Cal'!$A60,Actual!$B:$B,'3)Target &amp; Cal'!$B60)</f>
        <v>0</v>
      </c>
      <c r="S60" s="117">
        <f>SUMIFS(Actual!F:F,Actual!$A:$A,'3)Target &amp; Cal'!$A60,Actual!$B:$B,'3)Target &amp; Cal'!$B60)</f>
        <v>0</v>
      </c>
      <c r="T60" s="117">
        <f>SUMIFS(Actual!G:G,Actual!$A:$A,'3)Target &amp; Cal'!$A60,Actual!$B:$B,'3)Target &amp; Cal'!$B60)</f>
        <v>0</v>
      </c>
      <c r="U60" s="117">
        <f>SUMIFS(Actual!H:H,Actual!$A:$A,'3)Target &amp; Cal'!$A60,Actual!$B:$B,'3)Target &amp; Cal'!$B60)</f>
        <v>0</v>
      </c>
      <c r="V60" s="117">
        <f>SUMIFS(Actual!I:I,Actual!$A:$A,'3)Target &amp; Cal'!$A60,Actual!$B:$B,'3)Target &amp; Cal'!$B60)</f>
        <v>0</v>
      </c>
      <c r="W60" s="117">
        <f>SUMIFS(Actual!J:J,Actual!$A:$A,'3)Target &amp; Cal'!$A60,Actual!$B:$B,'3)Target &amp; Cal'!$B60)</f>
        <v>0</v>
      </c>
      <c r="X60" s="117">
        <f>SUMIFS(Actual!K:K,Actual!$A:$A,'3)Target &amp; Cal'!$A60,Actual!$B:$B,'3)Target &amp; Cal'!$B60)</f>
        <v>0</v>
      </c>
      <c r="Y60" s="117">
        <f>SUMIFS(Actual!L:L,Actual!$A:$A,'3)Target &amp; Cal'!$A60,Actual!$B:$B,'3)Target &amp; Cal'!$B60)</f>
        <v>0</v>
      </c>
      <c r="Z60" s="117">
        <f>SUMIFS(Actual!M:M,Actual!$A:$A,'3)Target &amp; Cal'!$A60,Actual!$B:$B,'3)Target &amp; Cal'!$B60)</f>
        <v>0</v>
      </c>
      <c r="AA60" s="117">
        <f>SUMIFS(Actual!N:N,Actual!$A:$A,'3)Target &amp; Cal'!$A60,Actual!$B:$B,'3)Target &amp; Cal'!$B60)</f>
        <v>0</v>
      </c>
      <c r="AB60" s="123">
        <f>IFERROR(IF(VLOOKUP($B60,Shortage!$A:$M,AB$2,FALSE)="Shortage",1,IFERROR(ROUND(P60/D60,4),0)),IFERROR(ROUND(P60/D60,4),0))</f>
        <v>1</v>
      </c>
      <c r="AC60" s="123">
        <f>IFERROR(IF(VLOOKUP($B60,Shortage!$A:$M,AC$2,FALSE)="Shortage",1,IFERROR(ROUND(Q60/E60,4),0)),IFERROR(ROUND(Q60/E60,4),0))</f>
        <v>1</v>
      </c>
      <c r="AD60" s="123">
        <f>IFERROR(IF(VLOOKUP($B60,Shortage!$A:$M,AD$2,FALSE)="Shortage",1,IFERROR(ROUND(R60/F60,4),0)),IFERROR(ROUND(R60/F60,4),0))</f>
        <v>0</v>
      </c>
      <c r="AE60" s="123">
        <f>IFERROR(IF(VLOOKUP($B60,Shortage!$A:$M,AE$2,FALSE)="Shortage",1,IFERROR(ROUND(S60/G60,4),0)),IFERROR(ROUND(S60/G60,4),0))</f>
        <v>0</v>
      </c>
      <c r="AF60" s="123">
        <f>IFERROR(IF(VLOOKUP($B60,Shortage!$A:$M,AF$2,FALSE)="Shortage",1,IFERROR(ROUND(T60/H60,4),0)),IFERROR(ROUND(T60/H60,4),0))</f>
        <v>0</v>
      </c>
      <c r="AG60" s="123">
        <f>IFERROR(IF(VLOOKUP($B60,Shortage!$A:$M,AG$2,FALSE)="Shortage",1,IFERROR(ROUND(U60/I60,4),0)),IFERROR(ROUND(U60/I60,4),0))</f>
        <v>0</v>
      </c>
      <c r="AH60" s="123">
        <f>IFERROR(IF(VLOOKUP($B60,Shortage!$A:$M,AH$2,FALSE)="Shortage",1,IFERROR(ROUND(V60/J60,4),0)),IFERROR(ROUND(V60/J60,4),0))</f>
        <v>0</v>
      </c>
      <c r="AI60" s="123">
        <f>IFERROR(IF(VLOOKUP($B60,Shortage!$A:$M,AI$2,FALSE)="Shortage",1,IFERROR(ROUND(W60/K60,4),0)),IFERROR(ROUND(W60/K60,4),0))</f>
        <v>0</v>
      </c>
      <c r="AJ60" s="123">
        <f>IFERROR(IF(VLOOKUP($B60,Shortage!$A:$M,AP$2,FALSE)="Shortage",1,IFERROR(ROUND(X60/L60,4),0)),IFERROR(ROUND(X60/L60,4),0))</f>
        <v>0</v>
      </c>
      <c r="AK60" s="123">
        <f>IFERROR(IF(VLOOKUP($B60,Shortage!$A:$M,AK$2,FALSE)="Shortage",1,IFERROR(ROUND(Y60/M60,4),0)),IFERROR(ROUND(Y60/M60,4),0))</f>
        <v>0</v>
      </c>
      <c r="AL60" s="123">
        <f>IFERROR(IF(VLOOKUP($B60,Shortage!$A:$M,AL$2,FALSE)="Shortage",1,IFERROR(ROUND(Z60/N60,4),0)),IFERROR(ROUND(Z60/N60,4),0))</f>
        <v>0</v>
      </c>
      <c r="AM60" s="123">
        <f>IFERROR(IF(VLOOKUP($B60,Shortage!$A:$M,AM$2,FALSE)="Shortage",1,IFERROR(ROUND(AA60/O60,4),0)),IFERROR(ROUND(AA60/O60,4),0))</f>
        <v>0</v>
      </c>
      <c r="AN60" s="232">
        <f>IFERROR(IF($C60="Top WS",VLOOKUP("GOAL",'2) หลักการคำนวน Table'!$D$4:$M$4,HLOOKUP(AB60,'2) หลักการคำนวน Table'!$D$1:$M$5,5,TRUE),0),
IF($C60="WS SF",VLOOKUP("GOAL",'2) หลักการคำนวน Table'!$D$32:$M$32,HLOOKUP(AB60,'2) หลักการคำนวน Table'!$D$1:$M$5,5,TRUE),0),
IF($C60="WS WH",VLOOKUP("GOAL",'2) หลักการคำนวน Table'!$D$62:$M$62,HLOOKUP(AB60,'2) หลักการคำนวน Table'!$D$1:$M$5,5,TRUE),0),
IF($C60="SF WH",VLOOKUP("GOAL",'2) หลักการคำนวน Table'!$D$92:$M$92,HLOOKUP(AB60,'2) หลักการคำนวน Table'!$D$1:$M$5,5,TRUE),0))))),0)</f>
        <v>1</v>
      </c>
      <c r="AO60" s="232">
        <f>IFERROR(IF($C60="Top WS",VLOOKUP("GOAL",'2) หลักการคำนวน Table'!$D$4:$M$4,HLOOKUP(AC60,'2) หลักการคำนวน Table'!$D$1:$M$5,5,TRUE),0),
IF($C60="WS SF",VLOOKUP("GOAL",'2) หลักการคำนวน Table'!$D$32:$M$32,HLOOKUP(AC60,'2) หลักการคำนวน Table'!$D$1:$M$5,5,TRUE),0),
IF($C60="WS WH",VLOOKUP("GOAL",'2) หลักการคำนวน Table'!$D$62:$M$62,HLOOKUP(AC60,'2) หลักการคำนวน Table'!$D$1:$M$5,5,TRUE),0),
IF($C60="SF WH",VLOOKUP("GOAL",'2) หลักการคำนวน Table'!$D$92:$M$92,HLOOKUP(AC60,'2) หลักการคำนวน Table'!$D$1:$M$5,5,TRUE),0))))),0)</f>
        <v>1</v>
      </c>
      <c r="AP60" s="232">
        <f>IFERROR(IF($C60="Top WS",VLOOKUP("GOAL",'2) หลักการคำนวน Table'!$D$4:$M$4,HLOOKUP(AD60,'2) หลักการคำนวน Table'!$D$1:$M$5,5,TRUE),0),
IF($C60="WS SF",VLOOKUP("GOAL",'2) หลักการคำนวน Table'!$D$32:$M$32,HLOOKUP(AD60,'2) หลักการคำนวน Table'!$D$1:$M$5,5,TRUE),0),
IF($C60="WS WH",VLOOKUP("GOAL",'2) หลักการคำนวน Table'!$D$62:$M$62,HLOOKUP(AD60,'2) หลักการคำนวน Table'!$D$1:$M$5,5,TRUE),0),
IF($C60="SF WH",VLOOKUP("GOAL",'2) หลักการคำนวน Table'!$D$92:$M$92,HLOOKUP(AD60,'2) หลักการคำนวน Table'!$D$1:$M$5,5,TRUE),0))))),0)</f>
        <v>0.9</v>
      </c>
      <c r="AQ60" s="232">
        <f>IFERROR(IF($C60="Top WS",VLOOKUP("GOAL",'2) หลักการคำนวน Table'!$D$4:$M$4,HLOOKUP(AE60,'2) หลักการคำนวน Table'!$D$1:$M$5,5,TRUE),0),
IF($C60="WS SF",VLOOKUP("GOAL",'2) หลักการคำนวน Table'!$D$32:$M$32,HLOOKUP(AE60,'2) หลักการคำนวน Table'!$D$1:$M$5,5,TRUE),0),
IF($C60="WS WH",VLOOKUP("GOAL",'2) หลักการคำนวน Table'!$D$62:$M$62,HLOOKUP(AE60,'2) หลักการคำนวน Table'!$D$1:$M$5,5,TRUE),0),
IF($C60="SF WH",VLOOKUP("GOAL",'2) หลักการคำนวน Table'!$D$92:$M$92,HLOOKUP(AE60,'2) หลักการคำนวน Table'!$D$1:$M$5,5,TRUE),0))))),0)</f>
        <v>0.9</v>
      </c>
      <c r="AR60" s="232">
        <f>IFERROR(IF($C60="Top WS",VLOOKUP("GOAL",'2) หลักการคำนวน Table'!$D$4:$M$4,HLOOKUP(AF60,'2) หลักการคำนวน Table'!$D$1:$M$5,5,TRUE),0),
IF($C60="WS SF",VLOOKUP("GOAL",'2) หลักการคำนวน Table'!$D$32:$M$32,HLOOKUP(AF60,'2) หลักการคำนวน Table'!$D$1:$M$5,5,TRUE),0),
IF($C60="WS WH",VLOOKUP("GOAL",'2) หลักการคำนวน Table'!$D$62:$M$62,HLOOKUP(AF60,'2) หลักการคำนวน Table'!$D$1:$M$5,5,TRUE),0),
IF($C60="SF WH",VLOOKUP("GOAL",'2) หลักการคำนวน Table'!$D$92:$M$92,HLOOKUP(AF60,'2) หลักการคำนวน Table'!$D$1:$M$5,5,TRUE),0))))),0)</f>
        <v>0.9</v>
      </c>
      <c r="AS60" s="232">
        <f>IFERROR(IF($C60="Top WS",VLOOKUP("GOAL",'2) หลักการคำนวน Table'!$D$4:$M$4,HLOOKUP(AG60,'2) หลักการคำนวน Table'!$D$1:$M$5,5,TRUE),0),
IF($C60="WS SF",VLOOKUP("GOAL",'2) หลักการคำนวน Table'!$D$32:$M$32,HLOOKUP(AG60,'2) หลักการคำนวน Table'!$D$1:$M$5,5,TRUE),0),
IF($C60="WS WH",VLOOKUP("GOAL",'2) หลักการคำนวน Table'!$D$62:$M$62,HLOOKUP(AG60,'2) หลักการคำนวน Table'!$D$1:$M$5,5,TRUE),0),
IF($C60="SF WH",VLOOKUP("GOAL",'2) หลักการคำนวน Table'!$D$92:$M$92,HLOOKUP(AG60,'2) หลักการคำนวน Table'!$D$1:$M$5,5,TRUE),0))))),0)</f>
        <v>0.9</v>
      </c>
      <c r="AT60" s="232">
        <f>IFERROR(IF($C60="Top WS",VLOOKUP("GOAL",'2) หลักการคำนวน Table'!$D$4:$M$4,HLOOKUP(AH60,'2) หลักการคำนวน Table'!$D$1:$M$5,5,TRUE),0),
IF($C60="WS SF",VLOOKUP("GOAL",'2) หลักการคำนวน Table'!$D$32:$M$32,HLOOKUP(AH60,'2) หลักการคำนวน Table'!$D$1:$M$5,5,TRUE),0),
IF($C60="WS WH",VLOOKUP("GOAL",'2) หลักการคำนวน Table'!$D$62:$M$62,HLOOKUP(AH60,'2) หลักการคำนวน Table'!$D$1:$M$5,5,TRUE),0),
IF($C60="SF WH",VLOOKUP("GOAL",'2) หลักการคำนวน Table'!$D$92:$M$92,HLOOKUP(AH60,'2) หลักการคำนวน Table'!$D$1:$M$5,5,TRUE),0))))),0)</f>
        <v>0.9</v>
      </c>
      <c r="AU60" s="232">
        <f>IFERROR(IF($C60="Top WS",VLOOKUP("GOAL",'2) หลักการคำนวน Table'!$D$4:$M$4,HLOOKUP(AI60,'2) หลักการคำนวน Table'!$D$1:$M$5,5,TRUE),0),
IF($C60="WS SF",VLOOKUP("GOAL",'2) หลักการคำนวน Table'!$D$32:$M$32,HLOOKUP(AI60,'2) หลักการคำนวน Table'!$D$1:$M$5,5,TRUE),0),
IF($C60="WS WH",VLOOKUP("GOAL",'2) หลักการคำนวน Table'!$D$62:$M$62,HLOOKUP(AI60,'2) หลักการคำนวน Table'!$D$1:$M$5,5,TRUE),0),
IF($C60="SF WH",VLOOKUP("GOAL",'2) หลักการคำนวน Table'!$D$92:$M$92,HLOOKUP(AI60,'2) หลักการคำนวน Table'!$D$1:$M$5,5,TRUE),0))))),0)</f>
        <v>0.9</v>
      </c>
      <c r="AV60" s="232">
        <f>IFERROR(IF($C60="Top WS",VLOOKUP("GOAL",'2) หลักการคำนวน Table'!$D$4:$M$4,HLOOKUP(AP60,'2) หลักการคำนวน Table'!$D$1:$M$5,5,TRUE),0),
IF($C60="WS SF",VLOOKUP("GOAL",'2) หลักการคำนวน Table'!$D$32:$M$32,HLOOKUP(AP60,'2) หลักการคำนวน Table'!$D$1:$M$5,5,TRUE),0),
IF($C60="WS WH",VLOOKUP("GOAL",'2) หลักการคำนวน Table'!$D$62:$M$62,HLOOKUP(AP60,'2) หลักการคำนวน Table'!$D$1:$M$5,5,TRUE),0),
IF($C60="SF WH",VLOOKUP("GOAL",'2) หลักการคำนวน Table'!$D$92:$M$92,HLOOKUP(AP60,'2) หลักการคำนวน Table'!$D$1:$M$5,5,TRUE),0))))),0)</f>
        <v>0.9</v>
      </c>
      <c r="AW60" s="232">
        <f>IFERROR(IF($C60="Top WS",VLOOKUP("GOAL",'2) หลักการคำนวน Table'!$D$4:$M$4,HLOOKUP(AK60,'2) หลักการคำนวน Table'!$D$1:$M$5,5,TRUE),0),
IF($C60="WS SF",VLOOKUP("GOAL",'2) หลักการคำนวน Table'!$D$32:$M$32,HLOOKUP(AK60,'2) หลักการคำนวน Table'!$D$1:$M$5,5,TRUE),0),
IF($C60="WS WH",VLOOKUP("GOAL",'2) หลักการคำนวน Table'!$D$62:$M$62,HLOOKUP(AK60,'2) หลักการคำนวน Table'!$D$1:$M$5,5,TRUE),0),
IF($C60="SF WH",VLOOKUP("GOAL",'2) หลักการคำนวน Table'!$D$92:$M$92,HLOOKUP(AK60,'2) หลักการคำนวน Table'!$D$1:$M$5,5,TRUE),0))))),0)</f>
        <v>0.9</v>
      </c>
      <c r="AX60" s="232">
        <f>IFERROR(IF($C60="Top WS",VLOOKUP("GOAL",'2) หลักการคำนวน Table'!$D$4:$M$4,HLOOKUP(AL60,'2) หลักการคำนวน Table'!$D$1:$M$5,5,TRUE),0),
IF($C60="WS SF",VLOOKUP("GOAL",'2) หลักการคำนวน Table'!$D$32:$M$32,HLOOKUP(AL60,'2) หลักการคำนวน Table'!$D$1:$M$5,5,TRUE),0),
IF($C60="WS WH",VLOOKUP("GOAL",'2) หลักการคำนวน Table'!$D$62:$M$62,HLOOKUP(AL60,'2) หลักการคำนวน Table'!$D$1:$M$5,5,TRUE),0),
IF($C60="SF WH",VLOOKUP("GOAL",'2) หลักการคำนวน Table'!$D$92:$M$92,HLOOKUP(AL60,'2) หลักการคำนวน Table'!$D$1:$M$5,5,TRUE),0))))),0)</f>
        <v>0.9</v>
      </c>
      <c r="AY60" s="232">
        <f>IFERROR(IF($C60="Top WS",VLOOKUP("GOAL",'2) หลักการคำนวน Table'!$D$4:$M$4,HLOOKUP(AM60,'2) หลักการคำนวน Table'!$D$1:$M$5,5,TRUE),0),
IF($C60="WS SF",VLOOKUP("GOAL",'2) หลักการคำนวน Table'!$D$32:$M$32,HLOOKUP(AM60,'2) หลักการคำนวน Table'!$D$1:$M$5,5,TRUE),0),
IF($C60="WS WH",VLOOKUP("GOAL",'2) หลักการคำนวน Table'!$D$62:$M$62,HLOOKUP(AM60,'2) หลักการคำนวน Table'!$D$1:$M$5,5,TRUE),0),
IF($C60="SF WH",VLOOKUP("GOAL",'2) หลักการคำนวน Table'!$D$92:$M$92,HLOOKUP(AM60,'2) หลักการคำนวน Table'!$D$1:$M$5,5,TRUE),0))))),0)</f>
        <v>0.9</v>
      </c>
      <c r="AZ60" s="167">
        <f>IFERROR(IF($C60="Top WS",VLOOKUP($B60,'2) หลักการคำนวน Table'!$D$5:$M$20,HLOOKUP(AB60,'2) หลักการคำนวน Table'!$D$1:$M$5,5,TRUE),0),
IF($C60="WS SF",VLOOKUP($B60,'2) หลักการคำนวน Table'!$D$33:$M$48,HLOOKUP(AB60,'2) หลักการคำนวน Table'!$D$1:$M$5,5,TRUE),0),
IF($C60="WS WH",VLOOKUP($B60,'2) หลักการคำนวน Table'!$D$63:$M$78,HLOOKUP(AB60,'2) หลักการคำนวน Table'!$D$1:$M$5,5,TRUE),0),
IF($C60="SF WH",VLOOKUP($B60,'2) หลักการคำนวน Table'!$D$93:$M$108,HLOOKUP(AB60,'2) หลักการคำนวน Table'!$D$1:$M$5,5,TRUE),0))))),0)</f>
        <v>350</v>
      </c>
      <c r="BA60" s="167">
        <f>IFERROR(IF($C60="Top WS",VLOOKUP($B60,'2) หลักการคำนวน Table'!$D$5:$M$20,HLOOKUP(AC60,'2) หลักการคำนวน Table'!$D$1:$M$5,5,TRUE),0),
IF($C60="WS SF",VLOOKUP($B60,'2) หลักการคำนวน Table'!$D$33:$M$48,HLOOKUP(AC60,'2) หลักการคำนวน Table'!$D$1:$M$5,5,TRUE),0),
IF($C60="WS WH",VLOOKUP($B60,'2) หลักการคำนวน Table'!$D$63:$M$78,HLOOKUP(AC60,'2) หลักการคำนวน Table'!$D$1:$M$5,5,TRUE),0),
IF($C60="SF WH",VLOOKUP($B60,'2) หลักการคำนวน Table'!$D$93:$M$108,HLOOKUP(AC60,'2) หลักการคำนวน Table'!$D$1:$M$5,5,TRUE),0))))),0)</f>
        <v>350</v>
      </c>
      <c r="BB60" s="167">
        <f>IFERROR(IF($C60="Top WS",VLOOKUP($B60,'2) หลักการคำนวน Table'!$D$5:$M$20,HLOOKUP(AD60,'2) หลักการคำนวน Table'!$D$1:$M$5,5,TRUE),0),
IF($C60="WS SF",VLOOKUP($B60,'2) หลักการคำนวน Table'!$D$33:$M$48,HLOOKUP(AD60,'2) หลักการคำนวน Table'!$D$1:$M$5,5,TRUE),0),
IF($C60="WS WH",VLOOKUP($B60,'2) หลักการคำนวน Table'!$D$63:$M$78,HLOOKUP(AD60,'2) หลักการคำนวน Table'!$D$1:$M$5,5,TRUE),0),
IF($C60="SF WH",VLOOKUP($B60,'2) หลักการคำนวน Table'!$D$93:$M$108,HLOOKUP(AD60,'2) หลักการคำนวน Table'!$D$1:$M$5,5,TRUE),0))))),0)</f>
        <v>315</v>
      </c>
      <c r="BC60" s="167">
        <f>IFERROR(IF($C60="Top WS",VLOOKUP($B60,'2) หลักการคำนวน Table'!$D$5:$M$20,HLOOKUP(AE60,'2) หลักการคำนวน Table'!$D$1:$M$5,5,TRUE),0),
IF($C60="WS SF",VLOOKUP($B60,'2) หลักการคำนวน Table'!$D$33:$M$48,HLOOKUP(AE60,'2) หลักการคำนวน Table'!$D$1:$M$5,5,TRUE),0),
IF($C60="WS WH",VLOOKUP($B60,'2) หลักการคำนวน Table'!$D$63:$M$78,HLOOKUP(AE60,'2) หลักการคำนวน Table'!$D$1:$M$5,5,TRUE),0),
IF($C60="SF WH",VLOOKUP($B60,'2) หลักการคำนวน Table'!$D$93:$M$108,HLOOKUP(AE60,'2) หลักการคำนวน Table'!$D$1:$M$5,5,TRUE),0))))),0)</f>
        <v>315</v>
      </c>
      <c r="BD60" s="167">
        <f>IFERROR(IF($C60="Top WS",VLOOKUP($B60,'2) หลักการคำนวน Table'!$D$5:$M$20,HLOOKUP(AF60,'2) หลักการคำนวน Table'!$D$1:$M$5,5,TRUE),0),
IF($C60="WS SF",VLOOKUP($B60,'2) หลักการคำนวน Table'!$D$33:$M$48,HLOOKUP(AF60,'2) หลักการคำนวน Table'!$D$1:$M$5,5,TRUE),0),
IF($C60="WS WH",VLOOKUP($B60,'2) หลักการคำนวน Table'!$D$63:$M$78,HLOOKUP(AF60,'2) หลักการคำนวน Table'!$D$1:$M$5,5,TRUE),0),
IF($C60="SF WH",VLOOKUP($B60,'2) หลักการคำนวน Table'!$D$93:$M$108,HLOOKUP(AF60,'2) หลักการคำนวน Table'!$D$1:$M$5,5,TRUE),0))))),0)</f>
        <v>315</v>
      </c>
      <c r="BE60" s="167">
        <f>IFERROR(IF($C60="Top WS",VLOOKUP($B60,'2) หลักการคำนวน Table'!$D$5:$M$20,HLOOKUP(AG60,'2) หลักการคำนวน Table'!$D$1:$M$5,5,TRUE),0),
IF($C60="WS SF",VLOOKUP($B60,'2) หลักการคำนวน Table'!$D$33:$M$48,HLOOKUP(AG60,'2) หลักการคำนวน Table'!$D$1:$M$5,5,TRUE),0),
IF($C60="WS WH",VLOOKUP($B60,'2) หลักการคำนวน Table'!$D$63:$M$78,HLOOKUP(AG60,'2) หลักการคำนวน Table'!$D$1:$M$5,5,TRUE),0),
IF($C60="SF WH",VLOOKUP($B60,'2) หลักการคำนวน Table'!$D$93:$M$108,HLOOKUP(AG60,'2) หลักการคำนวน Table'!$D$1:$M$5,5,TRUE),0))))),0)</f>
        <v>315</v>
      </c>
      <c r="BF60" s="167">
        <f>IFERROR(IF($C60="Top WS",VLOOKUP($B60,'2) หลักการคำนวน Table'!$D$5:$M$20,HLOOKUP(AH60,'2) หลักการคำนวน Table'!$D$1:$M$5,5,TRUE),0),
IF($C60="WS SF",VLOOKUP($B60,'2) หลักการคำนวน Table'!$D$33:$M$48,HLOOKUP(AH60,'2) หลักการคำนวน Table'!$D$1:$M$5,5,TRUE),0),
IF($C60="WS WH",VLOOKUP($B60,'2) หลักการคำนวน Table'!$D$63:$M$78,HLOOKUP(AH60,'2) หลักการคำนวน Table'!$D$1:$M$5,5,TRUE),0),
IF($C60="SF WH",VLOOKUP($B60,'2) หลักการคำนวน Table'!$D$93:$M$108,HLOOKUP(AH60,'2) หลักการคำนวน Table'!$D$1:$M$5,5,TRUE),0))))),0)</f>
        <v>315</v>
      </c>
      <c r="BG60" s="167">
        <f>IFERROR(IF($C60="Top WS",VLOOKUP($B60,'2) หลักการคำนวน Table'!$D$5:$M$20,HLOOKUP(AI60,'2) หลักการคำนวน Table'!$D$1:$M$5,5,TRUE),0),
IF($C60="WS SF",VLOOKUP($B60,'2) หลักการคำนวน Table'!$D$33:$M$48,HLOOKUP(AI60,'2) หลักการคำนวน Table'!$D$1:$M$5,5,TRUE),0),
IF($C60="WS WH",VLOOKUP($B60,'2) หลักการคำนวน Table'!$D$63:$M$78,HLOOKUP(AI60,'2) หลักการคำนวน Table'!$D$1:$M$5,5,TRUE),0),
IF($C60="SF WH",VLOOKUP($B60,'2) หลักการคำนวน Table'!$D$93:$M$108,HLOOKUP(AI60,'2) หลักการคำนวน Table'!$D$1:$M$5,5,TRUE),0))))),0)</f>
        <v>315</v>
      </c>
      <c r="BH60" s="167">
        <f>IFERROR(IF($C60="Top WS",VLOOKUP($B60,'2) หลักการคำนวน Table'!$D$5:$M$20,HLOOKUP(AP60,'2) หลักการคำนวน Table'!$D$1:$M$5,5,TRUE),0),
IF($C60="WS SF",VLOOKUP($B60,'2) หลักการคำนวน Table'!$D$33:$M$48,HLOOKUP(AP60,'2) หลักการคำนวน Table'!$D$1:$M$5,5,TRUE),0),
IF($C60="WS WH",VLOOKUP($B60,'2) หลักการคำนวน Table'!$D$63:$M$78,HLOOKUP(AP60,'2) หลักการคำนวน Table'!$D$1:$M$5,5,TRUE),0),
IF($C60="SF WH",VLOOKUP($B60,'2) หลักการคำนวน Table'!$D$93:$M$108,HLOOKUP(AP60,'2) หลักการคำนวน Table'!$D$1:$M$5,5,TRUE),0))))),0)</f>
        <v>315</v>
      </c>
      <c r="BI60" s="167">
        <f>IFERROR(IF($C60="Top WS",VLOOKUP($B60,'2) หลักการคำนวน Table'!$D$5:$M$20,HLOOKUP(AK60,'2) หลักการคำนวน Table'!$D$1:$M$5,5,TRUE),0),
IF($C60="WS SF",VLOOKUP($B60,'2) หลักการคำนวน Table'!$D$33:$M$48,HLOOKUP(AK60,'2) หลักการคำนวน Table'!$D$1:$M$5,5,TRUE),0),
IF($C60="WS WH",VLOOKUP($B60,'2) หลักการคำนวน Table'!$D$63:$M$78,HLOOKUP(AK60,'2) หลักการคำนวน Table'!$D$1:$M$5,5,TRUE),0),
IF($C60="SF WH",VLOOKUP($B60,'2) หลักการคำนวน Table'!$D$93:$M$108,HLOOKUP(AK60,'2) หลักการคำนวน Table'!$D$1:$M$5,5,TRUE),0))))),0)</f>
        <v>315</v>
      </c>
      <c r="BJ60" s="167">
        <f>IFERROR(IF($C60="Top WS",VLOOKUP($B60,'2) หลักการคำนวน Table'!$D$5:$M$20,HLOOKUP(AL60,'2) หลักการคำนวน Table'!$D$1:$M$5,5,TRUE),0),
IF($C60="WS SF",VLOOKUP($B60,'2) หลักการคำนวน Table'!$D$33:$M$48,HLOOKUP(AL60,'2) หลักการคำนวน Table'!$D$1:$M$5,5,TRUE),0),
IF($C60="WS WH",VLOOKUP($B60,'2) หลักการคำนวน Table'!$D$63:$M$78,HLOOKUP(AL60,'2) หลักการคำนวน Table'!$D$1:$M$5,5,TRUE),0),
IF($C60="SF WH",VLOOKUP($B60,'2) หลักการคำนวน Table'!$D$93:$M$108,HLOOKUP(AL60,'2) หลักการคำนวน Table'!$D$1:$M$5,5,TRUE),0))))),0)</f>
        <v>315</v>
      </c>
      <c r="BK60" s="167">
        <f>IFERROR(IF($C60="Top WS",VLOOKUP($B60,'2) หลักการคำนวน Table'!$D$5:$M$20,HLOOKUP(AM60,'2) หลักการคำนวน Table'!$D$1:$M$5,5,TRUE),0),
IF($C60="WS SF",VLOOKUP($B60,'2) หลักการคำนวน Table'!$D$33:$M$48,HLOOKUP(AM60,'2) หลักการคำนวน Table'!$D$1:$M$5,5,TRUE),0),
IF($C60="WS WH",VLOOKUP($B60,'2) หลักการคำนวน Table'!$D$63:$M$78,HLOOKUP(AM60,'2) หลักการคำนวน Table'!$D$1:$M$5,5,TRUE),0),
IF($C60="SF WH",VLOOKUP($B60,'2) หลักการคำนวน Table'!$D$93:$M$108,HLOOKUP(AM60,'2) หลักการคำนวน Table'!$D$1:$M$5,5,TRUE),0))))),0)</f>
        <v>315</v>
      </c>
      <c r="BM60" s="119">
        <f>VLOOKUP(VLOOKUP(A60,ASTBase!E:S,13,FALSE),ASTBase!F:P,11,FALSE)</f>
        <v>140000</v>
      </c>
      <c r="BN60" s="196" cm="1">
        <f t="array" ref="BN60">INDEX(AN60:AY60,,Period!$D$2)</f>
        <v>1</v>
      </c>
    </row>
    <row r="61" spans="1:66" x14ac:dyDescent="0.25">
      <c r="A61" s="117">
        <v>140002</v>
      </c>
      <c r="B61" s="117" t="s">
        <v>390</v>
      </c>
      <c r="C61" s="117" t="s">
        <v>179</v>
      </c>
      <c r="D61" s="118">
        <v>77</v>
      </c>
      <c r="E61" s="118">
        <v>44</v>
      </c>
      <c r="F61" s="118">
        <v>48</v>
      </c>
      <c r="G61" s="118">
        <v>71</v>
      </c>
      <c r="H61" s="118">
        <v>67</v>
      </c>
      <c r="I61" s="118">
        <v>77</v>
      </c>
      <c r="J61" s="118">
        <v>71</v>
      </c>
      <c r="K61" s="118">
        <v>74</v>
      </c>
      <c r="L61" s="118">
        <v>70</v>
      </c>
      <c r="M61" s="118">
        <v>68</v>
      </c>
      <c r="N61" s="118">
        <v>70</v>
      </c>
      <c r="O61" s="118">
        <v>71</v>
      </c>
      <c r="P61" s="117">
        <f>SUMIFS(Actual!C:C,Actual!$A:$A,'3)Target &amp; Cal'!$A61,Actual!$B:$B,'3)Target &amp; Cal'!$B61)</f>
        <v>92.999999999069999</v>
      </c>
      <c r="Q61" s="117">
        <f>SUMIFS(Actual!D:D,Actual!$A:$A,'3)Target &amp; Cal'!$A61,Actual!$B:$B,'3)Target &amp; Cal'!$B61)</f>
        <v>84.999999999150006</v>
      </c>
      <c r="R61" s="117">
        <f>SUMIFS(Actual!E:E,Actual!$A:$A,'3)Target &amp; Cal'!$A61,Actual!$B:$B,'3)Target &amp; Cal'!$B61)</f>
        <v>0</v>
      </c>
      <c r="S61" s="117">
        <f>SUMIFS(Actual!F:F,Actual!$A:$A,'3)Target &amp; Cal'!$A61,Actual!$B:$B,'3)Target &amp; Cal'!$B61)</f>
        <v>0</v>
      </c>
      <c r="T61" s="117">
        <f>SUMIFS(Actual!G:G,Actual!$A:$A,'3)Target &amp; Cal'!$A61,Actual!$B:$B,'3)Target &amp; Cal'!$B61)</f>
        <v>0</v>
      </c>
      <c r="U61" s="117">
        <f>SUMIFS(Actual!H:H,Actual!$A:$A,'3)Target &amp; Cal'!$A61,Actual!$B:$B,'3)Target &amp; Cal'!$B61)</f>
        <v>0</v>
      </c>
      <c r="V61" s="117">
        <f>SUMIFS(Actual!I:I,Actual!$A:$A,'3)Target &amp; Cal'!$A61,Actual!$B:$B,'3)Target &amp; Cal'!$B61)</f>
        <v>0</v>
      </c>
      <c r="W61" s="117">
        <f>SUMIFS(Actual!J:J,Actual!$A:$A,'3)Target &amp; Cal'!$A61,Actual!$B:$B,'3)Target &amp; Cal'!$B61)</f>
        <v>0</v>
      </c>
      <c r="X61" s="117">
        <f>SUMIFS(Actual!K:K,Actual!$A:$A,'3)Target &amp; Cal'!$A61,Actual!$B:$B,'3)Target &amp; Cal'!$B61)</f>
        <v>0</v>
      </c>
      <c r="Y61" s="117">
        <f>SUMIFS(Actual!L:L,Actual!$A:$A,'3)Target &amp; Cal'!$A61,Actual!$B:$B,'3)Target &amp; Cal'!$B61)</f>
        <v>0</v>
      </c>
      <c r="Z61" s="117">
        <f>SUMIFS(Actual!M:M,Actual!$A:$A,'3)Target &amp; Cal'!$A61,Actual!$B:$B,'3)Target &amp; Cal'!$B61)</f>
        <v>0</v>
      </c>
      <c r="AA61" s="117">
        <f>SUMIFS(Actual!N:N,Actual!$A:$A,'3)Target &amp; Cal'!$A61,Actual!$B:$B,'3)Target &amp; Cal'!$B61)</f>
        <v>0</v>
      </c>
      <c r="AB61" s="123">
        <f>IFERROR(IF(VLOOKUP($B61,Shortage!$A:$M,AB$2,FALSE)="Shortage",1,IFERROR(ROUND(P61/D61,4),0)),IFERROR(ROUND(P61/D61,4),0))</f>
        <v>1.2078</v>
      </c>
      <c r="AC61" s="123">
        <f>IFERROR(IF(VLOOKUP($B61,Shortage!$A:$M,AC$2,FALSE)="Shortage",1,IFERROR(ROUND(Q61/E61,4),0)),IFERROR(ROUND(Q61/E61,4),0))</f>
        <v>1.9318</v>
      </c>
      <c r="AD61" s="123">
        <f>IFERROR(IF(VLOOKUP($B61,Shortage!$A:$M,AD$2,FALSE)="Shortage",1,IFERROR(ROUND(R61/F61,4),0)),IFERROR(ROUND(R61/F61,4),0))</f>
        <v>0</v>
      </c>
      <c r="AE61" s="123">
        <f>IFERROR(IF(VLOOKUP($B61,Shortage!$A:$M,AE$2,FALSE)="Shortage",1,IFERROR(ROUND(S61/G61,4),0)),IFERROR(ROUND(S61/G61,4),0))</f>
        <v>0</v>
      </c>
      <c r="AF61" s="123">
        <f>IFERROR(IF(VLOOKUP($B61,Shortage!$A:$M,AF$2,FALSE)="Shortage",1,IFERROR(ROUND(T61/H61,4),0)),IFERROR(ROUND(T61/H61,4),0))</f>
        <v>0</v>
      </c>
      <c r="AG61" s="123">
        <f>IFERROR(IF(VLOOKUP($B61,Shortage!$A:$M,AG$2,FALSE)="Shortage",1,IFERROR(ROUND(U61/I61,4),0)),IFERROR(ROUND(U61/I61,4),0))</f>
        <v>0</v>
      </c>
      <c r="AH61" s="123">
        <f>IFERROR(IF(VLOOKUP($B61,Shortage!$A:$M,AH$2,FALSE)="Shortage",1,IFERROR(ROUND(V61/J61,4),0)),IFERROR(ROUND(V61/J61,4),0))</f>
        <v>0</v>
      </c>
      <c r="AI61" s="123">
        <f>IFERROR(IF(VLOOKUP($B61,Shortage!$A:$M,AI$2,FALSE)="Shortage",1,IFERROR(ROUND(W61/K61,4),0)),IFERROR(ROUND(W61/K61,4),0))</f>
        <v>0</v>
      </c>
      <c r="AJ61" s="123">
        <f>IFERROR(IF(VLOOKUP($B61,Shortage!$A:$M,AP$2,FALSE)="Shortage",1,IFERROR(ROUND(X61/L61,4),0)),IFERROR(ROUND(X61/L61,4),0))</f>
        <v>0</v>
      </c>
      <c r="AK61" s="123">
        <f>IFERROR(IF(VLOOKUP($B61,Shortage!$A:$M,AK$2,FALSE)="Shortage",1,IFERROR(ROUND(Y61/M61,4),0)),IFERROR(ROUND(Y61/M61,4),0))</f>
        <v>0</v>
      </c>
      <c r="AL61" s="123">
        <f>IFERROR(IF(VLOOKUP($B61,Shortage!$A:$M,AL$2,FALSE)="Shortage",1,IFERROR(ROUND(Z61/N61,4),0)),IFERROR(ROUND(Z61/N61,4),0))</f>
        <v>0</v>
      </c>
      <c r="AM61" s="123">
        <f>IFERROR(IF(VLOOKUP($B61,Shortage!$A:$M,AM$2,FALSE)="Shortage",1,IFERROR(ROUND(AA61/O61,4),0)),IFERROR(ROUND(AA61/O61,4),0))</f>
        <v>0</v>
      </c>
      <c r="AN61" s="232">
        <f>IFERROR(IF($C61="Top WS",VLOOKUP("GOAL",'2) หลักการคำนวน Table'!$D$4:$M$4,HLOOKUP(AB61,'2) หลักการคำนวน Table'!$D$1:$M$5,5,TRUE),0),
IF($C61="WS SF",VLOOKUP("GOAL",'2) หลักการคำนวน Table'!$D$32:$M$32,HLOOKUP(AB61,'2) หลักการคำนวน Table'!$D$1:$M$5,5,TRUE),0),
IF($C61="WS WH",VLOOKUP("GOAL",'2) หลักการคำนวน Table'!$D$62:$M$62,HLOOKUP(AB61,'2) หลักการคำนวน Table'!$D$1:$M$5,5,TRUE),0),
IF($C61="SF WH",VLOOKUP("GOAL",'2) หลักการคำนวน Table'!$D$92:$M$92,HLOOKUP(AB61,'2) หลักการคำนวน Table'!$D$1:$M$5,5,TRUE),0))))),0)</f>
        <v>1.3</v>
      </c>
      <c r="AO61" s="232">
        <f>IFERROR(IF($C61="Top WS",VLOOKUP("GOAL",'2) หลักการคำนวน Table'!$D$4:$M$4,HLOOKUP(AC61,'2) หลักการคำนวน Table'!$D$1:$M$5,5,TRUE),0),
IF($C61="WS SF",VLOOKUP("GOAL",'2) หลักการคำนวน Table'!$D$32:$M$32,HLOOKUP(AC61,'2) หลักการคำนวน Table'!$D$1:$M$5,5,TRUE),0),
IF($C61="WS WH",VLOOKUP("GOAL",'2) หลักการคำนวน Table'!$D$62:$M$62,HLOOKUP(AC61,'2) หลักการคำนวน Table'!$D$1:$M$5,5,TRUE),0),
IF($C61="SF WH",VLOOKUP("GOAL",'2) หลักการคำนวน Table'!$D$92:$M$92,HLOOKUP(AC61,'2) หลักการคำนวน Table'!$D$1:$M$5,5,TRUE),0))))),0)</f>
        <v>1.3</v>
      </c>
      <c r="AP61" s="232">
        <f>IFERROR(IF($C61="Top WS",VLOOKUP("GOAL",'2) หลักการคำนวน Table'!$D$4:$M$4,HLOOKUP(AD61,'2) หลักการคำนวน Table'!$D$1:$M$5,5,TRUE),0),
IF($C61="WS SF",VLOOKUP("GOAL",'2) หลักการคำนวน Table'!$D$32:$M$32,HLOOKUP(AD61,'2) หลักการคำนวน Table'!$D$1:$M$5,5,TRUE),0),
IF($C61="WS WH",VLOOKUP("GOAL",'2) หลักการคำนวน Table'!$D$62:$M$62,HLOOKUP(AD61,'2) หลักการคำนวน Table'!$D$1:$M$5,5,TRUE),0),
IF($C61="SF WH",VLOOKUP("GOAL",'2) หลักการคำนวน Table'!$D$92:$M$92,HLOOKUP(AD61,'2) หลักการคำนวน Table'!$D$1:$M$5,5,TRUE),0))))),0)</f>
        <v>0.9</v>
      </c>
      <c r="AQ61" s="232">
        <f>IFERROR(IF($C61="Top WS",VLOOKUP("GOAL",'2) หลักการคำนวน Table'!$D$4:$M$4,HLOOKUP(AE61,'2) หลักการคำนวน Table'!$D$1:$M$5,5,TRUE),0),
IF($C61="WS SF",VLOOKUP("GOAL",'2) หลักการคำนวน Table'!$D$32:$M$32,HLOOKUP(AE61,'2) หลักการคำนวน Table'!$D$1:$M$5,5,TRUE),0),
IF($C61="WS WH",VLOOKUP("GOAL",'2) หลักการคำนวน Table'!$D$62:$M$62,HLOOKUP(AE61,'2) หลักการคำนวน Table'!$D$1:$M$5,5,TRUE),0),
IF($C61="SF WH",VLOOKUP("GOAL",'2) หลักการคำนวน Table'!$D$92:$M$92,HLOOKUP(AE61,'2) หลักการคำนวน Table'!$D$1:$M$5,5,TRUE),0))))),0)</f>
        <v>0.9</v>
      </c>
      <c r="AR61" s="232">
        <f>IFERROR(IF($C61="Top WS",VLOOKUP("GOAL",'2) หลักการคำนวน Table'!$D$4:$M$4,HLOOKUP(AF61,'2) หลักการคำนวน Table'!$D$1:$M$5,5,TRUE),0),
IF($C61="WS SF",VLOOKUP("GOAL",'2) หลักการคำนวน Table'!$D$32:$M$32,HLOOKUP(AF61,'2) หลักการคำนวน Table'!$D$1:$M$5,5,TRUE),0),
IF($C61="WS WH",VLOOKUP("GOAL",'2) หลักการคำนวน Table'!$D$62:$M$62,HLOOKUP(AF61,'2) หลักการคำนวน Table'!$D$1:$M$5,5,TRUE),0),
IF($C61="SF WH",VLOOKUP("GOAL",'2) หลักการคำนวน Table'!$D$92:$M$92,HLOOKUP(AF61,'2) หลักการคำนวน Table'!$D$1:$M$5,5,TRUE),0))))),0)</f>
        <v>0.9</v>
      </c>
      <c r="AS61" s="232">
        <f>IFERROR(IF($C61="Top WS",VLOOKUP("GOAL",'2) หลักการคำนวน Table'!$D$4:$M$4,HLOOKUP(AG61,'2) หลักการคำนวน Table'!$D$1:$M$5,5,TRUE),0),
IF($C61="WS SF",VLOOKUP("GOAL",'2) หลักการคำนวน Table'!$D$32:$M$32,HLOOKUP(AG61,'2) หลักการคำนวน Table'!$D$1:$M$5,5,TRUE),0),
IF($C61="WS WH",VLOOKUP("GOAL",'2) หลักการคำนวน Table'!$D$62:$M$62,HLOOKUP(AG61,'2) หลักการคำนวน Table'!$D$1:$M$5,5,TRUE),0),
IF($C61="SF WH",VLOOKUP("GOAL",'2) หลักการคำนวน Table'!$D$92:$M$92,HLOOKUP(AG61,'2) หลักการคำนวน Table'!$D$1:$M$5,5,TRUE),0))))),0)</f>
        <v>0.9</v>
      </c>
      <c r="AT61" s="232">
        <f>IFERROR(IF($C61="Top WS",VLOOKUP("GOAL",'2) หลักการคำนวน Table'!$D$4:$M$4,HLOOKUP(AH61,'2) หลักการคำนวน Table'!$D$1:$M$5,5,TRUE),0),
IF($C61="WS SF",VLOOKUP("GOAL",'2) หลักการคำนวน Table'!$D$32:$M$32,HLOOKUP(AH61,'2) หลักการคำนวน Table'!$D$1:$M$5,5,TRUE),0),
IF($C61="WS WH",VLOOKUP("GOAL",'2) หลักการคำนวน Table'!$D$62:$M$62,HLOOKUP(AH61,'2) หลักการคำนวน Table'!$D$1:$M$5,5,TRUE),0),
IF($C61="SF WH",VLOOKUP("GOAL",'2) หลักการคำนวน Table'!$D$92:$M$92,HLOOKUP(AH61,'2) หลักการคำนวน Table'!$D$1:$M$5,5,TRUE),0))))),0)</f>
        <v>0.9</v>
      </c>
      <c r="AU61" s="232">
        <f>IFERROR(IF($C61="Top WS",VLOOKUP("GOAL",'2) หลักการคำนวน Table'!$D$4:$M$4,HLOOKUP(AI61,'2) หลักการคำนวน Table'!$D$1:$M$5,5,TRUE),0),
IF($C61="WS SF",VLOOKUP("GOAL",'2) หลักการคำนวน Table'!$D$32:$M$32,HLOOKUP(AI61,'2) หลักการคำนวน Table'!$D$1:$M$5,5,TRUE),0),
IF($C61="WS WH",VLOOKUP("GOAL",'2) หลักการคำนวน Table'!$D$62:$M$62,HLOOKUP(AI61,'2) หลักการคำนวน Table'!$D$1:$M$5,5,TRUE),0),
IF($C61="SF WH",VLOOKUP("GOAL",'2) หลักการคำนวน Table'!$D$92:$M$92,HLOOKUP(AI61,'2) หลักการคำนวน Table'!$D$1:$M$5,5,TRUE),0))))),0)</f>
        <v>0.9</v>
      </c>
      <c r="AV61" s="232">
        <f>IFERROR(IF($C61="Top WS",VLOOKUP("GOAL",'2) หลักการคำนวน Table'!$D$4:$M$4,HLOOKUP(AP61,'2) หลักการคำนวน Table'!$D$1:$M$5,5,TRUE),0),
IF($C61="WS SF",VLOOKUP("GOAL",'2) หลักการคำนวน Table'!$D$32:$M$32,HLOOKUP(AP61,'2) หลักการคำนวน Table'!$D$1:$M$5,5,TRUE),0),
IF($C61="WS WH",VLOOKUP("GOAL",'2) หลักการคำนวน Table'!$D$62:$M$62,HLOOKUP(AP61,'2) หลักการคำนวน Table'!$D$1:$M$5,5,TRUE),0),
IF($C61="SF WH",VLOOKUP("GOAL",'2) หลักการคำนวน Table'!$D$92:$M$92,HLOOKUP(AP61,'2) หลักการคำนวน Table'!$D$1:$M$5,5,TRUE),0))))),0)</f>
        <v>0.9</v>
      </c>
      <c r="AW61" s="232">
        <f>IFERROR(IF($C61="Top WS",VLOOKUP("GOAL",'2) หลักการคำนวน Table'!$D$4:$M$4,HLOOKUP(AK61,'2) หลักการคำนวน Table'!$D$1:$M$5,5,TRUE),0),
IF($C61="WS SF",VLOOKUP("GOAL",'2) หลักการคำนวน Table'!$D$32:$M$32,HLOOKUP(AK61,'2) หลักการคำนวน Table'!$D$1:$M$5,5,TRUE),0),
IF($C61="WS WH",VLOOKUP("GOAL",'2) หลักการคำนวน Table'!$D$62:$M$62,HLOOKUP(AK61,'2) หลักการคำนวน Table'!$D$1:$M$5,5,TRUE),0),
IF($C61="SF WH",VLOOKUP("GOAL",'2) หลักการคำนวน Table'!$D$92:$M$92,HLOOKUP(AK61,'2) หลักการคำนวน Table'!$D$1:$M$5,5,TRUE),0))))),0)</f>
        <v>0.9</v>
      </c>
      <c r="AX61" s="232">
        <f>IFERROR(IF($C61="Top WS",VLOOKUP("GOAL",'2) หลักการคำนวน Table'!$D$4:$M$4,HLOOKUP(AL61,'2) หลักการคำนวน Table'!$D$1:$M$5,5,TRUE),0),
IF($C61="WS SF",VLOOKUP("GOAL",'2) หลักการคำนวน Table'!$D$32:$M$32,HLOOKUP(AL61,'2) หลักการคำนวน Table'!$D$1:$M$5,5,TRUE),0),
IF($C61="WS WH",VLOOKUP("GOAL",'2) หลักการคำนวน Table'!$D$62:$M$62,HLOOKUP(AL61,'2) หลักการคำนวน Table'!$D$1:$M$5,5,TRUE),0),
IF($C61="SF WH",VLOOKUP("GOAL",'2) หลักการคำนวน Table'!$D$92:$M$92,HLOOKUP(AL61,'2) หลักการคำนวน Table'!$D$1:$M$5,5,TRUE),0))))),0)</f>
        <v>0.9</v>
      </c>
      <c r="AY61" s="232">
        <f>IFERROR(IF($C61="Top WS",VLOOKUP("GOAL",'2) หลักการคำนวน Table'!$D$4:$M$4,HLOOKUP(AM61,'2) หลักการคำนวน Table'!$D$1:$M$5,5,TRUE),0),
IF($C61="WS SF",VLOOKUP("GOAL",'2) หลักการคำนวน Table'!$D$32:$M$32,HLOOKUP(AM61,'2) หลักการคำนวน Table'!$D$1:$M$5,5,TRUE),0),
IF($C61="WS WH",VLOOKUP("GOAL",'2) หลักการคำนวน Table'!$D$62:$M$62,HLOOKUP(AM61,'2) หลักการคำนวน Table'!$D$1:$M$5,5,TRUE),0),
IF($C61="SF WH",VLOOKUP("GOAL",'2) หลักการคำนวน Table'!$D$92:$M$92,HLOOKUP(AM61,'2) หลักการคำนวน Table'!$D$1:$M$5,5,TRUE),0))))),0)</f>
        <v>0.9</v>
      </c>
      <c r="AZ61" s="167">
        <f>IFERROR(IF($C61="Top WS",VLOOKUP($B61,'2) หลักการคำนวน Table'!$D$5:$M$20,HLOOKUP(AB61,'2) หลักการคำนวน Table'!$D$1:$M$5,5,TRUE),0),
IF($C61="WS SF",VLOOKUP($B61,'2) หลักการคำนวน Table'!$D$33:$M$48,HLOOKUP(AB61,'2) หลักการคำนวน Table'!$D$1:$M$5,5,TRUE),0),
IF($C61="WS WH",VLOOKUP($B61,'2) หลักการคำนวน Table'!$D$63:$M$78,HLOOKUP(AB61,'2) หลักการคำนวน Table'!$D$1:$M$5,5,TRUE),0),
IF($C61="SF WH",VLOOKUP($B61,'2) หลักการคำนวน Table'!$D$93:$M$108,HLOOKUP(AB61,'2) หลักการคำนวน Table'!$D$1:$M$5,5,TRUE),0))))),0)</f>
        <v>455</v>
      </c>
      <c r="BA61" s="167">
        <f>IFERROR(IF($C61="Top WS",VLOOKUP($B61,'2) หลักการคำนวน Table'!$D$5:$M$20,HLOOKUP(AC61,'2) หลักการคำนวน Table'!$D$1:$M$5,5,TRUE),0),
IF($C61="WS SF",VLOOKUP($B61,'2) หลักการคำนวน Table'!$D$33:$M$48,HLOOKUP(AC61,'2) หลักการคำนวน Table'!$D$1:$M$5,5,TRUE),0),
IF($C61="WS WH",VLOOKUP($B61,'2) หลักการคำนวน Table'!$D$63:$M$78,HLOOKUP(AC61,'2) หลักการคำนวน Table'!$D$1:$M$5,5,TRUE),0),
IF($C61="SF WH",VLOOKUP($B61,'2) หลักการคำนวน Table'!$D$93:$M$108,HLOOKUP(AC61,'2) หลักการคำนวน Table'!$D$1:$M$5,5,TRUE),0))))),0)</f>
        <v>455</v>
      </c>
      <c r="BB61" s="167">
        <f>IFERROR(IF($C61="Top WS",VLOOKUP($B61,'2) หลักการคำนวน Table'!$D$5:$M$20,HLOOKUP(AD61,'2) หลักการคำนวน Table'!$D$1:$M$5,5,TRUE),0),
IF($C61="WS SF",VLOOKUP($B61,'2) หลักการคำนวน Table'!$D$33:$M$48,HLOOKUP(AD61,'2) หลักการคำนวน Table'!$D$1:$M$5,5,TRUE),0),
IF($C61="WS WH",VLOOKUP($B61,'2) หลักการคำนวน Table'!$D$63:$M$78,HLOOKUP(AD61,'2) หลักการคำนวน Table'!$D$1:$M$5,5,TRUE),0),
IF($C61="SF WH",VLOOKUP($B61,'2) หลักการคำนวน Table'!$D$93:$M$108,HLOOKUP(AD61,'2) หลักการคำนวน Table'!$D$1:$M$5,5,TRUE),0))))),0)</f>
        <v>315</v>
      </c>
      <c r="BC61" s="167">
        <f>IFERROR(IF($C61="Top WS",VLOOKUP($B61,'2) หลักการคำนวน Table'!$D$5:$M$20,HLOOKUP(AE61,'2) หลักการคำนวน Table'!$D$1:$M$5,5,TRUE),0),
IF($C61="WS SF",VLOOKUP($B61,'2) หลักการคำนวน Table'!$D$33:$M$48,HLOOKUP(AE61,'2) หลักการคำนวน Table'!$D$1:$M$5,5,TRUE),0),
IF($C61="WS WH",VLOOKUP($B61,'2) หลักการคำนวน Table'!$D$63:$M$78,HLOOKUP(AE61,'2) หลักการคำนวน Table'!$D$1:$M$5,5,TRUE),0),
IF($C61="SF WH",VLOOKUP($B61,'2) หลักการคำนวน Table'!$D$93:$M$108,HLOOKUP(AE61,'2) หลักการคำนวน Table'!$D$1:$M$5,5,TRUE),0))))),0)</f>
        <v>315</v>
      </c>
      <c r="BD61" s="167">
        <f>IFERROR(IF($C61="Top WS",VLOOKUP($B61,'2) หลักการคำนวน Table'!$D$5:$M$20,HLOOKUP(AF61,'2) หลักการคำนวน Table'!$D$1:$M$5,5,TRUE),0),
IF($C61="WS SF",VLOOKUP($B61,'2) หลักการคำนวน Table'!$D$33:$M$48,HLOOKUP(AF61,'2) หลักการคำนวน Table'!$D$1:$M$5,5,TRUE),0),
IF($C61="WS WH",VLOOKUP($B61,'2) หลักการคำนวน Table'!$D$63:$M$78,HLOOKUP(AF61,'2) หลักการคำนวน Table'!$D$1:$M$5,5,TRUE),0),
IF($C61="SF WH",VLOOKUP($B61,'2) หลักการคำนวน Table'!$D$93:$M$108,HLOOKUP(AF61,'2) หลักการคำนวน Table'!$D$1:$M$5,5,TRUE),0))))),0)</f>
        <v>315</v>
      </c>
      <c r="BE61" s="167">
        <f>IFERROR(IF($C61="Top WS",VLOOKUP($B61,'2) หลักการคำนวน Table'!$D$5:$M$20,HLOOKUP(AG61,'2) หลักการคำนวน Table'!$D$1:$M$5,5,TRUE),0),
IF($C61="WS SF",VLOOKUP($B61,'2) หลักการคำนวน Table'!$D$33:$M$48,HLOOKUP(AG61,'2) หลักการคำนวน Table'!$D$1:$M$5,5,TRUE),0),
IF($C61="WS WH",VLOOKUP($B61,'2) หลักการคำนวน Table'!$D$63:$M$78,HLOOKUP(AG61,'2) หลักการคำนวน Table'!$D$1:$M$5,5,TRUE),0),
IF($C61="SF WH",VLOOKUP($B61,'2) หลักการคำนวน Table'!$D$93:$M$108,HLOOKUP(AG61,'2) หลักการคำนวน Table'!$D$1:$M$5,5,TRUE),0))))),0)</f>
        <v>315</v>
      </c>
      <c r="BF61" s="167">
        <f>IFERROR(IF($C61="Top WS",VLOOKUP($B61,'2) หลักการคำนวน Table'!$D$5:$M$20,HLOOKUP(AH61,'2) หลักการคำนวน Table'!$D$1:$M$5,5,TRUE),0),
IF($C61="WS SF",VLOOKUP($B61,'2) หลักการคำนวน Table'!$D$33:$M$48,HLOOKUP(AH61,'2) หลักการคำนวน Table'!$D$1:$M$5,5,TRUE),0),
IF($C61="WS WH",VLOOKUP($B61,'2) หลักการคำนวน Table'!$D$63:$M$78,HLOOKUP(AH61,'2) หลักการคำนวน Table'!$D$1:$M$5,5,TRUE),0),
IF($C61="SF WH",VLOOKUP($B61,'2) หลักการคำนวน Table'!$D$93:$M$108,HLOOKUP(AH61,'2) หลักการคำนวน Table'!$D$1:$M$5,5,TRUE),0))))),0)</f>
        <v>315</v>
      </c>
      <c r="BG61" s="167">
        <f>IFERROR(IF($C61="Top WS",VLOOKUP($B61,'2) หลักการคำนวน Table'!$D$5:$M$20,HLOOKUP(AI61,'2) หลักการคำนวน Table'!$D$1:$M$5,5,TRUE),0),
IF($C61="WS SF",VLOOKUP($B61,'2) หลักการคำนวน Table'!$D$33:$M$48,HLOOKUP(AI61,'2) หลักการคำนวน Table'!$D$1:$M$5,5,TRUE),0),
IF($C61="WS WH",VLOOKUP($B61,'2) หลักการคำนวน Table'!$D$63:$M$78,HLOOKUP(AI61,'2) หลักการคำนวน Table'!$D$1:$M$5,5,TRUE),0),
IF($C61="SF WH",VLOOKUP($B61,'2) หลักการคำนวน Table'!$D$93:$M$108,HLOOKUP(AI61,'2) หลักการคำนวน Table'!$D$1:$M$5,5,TRUE),0))))),0)</f>
        <v>315</v>
      </c>
      <c r="BH61" s="167">
        <f>IFERROR(IF($C61="Top WS",VLOOKUP($B61,'2) หลักการคำนวน Table'!$D$5:$M$20,HLOOKUP(AP61,'2) หลักการคำนวน Table'!$D$1:$M$5,5,TRUE),0),
IF($C61="WS SF",VLOOKUP($B61,'2) หลักการคำนวน Table'!$D$33:$M$48,HLOOKUP(AP61,'2) หลักการคำนวน Table'!$D$1:$M$5,5,TRUE),0),
IF($C61="WS WH",VLOOKUP($B61,'2) หลักการคำนวน Table'!$D$63:$M$78,HLOOKUP(AP61,'2) หลักการคำนวน Table'!$D$1:$M$5,5,TRUE),0),
IF($C61="SF WH",VLOOKUP($B61,'2) หลักการคำนวน Table'!$D$93:$M$108,HLOOKUP(AP61,'2) หลักการคำนวน Table'!$D$1:$M$5,5,TRUE),0))))),0)</f>
        <v>315</v>
      </c>
      <c r="BI61" s="167">
        <f>IFERROR(IF($C61="Top WS",VLOOKUP($B61,'2) หลักการคำนวน Table'!$D$5:$M$20,HLOOKUP(AK61,'2) หลักการคำนวน Table'!$D$1:$M$5,5,TRUE),0),
IF($C61="WS SF",VLOOKUP($B61,'2) หลักการคำนวน Table'!$D$33:$M$48,HLOOKUP(AK61,'2) หลักการคำนวน Table'!$D$1:$M$5,5,TRUE),0),
IF($C61="WS WH",VLOOKUP($B61,'2) หลักการคำนวน Table'!$D$63:$M$78,HLOOKUP(AK61,'2) หลักการคำนวน Table'!$D$1:$M$5,5,TRUE),0),
IF($C61="SF WH",VLOOKUP($B61,'2) หลักการคำนวน Table'!$D$93:$M$108,HLOOKUP(AK61,'2) หลักการคำนวน Table'!$D$1:$M$5,5,TRUE),0))))),0)</f>
        <v>315</v>
      </c>
      <c r="BJ61" s="167">
        <f>IFERROR(IF($C61="Top WS",VLOOKUP($B61,'2) หลักการคำนวน Table'!$D$5:$M$20,HLOOKUP(AL61,'2) หลักการคำนวน Table'!$D$1:$M$5,5,TRUE),0),
IF($C61="WS SF",VLOOKUP($B61,'2) หลักการคำนวน Table'!$D$33:$M$48,HLOOKUP(AL61,'2) หลักการคำนวน Table'!$D$1:$M$5,5,TRUE),0),
IF($C61="WS WH",VLOOKUP($B61,'2) หลักการคำนวน Table'!$D$63:$M$78,HLOOKUP(AL61,'2) หลักการคำนวน Table'!$D$1:$M$5,5,TRUE),0),
IF($C61="SF WH",VLOOKUP($B61,'2) หลักการคำนวน Table'!$D$93:$M$108,HLOOKUP(AL61,'2) หลักการคำนวน Table'!$D$1:$M$5,5,TRUE),0))))),0)</f>
        <v>315</v>
      </c>
      <c r="BK61" s="167">
        <f>IFERROR(IF($C61="Top WS",VLOOKUP($B61,'2) หลักการคำนวน Table'!$D$5:$M$20,HLOOKUP(AM61,'2) หลักการคำนวน Table'!$D$1:$M$5,5,TRUE),0),
IF($C61="WS SF",VLOOKUP($B61,'2) หลักการคำนวน Table'!$D$33:$M$48,HLOOKUP(AM61,'2) หลักการคำนวน Table'!$D$1:$M$5,5,TRUE),0),
IF($C61="WS WH",VLOOKUP($B61,'2) หลักการคำนวน Table'!$D$63:$M$78,HLOOKUP(AM61,'2) หลักการคำนวน Table'!$D$1:$M$5,5,TRUE),0),
IF($C61="SF WH",VLOOKUP($B61,'2) หลักการคำนวน Table'!$D$93:$M$108,HLOOKUP(AM61,'2) หลักการคำนวน Table'!$D$1:$M$5,5,TRUE),0))))),0)</f>
        <v>315</v>
      </c>
      <c r="BM61" s="119">
        <f>VLOOKUP(VLOOKUP(A61,ASTBase!E:S,13,FALSE),ASTBase!F:P,11,FALSE)</f>
        <v>140000</v>
      </c>
      <c r="BN61" s="196" cm="1">
        <f t="array" ref="BN61">INDEX(AN61:AY61,,Period!$D$2)</f>
        <v>1.3</v>
      </c>
    </row>
    <row r="62" spans="1:66" x14ac:dyDescent="0.25">
      <c r="A62" s="117">
        <v>140002</v>
      </c>
      <c r="B62" s="117" t="s">
        <v>392</v>
      </c>
      <c r="C62" s="117" t="s">
        <v>179</v>
      </c>
      <c r="D62" s="118">
        <v>94</v>
      </c>
      <c r="E62" s="118">
        <v>42</v>
      </c>
      <c r="F62" s="118">
        <v>42</v>
      </c>
      <c r="G62" s="118">
        <v>70</v>
      </c>
      <c r="H62" s="118">
        <v>58</v>
      </c>
      <c r="I62" s="118">
        <v>37</v>
      </c>
      <c r="J62" s="118">
        <v>91</v>
      </c>
      <c r="K62" s="118">
        <v>52</v>
      </c>
      <c r="L62" s="118">
        <v>60</v>
      </c>
      <c r="M62" s="118">
        <v>78</v>
      </c>
      <c r="N62" s="118">
        <v>82</v>
      </c>
      <c r="O62" s="118">
        <v>81</v>
      </c>
      <c r="P62" s="117">
        <f>SUMIFS(Actual!C:C,Actual!$A:$A,'3)Target &amp; Cal'!$A62,Actual!$B:$B,'3)Target &amp; Cal'!$B62)</f>
        <v>10.799999999999999</v>
      </c>
      <c r="Q62" s="117">
        <f>SUMIFS(Actual!D:D,Actual!$A:$A,'3)Target &amp; Cal'!$A62,Actual!$B:$B,'3)Target &amp; Cal'!$B62)</f>
        <v>13.1706</v>
      </c>
      <c r="R62" s="117">
        <f>SUMIFS(Actual!E:E,Actual!$A:$A,'3)Target &amp; Cal'!$A62,Actual!$B:$B,'3)Target &amp; Cal'!$B62)</f>
        <v>0</v>
      </c>
      <c r="S62" s="117">
        <f>SUMIFS(Actual!F:F,Actual!$A:$A,'3)Target &amp; Cal'!$A62,Actual!$B:$B,'3)Target &amp; Cal'!$B62)</f>
        <v>0</v>
      </c>
      <c r="T62" s="117">
        <f>SUMIFS(Actual!G:G,Actual!$A:$A,'3)Target &amp; Cal'!$A62,Actual!$B:$B,'3)Target &amp; Cal'!$B62)</f>
        <v>0</v>
      </c>
      <c r="U62" s="117">
        <f>SUMIFS(Actual!H:H,Actual!$A:$A,'3)Target &amp; Cal'!$A62,Actual!$B:$B,'3)Target &amp; Cal'!$B62)</f>
        <v>0</v>
      </c>
      <c r="V62" s="117">
        <f>SUMIFS(Actual!I:I,Actual!$A:$A,'3)Target &amp; Cal'!$A62,Actual!$B:$B,'3)Target &amp; Cal'!$B62)</f>
        <v>0</v>
      </c>
      <c r="W62" s="117">
        <f>SUMIFS(Actual!J:J,Actual!$A:$A,'3)Target &amp; Cal'!$A62,Actual!$B:$B,'3)Target &amp; Cal'!$B62)</f>
        <v>0</v>
      </c>
      <c r="X62" s="117">
        <f>SUMIFS(Actual!K:K,Actual!$A:$A,'3)Target &amp; Cal'!$A62,Actual!$B:$B,'3)Target &amp; Cal'!$B62)</f>
        <v>0</v>
      </c>
      <c r="Y62" s="117">
        <f>SUMIFS(Actual!L:L,Actual!$A:$A,'3)Target &amp; Cal'!$A62,Actual!$B:$B,'3)Target &amp; Cal'!$B62)</f>
        <v>0</v>
      </c>
      <c r="Z62" s="117">
        <f>SUMIFS(Actual!M:M,Actual!$A:$A,'3)Target &amp; Cal'!$A62,Actual!$B:$B,'3)Target &amp; Cal'!$B62)</f>
        <v>0</v>
      </c>
      <c r="AA62" s="117">
        <f>SUMIFS(Actual!N:N,Actual!$A:$A,'3)Target &amp; Cal'!$A62,Actual!$B:$B,'3)Target &amp; Cal'!$B62)</f>
        <v>0</v>
      </c>
      <c r="AB62" s="123">
        <f>IFERROR(IF(VLOOKUP($B62,Shortage!$A:$M,AB$2,FALSE)="Shortage",1,IFERROR(ROUND(P62/D62,4),0)),IFERROR(ROUND(P62/D62,4),0))</f>
        <v>0.1149</v>
      </c>
      <c r="AC62" s="123">
        <f>IFERROR(IF(VLOOKUP($B62,Shortage!$A:$M,AC$2,FALSE)="Shortage",1,IFERROR(ROUND(Q62/E62,4),0)),IFERROR(ROUND(Q62/E62,4),0))</f>
        <v>0.31359999999999999</v>
      </c>
      <c r="AD62" s="123">
        <f>IFERROR(IF(VLOOKUP($B62,Shortage!$A:$M,AD$2,FALSE)="Shortage",1,IFERROR(ROUND(R62/F62,4),0)),IFERROR(ROUND(R62/F62,4),0))</f>
        <v>0</v>
      </c>
      <c r="AE62" s="123">
        <f>IFERROR(IF(VLOOKUP($B62,Shortage!$A:$M,AE$2,FALSE)="Shortage",1,IFERROR(ROUND(S62/G62,4),0)),IFERROR(ROUND(S62/G62,4),0))</f>
        <v>0</v>
      </c>
      <c r="AF62" s="123">
        <f>IFERROR(IF(VLOOKUP($B62,Shortage!$A:$M,AF$2,FALSE)="Shortage",1,IFERROR(ROUND(T62/H62,4),0)),IFERROR(ROUND(T62/H62,4),0))</f>
        <v>0</v>
      </c>
      <c r="AG62" s="123">
        <f>IFERROR(IF(VLOOKUP($B62,Shortage!$A:$M,AG$2,FALSE)="Shortage",1,IFERROR(ROUND(U62/I62,4),0)),IFERROR(ROUND(U62/I62,4),0))</f>
        <v>0</v>
      </c>
      <c r="AH62" s="123">
        <f>IFERROR(IF(VLOOKUP($B62,Shortage!$A:$M,AH$2,FALSE)="Shortage",1,IFERROR(ROUND(V62/J62,4),0)),IFERROR(ROUND(V62/J62,4),0))</f>
        <v>0</v>
      </c>
      <c r="AI62" s="123">
        <f>IFERROR(IF(VLOOKUP($B62,Shortage!$A:$M,AI$2,FALSE)="Shortage",1,IFERROR(ROUND(W62/K62,4),0)),IFERROR(ROUND(W62/K62,4),0))</f>
        <v>0</v>
      </c>
      <c r="AJ62" s="123">
        <f>IFERROR(IF(VLOOKUP($B62,Shortage!$A:$M,AP$2,FALSE)="Shortage",1,IFERROR(ROUND(X62/L62,4),0)),IFERROR(ROUND(X62/L62,4),0))</f>
        <v>0</v>
      </c>
      <c r="AK62" s="123">
        <f>IFERROR(IF(VLOOKUP($B62,Shortage!$A:$M,AK$2,FALSE)="Shortage",1,IFERROR(ROUND(Y62/M62,4),0)),IFERROR(ROUND(Y62/M62,4),0))</f>
        <v>0</v>
      </c>
      <c r="AL62" s="123">
        <f>IFERROR(IF(VLOOKUP($B62,Shortage!$A:$M,AL$2,FALSE)="Shortage",1,IFERROR(ROUND(Z62/N62,4),0)),IFERROR(ROUND(Z62/N62,4),0))</f>
        <v>0</v>
      </c>
      <c r="AM62" s="123">
        <f>IFERROR(IF(VLOOKUP($B62,Shortage!$A:$M,AM$2,FALSE)="Shortage",1,IFERROR(ROUND(AA62/O62,4),0)),IFERROR(ROUND(AA62/O62,4),0))</f>
        <v>0</v>
      </c>
      <c r="AN62" s="232">
        <f>IFERROR(IF($C62="Top WS",VLOOKUP("GOAL",'2) หลักการคำนวน Table'!$D$4:$M$4,HLOOKUP(AB62,'2) หลักการคำนวน Table'!$D$1:$M$5,5,TRUE),0),
IF($C62="WS SF",VLOOKUP("GOAL",'2) หลักการคำนวน Table'!$D$32:$M$32,HLOOKUP(AB62,'2) หลักการคำนวน Table'!$D$1:$M$5,5,TRUE),0),
IF($C62="WS WH",VLOOKUP("GOAL",'2) หลักการคำนวน Table'!$D$62:$M$62,HLOOKUP(AB62,'2) หลักการคำนวน Table'!$D$1:$M$5,5,TRUE),0),
IF($C62="SF WH",VLOOKUP("GOAL",'2) หลักการคำนวน Table'!$D$92:$M$92,HLOOKUP(AB62,'2) หลักการคำนวน Table'!$D$1:$M$5,5,TRUE),0))))),0)</f>
        <v>0.9</v>
      </c>
      <c r="AO62" s="232">
        <f>IFERROR(IF($C62="Top WS",VLOOKUP("GOAL",'2) หลักการคำนวน Table'!$D$4:$M$4,HLOOKUP(AC62,'2) หลักการคำนวน Table'!$D$1:$M$5,5,TRUE),0),
IF($C62="WS SF",VLOOKUP("GOAL",'2) หลักการคำนวน Table'!$D$32:$M$32,HLOOKUP(AC62,'2) หลักการคำนวน Table'!$D$1:$M$5,5,TRUE),0),
IF($C62="WS WH",VLOOKUP("GOAL",'2) หลักการคำนวน Table'!$D$62:$M$62,HLOOKUP(AC62,'2) หลักการคำนวน Table'!$D$1:$M$5,5,TRUE),0),
IF($C62="SF WH",VLOOKUP("GOAL",'2) หลักการคำนวน Table'!$D$92:$M$92,HLOOKUP(AC62,'2) หลักการคำนวน Table'!$D$1:$M$5,5,TRUE),0))))),0)</f>
        <v>0.9</v>
      </c>
      <c r="AP62" s="232">
        <f>IFERROR(IF($C62="Top WS",VLOOKUP("GOAL",'2) หลักการคำนวน Table'!$D$4:$M$4,HLOOKUP(AD62,'2) หลักการคำนวน Table'!$D$1:$M$5,5,TRUE),0),
IF($C62="WS SF",VLOOKUP("GOAL",'2) หลักการคำนวน Table'!$D$32:$M$32,HLOOKUP(AD62,'2) หลักการคำนวน Table'!$D$1:$M$5,5,TRUE),0),
IF($C62="WS WH",VLOOKUP("GOAL",'2) หลักการคำนวน Table'!$D$62:$M$62,HLOOKUP(AD62,'2) หลักการคำนวน Table'!$D$1:$M$5,5,TRUE),0),
IF($C62="SF WH",VLOOKUP("GOAL",'2) หลักการคำนวน Table'!$D$92:$M$92,HLOOKUP(AD62,'2) หลักการคำนวน Table'!$D$1:$M$5,5,TRUE),0))))),0)</f>
        <v>0.9</v>
      </c>
      <c r="AQ62" s="232">
        <f>IFERROR(IF($C62="Top WS",VLOOKUP("GOAL",'2) หลักการคำนวน Table'!$D$4:$M$4,HLOOKUP(AE62,'2) หลักการคำนวน Table'!$D$1:$M$5,5,TRUE),0),
IF($C62="WS SF",VLOOKUP("GOAL",'2) หลักการคำนวน Table'!$D$32:$M$32,HLOOKUP(AE62,'2) หลักการคำนวน Table'!$D$1:$M$5,5,TRUE),0),
IF($C62="WS WH",VLOOKUP("GOAL",'2) หลักการคำนวน Table'!$D$62:$M$62,HLOOKUP(AE62,'2) หลักการคำนวน Table'!$D$1:$M$5,5,TRUE),0),
IF($C62="SF WH",VLOOKUP("GOAL",'2) หลักการคำนวน Table'!$D$92:$M$92,HLOOKUP(AE62,'2) หลักการคำนวน Table'!$D$1:$M$5,5,TRUE),0))))),0)</f>
        <v>0.9</v>
      </c>
      <c r="AR62" s="232">
        <f>IFERROR(IF($C62="Top WS",VLOOKUP("GOAL",'2) หลักการคำนวน Table'!$D$4:$M$4,HLOOKUP(AF62,'2) หลักการคำนวน Table'!$D$1:$M$5,5,TRUE),0),
IF($C62="WS SF",VLOOKUP("GOAL",'2) หลักการคำนวน Table'!$D$32:$M$32,HLOOKUP(AF62,'2) หลักการคำนวน Table'!$D$1:$M$5,5,TRUE),0),
IF($C62="WS WH",VLOOKUP("GOAL",'2) หลักการคำนวน Table'!$D$62:$M$62,HLOOKUP(AF62,'2) หลักการคำนวน Table'!$D$1:$M$5,5,TRUE),0),
IF($C62="SF WH",VLOOKUP("GOAL",'2) หลักการคำนวน Table'!$D$92:$M$92,HLOOKUP(AF62,'2) หลักการคำนวน Table'!$D$1:$M$5,5,TRUE),0))))),0)</f>
        <v>0.9</v>
      </c>
      <c r="AS62" s="232">
        <f>IFERROR(IF($C62="Top WS",VLOOKUP("GOAL",'2) หลักการคำนวน Table'!$D$4:$M$4,HLOOKUP(AG62,'2) หลักการคำนวน Table'!$D$1:$M$5,5,TRUE),0),
IF($C62="WS SF",VLOOKUP("GOAL",'2) หลักการคำนวน Table'!$D$32:$M$32,HLOOKUP(AG62,'2) หลักการคำนวน Table'!$D$1:$M$5,5,TRUE),0),
IF($C62="WS WH",VLOOKUP("GOAL",'2) หลักการคำนวน Table'!$D$62:$M$62,HLOOKUP(AG62,'2) หลักการคำนวน Table'!$D$1:$M$5,5,TRUE),0),
IF($C62="SF WH",VLOOKUP("GOAL",'2) หลักการคำนวน Table'!$D$92:$M$92,HLOOKUP(AG62,'2) หลักการคำนวน Table'!$D$1:$M$5,5,TRUE),0))))),0)</f>
        <v>0.9</v>
      </c>
      <c r="AT62" s="232">
        <f>IFERROR(IF($C62="Top WS",VLOOKUP("GOAL",'2) หลักการคำนวน Table'!$D$4:$M$4,HLOOKUP(AH62,'2) หลักการคำนวน Table'!$D$1:$M$5,5,TRUE),0),
IF($C62="WS SF",VLOOKUP("GOAL",'2) หลักการคำนวน Table'!$D$32:$M$32,HLOOKUP(AH62,'2) หลักการคำนวน Table'!$D$1:$M$5,5,TRUE),0),
IF($C62="WS WH",VLOOKUP("GOAL",'2) หลักการคำนวน Table'!$D$62:$M$62,HLOOKUP(AH62,'2) หลักการคำนวน Table'!$D$1:$M$5,5,TRUE),0),
IF($C62="SF WH",VLOOKUP("GOAL",'2) หลักการคำนวน Table'!$D$92:$M$92,HLOOKUP(AH62,'2) หลักการคำนวน Table'!$D$1:$M$5,5,TRUE),0))))),0)</f>
        <v>0.9</v>
      </c>
      <c r="AU62" s="232">
        <f>IFERROR(IF($C62="Top WS",VLOOKUP("GOAL",'2) หลักการคำนวน Table'!$D$4:$M$4,HLOOKUP(AI62,'2) หลักการคำนวน Table'!$D$1:$M$5,5,TRUE),0),
IF($C62="WS SF",VLOOKUP("GOAL",'2) หลักการคำนวน Table'!$D$32:$M$32,HLOOKUP(AI62,'2) หลักการคำนวน Table'!$D$1:$M$5,5,TRUE),0),
IF($C62="WS WH",VLOOKUP("GOAL",'2) หลักการคำนวน Table'!$D$62:$M$62,HLOOKUP(AI62,'2) หลักการคำนวน Table'!$D$1:$M$5,5,TRUE),0),
IF($C62="SF WH",VLOOKUP("GOAL",'2) หลักการคำนวน Table'!$D$92:$M$92,HLOOKUP(AI62,'2) หลักการคำนวน Table'!$D$1:$M$5,5,TRUE),0))))),0)</f>
        <v>0.9</v>
      </c>
      <c r="AV62" s="232">
        <f>IFERROR(IF($C62="Top WS",VLOOKUP("GOAL",'2) หลักการคำนวน Table'!$D$4:$M$4,HLOOKUP(AP62,'2) หลักการคำนวน Table'!$D$1:$M$5,5,TRUE),0),
IF($C62="WS SF",VLOOKUP("GOAL",'2) หลักการคำนวน Table'!$D$32:$M$32,HLOOKUP(AP62,'2) หลักการคำนวน Table'!$D$1:$M$5,5,TRUE),0),
IF($C62="WS WH",VLOOKUP("GOAL",'2) หลักการคำนวน Table'!$D$62:$M$62,HLOOKUP(AP62,'2) หลักการคำนวน Table'!$D$1:$M$5,5,TRUE),0),
IF($C62="SF WH",VLOOKUP("GOAL",'2) หลักการคำนวน Table'!$D$92:$M$92,HLOOKUP(AP62,'2) หลักการคำนวน Table'!$D$1:$M$5,5,TRUE),0))))),0)</f>
        <v>0.9</v>
      </c>
      <c r="AW62" s="232">
        <f>IFERROR(IF($C62="Top WS",VLOOKUP("GOAL",'2) หลักการคำนวน Table'!$D$4:$M$4,HLOOKUP(AK62,'2) หลักการคำนวน Table'!$D$1:$M$5,5,TRUE),0),
IF($C62="WS SF",VLOOKUP("GOAL",'2) หลักการคำนวน Table'!$D$32:$M$32,HLOOKUP(AK62,'2) หลักการคำนวน Table'!$D$1:$M$5,5,TRUE),0),
IF($C62="WS WH",VLOOKUP("GOAL",'2) หลักการคำนวน Table'!$D$62:$M$62,HLOOKUP(AK62,'2) หลักการคำนวน Table'!$D$1:$M$5,5,TRUE),0),
IF($C62="SF WH",VLOOKUP("GOAL",'2) หลักการคำนวน Table'!$D$92:$M$92,HLOOKUP(AK62,'2) หลักการคำนวน Table'!$D$1:$M$5,5,TRUE),0))))),0)</f>
        <v>0.9</v>
      </c>
      <c r="AX62" s="232">
        <f>IFERROR(IF($C62="Top WS",VLOOKUP("GOAL",'2) หลักการคำนวน Table'!$D$4:$M$4,HLOOKUP(AL62,'2) หลักการคำนวน Table'!$D$1:$M$5,5,TRUE),0),
IF($C62="WS SF",VLOOKUP("GOAL",'2) หลักการคำนวน Table'!$D$32:$M$32,HLOOKUP(AL62,'2) หลักการคำนวน Table'!$D$1:$M$5,5,TRUE),0),
IF($C62="WS WH",VLOOKUP("GOAL",'2) หลักการคำนวน Table'!$D$62:$M$62,HLOOKUP(AL62,'2) หลักการคำนวน Table'!$D$1:$M$5,5,TRUE),0),
IF($C62="SF WH",VLOOKUP("GOAL",'2) หลักการคำนวน Table'!$D$92:$M$92,HLOOKUP(AL62,'2) หลักการคำนวน Table'!$D$1:$M$5,5,TRUE),0))))),0)</f>
        <v>0.9</v>
      </c>
      <c r="AY62" s="232">
        <f>IFERROR(IF($C62="Top WS",VLOOKUP("GOAL",'2) หลักการคำนวน Table'!$D$4:$M$4,HLOOKUP(AM62,'2) หลักการคำนวน Table'!$D$1:$M$5,5,TRUE),0),
IF($C62="WS SF",VLOOKUP("GOAL",'2) หลักการคำนวน Table'!$D$32:$M$32,HLOOKUP(AM62,'2) หลักการคำนวน Table'!$D$1:$M$5,5,TRUE),0),
IF($C62="WS WH",VLOOKUP("GOAL",'2) หลักการคำนวน Table'!$D$62:$M$62,HLOOKUP(AM62,'2) หลักการคำนวน Table'!$D$1:$M$5,5,TRUE),0),
IF($C62="SF WH",VLOOKUP("GOAL",'2) หลักการคำนวน Table'!$D$92:$M$92,HLOOKUP(AM62,'2) หลักการคำนวน Table'!$D$1:$M$5,5,TRUE),0))))),0)</f>
        <v>0.9</v>
      </c>
      <c r="AZ62" s="167">
        <f>IFERROR(IF($C62="Top WS",VLOOKUP($B62,'2) หลักการคำนวน Table'!$D$5:$M$20,HLOOKUP(AB62,'2) หลักการคำนวน Table'!$D$1:$M$5,5,TRUE),0),
IF($C62="WS SF",VLOOKUP($B62,'2) หลักการคำนวน Table'!$D$33:$M$48,HLOOKUP(AB62,'2) หลักการคำนวน Table'!$D$1:$M$5,5,TRUE),0),
IF($C62="WS WH",VLOOKUP($B62,'2) หลักการคำนวน Table'!$D$63:$M$78,HLOOKUP(AB62,'2) หลักการคำนวน Table'!$D$1:$M$5,5,TRUE),0),
IF($C62="SF WH",VLOOKUP($B62,'2) หลักการคำนวน Table'!$D$93:$M$108,HLOOKUP(AB62,'2) หลักการคำนวน Table'!$D$1:$M$5,5,TRUE),0))))),0)</f>
        <v>472.5</v>
      </c>
      <c r="BA62" s="167">
        <f>IFERROR(IF($C62="Top WS",VLOOKUP($B62,'2) หลักการคำนวน Table'!$D$5:$M$20,HLOOKUP(AC62,'2) หลักการคำนวน Table'!$D$1:$M$5,5,TRUE),0),
IF($C62="WS SF",VLOOKUP($B62,'2) หลักการคำนวน Table'!$D$33:$M$48,HLOOKUP(AC62,'2) หลักการคำนวน Table'!$D$1:$M$5,5,TRUE),0),
IF($C62="WS WH",VLOOKUP($B62,'2) หลักการคำนวน Table'!$D$63:$M$78,HLOOKUP(AC62,'2) หลักการคำนวน Table'!$D$1:$M$5,5,TRUE),0),
IF($C62="SF WH",VLOOKUP($B62,'2) หลักการคำนวน Table'!$D$93:$M$108,HLOOKUP(AC62,'2) หลักการคำนวน Table'!$D$1:$M$5,5,TRUE),0))))),0)</f>
        <v>472.5</v>
      </c>
      <c r="BB62" s="167">
        <f>IFERROR(IF($C62="Top WS",VLOOKUP($B62,'2) หลักการคำนวน Table'!$D$5:$M$20,HLOOKUP(AD62,'2) หลักการคำนวน Table'!$D$1:$M$5,5,TRUE),0),
IF($C62="WS SF",VLOOKUP($B62,'2) หลักการคำนวน Table'!$D$33:$M$48,HLOOKUP(AD62,'2) หลักการคำนวน Table'!$D$1:$M$5,5,TRUE),0),
IF($C62="WS WH",VLOOKUP($B62,'2) หลักการคำนวน Table'!$D$63:$M$78,HLOOKUP(AD62,'2) หลักการคำนวน Table'!$D$1:$M$5,5,TRUE),0),
IF($C62="SF WH",VLOOKUP($B62,'2) หลักการคำนวน Table'!$D$93:$M$108,HLOOKUP(AD62,'2) หลักการคำนวน Table'!$D$1:$M$5,5,TRUE),0))))),0)</f>
        <v>472.5</v>
      </c>
      <c r="BC62" s="167">
        <f>IFERROR(IF($C62="Top WS",VLOOKUP($B62,'2) หลักการคำนวน Table'!$D$5:$M$20,HLOOKUP(AE62,'2) หลักการคำนวน Table'!$D$1:$M$5,5,TRUE),0),
IF($C62="WS SF",VLOOKUP($B62,'2) หลักการคำนวน Table'!$D$33:$M$48,HLOOKUP(AE62,'2) หลักการคำนวน Table'!$D$1:$M$5,5,TRUE),0),
IF($C62="WS WH",VLOOKUP($B62,'2) หลักการคำนวน Table'!$D$63:$M$78,HLOOKUP(AE62,'2) หลักการคำนวน Table'!$D$1:$M$5,5,TRUE),0),
IF($C62="SF WH",VLOOKUP($B62,'2) หลักการคำนวน Table'!$D$93:$M$108,HLOOKUP(AE62,'2) หลักการคำนวน Table'!$D$1:$M$5,5,TRUE),0))))),0)</f>
        <v>472.5</v>
      </c>
      <c r="BD62" s="167">
        <f>IFERROR(IF($C62="Top WS",VLOOKUP($B62,'2) หลักการคำนวน Table'!$D$5:$M$20,HLOOKUP(AF62,'2) หลักการคำนวน Table'!$D$1:$M$5,5,TRUE),0),
IF($C62="WS SF",VLOOKUP($B62,'2) หลักการคำนวน Table'!$D$33:$M$48,HLOOKUP(AF62,'2) หลักการคำนวน Table'!$D$1:$M$5,5,TRUE),0),
IF($C62="WS WH",VLOOKUP($B62,'2) หลักการคำนวน Table'!$D$63:$M$78,HLOOKUP(AF62,'2) หลักการคำนวน Table'!$D$1:$M$5,5,TRUE),0),
IF($C62="SF WH",VLOOKUP($B62,'2) หลักการคำนวน Table'!$D$93:$M$108,HLOOKUP(AF62,'2) หลักการคำนวน Table'!$D$1:$M$5,5,TRUE),0))))),0)</f>
        <v>472.5</v>
      </c>
      <c r="BE62" s="167">
        <f>IFERROR(IF($C62="Top WS",VLOOKUP($B62,'2) หลักการคำนวน Table'!$D$5:$M$20,HLOOKUP(AG62,'2) หลักการคำนวน Table'!$D$1:$M$5,5,TRUE),0),
IF($C62="WS SF",VLOOKUP($B62,'2) หลักการคำนวน Table'!$D$33:$M$48,HLOOKUP(AG62,'2) หลักการคำนวน Table'!$D$1:$M$5,5,TRUE),0),
IF($C62="WS WH",VLOOKUP($B62,'2) หลักการคำนวน Table'!$D$63:$M$78,HLOOKUP(AG62,'2) หลักการคำนวน Table'!$D$1:$M$5,5,TRUE),0),
IF($C62="SF WH",VLOOKUP($B62,'2) หลักการคำนวน Table'!$D$93:$M$108,HLOOKUP(AG62,'2) หลักการคำนวน Table'!$D$1:$M$5,5,TRUE),0))))),0)</f>
        <v>472.5</v>
      </c>
      <c r="BF62" s="167">
        <f>IFERROR(IF($C62="Top WS",VLOOKUP($B62,'2) หลักการคำนวน Table'!$D$5:$M$20,HLOOKUP(AH62,'2) หลักการคำนวน Table'!$D$1:$M$5,5,TRUE),0),
IF($C62="WS SF",VLOOKUP($B62,'2) หลักการคำนวน Table'!$D$33:$M$48,HLOOKUP(AH62,'2) หลักการคำนวน Table'!$D$1:$M$5,5,TRUE),0),
IF($C62="WS WH",VLOOKUP($B62,'2) หลักการคำนวน Table'!$D$63:$M$78,HLOOKUP(AH62,'2) หลักการคำนวน Table'!$D$1:$M$5,5,TRUE),0),
IF($C62="SF WH",VLOOKUP($B62,'2) หลักการคำนวน Table'!$D$93:$M$108,HLOOKUP(AH62,'2) หลักการคำนวน Table'!$D$1:$M$5,5,TRUE),0))))),0)</f>
        <v>472.5</v>
      </c>
      <c r="BG62" s="167">
        <f>IFERROR(IF($C62="Top WS",VLOOKUP($B62,'2) หลักการคำนวน Table'!$D$5:$M$20,HLOOKUP(AI62,'2) หลักการคำนวน Table'!$D$1:$M$5,5,TRUE),0),
IF($C62="WS SF",VLOOKUP($B62,'2) หลักการคำนวน Table'!$D$33:$M$48,HLOOKUP(AI62,'2) หลักการคำนวน Table'!$D$1:$M$5,5,TRUE),0),
IF($C62="WS WH",VLOOKUP($B62,'2) หลักการคำนวน Table'!$D$63:$M$78,HLOOKUP(AI62,'2) หลักการคำนวน Table'!$D$1:$M$5,5,TRUE),0),
IF($C62="SF WH",VLOOKUP($B62,'2) หลักการคำนวน Table'!$D$93:$M$108,HLOOKUP(AI62,'2) หลักการคำนวน Table'!$D$1:$M$5,5,TRUE),0))))),0)</f>
        <v>472.5</v>
      </c>
      <c r="BH62" s="167">
        <f>IFERROR(IF($C62="Top WS",VLOOKUP($B62,'2) หลักการคำนวน Table'!$D$5:$M$20,HLOOKUP(AP62,'2) หลักการคำนวน Table'!$D$1:$M$5,5,TRUE),0),
IF($C62="WS SF",VLOOKUP($B62,'2) หลักการคำนวน Table'!$D$33:$M$48,HLOOKUP(AP62,'2) หลักการคำนวน Table'!$D$1:$M$5,5,TRUE),0),
IF($C62="WS WH",VLOOKUP($B62,'2) หลักการคำนวน Table'!$D$63:$M$78,HLOOKUP(AP62,'2) หลักการคำนวน Table'!$D$1:$M$5,5,TRUE),0),
IF($C62="SF WH",VLOOKUP($B62,'2) หลักการคำนวน Table'!$D$93:$M$108,HLOOKUP(AP62,'2) หลักการคำนวน Table'!$D$1:$M$5,5,TRUE),0))))),0)</f>
        <v>472.5</v>
      </c>
      <c r="BI62" s="167">
        <f>IFERROR(IF($C62="Top WS",VLOOKUP($B62,'2) หลักการคำนวน Table'!$D$5:$M$20,HLOOKUP(AK62,'2) หลักการคำนวน Table'!$D$1:$M$5,5,TRUE),0),
IF($C62="WS SF",VLOOKUP($B62,'2) หลักการคำนวน Table'!$D$33:$M$48,HLOOKUP(AK62,'2) หลักการคำนวน Table'!$D$1:$M$5,5,TRUE),0),
IF($C62="WS WH",VLOOKUP($B62,'2) หลักการคำนวน Table'!$D$63:$M$78,HLOOKUP(AK62,'2) หลักการคำนวน Table'!$D$1:$M$5,5,TRUE),0),
IF($C62="SF WH",VLOOKUP($B62,'2) หลักการคำนวน Table'!$D$93:$M$108,HLOOKUP(AK62,'2) หลักการคำนวน Table'!$D$1:$M$5,5,TRUE),0))))),0)</f>
        <v>472.5</v>
      </c>
      <c r="BJ62" s="167">
        <f>IFERROR(IF($C62="Top WS",VLOOKUP($B62,'2) หลักการคำนวน Table'!$D$5:$M$20,HLOOKUP(AL62,'2) หลักการคำนวน Table'!$D$1:$M$5,5,TRUE),0),
IF($C62="WS SF",VLOOKUP($B62,'2) หลักการคำนวน Table'!$D$33:$M$48,HLOOKUP(AL62,'2) หลักการคำนวน Table'!$D$1:$M$5,5,TRUE),0),
IF($C62="WS WH",VLOOKUP($B62,'2) หลักการคำนวน Table'!$D$63:$M$78,HLOOKUP(AL62,'2) หลักการคำนวน Table'!$D$1:$M$5,5,TRUE),0),
IF($C62="SF WH",VLOOKUP($B62,'2) หลักการคำนวน Table'!$D$93:$M$108,HLOOKUP(AL62,'2) หลักการคำนวน Table'!$D$1:$M$5,5,TRUE),0))))),0)</f>
        <v>472.5</v>
      </c>
      <c r="BK62" s="167">
        <f>IFERROR(IF($C62="Top WS",VLOOKUP($B62,'2) หลักการคำนวน Table'!$D$5:$M$20,HLOOKUP(AM62,'2) หลักการคำนวน Table'!$D$1:$M$5,5,TRUE),0),
IF($C62="WS SF",VLOOKUP($B62,'2) หลักการคำนวน Table'!$D$33:$M$48,HLOOKUP(AM62,'2) หลักการคำนวน Table'!$D$1:$M$5,5,TRUE),0),
IF($C62="WS WH",VLOOKUP($B62,'2) หลักการคำนวน Table'!$D$63:$M$78,HLOOKUP(AM62,'2) หลักการคำนวน Table'!$D$1:$M$5,5,TRUE),0),
IF($C62="SF WH",VLOOKUP($B62,'2) หลักการคำนวน Table'!$D$93:$M$108,HLOOKUP(AM62,'2) หลักการคำนวน Table'!$D$1:$M$5,5,TRUE),0))))),0)</f>
        <v>472.5</v>
      </c>
      <c r="BM62" s="119">
        <f>VLOOKUP(VLOOKUP(A62,ASTBase!E:S,13,FALSE),ASTBase!F:P,11,FALSE)</f>
        <v>140000</v>
      </c>
      <c r="BN62" s="196" cm="1">
        <f t="array" ref="BN62">INDEX(AN62:AY62,,Period!$D$2)</f>
        <v>0.9</v>
      </c>
    </row>
    <row r="63" spans="1:66" x14ac:dyDescent="0.25">
      <c r="A63" s="117">
        <v>140002</v>
      </c>
      <c r="B63" s="117" t="s">
        <v>391</v>
      </c>
      <c r="C63" s="117" t="s">
        <v>179</v>
      </c>
      <c r="D63" s="118">
        <v>378</v>
      </c>
      <c r="E63" s="118">
        <v>445</v>
      </c>
      <c r="F63" s="118">
        <v>481</v>
      </c>
      <c r="G63" s="118">
        <v>540</v>
      </c>
      <c r="H63" s="118">
        <v>498</v>
      </c>
      <c r="I63" s="118">
        <v>491</v>
      </c>
      <c r="J63" s="118">
        <v>548</v>
      </c>
      <c r="K63" s="118">
        <v>567</v>
      </c>
      <c r="L63" s="118">
        <v>651</v>
      </c>
      <c r="M63" s="118">
        <v>487</v>
      </c>
      <c r="N63" s="118">
        <v>409</v>
      </c>
      <c r="O63" s="118">
        <v>411</v>
      </c>
      <c r="P63" s="117">
        <f>SUMIFS(Actual!C:C,Actual!$A:$A,'3)Target &amp; Cal'!$A63,Actual!$B:$B,'3)Target &amp; Cal'!$B63)</f>
        <v>571.99999999212002</v>
      </c>
      <c r="Q63" s="117">
        <f>SUMIFS(Actual!D:D,Actual!$A:$A,'3)Target &amp; Cal'!$A63,Actual!$B:$B,'3)Target &amp; Cal'!$B63)</f>
        <v>799.99999999092017</v>
      </c>
      <c r="R63" s="117">
        <f>SUMIFS(Actual!E:E,Actual!$A:$A,'3)Target &amp; Cal'!$A63,Actual!$B:$B,'3)Target &amp; Cal'!$B63)</f>
        <v>0</v>
      </c>
      <c r="S63" s="117">
        <f>SUMIFS(Actual!F:F,Actual!$A:$A,'3)Target &amp; Cal'!$A63,Actual!$B:$B,'3)Target &amp; Cal'!$B63)</f>
        <v>0</v>
      </c>
      <c r="T63" s="117">
        <f>SUMIFS(Actual!G:G,Actual!$A:$A,'3)Target &amp; Cal'!$A63,Actual!$B:$B,'3)Target &amp; Cal'!$B63)</f>
        <v>0</v>
      </c>
      <c r="U63" s="117">
        <f>SUMIFS(Actual!H:H,Actual!$A:$A,'3)Target &amp; Cal'!$A63,Actual!$B:$B,'3)Target &amp; Cal'!$B63)</f>
        <v>0</v>
      </c>
      <c r="V63" s="117">
        <f>SUMIFS(Actual!I:I,Actual!$A:$A,'3)Target &amp; Cal'!$A63,Actual!$B:$B,'3)Target &amp; Cal'!$B63)</f>
        <v>0</v>
      </c>
      <c r="W63" s="117">
        <f>SUMIFS(Actual!J:J,Actual!$A:$A,'3)Target &amp; Cal'!$A63,Actual!$B:$B,'3)Target &amp; Cal'!$B63)</f>
        <v>0</v>
      </c>
      <c r="X63" s="117">
        <f>SUMIFS(Actual!K:K,Actual!$A:$A,'3)Target &amp; Cal'!$A63,Actual!$B:$B,'3)Target &amp; Cal'!$B63)</f>
        <v>0</v>
      </c>
      <c r="Y63" s="117">
        <f>SUMIFS(Actual!L:L,Actual!$A:$A,'3)Target &amp; Cal'!$A63,Actual!$B:$B,'3)Target &amp; Cal'!$B63)</f>
        <v>0</v>
      </c>
      <c r="Z63" s="117">
        <f>SUMIFS(Actual!M:M,Actual!$A:$A,'3)Target &amp; Cal'!$A63,Actual!$B:$B,'3)Target &amp; Cal'!$B63)</f>
        <v>0</v>
      </c>
      <c r="AA63" s="117">
        <f>SUMIFS(Actual!N:N,Actual!$A:$A,'3)Target &amp; Cal'!$A63,Actual!$B:$B,'3)Target &amp; Cal'!$B63)</f>
        <v>0</v>
      </c>
      <c r="AB63" s="123">
        <f>IFERROR(IF(VLOOKUP($B63,Shortage!$A:$M,AB$2,FALSE)="Shortage",1,IFERROR(ROUND(P63/D63,4),0)),IFERROR(ROUND(P63/D63,4),0))</f>
        <v>1</v>
      </c>
      <c r="AC63" s="123">
        <f>IFERROR(IF(VLOOKUP($B63,Shortage!$A:$M,AC$2,FALSE)="Shortage",1,IFERROR(ROUND(Q63/E63,4),0)),IFERROR(ROUND(Q63/E63,4),0))</f>
        <v>1</v>
      </c>
      <c r="AD63" s="123">
        <f>IFERROR(IF(VLOOKUP($B63,Shortage!$A:$M,AD$2,FALSE)="Shortage",1,IFERROR(ROUND(R63/F63,4),0)),IFERROR(ROUND(R63/F63,4),0))</f>
        <v>0</v>
      </c>
      <c r="AE63" s="123">
        <f>IFERROR(IF(VLOOKUP($B63,Shortage!$A:$M,AE$2,FALSE)="Shortage",1,IFERROR(ROUND(S63/G63,4),0)),IFERROR(ROUND(S63/G63,4),0))</f>
        <v>0</v>
      </c>
      <c r="AF63" s="123">
        <f>IFERROR(IF(VLOOKUP($B63,Shortage!$A:$M,AF$2,FALSE)="Shortage",1,IFERROR(ROUND(T63/H63,4),0)),IFERROR(ROUND(T63/H63,4),0))</f>
        <v>0</v>
      </c>
      <c r="AG63" s="123">
        <f>IFERROR(IF(VLOOKUP($B63,Shortage!$A:$M,AG$2,FALSE)="Shortage",1,IFERROR(ROUND(U63/I63,4),0)),IFERROR(ROUND(U63/I63,4),0))</f>
        <v>0</v>
      </c>
      <c r="AH63" s="123">
        <f>IFERROR(IF(VLOOKUP($B63,Shortage!$A:$M,AH$2,FALSE)="Shortage",1,IFERROR(ROUND(V63/J63,4),0)),IFERROR(ROUND(V63/J63,4),0))</f>
        <v>0</v>
      </c>
      <c r="AI63" s="123">
        <f>IFERROR(IF(VLOOKUP($B63,Shortage!$A:$M,AI$2,FALSE)="Shortage",1,IFERROR(ROUND(W63/K63,4),0)),IFERROR(ROUND(W63/K63,4),0))</f>
        <v>0</v>
      </c>
      <c r="AJ63" s="123">
        <f>IFERROR(IF(VLOOKUP($B63,Shortage!$A:$M,AP$2,FALSE)="Shortage",1,IFERROR(ROUND(X63/L63,4),0)),IFERROR(ROUND(X63/L63,4),0))</f>
        <v>0</v>
      </c>
      <c r="AK63" s="123">
        <f>IFERROR(IF(VLOOKUP($B63,Shortage!$A:$M,AK$2,FALSE)="Shortage",1,IFERROR(ROUND(Y63/M63,4),0)),IFERROR(ROUND(Y63/M63,4),0))</f>
        <v>0</v>
      </c>
      <c r="AL63" s="123">
        <f>IFERROR(IF(VLOOKUP($B63,Shortage!$A:$M,AL$2,FALSE)="Shortage",1,IFERROR(ROUND(Z63/N63,4),0)),IFERROR(ROUND(Z63/N63,4),0))</f>
        <v>0</v>
      </c>
      <c r="AM63" s="123">
        <f>IFERROR(IF(VLOOKUP($B63,Shortage!$A:$M,AM$2,FALSE)="Shortage",1,IFERROR(ROUND(AA63/O63,4),0)),IFERROR(ROUND(AA63/O63,4),0))</f>
        <v>0</v>
      </c>
      <c r="AN63" s="232">
        <f>IFERROR(IF($C63="Top WS",VLOOKUP("GOAL",'2) หลักการคำนวน Table'!$D$4:$M$4,HLOOKUP(AB63,'2) หลักการคำนวน Table'!$D$1:$M$5,5,TRUE),0),
IF($C63="WS SF",VLOOKUP("GOAL",'2) หลักการคำนวน Table'!$D$32:$M$32,HLOOKUP(AB63,'2) หลักการคำนวน Table'!$D$1:$M$5,5,TRUE),0),
IF($C63="WS WH",VLOOKUP("GOAL",'2) หลักการคำนวน Table'!$D$62:$M$62,HLOOKUP(AB63,'2) หลักการคำนวน Table'!$D$1:$M$5,5,TRUE),0),
IF($C63="SF WH",VLOOKUP("GOAL",'2) หลักการคำนวน Table'!$D$92:$M$92,HLOOKUP(AB63,'2) หลักการคำนวน Table'!$D$1:$M$5,5,TRUE),0))))),0)</f>
        <v>1</v>
      </c>
      <c r="AO63" s="232">
        <f>IFERROR(IF($C63="Top WS",VLOOKUP("GOAL",'2) หลักการคำนวน Table'!$D$4:$M$4,HLOOKUP(AC63,'2) หลักการคำนวน Table'!$D$1:$M$5,5,TRUE),0),
IF($C63="WS SF",VLOOKUP("GOAL",'2) หลักการคำนวน Table'!$D$32:$M$32,HLOOKUP(AC63,'2) หลักการคำนวน Table'!$D$1:$M$5,5,TRUE),0),
IF($C63="WS WH",VLOOKUP("GOAL",'2) หลักการคำนวน Table'!$D$62:$M$62,HLOOKUP(AC63,'2) หลักการคำนวน Table'!$D$1:$M$5,5,TRUE),0),
IF($C63="SF WH",VLOOKUP("GOAL",'2) หลักการคำนวน Table'!$D$92:$M$92,HLOOKUP(AC63,'2) หลักการคำนวน Table'!$D$1:$M$5,5,TRUE),0))))),0)</f>
        <v>1</v>
      </c>
      <c r="AP63" s="232">
        <f>IFERROR(IF($C63="Top WS",VLOOKUP("GOAL",'2) หลักการคำนวน Table'!$D$4:$M$4,HLOOKUP(AD63,'2) หลักการคำนวน Table'!$D$1:$M$5,5,TRUE),0),
IF($C63="WS SF",VLOOKUP("GOAL",'2) หลักการคำนวน Table'!$D$32:$M$32,HLOOKUP(AD63,'2) หลักการคำนวน Table'!$D$1:$M$5,5,TRUE),0),
IF($C63="WS WH",VLOOKUP("GOAL",'2) หลักการคำนวน Table'!$D$62:$M$62,HLOOKUP(AD63,'2) หลักการคำนวน Table'!$D$1:$M$5,5,TRUE),0),
IF($C63="SF WH",VLOOKUP("GOAL",'2) หลักการคำนวน Table'!$D$92:$M$92,HLOOKUP(AD63,'2) หลักการคำนวน Table'!$D$1:$M$5,5,TRUE),0))))),0)</f>
        <v>0.9</v>
      </c>
      <c r="AQ63" s="232">
        <f>IFERROR(IF($C63="Top WS",VLOOKUP("GOAL",'2) หลักการคำนวน Table'!$D$4:$M$4,HLOOKUP(AE63,'2) หลักการคำนวน Table'!$D$1:$M$5,5,TRUE),0),
IF($C63="WS SF",VLOOKUP("GOAL",'2) หลักการคำนวน Table'!$D$32:$M$32,HLOOKUP(AE63,'2) หลักการคำนวน Table'!$D$1:$M$5,5,TRUE),0),
IF($C63="WS WH",VLOOKUP("GOAL",'2) หลักการคำนวน Table'!$D$62:$M$62,HLOOKUP(AE63,'2) หลักการคำนวน Table'!$D$1:$M$5,5,TRUE),0),
IF($C63="SF WH",VLOOKUP("GOAL",'2) หลักการคำนวน Table'!$D$92:$M$92,HLOOKUP(AE63,'2) หลักการคำนวน Table'!$D$1:$M$5,5,TRUE),0))))),0)</f>
        <v>0.9</v>
      </c>
      <c r="AR63" s="232">
        <f>IFERROR(IF($C63="Top WS",VLOOKUP("GOAL",'2) หลักการคำนวน Table'!$D$4:$M$4,HLOOKUP(AF63,'2) หลักการคำนวน Table'!$D$1:$M$5,5,TRUE),0),
IF($C63="WS SF",VLOOKUP("GOAL",'2) หลักการคำนวน Table'!$D$32:$M$32,HLOOKUP(AF63,'2) หลักการคำนวน Table'!$D$1:$M$5,5,TRUE),0),
IF($C63="WS WH",VLOOKUP("GOAL",'2) หลักการคำนวน Table'!$D$62:$M$62,HLOOKUP(AF63,'2) หลักการคำนวน Table'!$D$1:$M$5,5,TRUE),0),
IF($C63="SF WH",VLOOKUP("GOAL",'2) หลักการคำนวน Table'!$D$92:$M$92,HLOOKUP(AF63,'2) หลักการคำนวน Table'!$D$1:$M$5,5,TRUE),0))))),0)</f>
        <v>0.9</v>
      </c>
      <c r="AS63" s="232">
        <f>IFERROR(IF($C63="Top WS",VLOOKUP("GOAL",'2) หลักการคำนวน Table'!$D$4:$M$4,HLOOKUP(AG63,'2) หลักการคำนวน Table'!$D$1:$M$5,5,TRUE),0),
IF($C63="WS SF",VLOOKUP("GOAL",'2) หลักการคำนวน Table'!$D$32:$M$32,HLOOKUP(AG63,'2) หลักการคำนวน Table'!$D$1:$M$5,5,TRUE),0),
IF($C63="WS WH",VLOOKUP("GOAL",'2) หลักการคำนวน Table'!$D$62:$M$62,HLOOKUP(AG63,'2) หลักการคำนวน Table'!$D$1:$M$5,5,TRUE),0),
IF($C63="SF WH",VLOOKUP("GOAL",'2) หลักการคำนวน Table'!$D$92:$M$92,HLOOKUP(AG63,'2) หลักการคำนวน Table'!$D$1:$M$5,5,TRUE),0))))),0)</f>
        <v>0.9</v>
      </c>
      <c r="AT63" s="232">
        <f>IFERROR(IF($C63="Top WS",VLOOKUP("GOAL",'2) หลักการคำนวน Table'!$D$4:$M$4,HLOOKUP(AH63,'2) หลักการคำนวน Table'!$D$1:$M$5,5,TRUE),0),
IF($C63="WS SF",VLOOKUP("GOAL",'2) หลักการคำนวน Table'!$D$32:$M$32,HLOOKUP(AH63,'2) หลักการคำนวน Table'!$D$1:$M$5,5,TRUE),0),
IF($C63="WS WH",VLOOKUP("GOAL",'2) หลักการคำนวน Table'!$D$62:$M$62,HLOOKUP(AH63,'2) หลักการคำนวน Table'!$D$1:$M$5,5,TRUE),0),
IF($C63="SF WH",VLOOKUP("GOAL",'2) หลักการคำนวน Table'!$D$92:$M$92,HLOOKUP(AH63,'2) หลักการคำนวน Table'!$D$1:$M$5,5,TRUE),0))))),0)</f>
        <v>0.9</v>
      </c>
      <c r="AU63" s="232">
        <f>IFERROR(IF($C63="Top WS",VLOOKUP("GOAL",'2) หลักการคำนวน Table'!$D$4:$M$4,HLOOKUP(AI63,'2) หลักการคำนวน Table'!$D$1:$M$5,5,TRUE),0),
IF($C63="WS SF",VLOOKUP("GOAL",'2) หลักการคำนวน Table'!$D$32:$M$32,HLOOKUP(AI63,'2) หลักการคำนวน Table'!$D$1:$M$5,5,TRUE),0),
IF($C63="WS WH",VLOOKUP("GOAL",'2) หลักการคำนวน Table'!$D$62:$M$62,HLOOKUP(AI63,'2) หลักการคำนวน Table'!$D$1:$M$5,5,TRUE),0),
IF($C63="SF WH",VLOOKUP("GOAL",'2) หลักการคำนวน Table'!$D$92:$M$92,HLOOKUP(AI63,'2) หลักการคำนวน Table'!$D$1:$M$5,5,TRUE),0))))),0)</f>
        <v>0.9</v>
      </c>
      <c r="AV63" s="232">
        <f>IFERROR(IF($C63="Top WS",VLOOKUP("GOAL",'2) หลักการคำนวน Table'!$D$4:$M$4,HLOOKUP(AP63,'2) หลักการคำนวน Table'!$D$1:$M$5,5,TRUE),0),
IF($C63="WS SF",VLOOKUP("GOAL",'2) หลักการคำนวน Table'!$D$32:$M$32,HLOOKUP(AP63,'2) หลักการคำนวน Table'!$D$1:$M$5,5,TRUE),0),
IF($C63="WS WH",VLOOKUP("GOAL",'2) หลักการคำนวน Table'!$D$62:$M$62,HLOOKUP(AP63,'2) หลักการคำนวน Table'!$D$1:$M$5,5,TRUE),0),
IF($C63="SF WH",VLOOKUP("GOAL",'2) หลักการคำนวน Table'!$D$92:$M$92,HLOOKUP(AP63,'2) หลักการคำนวน Table'!$D$1:$M$5,5,TRUE),0))))),0)</f>
        <v>0.9</v>
      </c>
      <c r="AW63" s="232">
        <f>IFERROR(IF($C63="Top WS",VLOOKUP("GOAL",'2) หลักการคำนวน Table'!$D$4:$M$4,HLOOKUP(AK63,'2) หลักการคำนวน Table'!$D$1:$M$5,5,TRUE),0),
IF($C63="WS SF",VLOOKUP("GOAL",'2) หลักการคำนวน Table'!$D$32:$M$32,HLOOKUP(AK63,'2) หลักการคำนวน Table'!$D$1:$M$5,5,TRUE),0),
IF($C63="WS WH",VLOOKUP("GOAL",'2) หลักการคำนวน Table'!$D$62:$M$62,HLOOKUP(AK63,'2) หลักการคำนวน Table'!$D$1:$M$5,5,TRUE),0),
IF($C63="SF WH",VLOOKUP("GOAL",'2) หลักการคำนวน Table'!$D$92:$M$92,HLOOKUP(AK63,'2) หลักการคำนวน Table'!$D$1:$M$5,5,TRUE),0))))),0)</f>
        <v>0.9</v>
      </c>
      <c r="AX63" s="232">
        <f>IFERROR(IF($C63="Top WS",VLOOKUP("GOAL",'2) หลักการคำนวน Table'!$D$4:$M$4,HLOOKUP(AL63,'2) หลักการคำนวน Table'!$D$1:$M$5,5,TRUE),0),
IF($C63="WS SF",VLOOKUP("GOAL",'2) หลักการคำนวน Table'!$D$32:$M$32,HLOOKUP(AL63,'2) หลักการคำนวน Table'!$D$1:$M$5,5,TRUE),0),
IF($C63="WS WH",VLOOKUP("GOAL",'2) หลักการคำนวน Table'!$D$62:$M$62,HLOOKUP(AL63,'2) หลักการคำนวน Table'!$D$1:$M$5,5,TRUE),0),
IF($C63="SF WH",VLOOKUP("GOAL",'2) หลักการคำนวน Table'!$D$92:$M$92,HLOOKUP(AL63,'2) หลักการคำนวน Table'!$D$1:$M$5,5,TRUE),0))))),0)</f>
        <v>0.9</v>
      </c>
      <c r="AY63" s="232">
        <f>IFERROR(IF($C63="Top WS",VLOOKUP("GOAL",'2) หลักการคำนวน Table'!$D$4:$M$4,HLOOKUP(AM63,'2) หลักการคำนวน Table'!$D$1:$M$5,5,TRUE),0),
IF($C63="WS SF",VLOOKUP("GOAL",'2) หลักการคำนวน Table'!$D$32:$M$32,HLOOKUP(AM63,'2) หลักการคำนวน Table'!$D$1:$M$5,5,TRUE),0),
IF($C63="WS WH",VLOOKUP("GOAL",'2) หลักการคำนวน Table'!$D$62:$M$62,HLOOKUP(AM63,'2) หลักการคำนวน Table'!$D$1:$M$5,5,TRUE),0),
IF($C63="SF WH",VLOOKUP("GOAL",'2) หลักการคำนวน Table'!$D$92:$M$92,HLOOKUP(AM63,'2) หลักการคำนวน Table'!$D$1:$M$5,5,TRUE),0))))),0)</f>
        <v>0.9</v>
      </c>
      <c r="AZ63" s="167">
        <f>IFERROR(IF($C63="Top WS",VLOOKUP($B63,'2) หลักการคำนวน Table'!$D$5:$M$20,HLOOKUP(AB63,'2) หลักการคำนวน Table'!$D$1:$M$5,5,TRUE),0),
IF($C63="WS SF",VLOOKUP($B63,'2) หลักการคำนวน Table'!$D$33:$M$48,HLOOKUP(AB63,'2) หลักการคำนวน Table'!$D$1:$M$5,5,TRUE),0),
IF($C63="WS WH",VLOOKUP($B63,'2) หลักการคำนวน Table'!$D$63:$M$78,HLOOKUP(AB63,'2) หลักการคำนวน Table'!$D$1:$M$5,5,TRUE),0),
IF($C63="SF WH",VLOOKUP($B63,'2) หลักการคำนวน Table'!$D$93:$M$108,HLOOKUP(AB63,'2) หลักการคำนวน Table'!$D$1:$M$5,5,TRUE),0))))),0)</f>
        <v>525</v>
      </c>
      <c r="BA63" s="167">
        <f>IFERROR(IF($C63="Top WS",VLOOKUP($B63,'2) หลักการคำนวน Table'!$D$5:$M$20,HLOOKUP(AC63,'2) หลักการคำนวน Table'!$D$1:$M$5,5,TRUE),0),
IF($C63="WS SF",VLOOKUP($B63,'2) หลักการคำนวน Table'!$D$33:$M$48,HLOOKUP(AC63,'2) หลักการคำนวน Table'!$D$1:$M$5,5,TRUE),0),
IF($C63="WS WH",VLOOKUP($B63,'2) หลักการคำนวน Table'!$D$63:$M$78,HLOOKUP(AC63,'2) หลักการคำนวน Table'!$D$1:$M$5,5,TRUE),0),
IF($C63="SF WH",VLOOKUP($B63,'2) หลักการคำนวน Table'!$D$93:$M$108,HLOOKUP(AC63,'2) หลักการคำนวน Table'!$D$1:$M$5,5,TRUE),0))))),0)</f>
        <v>525</v>
      </c>
      <c r="BB63" s="167">
        <f>IFERROR(IF($C63="Top WS",VLOOKUP($B63,'2) หลักการคำนวน Table'!$D$5:$M$20,HLOOKUP(AD63,'2) หลักการคำนวน Table'!$D$1:$M$5,5,TRUE),0),
IF($C63="WS SF",VLOOKUP($B63,'2) หลักการคำนวน Table'!$D$33:$M$48,HLOOKUP(AD63,'2) หลักการคำนวน Table'!$D$1:$M$5,5,TRUE),0),
IF($C63="WS WH",VLOOKUP($B63,'2) หลักการคำนวน Table'!$D$63:$M$78,HLOOKUP(AD63,'2) หลักการคำนวน Table'!$D$1:$M$5,5,TRUE),0),
IF($C63="SF WH",VLOOKUP($B63,'2) หลักการคำนวน Table'!$D$93:$M$108,HLOOKUP(AD63,'2) หลักการคำนวน Table'!$D$1:$M$5,5,TRUE),0))))),0)</f>
        <v>472.5</v>
      </c>
      <c r="BC63" s="167">
        <f>IFERROR(IF($C63="Top WS",VLOOKUP($B63,'2) หลักการคำนวน Table'!$D$5:$M$20,HLOOKUP(AE63,'2) หลักการคำนวน Table'!$D$1:$M$5,5,TRUE),0),
IF($C63="WS SF",VLOOKUP($B63,'2) หลักการคำนวน Table'!$D$33:$M$48,HLOOKUP(AE63,'2) หลักการคำนวน Table'!$D$1:$M$5,5,TRUE),0),
IF($C63="WS WH",VLOOKUP($B63,'2) หลักการคำนวน Table'!$D$63:$M$78,HLOOKUP(AE63,'2) หลักการคำนวน Table'!$D$1:$M$5,5,TRUE),0),
IF($C63="SF WH",VLOOKUP($B63,'2) หลักการคำนวน Table'!$D$93:$M$108,HLOOKUP(AE63,'2) หลักการคำนวน Table'!$D$1:$M$5,5,TRUE),0))))),0)</f>
        <v>472.5</v>
      </c>
      <c r="BD63" s="167">
        <f>IFERROR(IF($C63="Top WS",VLOOKUP($B63,'2) หลักการคำนวน Table'!$D$5:$M$20,HLOOKUP(AF63,'2) หลักการคำนวน Table'!$D$1:$M$5,5,TRUE),0),
IF($C63="WS SF",VLOOKUP($B63,'2) หลักการคำนวน Table'!$D$33:$M$48,HLOOKUP(AF63,'2) หลักการคำนวน Table'!$D$1:$M$5,5,TRUE),0),
IF($C63="WS WH",VLOOKUP($B63,'2) หลักการคำนวน Table'!$D$63:$M$78,HLOOKUP(AF63,'2) หลักการคำนวน Table'!$D$1:$M$5,5,TRUE),0),
IF($C63="SF WH",VLOOKUP($B63,'2) หลักการคำนวน Table'!$D$93:$M$108,HLOOKUP(AF63,'2) หลักการคำนวน Table'!$D$1:$M$5,5,TRUE),0))))),0)</f>
        <v>472.5</v>
      </c>
      <c r="BE63" s="167">
        <f>IFERROR(IF($C63="Top WS",VLOOKUP($B63,'2) หลักการคำนวน Table'!$D$5:$M$20,HLOOKUP(AG63,'2) หลักการคำนวน Table'!$D$1:$M$5,5,TRUE),0),
IF($C63="WS SF",VLOOKUP($B63,'2) หลักการคำนวน Table'!$D$33:$M$48,HLOOKUP(AG63,'2) หลักการคำนวน Table'!$D$1:$M$5,5,TRUE),0),
IF($C63="WS WH",VLOOKUP($B63,'2) หลักการคำนวน Table'!$D$63:$M$78,HLOOKUP(AG63,'2) หลักการคำนวน Table'!$D$1:$M$5,5,TRUE),0),
IF($C63="SF WH",VLOOKUP($B63,'2) หลักการคำนวน Table'!$D$93:$M$108,HLOOKUP(AG63,'2) หลักการคำนวน Table'!$D$1:$M$5,5,TRUE),0))))),0)</f>
        <v>472.5</v>
      </c>
      <c r="BF63" s="167">
        <f>IFERROR(IF($C63="Top WS",VLOOKUP($B63,'2) หลักการคำนวน Table'!$D$5:$M$20,HLOOKUP(AH63,'2) หลักการคำนวน Table'!$D$1:$M$5,5,TRUE),0),
IF($C63="WS SF",VLOOKUP($B63,'2) หลักการคำนวน Table'!$D$33:$M$48,HLOOKUP(AH63,'2) หลักการคำนวน Table'!$D$1:$M$5,5,TRUE),0),
IF($C63="WS WH",VLOOKUP($B63,'2) หลักการคำนวน Table'!$D$63:$M$78,HLOOKUP(AH63,'2) หลักการคำนวน Table'!$D$1:$M$5,5,TRUE),0),
IF($C63="SF WH",VLOOKUP($B63,'2) หลักการคำนวน Table'!$D$93:$M$108,HLOOKUP(AH63,'2) หลักการคำนวน Table'!$D$1:$M$5,5,TRUE),0))))),0)</f>
        <v>472.5</v>
      </c>
      <c r="BG63" s="167">
        <f>IFERROR(IF($C63="Top WS",VLOOKUP($B63,'2) หลักการคำนวน Table'!$D$5:$M$20,HLOOKUP(AI63,'2) หลักการคำนวน Table'!$D$1:$M$5,5,TRUE),0),
IF($C63="WS SF",VLOOKUP($B63,'2) หลักการคำนวน Table'!$D$33:$M$48,HLOOKUP(AI63,'2) หลักการคำนวน Table'!$D$1:$M$5,5,TRUE),0),
IF($C63="WS WH",VLOOKUP($B63,'2) หลักการคำนวน Table'!$D$63:$M$78,HLOOKUP(AI63,'2) หลักการคำนวน Table'!$D$1:$M$5,5,TRUE),0),
IF($C63="SF WH",VLOOKUP($B63,'2) หลักการคำนวน Table'!$D$93:$M$108,HLOOKUP(AI63,'2) หลักการคำนวน Table'!$D$1:$M$5,5,TRUE),0))))),0)</f>
        <v>472.5</v>
      </c>
      <c r="BH63" s="167">
        <f>IFERROR(IF($C63="Top WS",VLOOKUP($B63,'2) หลักการคำนวน Table'!$D$5:$M$20,HLOOKUP(AP63,'2) หลักการคำนวน Table'!$D$1:$M$5,5,TRUE),0),
IF($C63="WS SF",VLOOKUP($B63,'2) หลักการคำนวน Table'!$D$33:$M$48,HLOOKUP(AP63,'2) หลักการคำนวน Table'!$D$1:$M$5,5,TRUE),0),
IF($C63="WS WH",VLOOKUP($B63,'2) หลักการคำนวน Table'!$D$63:$M$78,HLOOKUP(AP63,'2) หลักการคำนวน Table'!$D$1:$M$5,5,TRUE),0),
IF($C63="SF WH",VLOOKUP($B63,'2) หลักการคำนวน Table'!$D$93:$M$108,HLOOKUP(AP63,'2) หลักการคำนวน Table'!$D$1:$M$5,5,TRUE),0))))),0)</f>
        <v>472.5</v>
      </c>
      <c r="BI63" s="167">
        <f>IFERROR(IF($C63="Top WS",VLOOKUP($B63,'2) หลักการคำนวน Table'!$D$5:$M$20,HLOOKUP(AK63,'2) หลักการคำนวน Table'!$D$1:$M$5,5,TRUE),0),
IF($C63="WS SF",VLOOKUP($B63,'2) หลักการคำนวน Table'!$D$33:$M$48,HLOOKUP(AK63,'2) หลักการคำนวน Table'!$D$1:$M$5,5,TRUE),0),
IF($C63="WS WH",VLOOKUP($B63,'2) หลักการคำนวน Table'!$D$63:$M$78,HLOOKUP(AK63,'2) หลักการคำนวน Table'!$D$1:$M$5,5,TRUE),0),
IF($C63="SF WH",VLOOKUP($B63,'2) หลักการคำนวน Table'!$D$93:$M$108,HLOOKUP(AK63,'2) หลักการคำนวน Table'!$D$1:$M$5,5,TRUE),0))))),0)</f>
        <v>472.5</v>
      </c>
      <c r="BJ63" s="167">
        <f>IFERROR(IF($C63="Top WS",VLOOKUP($B63,'2) หลักการคำนวน Table'!$D$5:$M$20,HLOOKUP(AL63,'2) หลักการคำนวน Table'!$D$1:$M$5,5,TRUE),0),
IF($C63="WS SF",VLOOKUP($B63,'2) หลักการคำนวน Table'!$D$33:$M$48,HLOOKUP(AL63,'2) หลักการคำนวน Table'!$D$1:$M$5,5,TRUE),0),
IF($C63="WS WH",VLOOKUP($B63,'2) หลักการคำนวน Table'!$D$63:$M$78,HLOOKUP(AL63,'2) หลักการคำนวน Table'!$D$1:$M$5,5,TRUE),0),
IF($C63="SF WH",VLOOKUP($B63,'2) หลักการคำนวน Table'!$D$93:$M$108,HLOOKUP(AL63,'2) หลักการคำนวน Table'!$D$1:$M$5,5,TRUE),0))))),0)</f>
        <v>472.5</v>
      </c>
      <c r="BK63" s="167">
        <f>IFERROR(IF($C63="Top WS",VLOOKUP($B63,'2) หลักการคำนวน Table'!$D$5:$M$20,HLOOKUP(AM63,'2) หลักการคำนวน Table'!$D$1:$M$5,5,TRUE),0),
IF($C63="WS SF",VLOOKUP($B63,'2) หลักการคำนวน Table'!$D$33:$M$48,HLOOKUP(AM63,'2) หลักการคำนวน Table'!$D$1:$M$5,5,TRUE),0),
IF($C63="WS WH",VLOOKUP($B63,'2) หลักการคำนวน Table'!$D$63:$M$78,HLOOKUP(AM63,'2) หลักการคำนวน Table'!$D$1:$M$5,5,TRUE),0),
IF($C63="SF WH",VLOOKUP($B63,'2) หลักการคำนวน Table'!$D$93:$M$108,HLOOKUP(AM63,'2) หลักการคำนวน Table'!$D$1:$M$5,5,TRUE),0))))),0)</f>
        <v>472.5</v>
      </c>
      <c r="BM63" s="119">
        <f>VLOOKUP(VLOOKUP(A63,ASTBase!E:S,13,FALSE),ASTBase!F:P,11,FALSE)</f>
        <v>140000</v>
      </c>
      <c r="BN63" s="196" cm="1">
        <f t="array" ref="BN63">INDEX(AN63:AY63,,Period!$D$2)</f>
        <v>1</v>
      </c>
    </row>
    <row r="64" spans="1:66" x14ac:dyDescent="0.25">
      <c r="A64" s="117">
        <v>140002</v>
      </c>
      <c r="B64" s="117" t="s">
        <v>395</v>
      </c>
      <c r="C64" s="117" t="s">
        <v>179</v>
      </c>
      <c r="D64" s="118">
        <v>1997</v>
      </c>
      <c r="E64" s="118">
        <v>2185</v>
      </c>
      <c r="F64" s="118">
        <v>2401</v>
      </c>
      <c r="G64" s="118">
        <v>2524</v>
      </c>
      <c r="H64" s="118">
        <v>2250</v>
      </c>
      <c r="I64" s="118">
        <v>1965</v>
      </c>
      <c r="J64" s="118">
        <v>2809</v>
      </c>
      <c r="K64" s="118">
        <v>2942</v>
      </c>
      <c r="L64" s="118">
        <v>2368</v>
      </c>
      <c r="M64" s="118">
        <v>2513</v>
      </c>
      <c r="N64" s="118">
        <v>2119</v>
      </c>
      <c r="O64" s="118">
        <v>2122</v>
      </c>
      <c r="P64" s="117">
        <f>SUMIFS(Actual!C:C,Actual!$A:$A,'3)Target &amp; Cal'!$A64,Actual!$B:$B,'3)Target &amp; Cal'!$B64)</f>
        <v>2268</v>
      </c>
      <c r="Q64" s="117">
        <f>SUMIFS(Actual!D:D,Actual!$A:$A,'3)Target &amp; Cal'!$A64,Actual!$B:$B,'3)Target &amp; Cal'!$B64)</f>
        <v>1411.1999999999998</v>
      </c>
      <c r="R64" s="117">
        <f>SUMIFS(Actual!E:E,Actual!$A:$A,'3)Target &amp; Cal'!$A64,Actual!$B:$B,'3)Target &amp; Cal'!$B64)</f>
        <v>0</v>
      </c>
      <c r="S64" s="117">
        <f>SUMIFS(Actual!F:F,Actual!$A:$A,'3)Target &amp; Cal'!$A64,Actual!$B:$B,'3)Target &amp; Cal'!$B64)</f>
        <v>0</v>
      </c>
      <c r="T64" s="117">
        <f>SUMIFS(Actual!G:G,Actual!$A:$A,'3)Target &amp; Cal'!$A64,Actual!$B:$B,'3)Target &amp; Cal'!$B64)</f>
        <v>0</v>
      </c>
      <c r="U64" s="117">
        <f>SUMIFS(Actual!H:H,Actual!$A:$A,'3)Target &amp; Cal'!$A64,Actual!$B:$B,'3)Target &amp; Cal'!$B64)</f>
        <v>0</v>
      </c>
      <c r="V64" s="117">
        <f>SUMIFS(Actual!I:I,Actual!$A:$A,'3)Target &amp; Cal'!$A64,Actual!$B:$B,'3)Target &amp; Cal'!$B64)</f>
        <v>0</v>
      </c>
      <c r="W64" s="117">
        <f>SUMIFS(Actual!J:J,Actual!$A:$A,'3)Target &amp; Cal'!$A64,Actual!$B:$B,'3)Target &amp; Cal'!$B64)</f>
        <v>0</v>
      </c>
      <c r="X64" s="117">
        <f>SUMIFS(Actual!K:K,Actual!$A:$A,'3)Target &amp; Cal'!$A64,Actual!$B:$B,'3)Target &amp; Cal'!$B64)</f>
        <v>0</v>
      </c>
      <c r="Y64" s="117">
        <f>SUMIFS(Actual!L:L,Actual!$A:$A,'3)Target &amp; Cal'!$A64,Actual!$B:$B,'3)Target &amp; Cal'!$B64)</f>
        <v>0</v>
      </c>
      <c r="Z64" s="117">
        <f>SUMIFS(Actual!M:M,Actual!$A:$A,'3)Target &amp; Cal'!$A64,Actual!$B:$B,'3)Target &amp; Cal'!$B64)</f>
        <v>0</v>
      </c>
      <c r="AA64" s="117">
        <f>SUMIFS(Actual!N:N,Actual!$A:$A,'3)Target &amp; Cal'!$A64,Actual!$B:$B,'3)Target &amp; Cal'!$B64)</f>
        <v>0</v>
      </c>
      <c r="AB64" s="123">
        <f>IFERROR(IF(VLOOKUP($B64,Shortage!$A:$M,AB$2,FALSE)="Shortage",1,IFERROR(ROUND(P64/D64,4),0)),IFERROR(ROUND(P64/D64,4),0))</f>
        <v>1.1356999999999999</v>
      </c>
      <c r="AC64" s="123">
        <f>IFERROR(IF(VLOOKUP($B64,Shortage!$A:$M,AC$2,FALSE)="Shortage",1,IFERROR(ROUND(Q64/E64,4),0)),IFERROR(ROUND(Q64/E64,4),0))</f>
        <v>0.64590000000000003</v>
      </c>
      <c r="AD64" s="123">
        <f>IFERROR(IF(VLOOKUP($B64,Shortage!$A:$M,AD$2,FALSE)="Shortage",1,IFERROR(ROUND(R64/F64,4),0)),IFERROR(ROUND(R64/F64,4),0))</f>
        <v>0</v>
      </c>
      <c r="AE64" s="123">
        <f>IFERROR(IF(VLOOKUP($B64,Shortage!$A:$M,AE$2,FALSE)="Shortage",1,IFERROR(ROUND(S64/G64,4),0)),IFERROR(ROUND(S64/G64,4),0))</f>
        <v>0</v>
      </c>
      <c r="AF64" s="123">
        <f>IFERROR(IF(VLOOKUP($B64,Shortage!$A:$M,AF$2,FALSE)="Shortage",1,IFERROR(ROUND(T64/H64,4),0)),IFERROR(ROUND(T64/H64,4),0))</f>
        <v>0</v>
      </c>
      <c r="AG64" s="123">
        <f>IFERROR(IF(VLOOKUP($B64,Shortage!$A:$M,AG$2,FALSE)="Shortage",1,IFERROR(ROUND(U64/I64,4),0)),IFERROR(ROUND(U64/I64,4),0))</f>
        <v>0</v>
      </c>
      <c r="AH64" s="123">
        <f>IFERROR(IF(VLOOKUP($B64,Shortage!$A:$M,AH$2,FALSE)="Shortage",1,IFERROR(ROUND(V64/J64,4),0)),IFERROR(ROUND(V64/J64,4),0))</f>
        <v>0</v>
      </c>
      <c r="AI64" s="123">
        <f>IFERROR(IF(VLOOKUP($B64,Shortage!$A:$M,AI$2,FALSE)="Shortage",1,IFERROR(ROUND(W64/K64,4),0)),IFERROR(ROUND(W64/K64,4),0))</f>
        <v>0</v>
      </c>
      <c r="AJ64" s="123">
        <f>IFERROR(IF(VLOOKUP($B64,Shortage!$A:$M,AP$2,FALSE)="Shortage",1,IFERROR(ROUND(X64/L64,4),0)),IFERROR(ROUND(X64/L64,4),0))</f>
        <v>0</v>
      </c>
      <c r="AK64" s="123">
        <f>IFERROR(IF(VLOOKUP($B64,Shortage!$A:$M,AK$2,FALSE)="Shortage",1,IFERROR(ROUND(Y64/M64,4),0)),IFERROR(ROUND(Y64/M64,4),0))</f>
        <v>0</v>
      </c>
      <c r="AL64" s="123">
        <f>IFERROR(IF(VLOOKUP($B64,Shortage!$A:$M,AL$2,FALSE)="Shortage",1,IFERROR(ROUND(Z64/N64,4),0)),IFERROR(ROUND(Z64/N64,4),0))</f>
        <v>0</v>
      </c>
      <c r="AM64" s="123">
        <f>IFERROR(IF(VLOOKUP($B64,Shortage!$A:$M,AM$2,FALSE)="Shortage",1,IFERROR(ROUND(AA64/O64,4),0)),IFERROR(ROUND(AA64/O64,4),0))</f>
        <v>0</v>
      </c>
      <c r="AN64" s="232">
        <f>IFERROR(IF($C64="Top WS",VLOOKUP("GOAL",'2) หลักการคำนวน Table'!$D$4:$M$4,HLOOKUP(AB64,'2) หลักการคำนวน Table'!$D$1:$M$5,5,TRUE),0),
IF($C64="WS SF",VLOOKUP("GOAL",'2) หลักการคำนวน Table'!$D$32:$M$32,HLOOKUP(AB64,'2) หลักการคำนวน Table'!$D$1:$M$5,5,TRUE),0),
IF($C64="WS WH",VLOOKUP("GOAL",'2) หลักการคำนวน Table'!$D$62:$M$62,HLOOKUP(AB64,'2) หลักการคำนวน Table'!$D$1:$M$5,5,TRUE),0),
IF($C64="SF WH",VLOOKUP("GOAL",'2) หลักการคำนวน Table'!$D$92:$M$92,HLOOKUP(AB64,'2) หลักการคำนวน Table'!$D$1:$M$5,5,TRUE),0))))),0)</f>
        <v>1.1499999999999999</v>
      </c>
      <c r="AO64" s="232">
        <f>IFERROR(IF($C64="Top WS",VLOOKUP("GOAL",'2) หลักการคำนวน Table'!$D$4:$M$4,HLOOKUP(AC64,'2) หลักการคำนวน Table'!$D$1:$M$5,5,TRUE),0),
IF($C64="WS SF",VLOOKUP("GOAL",'2) หลักการคำนวน Table'!$D$32:$M$32,HLOOKUP(AC64,'2) หลักการคำนวน Table'!$D$1:$M$5,5,TRUE),0),
IF($C64="WS WH",VLOOKUP("GOAL",'2) หลักการคำนวน Table'!$D$62:$M$62,HLOOKUP(AC64,'2) หลักการคำนวน Table'!$D$1:$M$5,5,TRUE),0),
IF($C64="SF WH",VLOOKUP("GOAL",'2) หลักการคำนวน Table'!$D$92:$M$92,HLOOKUP(AC64,'2) หลักการคำนวน Table'!$D$1:$M$5,5,TRUE),0))))),0)</f>
        <v>0.9</v>
      </c>
      <c r="AP64" s="232">
        <f>IFERROR(IF($C64="Top WS",VLOOKUP("GOAL",'2) หลักการคำนวน Table'!$D$4:$M$4,HLOOKUP(AD64,'2) หลักการคำนวน Table'!$D$1:$M$5,5,TRUE),0),
IF($C64="WS SF",VLOOKUP("GOAL",'2) หลักการคำนวน Table'!$D$32:$M$32,HLOOKUP(AD64,'2) หลักการคำนวน Table'!$D$1:$M$5,5,TRUE),0),
IF($C64="WS WH",VLOOKUP("GOAL",'2) หลักการคำนวน Table'!$D$62:$M$62,HLOOKUP(AD64,'2) หลักการคำนวน Table'!$D$1:$M$5,5,TRUE),0),
IF($C64="SF WH",VLOOKUP("GOAL",'2) หลักการคำนวน Table'!$D$92:$M$92,HLOOKUP(AD64,'2) หลักการคำนวน Table'!$D$1:$M$5,5,TRUE),0))))),0)</f>
        <v>0.9</v>
      </c>
      <c r="AQ64" s="232">
        <f>IFERROR(IF($C64="Top WS",VLOOKUP("GOAL",'2) หลักการคำนวน Table'!$D$4:$M$4,HLOOKUP(AE64,'2) หลักการคำนวน Table'!$D$1:$M$5,5,TRUE),0),
IF($C64="WS SF",VLOOKUP("GOAL",'2) หลักการคำนวน Table'!$D$32:$M$32,HLOOKUP(AE64,'2) หลักการคำนวน Table'!$D$1:$M$5,5,TRUE),0),
IF($C64="WS WH",VLOOKUP("GOAL",'2) หลักการคำนวน Table'!$D$62:$M$62,HLOOKUP(AE64,'2) หลักการคำนวน Table'!$D$1:$M$5,5,TRUE),0),
IF($C64="SF WH",VLOOKUP("GOAL",'2) หลักการคำนวน Table'!$D$92:$M$92,HLOOKUP(AE64,'2) หลักการคำนวน Table'!$D$1:$M$5,5,TRUE),0))))),0)</f>
        <v>0.9</v>
      </c>
      <c r="AR64" s="232">
        <f>IFERROR(IF($C64="Top WS",VLOOKUP("GOAL",'2) หลักการคำนวน Table'!$D$4:$M$4,HLOOKUP(AF64,'2) หลักการคำนวน Table'!$D$1:$M$5,5,TRUE),0),
IF($C64="WS SF",VLOOKUP("GOAL",'2) หลักการคำนวน Table'!$D$32:$M$32,HLOOKUP(AF64,'2) หลักการคำนวน Table'!$D$1:$M$5,5,TRUE),0),
IF($C64="WS WH",VLOOKUP("GOAL",'2) หลักการคำนวน Table'!$D$62:$M$62,HLOOKUP(AF64,'2) หลักการคำนวน Table'!$D$1:$M$5,5,TRUE),0),
IF($C64="SF WH",VLOOKUP("GOAL",'2) หลักการคำนวน Table'!$D$92:$M$92,HLOOKUP(AF64,'2) หลักการคำนวน Table'!$D$1:$M$5,5,TRUE),0))))),0)</f>
        <v>0.9</v>
      </c>
      <c r="AS64" s="232">
        <f>IFERROR(IF($C64="Top WS",VLOOKUP("GOAL",'2) หลักการคำนวน Table'!$D$4:$M$4,HLOOKUP(AG64,'2) หลักการคำนวน Table'!$D$1:$M$5,5,TRUE),0),
IF($C64="WS SF",VLOOKUP("GOAL",'2) หลักการคำนวน Table'!$D$32:$M$32,HLOOKUP(AG64,'2) หลักการคำนวน Table'!$D$1:$M$5,5,TRUE),0),
IF($C64="WS WH",VLOOKUP("GOAL",'2) หลักการคำนวน Table'!$D$62:$M$62,HLOOKUP(AG64,'2) หลักการคำนวน Table'!$D$1:$M$5,5,TRUE),0),
IF($C64="SF WH",VLOOKUP("GOAL",'2) หลักการคำนวน Table'!$D$92:$M$92,HLOOKUP(AG64,'2) หลักการคำนวน Table'!$D$1:$M$5,5,TRUE),0))))),0)</f>
        <v>0.9</v>
      </c>
      <c r="AT64" s="232">
        <f>IFERROR(IF($C64="Top WS",VLOOKUP("GOAL",'2) หลักการคำนวน Table'!$D$4:$M$4,HLOOKUP(AH64,'2) หลักการคำนวน Table'!$D$1:$M$5,5,TRUE),0),
IF($C64="WS SF",VLOOKUP("GOAL",'2) หลักการคำนวน Table'!$D$32:$M$32,HLOOKUP(AH64,'2) หลักการคำนวน Table'!$D$1:$M$5,5,TRUE),0),
IF($C64="WS WH",VLOOKUP("GOAL",'2) หลักการคำนวน Table'!$D$62:$M$62,HLOOKUP(AH64,'2) หลักการคำนวน Table'!$D$1:$M$5,5,TRUE),0),
IF($C64="SF WH",VLOOKUP("GOAL",'2) หลักการคำนวน Table'!$D$92:$M$92,HLOOKUP(AH64,'2) หลักการคำนวน Table'!$D$1:$M$5,5,TRUE),0))))),0)</f>
        <v>0.9</v>
      </c>
      <c r="AU64" s="232">
        <f>IFERROR(IF($C64="Top WS",VLOOKUP("GOAL",'2) หลักการคำนวน Table'!$D$4:$M$4,HLOOKUP(AI64,'2) หลักการคำนวน Table'!$D$1:$M$5,5,TRUE),0),
IF($C64="WS SF",VLOOKUP("GOAL",'2) หลักการคำนวน Table'!$D$32:$M$32,HLOOKUP(AI64,'2) หลักการคำนวน Table'!$D$1:$M$5,5,TRUE),0),
IF($C64="WS WH",VLOOKUP("GOAL",'2) หลักการคำนวน Table'!$D$62:$M$62,HLOOKUP(AI64,'2) หลักการคำนวน Table'!$D$1:$M$5,5,TRUE),0),
IF($C64="SF WH",VLOOKUP("GOAL",'2) หลักการคำนวน Table'!$D$92:$M$92,HLOOKUP(AI64,'2) หลักการคำนวน Table'!$D$1:$M$5,5,TRUE),0))))),0)</f>
        <v>0.9</v>
      </c>
      <c r="AV64" s="232">
        <f>IFERROR(IF($C64="Top WS",VLOOKUP("GOAL",'2) หลักการคำนวน Table'!$D$4:$M$4,HLOOKUP(AP64,'2) หลักการคำนวน Table'!$D$1:$M$5,5,TRUE),0),
IF($C64="WS SF",VLOOKUP("GOAL",'2) หลักการคำนวน Table'!$D$32:$M$32,HLOOKUP(AP64,'2) หลักการคำนวน Table'!$D$1:$M$5,5,TRUE),0),
IF($C64="WS WH",VLOOKUP("GOAL",'2) หลักการคำนวน Table'!$D$62:$M$62,HLOOKUP(AP64,'2) หลักการคำนวน Table'!$D$1:$M$5,5,TRUE),0),
IF($C64="SF WH",VLOOKUP("GOAL",'2) หลักการคำนวน Table'!$D$92:$M$92,HLOOKUP(AP64,'2) หลักการคำนวน Table'!$D$1:$M$5,5,TRUE),0))))),0)</f>
        <v>0.9</v>
      </c>
      <c r="AW64" s="232">
        <f>IFERROR(IF($C64="Top WS",VLOOKUP("GOAL",'2) หลักการคำนวน Table'!$D$4:$M$4,HLOOKUP(AK64,'2) หลักการคำนวน Table'!$D$1:$M$5,5,TRUE),0),
IF($C64="WS SF",VLOOKUP("GOAL",'2) หลักการคำนวน Table'!$D$32:$M$32,HLOOKUP(AK64,'2) หลักการคำนวน Table'!$D$1:$M$5,5,TRUE),0),
IF($C64="WS WH",VLOOKUP("GOAL",'2) หลักการคำนวน Table'!$D$62:$M$62,HLOOKUP(AK64,'2) หลักการคำนวน Table'!$D$1:$M$5,5,TRUE),0),
IF($C64="SF WH",VLOOKUP("GOAL",'2) หลักการคำนวน Table'!$D$92:$M$92,HLOOKUP(AK64,'2) หลักการคำนวน Table'!$D$1:$M$5,5,TRUE),0))))),0)</f>
        <v>0.9</v>
      </c>
      <c r="AX64" s="232">
        <f>IFERROR(IF($C64="Top WS",VLOOKUP("GOAL",'2) หลักการคำนวน Table'!$D$4:$M$4,HLOOKUP(AL64,'2) หลักการคำนวน Table'!$D$1:$M$5,5,TRUE),0),
IF($C64="WS SF",VLOOKUP("GOAL",'2) หลักการคำนวน Table'!$D$32:$M$32,HLOOKUP(AL64,'2) หลักการคำนวน Table'!$D$1:$M$5,5,TRUE),0),
IF($C64="WS WH",VLOOKUP("GOAL",'2) หลักการคำนวน Table'!$D$62:$M$62,HLOOKUP(AL64,'2) หลักการคำนวน Table'!$D$1:$M$5,5,TRUE),0),
IF($C64="SF WH",VLOOKUP("GOAL",'2) หลักการคำนวน Table'!$D$92:$M$92,HLOOKUP(AL64,'2) หลักการคำนวน Table'!$D$1:$M$5,5,TRUE),0))))),0)</f>
        <v>0.9</v>
      </c>
      <c r="AY64" s="232">
        <f>IFERROR(IF($C64="Top WS",VLOOKUP("GOAL",'2) หลักการคำนวน Table'!$D$4:$M$4,HLOOKUP(AM64,'2) หลักการคำนวน Table'!$D$1:$M$5,5,TRUE),0),
IF($C64="WS SF",VLOOKUP("GOAL",'2) หลักการคำนวน Table'!$D$32:$M$32,HLOOKUP(AM64,'2) หลักการคำนวน Table'!$D$1:$M$5,5,TRUE),0),
IF($C64="WS WH",VLOOKUP("GOAL",'2) หลักการคำนวน Table'!$D$62:$M$62,HLOOKUP(AM64,'2) หลักการคำนวน Table'!$D$1:$M$5,5,TRUE),0),
IF($C64="SF WH",VLOOKUP("GOAL",'2) หลักการคำนวน Table'!$D$92:$M$92,HLOOKUP(AM64,'2) หลักการคำนวน Table'!$D$1:$M$5,5,TRUE),0))))),0)</f>
        <v>0.9</v>
      </c>
      <c r="AZ64" s="167">
        <f>IFERROR(IF($C64="Top WS",VLOOKUP($B64,'2) หลักการคำนวน Table'!$D$5:$M$20,HLOOKUP(AB64,'2) หลักการคำนวน Table'!$D$1:$M$5,5,TRUE),0),
IF($C64="WS SF",VLOOKUP($B64,'2) หลักการคำนวน Table'!$D$33:$M$48,HLOOKUP(AB64,'2) หลักการคำนวน Table'!$D$1:$M$5,5,TRUE),0),
IF($C64="WS WH",VLOOKUP($B64,'2) หลักการคำนวน Table'!$D$63:$M$78,HLOOKUP(AB64,'2) หลักการคำนวน Table'!$D$1:$M$5,5,TRUE),0),
IF($C64="SF WH",VLOOKUP($B64,'2) หลักการคำนวน Table'!$D$93:$M$108,HLOOKUP(AB64,'2) หลักการคำนวน Table'!$D$1:$M$5,5,TRUE),0))))),0)</f>
        <v>201.25</v>
      </c>
      <c r="BA64" s="167">
        <f>IFERROR(IF($C64="Top WS",VLOOKUP($B64,'2) หลักการคำนวน Table'!$D$5:$M$20,HLOOKUP(AC64,'2) หลักการคำนวน Table'!$D$1:$M$5,5,TRUE),0),
IF($C64="WS SF",VLOOKUP($B64,'2) หลักการคำนวน Table'!$D$33:$M$48,HLOOKUP(AC64,'2) หลักการคำนวน Table'!$D$1:$M$5,5,TRUE),0),
IF($C64="WS WH",VLOOKUP($B64,'2) หลักการคำนวน Table'!$D$63:$M$78,HLOOKUP(AC64,'2) หลักการคำนวน Table'!$D$1:$M$5,5,TRUE),0),
IF($C64="SF WH",VLOOKUP($B64,'2) หลักการคำนวน Table'!$D$93:$M$108,HLOOKUP(AC64,'2) หลักการคำนวน Table'!$D$1:$M$5,5,TRUE),0))))),0)</f>
        <v>157.5</v>
      </c>
      <c r="BB64" s="167">
        <f>IFERROR(IF($C64="Top WS",VLOOKUP($B64,'2) หลักการคำนวน Table'!$D$5:$M$20,HLOOKUP(AD64,'2) หลักการคำนวน Table'!$D$1:$M$5,5,TRUE),0),
IF($C64="WS SF",VLOOKUP($B64,'2) หลักการคำนวน Table'!$D$33:$M$48,HLOOKUP(AD64,'2) หลักการคำนวน Table'!$D$1:$M$5,5,TRUE),0),
IF($C64="WS WH",VLOOKUP($B64,'2) หลักการคำนวน Table'!$D$63:$M$78,HLOOKUP(AD64,'2) หลักการคำนวน Table'!$D$1:$M$5,5,TRUE),0),
IF($C64="SF WH",VLOOKUP($B64,'2) หลักการคำนวน Table'!$D$93:$M$108,HLOOKUP(AD64,'2) หลักการคำนวน Table'!$D$1:$M$5,5,TRUE),0))))),0)</f>
        <v>157.5</v>
      </c>
      <c r="BC64" s="167">
        <f>IFERROR(IF($C64="Top WS",VLOOKUP($B64,'2) หลักการคำนวน Table'!$D$5:$M$20,HLOOKUP(AE64,'2) หลักการคำนวน Table'!$D$1:$M$5,5,TRUE),0),
IF($C64="WS SF",VLOOKUP($B64,'2) หลักการคำนวน Table'!$D$33:$M$48,HLOOKUP(AE64,'2) หลักการคำนวน Table'!$D$1:$M$5,5,TRUE),0),
IF($C64="WS WH",VLOOKUP($B64,'2) หลักการคำนวน Table'!$D$63:$M$78,HLOOKUP(AE64,'2) หลักการคำนวน Table'!$D$1:$M$5,5,TRUE),0),
IF($C64="SF WH",VLOOKUP($B64,'2) หลักการคำนวน Table'!$D$93:$M$108,HLOOKUP(AE64,'2) หลักการคำนวน Table'!$D$1:$M$5,5,TRUE),0))))),0)</f>
        <v>157.5</v>
      </c>
      <c r="BD64" s="167">
        <f>IFERROR(IF($C64="Top WS",VLOOKUP($B64,'2) หลักการคำนวน Table'!$D$5:$M$20,HLOOKUP(AF64,'2) หลักการคำนวน Table'!$D$1:$M$5,5,TRUE),0),
IF($C64="WS SF",VLOOKUP($B64,'2) หลักการคำนวน Table'!$D$33:$M$48,HLOOKUP(AF64,'2) หลักการคำนวน Table'!$D$1:$M$5,5,TRUE),0),
IF($C64="WS WH",VLOOKUP($B64,'2) หลักการคำนวน Table'!$D$63:$M$78,HLOOKUP(AF64,'2) หลักการคำนวน Table'!$D$1:$M$5,5,TRUE),0),
IF($C64="SF WH",VLOOKUP($B64,'2) หลักการคำนวน Table'!$D$93:$M$108,HLOOKUP(AF64,'2) หลักการคำนวน Table'!$D$1:$M$5,5,TRUE),0))))),0)</f>
        <v>157.5</v>
      </c>
      <c r="BE64" s="167">
        <f>IFERROR(IF($C64="Top WS",VLOOKUP($B64,'2) หลักการคำนวน Table'!$D$5:$M$20,HLOOKUP(AG64,'2) หลักการคำนวน Table'!$D$1:$M$5,5,TRUE),0),
IF($C64="WS SF",VLOOKUP($B64,'2) หลักการคำนวน Table'!$D$33:$M$48,HLOOKUP(AG64,'2) หลักการคำนวน Table'!$D$1:$M$5,5,TRUE),0),
IF($C64="WS WH",VLOOKUP($B64,'2) หลักการคำนวน Table'!$D$63:$M$78,HLOOKUP(AG64,'2) หลักการคำนวน Table'!$D$1:$M$5,5,TRUE),0),
IF($C64="SF WH",VLOOKUP($B64,'2) หลักการคำนวน Table'!$D$93:$M$108,HLOOKUP(AG64,'2) หลักการคำนวน Table'!$D$1:$M$5,5,TRUE),0))))),0)</f>
        <v>157.5</v>
      </c>
      <c r="BF64" s="167">
        <f>IFERROR(IF($C64="Top WS",VLOOKUP($B64,'2) หลักการคำนวน Table'!$D$5:$M$20,HLOOKUP(AH64,'2) หลักการคำนวน Table'!$D$1:$M$5,5,TRUE),0),
IF($C64="WS SF",VLOOKUP($B64,'2) หลักการคำนวน Table'!$D$33:$M$48,HLOOKUP(AH64,'2) หลักการคำนวน Table'!$D$1:$M$5,5,TRUE),0),
IF($C64="WS WH",VLOOKUP($B64,'2) หลักการคำนวน Table'!$D$63:$M$78,HLOOKUP(AH64,'2) หลักการคำนวน Table'!$D$1:$M$5,5,TRUE),0),
IF($C64="SF WH",VLOOKUP($B64,'2) หลักการคำนวน Table'!$D$93:$M$108,HLOOKUP(AH64,'2) หลักการคำนวน Table'!$D$1:$M$5,5,TRUE),0))))),0)</f>
        <v>157.5</v>
      </c>
      <c r="BG64" s="167">
        <f>IFERROR(IF($C64="Top WS",VLOOKUP($B64,'2) หลักการคำนวน Table'!$D$5:$M$20,HLOOKUP(AI64,'2) หลักการคำนวน Table'!$D$1:$M$5,5,TRUE),0),
IF($C64="WS SF",VLOOKUP($B64,'2) หลักการคำนวน Table'!$D$33:$M$48,HLOOKUP(AI64,'2) หลักการคำนวน Table'!$D$1:$M$5,5,TRUE),0),
IF($C64="WS WH",VLOOKUP($B64,'2) หลักการคำนวน Table'!$D$63:$M$78,HLOOKUP(AI64,'2) หลักการคำนวน Table'!$D$1:$M$5,5,TRUE),0),
IF($C64="SF WH",VLOOKUP($B64,'2) หลักการคำนวน Table'!$D$93:$M$108,HLOOKUP(AI64,'2) หลักการคำนวน Table'!$D$1:$M$5,5,TRUE),0))))),0)</f>
        <v>157.5</v>
      </c>
      <c r="BH64" s="167">
        <f>IFERROR(IF($C64="Top WS",VLOOKUP($B64,'2) หลักการคำนวน Table'!$D$5:$M$20,HLOOKUP(AP64,'2) หลักการคำนวน Table'!$D$1:$M$5,5,TRUE),0),
IF($C64="WS SF",VLOOKUP($B64,'2) หลักการคำนวน Table'!$D$33:$M$48,HLOOKUP(AP64,'2) หลักการคำนวน Table'!$D$1:$M$5,5,TRUE),0),
IF($C64="WS WH",VLOOKUP($B64,'2) หลักการคำนวน Table'!$D$63:$M$78,HLOOKUP(AP64,'2) หลักการคำนวน Table'!$D$1:$M$5,5,TRUE),0),
IF($C64="SF WH",VLOOKUP($B64,'2) หลักการคำนวน Table'!$D$93:$M$108,HLOOKUP(AP64,'2) หลักการคำนวน Table'!$D$1:$M$5,5,TRUE),0))))),0)</f>
        <v>157.5</v>
      </c>
      <c r="BI64" s="167">
        <f>IFERROR(IF($C64="Top WS",VLOOKUP($B64,'2) หลักการคำนวน Table'!$D$5:$M$20,HLOOKUP(AK64,'2) หลักการคำนวน Table'!$D$1:$M$5,5,TRUE),0),
IF($C64="WS SF",VLOOKUP($B64,'2) หลักการคำนวน Table'!$D$33:$M$48,HLOOKUP(AK64,'2) หลักการคำนวน Table'!$D$1:$M$5,5,TRUE),0),
IF($C64="WS WH",VLOOKUP($B64,'2) หลักการคำนวน Table'!$D$63:$M$78,HLOOKUP(AK64,'2) หลักการคำนวน Table'!$D$1:$M$5,5,TRUE),0),
IF($C64="SF WH",VLOOKUP($B64,'2) หลักการคำนวน Table'!$D$93:$M$108,HLOOKUP(AK64,'2) หลักการคำนวน Table'!$D$1:$M$5,5,TRUE),0))))),0)</f>
        <v>157.5</v>
      </c>
      <c r="BJ64" s="167">
        <f>IFERROR(IF($C64="Top WS",VLOOKUP($B64,'2) หลักการคำนวน Table'!$D$5:$M$20,HLOOKUP(AL64,'2) หลักการคำนวน Table'!$D$1:$M$5,5,TRUE),0),
IF($C64="WS SF",VLOOKUP($B64,'2) หลักการคำนวน Table'!$D$33:$M$48,HLOOKUP(AL64,'2) หลักการคำนวน Table'!$D$1:$M$5,5,TRUE),0),
IF($C64="WS WH",VLOOKUP($B64,'2) หลักการคำนวน Table'!$D$63:$M$78,HLOOKUP(AL64,'2) หลักการคำนวน Table'!$D$1:$M$5,5,TRUE),0),
IF($C64="SF WH",VLOOKUP($B64,'2) หลักการคำนวน Table'!$D$93:$M$108,HLOOKUP(AL64,'2) หลักการคำนวน Table'!$D$1:$M$5,5,TRUE),0))))),0)</f>
        <v>157.5</v>
      </c>
      <c r="BK64" s="167">
        <f>IFERROR(IF($C64="Top WS",VLOOKUP($B64,'2) หลักการคำนวน Table'!$D$5:$M$20,HLOOKUP(AM64,'2) หลักการคำนวน Table'!$D$1:$M$5,5,TRUE),0),
IF($C64="WS SF",VLOOKUP($B64,'2) หลักการคำนวน Table'!$D$33:$M$48,HLOOKUP(AM64,'2) หลักการคำนวน Table'!$D$1:$M$5,5,TRUE),0),
IF($C64="WS WH",VLOOKUP($B64,'2) หลักการคำนวน Table'!$D$63:$M$78,HLOOKUP(AM64,'2) หลักการคำนวน Table'!$D$1:$M$5,5,TRUE),0),
IF($C64="SF WH",VLOOKUP($B64,'2) หลักการคำนวน Table'!$D$93:$M$108,HLOOKUP(AM64,'2) หลักการคำนวน Table'!$D$1:$M$5,5,TRUE),0))))),0)</f>
        <v>157.5</v>
      </c>
      <c r="BM64" s="119">
        <f>VLOOKUP(VLOOKUP(A64,ASTBase!E:S,13,FALSE),ASTBase!F:P,11,FALSE)</f>
        <v>140000</v>
      </c>
      <c r="BN64" s="196" cm="1">
        <f t="array" ref="BN64">INDEX(AN64:AY64,,Period!$D$2)</f>
        <v>0.9</v>
      </c>
    </row>
    <row r="65" spans="1:66" x14ac:dyDescent="0.25">
      <c r="A65" s="117">
        <v>140002</v>
      </c>
      <c r="B65" s="117" t="s">
        <v>402</v>
      </c>
      <c r="C65" s="117" t="s">
        <v>179</v>
      </c>
      <c r="D65" s="118">
        <v>164</v>
      </c>
      <c r="E65" s="118">
        <v>188</v>
      </c>
      <c r="F65" s="118">
        <v>153</v>
      </c>
      <c r="G65" s="118">
        <v>161</v>
      </c>
      <c r="H65" s="118">
        <v>163</v>
      </c>
      <c r="I65" s="118">
        <v>168</v>
      </c>
      <c r="J65" s="118">
        <v>190</v>
      </c>
      <c r="K65" s="118">
        <v>281</v>
      </c>
      <c r="L65" s="118">
        <v>185</v>
      </c>
      <c r="M65" s="118">
        <v>168</v>
      </c>
      <c r="N65" s="118">
        <v>212</v>
      </c>
      <c r="O65" s="118">
        <v>209</v>
      </c>
      <c r="P65" s="117">
        <f>SUMIFS(Actual!C:C,Actual!$A:$A,'3)Target &amp; Cal'!$A65,Actual!$B:$B,'3)Target &amp; Cal'!$B65)</f>
        <v>164.4</v>
      </c>
      <c r="Q65" s="117">
        <f>SUMIFS(Actual!D:D,Actual!$A:$A,'3)Target &amp; Cal'!$A65,Actual!$B:$B,'3)Target &amp; Cal'!$B65)</f>
        <v>126.6</v>
      </c>
      <c r="R65" s="117">
        <f>SUMIFS(Actual!E:E,Actual!$A:$A,'3)Target &amp; Cal'!$A65,Actual!$B:$B,'3)Target &amp; Cal'!$B65)</f>
        <v>0</v>
      </c>
      <c r="S65" s="117">
        <f>SUMIFS(Actual!F:F,Actual!$A:$A,'3)Target &amp; Cal'!$A65,Actual!$B:$B,'3)Target &amp; Cal'!$B65)</f>
        <v>0</v>
      </c>
      <c r="T65" s="117">
        <f>SUMIFS(Actual!G:G,Actual!$A:$A,'3)Target &amp; Cal'!$A65,Actual!$B:$B,'3)Target &amp; Cal'!$B65)</f>
        <v>0</v>
      </c>
      <c r="U65" s="117">
        <f>SUMIFS(Actual!H:H,Actual!$A:$A,'3)Target &amp; Cal'!$A65,Actual!$B:$B,'3)Target &amp; Cal'!$B65)</f>
        <v>0</v>
      </c>
      <c r="V65" s="117">
        <f>SUMIFS(Actual!I:I,Actual!$A:$A,'3)Target &amp; Cal'!$A65,Actual!$B:$B,'3)Target &amp; Cal'!$B65)</f>
        <v>0</v>
      </c>
      <c r="W65" s="117">
        <f>SUMIFS(Actual!J:J,Actual!$A:$A,'3)Target &amp; Cal'!$A65,Actual!$B:$B,'3)Target &amp; Cal'!$B65)</f>
        <v>0</v>
      </c>
      <c r="X65" s="117">
        <f>SUMIFS(Actual!K:K,Actual!$A:$A,'3)Target &amp; Cal'!$A65,Actual!$B:$B,'3)Target &amp; Cal'!$B65)</f>
        <v>0</v>
      </c>
      <c r="Y65" s="117">
        <f>SUMIFS(Actual!L:L,Actual!$A:$A,'3)Target &amp; Cal'!$A65,Actual!$B:$B,'3)Target &amp; Cal'!$B65)</f>
        <v>0</v>
      </c>
      <c r="Z65" s="117">
        <f>SUMIFS(Actual!M:M,Actual!$A:$A,'3)Target &amp; Cal'!$A65,Actual!$B:$B,'3)Target &amp; Cal'!$B65)</f>
        <v>0</v>
      </c>
      <c r="AA65" s="117">
        <f>SUMIFS(Actual!N:N,Actual!$A:$A,'3)Target &amp; Cal'!$A65,Actual!$B:$B,'3)Target &amp; Cal'!$B65)</f>
        <v>0</v>
      </c>
      <c r="AB65" s="123">
        <f>IFERROR(IF(VLOOKUP($B65,Shortage!$A:$M,AB$2,FALSE)="Shortage",1,IFERROR(ROUND(P65/D65,4),0)),IFERROR(ROUND(P65/D65,4),0))</f>
        <v>1.0024</v>
      </c>
      <c r="AC65" s="123">
        <f>IFERROR(IF(VLOOKUP($B65,Shortage!$A:$M,AC$2,FALSE)="Shortage",1,IFERROR(ROUND(Q65/E65,4),0)),IFERROR(ROUND(Q65/E65,4),0))</f>
        <v>0.6734</v>
      </c>
      <c r="AD65" s="123">
        <f>IFERROR(IF(VLOOKUP($B65,Shortage!$A:$M,AD$2,FALSE)="Shortage",1,IFERROR(ROUND(R65/F65,4),0)),IFERROR(ROUND(R65/F65,4),0))</f>
        <v>0</v>
      </c>
      <c r="AE65" s="123">
        <f>IFERROR(IF(VLOOKUP($B65,Shortage!$A:$M,AE$2,FALSE)="Shortage",1,IFERROR(ROUND(S65/G65,4),0)),IFERROR(ROUND(S65/G65,4),0))</f>
        <v>0</v>
      </c>
      <c r="AF65" s="123">
        <f>IFERROR(IF(VLOOKUP($B65,Shortage!$A:$M,AF$2,FALSE)="Shortage",1,IFERROR(ROUND(T65/H65,4),0)),IFERROR(ROUND(T65/H65,4),0))</f>
        <v>0</v>
      </c>
      <c r="AG65" s="123">
        <f>IFERROR(IF(VLOOKUP($B65,Shortage!$A:$M,AG$2,FALSE)="Shortage",1,IFERROR(ROUND(U65/I65,4),0)),IFERROR(ROUND(U65/I65,4),0))</f>
        <v>0</v>
      </c>
      <c r="AH65" s="123">
        <f>IFERROR(IF(VLOOKUP($B65,Shortage!$A:$M,AH$2,FALSE)="Shortage",1,IFERROR(ROUND(V65/J65,4),0)),IFERROR(ROUND(V65/J65,4),0))</f>
        <v>0</v>
      </c>
      <c r="AI65" s="123">
        <f>IFERROR(IF(VLOOKUP($B65,Shortage!$A:$M,AI$2,FALSE)="Shortage",1,IFERROR(ROUND(W65/K65,4),0)),IFERROR(ROUND(W65/K65,4),0))</f>
        <v>0</v>
      </c>
      <c r="AJ65" s="123">
        <f>IFERROR(IF(VLOOKUP($B65,Shortage!$A:$M,AP$2,FALSE)="Shortage",1,IFERROR(ROUND(X65/L65,4),0)),IFERROR(ROUND(X65/L65,4),0))</f>
        <v>0</v>
      </c>
      <c r="AK65" s="123">
        <f>IFERROR(IF(VLOOKUP($B65,Shortage!$A:$M,AK$2,FALSE)="Shortage",1,IFERROR(ROUND(Y65/M65,4),0)),IFERROR(ROUND(Y65/M65,4),0))</f>
        <v>0</v>
      </c>
      <c r="AL65" s="123">
        <f>IFERROR(IF(VLOOKUP($B65,Shortage!$A:$M,AL$2,FALSE)="Shortage",1,IFERROR(ROUND(Z65/N65,4),0)),IFERROR(ROUND(Z65/N65,4),0))</f>
        <v>0</v>
      </c>
      <c r="AM65" s="123">
        <f>IFERROR(IF(VLOOKUP($B65,Shortage!$A:$M,AM$2,FALSE)="Shortage",1,IFERROR(ROUND(AA65/O65,4),0)),IFERROR(ROUND(AA65/O65,4),0))</f>
        <v>0</v>
      </c>
      <c r="AN65" s="232">
        <f>IFERROR(IF($C65="Top WS",VLOOKUP("GOAL",'2) หลักการคำนวน Table'!$D$4:$M$4,HLOOKUP(AB65,'2) หลักการคำนวน Table'!$D$1:$M$5,5,TRUE),0),
IF($C65="WS SF",VLOOKUP("GOAL",'2) หลักการคำนวน Table'!$D$32:$M$32,HLOOKUP(AB65,'2) หลักการคำนวน Table'!$D$1:$M$5,5,TRUE),0),
IF($C65="WS WH",VLOOKUP("GOAL",'2) หลักการคำนวน Table'!$D$62:$M$62,HLOOKUP(AB65,'2) หลักการคำนวน Table'!$D$1:$M$5,5,TRUE),0),
IF($C65="SF WH",VLOOKUP("GOAL",'2) หลักการคำนวน Table'!$D$92:$M$92,HLOOKUP(AB65,'2) หลักการคำนวน Table'!$D$1:$M$5,5,TRUE),0))))),0)</f>
        <v>1.03</v>
      </c>
      <c r="AO65" s="232">
        <f>IFERROR(IF($C65="Top WS",VLOOKUP("GOAL",'2) หลักการคำนวน Table'!$D$4:$M$4,HLOOKUP(AC65,'2) หลักการคำนวน Table'!$D$1:$M$5,5,TRUE),0),
IF($C65="WS SF",VLOOKUP("GOAL",'2) หลักการคำนวน Table'!$D$32:$M$32,HLOOKUP(AC65,'2) หลักการคำนวน Table'!$D$1:$M$5,5,TRUE),0),
IF($C65="WS WH",VLOOKUP("GOAL",'2) หลักการคำนวน Table'!$D$62:$M$62,HLOOKUP(AC65,'2) หลักการคำนวน Table'!$D$1:$M$5,5,TRUE),0),
IF($C65="SF WH",VLOOKUP("GOAL",'2) หลักการคำนวน Table'!$D$92:$M$92,HLOOKUP(AC65,'2) หลักการคำนวน Table'!$D$1:$M$5,5,TRUE),0))))),0)</f>
        <v>0.9</v>
      </c>
      <c r="AP65" s="232">
        <f>IFERROR(IF($C65="Top WS",VLOOKUP("GOAL",'2) หลักการคำนวน Table'!$D$4:$M$4,HLOOKUP(AD65,'2) หลักการคำนวน Table'!$D$1:$M$5,5,TRUE),0),
IF($C65="WS SF",VLOOKUP("GOAL",'2) หลักการคำนวน Table'!$D$32:$M$32,HLOOKUP(AD65,'2) หลักการคำนวน Table'!$D$1:$M$5,5,TRUE),0),
IF($C65="WS WH",VLOOKUP("GOAL",'2) หลักการคำนวน Table'!$D$62:$M$62,HLOOKUP(AD65,'2) หลักการคำนวน Table'!$D$1:$M$5,5,TRUE),0),
IF($C65="SF WH",VLOOKUP("GOAL",'2) หลักการคำนวน Table'!$D$92:$M$92,HLOOKUP(AD65,'2) หลักการคำนวน Table'!$D$1:$M$5,5,TRUE),0))))),0)</f>
        <v>0.9</v>
      </c>
      <c r="AQ65" s="232">
        <f>IFERROR(IF($C65="Top WS",VLOOKUP("GOAL",'2) หลักการคำนวน Table'!$D$4:$M$4,HLOOKUP(AE65,'2) หลักการคำนวน Table'!$D$1:$M$5,5,TRUE),0),
IF($C65="WS SF",VLOOKUP("GOAL",'2) หลักการคำนวน Table'!$D$32:$M$32,HLOOKUP(AE65,'2) หลักการคำนวน Table'!$D$1:$M$5,5,TRUE),0),
IF($C65="WS WH",VLOOKUP("GOAL",'2) หลักการคำนวน Table'!$D$62:$M$62,HLOOKUP(AE65,'2) หลักการคำนวน Table'!$D$1:$M$5,5,TRUE),0),
IF($C65="SF WH",VLOOKUP("GOAL",'2) หลักการคำนวน Table'!$D$92:$M$92,HLOOKUP(AE65,'2) หลักการคำนวน Table'!$D$1:$M$5,5,TRUE),0))))),0)</f>
        <v>0.9</v>
      </c>
      <c r="AR65" s="232">
        <f>IFERROR(IF($C65="Top WS",VLOOKUP("GOAL",'2) หลักการคำนวน Table'!$D$4:$M$4,HLOOKUP(AF65,'2) หลักการคำนวน Table'!$D$1:$M$5,5,TRUE),0),
IF($C65="WS SF",VLOOKUP("GOAL",'2) หลักการคำนวน Table'!$D$32:$M$32,HLOOKUP(AF65,'2) หลักการคำนวน Table'!$D$1:$M$5,5,TRUE),0),
IF($C65="WS WH",VLOOKUP("GOAL",'2) หลักการคำนวน Table'!$D$62:$M$62,HLOOKUP(AF65,'2) หลักการคำนวน Table'!$D$1:$M$5,5,TRUE),0),
IF($C65="SF WH",VLOOKUP("GOAL",'2) หลักการคำนวน Table'!$D$92:$M$92,HLOOKUP(AF65,'2) หลักการคำนวน Table'!$D$1:$M$5,5,TRUE),0))))),0)</f>
        <v>0.9</v>
      </c>
      <c r="AS65" s="232">
        <f>IFERROR(IF($C65="Top WS",VLOOKUP("GOAL",'2) หลักการคำนวน Table'!$D$4:$M$4,HLOOKUP(AG65,'2) หลักการคำนวน Table'!$D$1:$M$5,5,TRUE),0),
IF($C65="WS SF",VLOOKUP("GOAL",'2) หลักการคำนวน Table'!$D$32:$M$32,HLOOKUP(AG65,'2) หลักการคำนวน Table'!$D$1:$M$5,5,TRUE),0),
IF($C65="WS WH",VLOOKUP("GOAL",'2) หลักการคำนวน Table'!$D$62:$M$62,HLOOKUP(AG65,'2) หลักการคำนวน Table'!$D$1:$M$5,5,TRUE),0),
IF($C65="SF WH",VLOOKUP("GOAL",'2) หลักการคำนวน Table'!$D$92:$M$92,HLOOKUP(AG65,'2) หลักการคำนวน Table'!$D$1:$M$5,5,TRUE),0))))),0)</f>
        <v>0.9</v>
      </c>
      <c r="AT65" s="232">
        <f>IFERROR(IF($C65="Top WS",VLOOKUP("GOAL",'2) หลักการคำนวน Table'!$D$4:$M$4,HLOOKUP(AH65,'2) หลักการคำนวน Table'!$D$1:$M$5,5,TRUE),0),
IF($C65="WS SF",VLOOKUP("GOAL",'2) หลักการคำนวน Table'!$D$32:$M$32,HLOOKUP(AH65,'2) หลักการคำนวน Table'!$D$1:$M$5,5,TRUE),0),
IF($C65="WS WH",VLOOKUP("GOAL",'2) หลักการคำนวน Table'!$D$62:$M$62,HLOOKUP(AH65,'2) หลักการคำนวน Table'!$D$1:$M$5,5,TRUE),0),
IF($C65="SF WH",VLOOKUP("GOAL",'2) หลักการคำนวน Table'!$D$92:$M$92,HLOOKUP(AH65,'2) หลักการคำนวน Table'!$D$1:$M$5,5,TRUE),0))))),0)</f>
        <v>0.9</v>
      </c>
      <c r="AU65" s="232">
        <f>IFERROR(IF($C65="Top WS",VLOOKUP("GOAL",'2) หลักการคำนวน Table'!$D$4:$M$4,HLOOKUP(AI65,'2) หลักการคำนวน Table'!$D$1:$M$5,5,TRUE),0),
IF($C65="WS SF",VLOOKUP("GOAL",'2) หลักการคำนวน Table'!$D$32:$M$32,HLOOKUP(AI65,'2) หลักการคำนวน Table'!$D$1:$M$5,5,TRUE),0),
IF($C65="WS WH",VLOOKUP("GOAL",'2) หลักการคำนวน Table'!$D$62:$M$62,HLOOKUP(AI65,'2) หลักการคำนวน Table'!$D$1:$M$5,5,TRUE),0),
IF($C65="SF WH",VLOOKUP("GOAL",'2) หลักการคำนวน Table'!$D$92:$M$92,HLOOKUP(AI65,'2) หลักการคำนวน Table'!$D$1:$M$5,5,TRUE),0))))),0)</f>
        <v>0.9</v>
      </c>
      <c r="AV65" s="232">
        <f>IFERROR(IF($C65="Top WS",VLOOKUP("GOAL",'2) หลักการคำนวน Table'!$D$4:$M$4,HLOOKUP(AP65,'2) หลักการคำนวน Table'!$D$1:$M$5,5,TRUE),0),
IF($C65="WS SF",VLOOKUP("GOAL",'2) หลักการคำนวน Table'!$D$32:$M$32,HLOOKUP(AP65,'2) หลักการคำนวน Table'!$D$1:$M$5,5,TRUE),0),
IF($C65="WS WH",VLOOKUP("GOAL",'2) หลักการคำนวน Table'!$D$62:$M$62,HLOOKUP(AP65,'2) หลักการคำนวน Table'!$D$1:$M$5,5,TRUE),0),
IF($C65="SF WH",VLOOKUP("GOAL",'2) หลักการคำนวน Table'!$D$92:$M$92,HLOOKUP(AP65,'2) หลักการคำนวน Table'!$D$1:$M$5,5,TRUE),0))))),0)</f>
        <v>0.9</v>
      </c>
      <c r="AW65" s="232">
        <f>IFERROR(IF($C65="Top WS",VLOOKUP("GOAL",'2) หลักการคำนวน Table'!$D$4:$M$4,HLOOKUP(AK65,'2) หลักการคำนวน Table'!$D$1:$M$5,5,TRUE),0),
IF($C65="WS SF",VLOOKUP("GOAL",'2) หลักการคำนวน Table'!$D$32:$M$32,HLOOKUP(AK65,'2) หลักการคำนวน Table'!$D$1:$M$5,5,TRUE),0),
IF($C65="WS WH",VLOOKUP("GOAL",'2) หลักการคำนวน Table'!$D$62:$M$62,HLOOKUP(AK65,'2) หลักการคำนวน Table'!$D$1:$M$5,5,TRUE),0),
IF($C65="SF WH",VLOOKUP("GOAL",'2) หลักการคำนวน Table'!$D$92:$M$92,HLOOKUP(AK65,'2) หลักการคำนวน Table'!$D$1:$M$5,5,TRUE),0))))),0)</f>
        <v>0.9</v>
      </c>
      <c r="AX65" s="232">
        <f>IFERROR(IF($C65="Top WS",VLOOKUP("GOAL",'2) หลักการคำนวน Table'!$D$4:$M$4,HLOOKUP(AL65,'2) หลักการคำนวน Table'!$D$1:$M$5,5,TRUE),0),
IF($C65="WS SF",VLOOKUP("GOAL",'2) หลักการคำนวน Table'!$D$32:$M$32,HLOOKUP(AL65,'2) หลักการคำนวน Table'!$D$1:$M$5,5,TRUE),0),
IF($C65="WS WH",VLOOKUP("GOAL",'2) หลักการคำนวน Table'!$D$62:$M$62,HLOOKUP(AL65,'2) หลักการคำนวน Table'!$D$1:$M$5,5,TRUE),0),
IF($C65="SF WH",VLOOKUP("GOAL",'2) หลักการคำนวน Table'!$D$92:$M$92,HLOOKUP(AL65,'2) หลักการคำนวน Table'!$D$1:$M$5,5,TRUE),0))))),0)</f>
        <v>0.9</v>
      </c>
      <c r="AY65" s="232">
        <f>IFERROR(IF($C65="Top WS",VLOOKUP("GOAL",'2) หลักการคำนวน Table'!$D$4:$M$4,HLOOKUP(AM65,'2) หลักการคำนวน Table'!$D$1:$M$5,5,TRUE),0),
IF($C65="WS SF",VLOOKUP("GOAL",'2) หลักการคำนวน Table'!$D$32:$M$32,HLOOKUP(AM65,'2) หลักการคำนวน Table'!$D$1:$M$5,5,TRUE),0),
IF($C65="WS WH",VLOOKUP("GOAL",'2) หลักการคำนวน Table'!$D$62:$M$62,HLOOKUP(AM65,'2) หลักการคำนวน Table'!$D$1:$M$5,5,TRUE),0),
IF($C65="SF WH",VLOOKUP("GOAL",'2) หลักการคำนวน Table'!$D$92:$M$92,HLOOKUP(AM65,'2) หลักการคำนวน Table'!$D$1:$M$5,5,TRUE),0))))),0)</f>
        <v>0.9</v>
      </c>
      <c r="AZ65" s="167">
        <f>IFERROR(IF($C65="Top WS",VLOOKUP($B65,'2) หลักการคำนวน Table'!$D$5:$M$20,HLOOKUP(AB65,'2) หลักการคำนวน Table'!$D$1:$M$5,5,TRUE),0),
IF($C65="WS SF",VLOOKUP($B65,'2) หลักการคำนวน Table'!$D$33:$M$48,HLOOKUP(AB65,'2) หลักการคำนวน Table'!$D$1:$M$5,5,TRUE),0),
IF($C65="WS WH",VLOOKUP($B65,'2) หลักการคำนวน Table'!$D$63:$M$78,HLOOKUP(AB65,'2) หลักการคำนวน Table'!$D$1:$M$5,5,TRUE),0),
IF($C65="SF WH",VLOOKUP($B65,'2) หลักการคำนวน Table'!$D$93:$M$108,HLOOKUP(AB65,'2) หลักการคำนวน Table'!$D$1:$M$5,5,TRUE),0))))),0)</f>
        <v>360.5</v>
      </c>
      <c r="BA65" s="167">
        <f>IFERROR(IF($C65="Top WS",VLOOKUP($B65,'2) หลักการคำนวน Table'!$D$5:$M$20,HLOOKUP(AC65,'2) หลักการคำนวน Table'!$D$1:$M$5,5,TRUE),0),
IF($C65="WS SF",VLOOKUP($B65,'2) หลักการคำนวน Table'!$D$33:$M$48,HLOOKUP(AC65,'2) หลักการคำนวน Table'!$D$1:$M$5,5,TRUE),0),
IF($C65="WS WH",VLOOKUP($B65,'2) หลักการคำนวน Table'!$D$63:$M$78,HLOOKUP(AC65,'2) หลักการคำนวน Table'!$D$1:$M$5,5,TRUE),0),
IF($C65="SF WH",VLOOKUP($B65,'2) หลักการคำนวน Table'!$D$93:$M$108,HLOOKUP(AC65,'2) หลักการคำนวน Table'!$D$1:$M$5,5,TRUE),0))))),0)</f>
        <v>315</v>
      </c>
      <c r="BB65" s="167">
        <f>IFERROR(IF($C65="Top WS",VLOOKUP($B65,'2) หลักการคำนวน Table'!$D$5:$M$20,HLOOKUP(AD65,'2) หลักการคำนวน Table'!$D$1:$M$5,5,TRUE),0),
IF($C65="WS SF",VLOOKUP($B65,'2) หลักการคำนวน Table'!$D$33:$M$48,HLOOKUP(AD65,'2) หลักการคำนวน Table'!$D$1:$M$5,5,TRUE),0),
IF($C65="WS WH",VLOOKUP($B65,'2) หลักการคำนวน Table'!$D$63:$M$78,HLOOKUP(AD65,'2) หลักการคำนวน Table'!$D$1:$M$5,5,TRUE),0),
IF($C65="SF WH",VLOOKUP($B65,'2) หลักการคำนวน Table'!$D$93:$M$108,HLOOKUP(AD65,'2) หลักการคำนวน Table'!$D$1:$M$5,5,TRUE),0))))),0)</f>
        <v>315</v>
      </c>
      <c r="BC65" s="167">
        <f>IFERROR(IF($C65="Top WS",VLOOKUP($B65,'2) หลักการคำนวน Table'!$D$5:$M$20,HLOOKUP(AE65,'2) หลักการคำนวน Table'!$D$1:$M$5,5,TRUE),0),
IF($C65="WS SF",VLOOKUP($B65,'2) หลักการคำนวน Table'!$D$33:$M$48,HLOOKUP(AE65,'2) หลักการคำนวน Table'!$D$1:$M$5,5,TRUE),0),
IF($C65="WS WH",VLOOKUP($B65,'2) หลักการคำนวน Table'!$D$63:$M$78,HLOOKUP(AE65,'2) หลักการคำนวน Table'!$D$1:$M$5,5,TRUE),0),
IF($C65="SF WH",VLOOKUP($B65,'2) หลักการคำนวน Table'!$D$93:$M$108,HLOOKUP(AE65,'2) หลักการคำนวน Table'!$D$1:$M$5,5,TRUE),0))))),0)</f>
        <v>315</v>
      </c>
      <c r="BD65" s="167">
        <f>IFERROR(IF($C65="Top WS",VLOOKUP($B65,'2) หลักการคำนวน Table'!$D$5:$M$20,HLOOKUP(AF65,'2) หลักการคำนวน Table'!$D$1:$M$5,5,TRUE),0),
IF($C65="WS SF",VLOOKUP($B65,'2) หลักการคำนวน Table'!$D$33:$M$48,HLOOKUP(AF65,'2) หลักการคำนวน Table'!$D$1:$M$5,5,TRUE),0),
IF($C65="WS WH",VLOOKUP($B65,'2) หลักการคำนวน Table'!$D$63:$M$78,HLOOKUP(AF65,'2) หลักการคำนวน Table'!$D$1:$M$5,5,TRUE),0),
IF($C65="SF WH",VLOOKUP($B65,'2) หลักการคำนวน Table'!$D$93:$M$108,HLOOKUP(AF65,'2) หลักการคำนวน Table'!$D$1:$M$5,5,TRUE),0))))),0)</f>
        <v>315</v>
      </c>
      <c r="BE65" s="167">
        <f>IFERROR(IF($C65="Top WS",VLOOKUP($B65,'2) หลักการคำนวน Table'!$D$5:$M$20,HLOOKUP(AG65,'2) หลักการคำนวน Table'!$D$1:$M$5,5,TRUE),0),
IF($C65="WS SF",VLOOKUP($B65,'2) หลักการคำนวน Table'!$D$33:$M$48,HLOOKUP(AG65,'2) หลักการคำนวน Table'!$D$1:$M$5,5,TRUE),0),
IF($C65="WS WH",VLOOKUP($B65,'2) หลักการคำนวน Table'!$D$63:$M$78,HLOOKUP(AG65,'2) หลักการคำนวน Table'!$D$1:$M$5,5,TRUE),0),
IF($C65="SF WH",VLOOKUP($B65,'2) หลักการคำนวน Table'!$D$93:$M$108,HLOOKUP(AG65,'2) หลักการคำนวน Table'!$D$1:$M$5,5,TRUE),0))))),0)</f>
        <v>315</v>
      </c>
      <c r="BF65" s="167">
        <f>IFERROR(IF($C65="Top WS",VLOOKUP($B65,'2) หลักการคำนวน Table'!$D$5:$M$20,HLOOKUP(AH65,'2) หลักการคำนวน Table'!$D$1:$M$5,5,TRUE),0),
IF($C65="WS SF",VLOOKUP($B65,'2) หลักการคำนวน Table'!$D$33:$M$48,HLOOKUP(AH65,'2) หลักการคำนวน Table'!$D$1:$M$5,5,TRUE),0),
IF($C65="WS WH",VLOOKUP($B65,'2) หลักการคำนวน Table'!$D$63:$M$78,HLOOKUP(AH65,'2) หลักการคำนวน Table'!$D$1:$M$5,5,TRUE),0),
IF($C65="SF WH",VLOOKUP($B65,'2) หลักการคำนวน Table'!$D$93:$M$108,HLOOKUP(AH65,'2) หลักการคำนวน Table'!$D$1:$M$5,5,TRUE),0))))),0)</f>
        <v>315</v>
      </c>
      <c r="BG65" s="167">
        <f>IFERROR(IF($C65="Top WS",VLOOKUP($B65,'2) หลักการคำนวน Table'!$D$5:$M$20,HLOOKUP(AI65,'2) หลักการคำนวน Table'!$D$1:$M$5,5,TRUE),0),
IF($C65="WS SF",VLOOKUP($B65,'2) หลักการคำนวน Table'!$D$33:$M$48,HLOOKUP(AI65,'2) หลักการคำนวน Table'!$D$1:$M$5,5,TRUE),0),
IF($C65="WS WH",VLOOKUP($B65,'2) หลักการคำนวน Table'!$D$63:$M$78,HLOOKUP(AI65,'2) หลักการคำนวน Table'!$D$1:$M$5,5,TRUE),0),
IF($C65="SF WH",VLOOKUP($B65,'2) หลักการคำนวน Table'!$D$93:$M$108,HLOOKUP(AI65,'2) หลักการคำนวน Table'!$D$1:$M$5,5,TRUE),0))))),0)</f>
        <v>315</v>
      </c>
      <c r="BH65" s="167">
        <f>IFERROR(IF($C65="Top WS",VLOOKUP($B65,'2) หลักการคำนวน Table'!$D$5:$M$20,HLOOKUP(AP65,'2) หลักการคำนวน Table'!$D$1:$M$5,5,TRUE),0),
IF($C65="WS SF",VLOOKUP($B65,'2) หลักการคำนวน Table'!$D$33:$M$48,HLOOKUP(AP65,'2) หลักการคำนวน Table'!$D$1:$M$5,5,TRUE),0),
IF($C65="WS WH",VLOOKUP($B65,'2) หลักการคำนวน Table'!$D$63:$M$78,HLOOKUP(AP65,'2) หลักการคำนวน Table'!$D$1:$M$5,5,TRUE),0),
IF($C65="SF WH",VLOOKUP($B65,'2) หลักการคำนวน Table'!$D$93:$M$108,HLOOKUP(AP65,'2) หลักการคำนวน Table'!$D$1:$M$5,5,TRUE),0))))),0)</f>
        <v>315</v>
      </c>
      <c r="BI65" s="167">
        <f>IFERROR(IF($C65="Top WS",VLOOKUP($B65,'2) หลักการคำนวน Table'!$D$5:$M$20,HLOOKUP(AK65,'2) หลักการคำนวน Table'!$D$1:$M$5,5,TRUE),0),
IF($C65="WS SF",VLOOKUP($B65,'2) หลักการคำนวน Table'!$D$33:$M$48,HLOOKUP(AK65,'2) หลักการคำนวน Table'!$D$1:$M$5,5,TRUE),0),
IF($C65="WS WH",VLOOKUP($B65,'2) หลักการคำนวน Table'!$D$63:$M$78,HLOOKUP(AK65,'2) หลักการคำนวน Table'!$D$1:$M$5,5,TRUE),0),
IF($C65="SF WH",VLOOKUP($B65,'2) หลักการคำนวน Table'!$D$93:$M$108,HLOOKUP(AK65,'2) หลักการคำนวน Table'!$D$1:$M$5,5,TRUE),0))))),0)</f>
        <v>315</v>
      </c>
      <c r="BJ65" s="167">
        <f>IFERROR(IF($C65="Top WS",VLOOKUP($B65,'2) หลักการคำนวน Table'!$D$5:$M$20,HLOOKUP(AL65,'2) หลักการคำนวน Table'!$D$1:$M$5,5,TRUE),0),
IF($C65="WS SF",VLOOKUP($B65,'2) หลักการคำนวน Table'!$D$33:$M$48,HLOOKUP(AL65,'2) หลักการคำนวน Table'!$D$1:$M$5,5,TRUE),0),
IF($C65="WS WH",VLOOKUP($B65,'2) หลักการคำนวน Table'!$D$63:$M$78,HLOOKUP(AL65,'2) หลักการคำนวน Table'!$D$1:$M$5,5,TRUE),0),
IF($C65="SF WH",VLOOKUP($B65,'2) หลักการคำนวน Table'!$D$93:$M$108,HLOOKUP(AL65,'2) หลักการคำนวน Table'!$D$1:$M$5,5,TRUE),0))))),0)</f>
        <v>315</v>
      </c>
      <c r="BK65" s="167">
        <f>IFERROR(IF($C65="Top WS",VLOOKUP($B65,'2) หลักการคำนวน Table'!$D$5:$M$20,HLOOKUP(AM65,'2) หลักการคำนวน Table'!$D$1:$M$5,5,TRUE),0),
IF($C65="WS SF",VLOOKUP($B65,'2) หลักการคำนวน Table'!$D$33:$M$48,HLOOKUP(AM65,'2) หลักการคำนวน Table'!$D$1:$M$5,5,TRUE),0),
IF($C65="WS WH",VLOOKUP($B65,'2) หลักการคำนวน Table'!$D$63:$M$78,HLOOKUP(AM65,'2) หลักการคำนวน Table'!$D$1:$M$5,5,TRUE),0),
IF($C65="SF WH",VLOOKUP($B65,'2) หลักการคำนวน Table'!$D$93:$M$108,HLOOKUP(AM65,'2) หลักการคำนวน Table'!$D$1:$M$5,5,TRUE),0))))),0)</f>
        <v>315</v>
      </c>
      <c r="BM65" s="119">
        <f>VLOOKUP(VLOOKUP(A65,ASTBase!E:S,13,FALSE),ASTBase!F:P,11,FALSE)</f>
        <v>140000</v>
      </c>
      <c r="BN65" s="196" cm="1">
        <f t="array" ref="BN65">INDEX(AN65:AY65,,Period!$D$2)</f>
        <v>0.9</v>
      </c>
    </row>
    <row r="66" spans="1:66" x14ac:dyDescent="0.25">
      <c r="A66" s="117">
        <v>140002</v>
      </c>
      <c r="B66" s="117" t="s">
        <v>396</v>
      </c>
      <c r="C66" s="117" t="s">
        <v>179</v>
      </c>
      <c r="D66" s="118">
        <v>28</v>
      </c>
      <c r="E66" s="118">
        <v>33</v>
      </c>
      <c r="F66" s="118">
        <v>35</v>
      </c>
      <c r="G66" s="118">
        <v>23</v>
      </c>
      <c r="H66" s="118">
        <v>31</v>
      </c>
      <c r="I66" s="118">
        <v>43</v>
      </c>
      <c r="J66" s="118">
        <v>29</v>
      </c>
      <c r="K66" s="118">
        <v>57</v>
      </c>
      <c r="L66" s="118">
        <v>51</v>
      </c>
      <c r="M66" s="118">
        <v>40</v>
      </c>
      <c r="N66" s="118">
        <v>70</v>
      </c>
      <c r="O66" s="118">
        <v>68</v>
      </c>
      <c r="P66" s="117">
        <f>SUMIFS(Actual!C:C,Actual!$A:$A,'3)Target &amp; Cal'!$A66,Actual!$B:$B,'3)Target &amp; Cal'!$B66)</f>
        <v>46.08</v>
      </c>
      <c r="Q66" s="117">
        <f>SUMIFS(Actual!D:D,Actual!$A:$A,'3)Target &amp; Cal'!$A66,Actual!$B:$B,'3)Target &amp; Cal'!$B66)</f>
        <v>57.6</v>
      </c>
      <c r="R66" s="117">
        <f>SUMIFS(Actual!E:E,Actual!$A:$A,'3)Target &amp; Cal'!$A66,Actual!$B:$B,'3)Target &amp; Cal'!$B66)</f>
        <v>0</v>
      </c>
      <c r="S66" s="117">
        <f>SUMIFS(Actual!F:F,Actual!$A:$A,'3)Target &amp; Cal'!$A66,Actual!$B:$B,'3)Target &amp; Cal'!$B66)</f>
        <v>0</v>
      </c>
      <c r="T66" s="117">
        <f>SUMIFS(Actual!G:G,Actual!$A:$A,'3)Target &amp; Cal'!$A66,Actual!$B:$B,'3)Target &amp; Cal'!$B66)</f>
        <v>0</v>
      </c>
      <c r="U66" s="117">
        <f>SUMIFS(Actual!H:H,Actual!$A:$A,'3)Target &amp; Cal'!$A66,Actual!$B:$B,'3)Target &amp; Cal'!$B66)</f>
        <v>0</v>
      </c>
      <c r="V66" s="117">
        <f>SUMIFS(Actual!I:I,Actual!$A:$A,'3)Target &amp; Cal'!$A66,Actual!$B:$B,'3)Target &amp; Cal'!$B66)</f>
        <v>0</v>
      </c>
      <c r="W66" s="117">
        <f>SUMIFS(Actual!J:J,Actual!$A:$A,'3)Target &amp; Cal'!$A66,Actual!$B:$B,'3)Target &amp; Cal'!$B66)</f>
        <v>0</v>
      </c>
      <c r="X66" s="117">
        <f>SUMIFS(Actual!K:K,Actual!$A:$A,'3)Target &amp; Cal'!$A66,Actual!$B:$B,'3)Target &amp; Cal'!$B66)</f>
        <v>0</v>
      </c>
      <c r="Y66" s="117">
        <f>SUMIFS(Actual!L:L,Actual!$A:$A,'3)Target &amp; Cal'!$A66,Actual!$B:$B,'3)Target &amp; Cal'!$B66)</f>
        <v>0</v>
      </c>
      <c r="Z66" s="117">
        <f>SUMIFS(Actual!M:M,Actual!$A:$A,'3)Target &amp; Cal'!$A66,Actual!$B:$B,'3)Target &amp; Cal'!$B66)</f>
        <v>0</v>
      </c>
      <c r="AA66" s="117">
        <f>SUMIFS(Actual!N:N,Actual!$A:$A,'3)Target &amp; Cal'!$A66,Actual!$B:$B,'3)Target &amp; Cal'!$B66)</f>
        <v>0</v>
      </c>
      <c r="AB66" s="123">
        <f>IFERROR(IF(VLOOKUP($B66,Shortage!$A:$M,AB$2,FALSE)="Shortage",1,IFERROR(ROUND(P66/D66,4),0)),IFERROR(ROUND(P66/D66,4),0))</f>
        <v>1.6456999999999999</v>
      </c>
      <c r="AC66" s="123">
        <f>IFERROR(IF(VLOOKUP($B66,Shortage!$A:$M,AC$2,FALSE)="Shortage",1,IFERROR(ROUND(Q66/E66,4),0)),IFERROR(ROUND(Q66/E66,4),0))</f>
        <v>1.7455000000000001</v>
      </c>
      <c r="AD66" s="123">
        <f>IFERROR(IF(VLOOKUP($B66,Shortage!$A:$M,AD$2,FALSE)="Shortage",1,IFERROR(ROUND(R66/F66,4),0)),IFERROR(ROUND(R66/F66,4),0))</f>
        <v>0</v>
      </c>
      <c r="AE66" s="123">
        <f>IFERROR(IF(VLOOKUP($B66,Shortage!$A:$M,AE$2,FALSE)="Shortage",1,IFERROR(ROUND(S66/G66,4),0)),IFERROR(ROUND(S66/G66,4),0))</f>
        <v>0</v>
      </c>
      <c r="AF66" s="123">
        <f>IFERROR(IF(VLOOKUP($B66,Shortage!$A:$M,AF$2,FALSE)="Shortage",1,IFERROR(ROUND(T66/H66,4),0)),IFERROR(ROUND(T66/H66,4),0))</f>
        <v>0</v>
      </c>
      <c r="AG66" s="123">
        <f>IFERROR(IF(VLOOKUP($B66,Shortage!$A:$M,AG$2,FALSE)="Shortage",1,IFERROR(ROUND(U66/I66,4),0)),IFERROR(ROUND(U66/I66,4),0))</f>
        <v>0</v>
      </c>
      <c r="AH66" s="123">
        <f>IFERROR(IF(VLOOKUP($B66,Shortage!$A:$M,AH$2,FALSE)="Shortage",1,IFERROR(ROUND(V66/J66,4),0)),IFERROR(ROUND(V66/J66,4),0))</f>
        <v>0</v>
      </c>
      <c r="AI66" s="123">
        <f>IFERROR(IF(VLOOKUP($B66,Shortage!$A:$M,AI$2,FALSE)="Shortage",1,IFERROR(ROUND(W66/K66,4),0)),IFERROR(ROUND(W66/K66,4),0))</f>
        <v>0</v>
      </c>
      <c r="AJ66" s="123">
        <f>IFERROR(IF(VLOOKUP($B66,Shortage!$A:$M,AP$2,FALSE)="Shortage",1,IFERROR(ROUND(X66/L66,4),0)),IFERROR(ROUND(X66/L66,4),0))</f>
        <v>0</v>
      </c>
      <c r="AK66" s="123">
        <f>IFERROR(IF(VLOOKUP($B66,Shortage!$A:$M,AK$2,FALSE)="Shortage",1,IFERROR(ROUND(Y66/M66,4),0)),IFERROR(ROUND(Y66/M66,4),0))</f>
        <v>0</v>
      </c>
      <c r="AL66" s="123">
        <f>IFERROR(IF(VLOOKUP($B66,Shortage!$A:$M,AL$2,FALSE)="Shortage",1,IFERROR(ROUND(Z66/N66,4),0)),IFERROR(ROUND(Z66/N66,4),0))</f>
        <v>0</v>
      </c>
      <c r="AM66" s="123">
        <f>IFERROR(IF(VLOOKUP($B66,Shortage!$A:$M,AM$2,FALSE)="Shortage",1,IFERROR(ROUND(AA66/O66,4),0)),IFERROR(ROUND(AA66/O66,4),0))</f>
        <v>0</v>
      </c>
      <c r="AN66" s="232">
        <f>IFERROR(IF($C66="Top WS",VLOOKUP("GOAL",'2) หลักการคำนวน Table'!$D$4:$M$4,HLOOKUP(AB66,'2) หลักการคำนวน Table'!$D$1:$M$5,5,TRUE),0),
IF($C66="WS SF",VLOOKUP("GOAL",'2) หลักการคำนวน Table'!$D$32:$M$32,HLOOKUP(AB66,'2) หลักการคำนวน Table'!$D$1:$M$5,5,TRUE),0),
IF($C66="WS WH",VLOOKUP("GOAL",'2) หลักการคำนวน Table'!$D$62:$M$62,HLOOKUP(AB66,'2) หลักการคำนวน Table'!$D$1:$M$5,5,TRUE),0),
IF($C66="SF WH",VLOOKUP("GOAL",'2) หลักการคำนวน Table'!$D$92:$M$92,HLOOKUP(AB66,'2) หลักการคำนวน Table'!$D$1:$M$5,5,TRUE),0))))),0)</f>
        <v>1.3</v>
      </c>
      <c r="AO66" s="232">
        <f>IFERROR(IF($C66="Top WS",VLOOKUP("GOAL",'2) หลักการคำนวน Table'!$D$4:$M$4,HLOOKUP(AC66,'2) หลักการคำนวน Table'!$D$1:$M$5,5,TRUE),0),
IF($C66="WS SF",VLOOKUP("GOAL",'2) หลักการคำนวน Table'!$D$32:$M$32,HLOOKUP(AC66,'2) หลักการคำนวน Table'!$D$1:$M$5,5,TRUE),0),
IF($C66="WS WH",VLOOKUP("GOAL",'2) หลักการคำนวน Table'!$D$62:$M$62,HLOOKUP(AC66,'2) หลักการคำนวน Table'!$D$1:$M$5,5,TRUE),0),
IF($C66="SF WH",VLOOKUP("GOAL",'2) หลักการคำนวน Table'!$D$92:$M$92,HLOOKUP(AC66,'2) หลักการคำนวน Table'!$D$1:$M$5,5,TRUE),0))))),0)</f>
        <v>1.3</v>
      </c>
      <c r="AP66" s="232">
        <f>IFERROR(IF($C66="Top WS",VLOOKUP("GOAL",'2) หลักการคำนวน Table'!$D$4:$M$4,HLOOKUP(AD66,'2) หลักการคำนวน Table'!$D$1:$M$5,5,TRUE),0),
IF($C66="WS SF",VLOOKUP("GOAL",'2) หลักการคำนวน Table'!$D$32:$M$32,HLOOKUP(AD66,'2) หลักการคำนวน Table'!$D$1:$M$5,5,TRUE),0),
IF($C66="WS WH",VLOOKUP("GOAL",'2) หลักการคำนวน Table'!$D$62:$M$62,HLOOKUP(AD66,'2) หลักการคำนวน Table'!$D$1:$M$5,5,TRUE),0),
IF($C66="SF WH",VLOOKUP("GOAL",'2) หลักการคำนวน Table'!$D$92:$M$92,HLOOKUP(AD66,'2) หลักการคำนวน Table'!$D$1:$M$5,5,TRUE),0))))),0)</f>
        <v>0.9</v>
      </c>
      <c r="AQ66" s="232">
        <f>IFERROR(IF($C66="Top WS",VLOOKUP("GOAL",'2) หลักการคำนวน Table'!$D$4:$M$4,HLOOKUP(AE66,'2) หลักการคำนวน Table'!$D$1:$M$5,5,TRUE),0),
IF($C66="WS SF",VLOOKUP("GOAL",'2) หลักการคำนวน Table'!$D$32:$M$32,HLOOKUP(AE66,'2) หลักการคำนวน Table'!$D$1:$M$5,5,TRUE),0),
IF($C66="WS WH",VLOOKUP("GOAL",'2) หลักการคำนวน Table'!$D$62:$M$62,HLOOKUP(AE66,'2) หลักการคำนวน Table'!$D$1:$M$5,5,TRUE),0),
IF($C66="SF WH",VLOOKUP("GOAL",'2) หลักการคำนวน Table'!$D$92:$M$92,HLOOKUP(AE66,'2) หลักการคำนวน Table'!$D$1:$M$5,5,TRUE),0))))),0)</f>
        <v>0.9</v>
      </c>
      <c r="AR66" s="232">
        <f>IFERROR(IF($C66="Top WS",VLOOKUP("GOAL",'2) หลักการคำนวน Table'!$D$4:$M$4,HLOOKUP(AF66,'2) หลักการคำนวน Table'!$D$1:$M$5,5,TRUE),0),
IF($C66="WS SF",VLOOKUP("GOAL",'2) หลักการคำนวน Table'!$D$32:$M$32,HLOOKUP(AF66,'2) หลักการคำนวน Table'!$D$1:$M$5,5,TRUE),0),
IF($C66="WS WH",VLOOKUP("GOAL",'2) หลักการคำนวน Table'!$D$62:$M$62,HLOOKUP(AF66,'2) หลักการคำนวน Table'!$D$1:$M$5,5,TRUE),0),
IF($C66="SF WH",VLOOKUP("GOAL",'2) หลักการคำนวน Table'!$D$92:$M$92,HLOOKUP(AF66,'2) หลักการคำนวน Table'!$D$1:$M$5,5,TRUE),0))))),0)</f>
        <v>0.9</v>
      </c>
      <c r="AS66" s="232">
        <f>IFERROR(IF($C66="Top WS",VLOOKUP("GOAL",'2) หลักการคำนวน Table'!$D$4:$M$4,HLOOKUP(AG66,'2) หลักการคำนวน Table'!$D$1:$M$5,5,TRUE),0),
IF($C66="WS SF",VLOOKUP("GOAL",'2) หลักการคำนวน Table'!$D$32:$M$32,HLOOKUP(AG66,'2) หลักการคำนวน Table'!$D$1:$M$5,5,TRUE),0),
IF($C66="WS WH",VLOOKUP("GOAL",'2) หลักการคำนวน Table'!$D$62:$M$62,HLOOKUP(AG66,'2) หลักการคำนวน Table'!$D$1:$M$5,5,TRUE),0),
IF($C66="SF WH",VLOOKUP("GOAL",'2) หลักการคำนวน Table'!$D$92:$M$92,HLOOKUP(AG66,'2) หลักการคำนวน Table'!$D$1:$M$5,5,TRUE),0))))),0)</f>
        <v>0.9</v>
      </c>
      <c r="AT66" s="232">
        <f>IFERROR(IF($C66="Top WS",VLOOKUP("GOAL",'2) หลักการคำนวน Table'!$D$4:$M$4,HLOOKUP(AH66,'2) หลักการคำนวน Table'!$D$1:$M$5,5,TRUE),0),
IF($C66="WS SF",VLOOKUP("GOAL",'2) หลักการคำนวน Table'!$D$32:$M$32,HLOOKUP(AH66,'2) หลักการคำนวน Table'!$D$1:$M$5,5,TRUE),0),
IF($C66="WS WH",VLOOKUP("GOAL",'2) หลักการคำนวน Table'!$D$62:$M$62,HLOOKUP(AH66,'2) หลักการคำนวน Table'!$D$1:$M$5,5,TRUE),0),
IF($C66="SF WH",VLOOKUP("GOAL",'2) หลักการคำนวน Table'!$D$92:$M$92,HLOOKUP(AH66,'2) หลักการคำนวน Table'!$D$1:$M$5,5,TRUE),0))))),0)</f>
        <v>0.9</v>
      </c>
      <c r="AU66" s="232">
        <f>IFERROR(IF($C66="Top WS",VLOOKUP("GOAL",'2) หลักการคำนวน Table'!$D$4:$M$4,HLOOKUP(AI66,'2) หลักการคำนวน Table'!$D$1:$M$5,5,TRUE),0),
IF($C66="WS SF",VLOOKUP("GOAL",'2) หลักการคำนวน Table'!$D$32:$M$32,HLOOKUP(AI66,'2) หลักการคำนวน Table'!$D$1:$M$5,5,TRUE),0),
IF($C66="WS WH",VLOOKUP("GOAL",'2) หลักการคำนวน Table'!$D$62:$M$62,HLOOKUP(AI66,'2) หลักการคำนวน Table'!$D$1:$M$5,5,TRUE),0),
IF($C66="SF WH",VLOOKUP("GOAL",'2) หลักการคำนวน Table'!$D$92:$M$92,HLOOKUP(AI66,'2) หลักการคำนวน Table'!$D$1:$M$5,5,TRUE),0))))),0)</f>
        <v>0.9</v>
      </c>
      <c r="AV66" s="232">
        <f>IFERROR(IF($C66="Top WS",VLOOKUP("GOAL",'2) หลักการคำนวน Table'!$D$4:$M$4,HLOOKUP(AP66,'2) หลักการคำนวน Table'!$D$1:$M$5,5,TRUE),0),
IF($C66="WS SF",VLOOKUP("GOAL",'2) หลักการคำนวน Table'!$D$32:$M$32,HLOOKUP(AP66,'2) หลักการคำนวน Table'!$D$1:$M$5,5,TRUE),0),
IF($C66="WS WH",VLOOKUP("GOAL",'2) หลักการคำนวน Table'!$D$62:$M$62,HLOOKUP(AP66,'2) หลักการคำนวน Table'!$D$1:$M$5,5,TRUE),0),
IF($C66="SF WH",VLOOKUP("GOAL",'2) หลักการคำนวน Table'!$D$92:$M$92,HLOOKUP(AP66,'2) หลักการคำนวน Table'!$D$1:$M$5,5,TRUE),0))))),0)</f>
        <v>0.9</v>
      </c>
      <c r="AW66" s="232">
        <f>IFERROR(IF($C66="Top WS",VLOOKUP("GOAL",'2) หลักการคำนวน Table'!$D$4:$M$4,HLOOKUP(AK66,'2) หลักการคำนวน Table'!$D$1:$M$5,5,TRUE),0),
IF($C66="WS SF",VLOOKUP("GOAL",'2) หลักการคำนวน Table'!$D$32:$M$32,HLOOKUP(AK66,'2) หลักการคำนวน Table'!$D$1:$M$5,5,TRUE),0),
IF($C66="WS WH",VLOOKUP("GOAL",'2) หลักการคำนวน Table'!$D$62:$M$62,HLOOKUP(AK66,'2) หลักการคำนวน Table'!$D$1:$M$5,5,TRUE),0),
IF($C66="SF WH",VLOOKUP("GOAL",'2) หลักการคำนวน Table'!$D$92:$M$92,HLOOKUP(AK66,'2) หลักการคำนวน Table'!$D$1:$M$5,5,TRUE),0))))),0)</f>
        <v>0.9</v>
      </c>
      <c r="AX66" s="232">
        <f>IFERROR(IF($C66="Top WS",VLOOKUP("GOAL",'2) หลักการคำนวน Table'!$D$4:$M$4,HLOOKUP(AL66,'2) หลักการคำนวน Table'!$D$1:$M$5,5,TRUE),0),
IF($C66="WS SF",VLOOKUP("GOAL",'2) หลักการคำนวน Table'!$D$32:$M$32,HLOOKUP(AL66,'2) หลักการคำนวน Table'!$D$1:$M$5,5,TRUE),0),
IF($C66="WS WH",VLOOKUP("GOAL",'2) หลักการคำนวน Table'!$D$62:$M$62,HLOOKUP(AL66,'2) หลักการคำนวน Table'!$D$1:$M$5,5,TRUE),0),
IF($C66="SF WH",VLOOKUP("GOAL",'2) หลักการคำนวน Table'!$D$92:$M$92,HLOOKUP(AL66,'2) หลักการคำนวน Table'!$D$1:$M$5,5,TRUE),0))))),0)</f>
        <v>0.9</v>
      </c>
      <c r="AY66" s="232">
        <f>IFERROR(IF($C66="Top WS",VLOOKUP("GOAL",'2) หลักการคำนวน Table'!$D$4:$M$4,HLOOKUP(AM66,'2) หลักการคำนวน Table'!$D$1:$M$5,5,TRUE),0),
IF($C66="WS SF",VLOOKUP("GOAL",'2) หลักการคำนวน Table'!$D$32:$M$32,HLOOKUP(AM66,'2) หลักการคำนวน Table'!$D$1:$M$5,5,TRUE),0),
IF($C66="WS WH",VLOOKUP("GOAL",'2) หลักการคำนวน Table'!$D$62:$M$62,HLOOKUP(AM66,'2) หลักการคำนวน Table'!$D$1:$M$5,5,TRUE),0),
IF($C66="SF WH",VLOOKUP("GOAL",'2) หลักการคำนวน Table'!$D$92:$M$92,HLOOKUP(AM66,'2) หลักการคำนวน Table'!$D$1:$M$5,5,TRUE),0))))),0)</f>
        <v>0.9</v>
      </c>
      <c r="AZ66" s="167">
        <f>IFERROR(IF($C66="Top WS",VLOOKUP($B66,'2) หลักการคำนวน Table'!$D$5:$M$20,HLOOKUP(AB66,'2) หลักการคำนวน Table'!$D$1:$M$5,5,TRUE),0),
IF($C66="WS SF",VLOOKUP($B66,'2) หลักการคำนวน Table'!$D$33:$M$48,HLOOKUP(AB66,'2) หลักการคำนวน Table'!$D$1:$M$5,5,TRUE),0),
IF($C66="WS WH",VLOOKUP($B66,'2) หลักการคำนวน Table'!$D$63:$M$78,HLOOKUP(AB66,'2) หลักการคำนวน Table'!$D$1:$M$5,5,TRUE),0),
IF($C66="SF WH",VLOOKUP($B66,'2) หลักการคำนวน Table'!$D$93:$M$108,HLOOKUP(AB66,'2) หลักการคำนวน Table'!$D$1:$M$5,5,TRUE),0))))),0)</f>
        <v>455</v>
      </c>
      <c r="BA66" s="167">
        <f>IFERROR(IF($C66="Top WS",VLOOKUP($B66,'2) หลักการคำนวน Table'!$D$5:$M$20,HLOOKUP(AC66,'2) หลักการคำนวน Table'!$D$1:$M$5,5,TRUE),0),
IF($C66="WS SF",VLOOKUP($B66,'2) หลักการคำนวน Table'!$D$33:$M$48,HLOOKUP(AC66,'2) หลักการคำนวน Table'!$D$1:$M$5,5,TRUE),0),
IF($C66="WS WH",VLOOKUP($B66,'2) หลักการคำนวน Table'!$D$63:$M$78,HLOOKUP(AC66,'2) หลักการคำนวน Table'!$D$1:$M$5,5,TRUE),0),
IF($C66="SF WH",VLOOKUP($B66,'2) หลักการคำนวน Table'!$D$93:$M$108,HLOOKUP(AC66,'2) หลักการคำนวน Table'!$D$1:$M$5,5,TRUE),0))))),0)</f>
        <v>455</v>
      </c>
      <c r="BB66" s="167">
        <f>IFERROR(IF($C66="Top WS",VLOOKUP($B66,'2) หลักการคำนวน Table'!$D$5:$M$20,HLOOKUP(AD66,'2) หลักการคำนวน Table'!$D$1:$M$5,5,TRUE),0),
IF($C66="WS SF",VLOOKUP($B66,'2) หลักการคำนวน Table'!$D$33:$M$48,HLOOKUP(AD66,'2) หลักการคำนวน Table'!$D$1:$M$5,5,TRUE),0),
IF($C66="WS WH",VLOOKUP($B66,'2) หลักการคำนวน Table'!$D$63:$M$78,HLOOKUP(AD66,'2) หลักการคำนวน Table'!$D$1:$M$5,5,TRUE),0),
IF($C66="SF WH",VLOOKUP($B66,'2) หลักการคำนวน Table'!$D$93:$M$108,HLOOKUP(AD66,'2) หลักการคำนวน Table'!$D$1:$M$5,5,TRUE),0))))),0)</f>
        <v>315</v>
      </c>
      <c r="BC66" s="167">
        <f>IFERROR(IF($C66="Top WS",VLOOKUP($B66,'2) หลักการคำนวน Table'!$D$5:$M$20,HLOOKUP(AE66,'2) หลักการคำนวน Table'!$D$1:$M$5,5,TRUE),0),
IF($C66="WS SF",VLOOKUP($B66,'2) หลักการคำนวน Table'!$D$33:$M$48,HLOOKUP(AE66,'2) หลักการคำนวน Table'!$D$1:$M$5,5,TRUE),0),
IF($C66="WS WH",VLOOKUP($B66,'2) หลักการคำนวน Table'!$D$63:$M$78,HLOOKUP(AE66,'2) หลักการคำนวน Table'!$D$1:$M$5,5,TRUE),0),
IF($C66="SF WH",VLOOKUP($B66,'2) หลักการคำนวน Table'!$D$93:$M$108,HLOOKUP(AE66,'2) หลักการคำนวน Table'!$D$1:$M$5,5,TRUE),0))))),0)</f>
        <v>315</v>
      </c>
      <c r="BD66" s="167">
        <f>IFERROR(IF($C66="Top WS",VLOOKUP($B66,'2) หลักการคำนวน Table'!$D$5:$M$20,HLOOKUP(AF66,'2) หลักการคำนวน Table'!$D$1:$M$5,5,TRUE),0),
IF($C66="WS SF",VLOOKUP($B66,'2) หลักการคำนวน Table'!$D$33:$M$48,HLOOKUP(AF66,'2) หลักการคำนวน Table'!$D$1:$M$5,5,TRUE),0),
IF($C66="WS WH",VLOOKUP($B66,'2) หลักการคำนวน Table'!$D$63:$M$78,HLOOKUP(AF66,'2) หลักการคำนวน Table'!$D$1:$M$5,5,TRUE),0),
IF($C66="SF WH",VLOOKUP($B66,'2) หลักการคำนวน Table'!$D$93:$M$108,HLOOKUP(AF66,'2) หลักการคำนวน Table'!$D$1:$M$5,5,TRUE),0))))),0)</f>
        <v>315</v>
      </c>
      <c r="BE66" s="167">
        <f>IFERROR(IF($C66="Top WS",VLOOKUP($B66,'2) หลักการคำนวน Table'!$D$5:$M$20,HLOOKUP(AG66,'2) หลักการคำนวน Table'!$D$1:$M$5,5,TRUE),0),
IF($C66="WS SF",VLOOKUP($B66,'2) หลักการคำนวน Table'!$D$33:$M$48,HLOOKUP(AG66,'2) หลักการคำนวน Table'!$D$1:$M$5,5,TRUE),0),
IF($C66="WS WH",VLOOKUP($B66,'2) หลักการคำนวน Table'!$D$63:$M$78,HLOOKUP(AG66,'2) หลักการคำนวน Table'!$D$1:$M$5,5,TRUE),0),
IF($C66="SF WH",VLOOKUP($B66,'2) หลักการคำนวน Table'!$D$93:$M$108,HLOOKUP(AG66,'2) หลักการคำนวน Table'!$D$1:$M$5,5,TRUE),0))))),0)</f>
        <v>315</v>
      </c>
      <c r="BF66" s="167">
        <f>IFERROR(IF($C66="Top WS",VLOOKUP($B66,'2) หลักการคำนวน Table'!$D$5:$M$20,HLOOKUP(AH66,'2) หลักการคำนวน Table'!$D$1:$M$5,5,TRUE),0),
IF($C66="WS SF",VLOOKUP($B66,'2) หลักการคำนวน Table'!$D$33:$M$48,HLOOKUP(AH66,'2) หลักการคำนวน Table'!$D$1:$M$5,5,TRUE),0),
IF($C66="WS WH",VLOOKUP($B66,'2) หลักการคำนวน Table'!$D$63:$M$78,HLOOKUP(AH66,'2) หลักการคำนวน Table'!$D$1:$M$5,5,TRUE),0),
IF($C66="SF WH",VLOOKUP($B66,'2) หลักการคำนวน Table'!$D$93:$M$108,HLOOKUP(AH66,'2) หลักการคำนวน Table'!$D$1:$M$5,5,TRUE),0))))),0)</f>
        <v>315</v>
      </c>
      <c r="BG66" s="167">
        <f>IFERROR(IF($C66="Top WS",VLOOKUP($B66,'2) หลักการคำนวน Table'!$D$5:$M$20,HLOOKUP(AI66,'2) หลักการคำนวน Table'!$D$1:$M$5,5,TRUE),0),
IF($C66="WS SF",VLOOKUP($B66,'2) หลักการคำนวน Table'!$D$33:$M$48,HLOOKUP(AI66,'2) หลักการคำนวน Table'!$D$1:$M$5,5,TRUE),0),
IF($C66="WS WH",VLOOKUP($B66,'2) หลักการคำนวน Table'!$D$63:$M$78,HLOOKUP(AI66,'2) หลักการคำนวน Table'!$D$1:$M$5,5,TRUE),0),
IF($C66="SF WH",VLOOKUP($B66,'2) หลักการคำนวน Table'!$D$93:$M$108,HLOOKUP(AI66,'2) หลักการคำนวน Table'!$D$1:$M$5,5,TRUE),0))))),0)</f>
        <v>315</v>
      </c>
      <c r="BH66" s="167">
        <f>IFERROR(IF($C66="Top WS",VLOOKUP($B66,'2) หลักการคำนวน Table'!$D$5:$M$20,HLOOKUP(AP66,'2) หลักการคำนวน Table'!$D$1:$M$5,5,TRUE),0),
IF($C66="WS SF",VLOOKUP($B66,'2) หลักการคำนวน Table'!$D$33:$M$48,HLOOKUP(AP66,'2) หลักการคำนวน Table'!$D$1:$M$5,5,TRUE),0),
IF($C66="WS WH",VLOOKUP($B66,'2) หลักการคำนวน Table'!$D$63:$M$78,HLOOKUP(AP66,'2) หลักการคำนวน Table'!$D$1:$M$5,5,TRUE),0),
IF($C66="SF WH",VLOOKUP($B66,'2) หลักการคำนวน Table'!$D$93:$M$108,HLOOKUP(AP66,'2) หลักการคำนวน Table'!$D$1:$M$5,5,TRUE),0))))),0)</f>
        <v>315</v>
      </c>
      <c r="BI66" s="167">
        <f>IFERROR(IF($C66="Top WS",VLOOKUP($B66,'2) หลักการคำนวน Table'!$D$5:$M$20,HLOOKUP(AK66,'2) หลักการคำนวน Table'!$D$1:$M$5,5,TRUE),0),
IF($C66="WS SF",VLOOKUP($B66,'2) หลักการคำนวน Table'!$D$33:$M$48,HLOOKUP(AK66,'2) หลักการคำนวน Table'!$D$1:$M$5,5,TRUE),0),
IF($C66="WS WH",VLOOKUP($B66,'2) หลักการคำนวน Table'!$D$63:$M$78,HLOOKUP(AK66,'2) หลักการคำนวน Table'!$D$1:$M$5,5,TRUE),0),
IF($C66="SF WH",VLOOKUP($B66,'2) หลักการคำนวน Table'!$D$93:$M$108,HLOOKUP(AK66,'2) หลักการคำนวน Table'!$D$1:$M$5,5,TRUE),0))))),0)</f>
        <v>315</v>
      </c>
      <c r="BJ66" s="167">
        <f>IFERROR(IF($C66="Top WS",VLOOKUP($B66,'2) หลักการคำนวน Table'!$D$5:$M$20,HLOOKUP(AL66,'2) หลักการคำนวน Table'!$D$1:$M$5,5,TRUE),0),
IF($C66="WS SF",VLOOKUP($B66,'2) หลักการคำนวน Table'!$D$33:$M$48,HLOOKUP(AL66,'2) หลักการคำนวน Table'!$D$1:$M$5,5,TRUE),0),
IF($C66="WS WH",VLOOKUP($B66,'2) หลักการคำนวน Table'!$D$63:$M$78,HLOOKUP(AL66,'2) หลักการคำนวน Table'!$D$1:$M$5,5,TRUE),0),
IF($C66="SF WH",VLOOKUP($B66,'2) หลักการคำนวน Table'!$D$93:$M$108,HLOOKUP(AL66,'2) หลักการคำนวน Table'!$D$1:$M$5,5,TRUE),0))))),0)</f>
        <v>315</v>
      </c>
      <c r="BK66" s="167">
        <f>IFERROR(IF($C66="Top WS",VLOOKUP($B66,'2) หลักการคำนวน Table'!$D$5:$M$20,HLOOKUP(AM66,'2) หลักการคำนวน Table'!$D$1:$M$5,5,TRUE),0),
IF($C66="WS SF",VLOOKUP($B66,'2) หลักการคำนวน Table'!$D$33:$M$48,HLOOKUP(AM66,'2) หลักการคำนวน Table'!$D$1:$M$5,5,TRUE),0),
IF($C66="WS WH",VLOOKUP($B66,'2) หลักการคำนวน Table'!$D$63:$M$78,HLOOKUP(AM66,'2) หลักการคำนวน Table'!$D$1:$M$5,5,TRUE),0),
IF($C66="SF WH",VLOOKUP($B66,'2) หลักการคำนวน Table'!$D$93:$M$108,HLOOKUP(AM66,'2) หลักการคำนวน Table'!$D$1:$M$5,5,TRUE),0))))),0)</f>
        <v>315</v>
      </c>
      <c r="BM66" s="119">
        <f>VLOOKUP(VLOOKUP(A66,ASTBase!E:S,13,FALSE),ASTBase!F:P,11,FALSE)</f>
        <v>140000</v>
      </c>
      <c r="BN66" s="196" cm="1">
        <f t="array" ref="BN66">INDEX(AN66:AY66,,Period!$D$2)</f>
        <v>1.3</v>
      </c>
    </row>
    <row r="67" spans="1:66" x14ac:dyDescent="0.25">
      <c r="A67" s="117">
        <v>140002</v>
      </c>
      <c r="B67" s="117" t="s">
        <v>394</v>
      </c>
      <c r="C67" s="117" t="s">
        <v>179</v>
      </c>
      <c r="D67" s="118">
        <v>110</v>
      </c>
      <c r="E67" s="118">
        <v>163</v>
      </c>
      <c r="F67" s="118">
        <v>88</v>
      </c>
      <c r="G67" s="118">
        <v>31</v>
      </c>
      <c r="H67" s="118">
        <v>2</v>
      </c>
      <c r="I67" s="118">
        <v>144</v>
      </c>
      <c r="J67" s="118">
        <v>130</v>
      </c>
      <c r="K67" s="118">
        <v>203</v>
      </c>
      <c r="L67" s="118">
        <v>144</v>
      </c>
      <c r="M67" s="118">
        <v>127</v>
      </c>
      <c r="N67" s="118">
        <v>139</v>
      </c>
      <c r="O67" s="118">
        <v>140</v>
      </c>
      <c r="P67" s="117">
        <f>SUMIFS(Actual!C:C,Actual!$A:$A,'3)Target &amp; Cal'!$A67,Actual!$B:$B,'3)Target &amp; Cal'!$B67)</f>
        <v>81</v>
      </c>
      <c r="Q67" s="117">
        <f>SUMIFS(Actual!D:D,Actual!$A:$A,'3)Target &amp; Cal'!$A67,Actual!$B:$B,'3)Target &amp; Cal'!$B67)</f>
        <v>248.40000000000003</v>
      </c>
      <c r="R67" s="117">
        <f>SUMIFS(Actual!E:E,Actual!$A:$A,'3)Target &amp; Cal'!$A67,Actual!$B:$B,'3)Target &amp; Cal'!$B67)</f>
        <v>0</v>
      </c>
      <c r="S67" s="117">
        <f>SUMIFS(Actual!F:F,Actual!$A:$A,'3)Target &amp; Cal'!$A67,Actual!$B:$B,'3)Target &amp; Cal'!$B67)</f>
        <v>0</v>
      </c>
      <c r="T67" s="117">
        <f>SUMIFS(Actual!G:G,Actual!$A:$A,'3)Target &amp; Cal'!$A67,Actual!$B:$B,'3)Target &amp; Cal'!$B67)</f>
        <v>0</v>
      </c>
      <c r="U67" s="117">
        <f>SUMIFS(Actual!H:H,Actual!$A:$A,'3)Target &amp; Cal'!$A67,Actual!$B:$B,'3)Target &amp; Cal'!$B67)</f>
        <v>0</v>
      </c>
      <c r="V67" s="117">
        <f>SUMIFS(Actual!I:I,Actual!$A:$A,'3)Target &amp; Cal'!$A67,Actual!$B:$B,'3)Target &amp; Cal'!$B67)</f>
        <v>0</v>
      </c>
      <c r="W67" s="117">
        <f>SUMIFS(Actual!J:J,Actual!$A:$A,'3)Target &amp; Cal'!$A67,Actual!$B:$B,'3)Target &amp; Cal'!$B67)</f>
        <v>0</v>
      </c>
      <c r="X67" s="117">
        <f>SUMIFS(Actual!K:K,Actual!$A:$A,'3)Target &amp; Cal'!$A67,Actual!$B:$B,'3)Target &amp; Cal'!$B67)</f>
        <v>0</v>
      </c>
      <c r="Y67" s="117">
        <f>SUMIFS(Actual!L:L,Actual!$A:$A,'3)Target &amp; Cal'!$A67,Actual!$B:$B,'3)Target &amp; Cal'!$B67)</f>
        <v>0</v>
      </c>
      <c r="Z67" s="117">
        <f>SUMIFS(Actual!M:M,Actual!$A:$A,'3)Target &amp; Cal'!$A67,Actual!$B:$B,'3)Target &amp; Cal'!$B67)</f>
        <v>0</v>
      </c>
      <c r="AA67" s="117">
        <f>SUMIFS(Actual!N:N,Actual!$A:$A,'3)Target &amp; Cal'!$A67,Actual!$B:$B,'3)Target &amp; Cal'!$B67)</f>
        <v>0</v>
      </c>
      <c r="AB67" s="123">
        <f>IFERROR(IF(VLOOKUP($B67,Shortage!$A:$M,AB$2,FALSE)="Shortage",1,IFERROR(ROUND(P67/D67,4),0)),IFERROR(ROUND(P67/D67,4),0))</f>
        <v>0.73640000000000005</v>
      </c>
      <c r="AC67" s="123">
        <f>IFERROR(IF(VLOOKUP($B67,Shortage!$A:$M,AC$2,FALSE)="Shortage",1,IFERROR(ROUND(Q67/E67,4),0)),IFERROR(ROUND(Q67/E67,4),0))</f>
        <v>1.5239</v>
      </c>
      <c r="AD67" s="123">
        <f>IFERROR(IF(VLOOKUP($B67,Shortage!$A:$M,AD$2,FALSE)="Shortage",1,IFERROR(ROUND(R67/F67,4),0)),IFERROR(ROUND(R67/F67,4),0))</f>
        <v>0</v>
      </c>
      <c r="AE67" s="123">
        <f>IFERROR(IF(VLOOKUP($B67,Shortage!$A:$M,AE$2,FALSE)="Shortage",1,IFERROR(ROUND(S67/G67,4),0)),IFERROR(ROUND(S67/G67,4),0))</f>
        <v>0</v>
      </c>
      <c r="AF67" s="123">
        <f>IFERROR(IF(VLOOKUP($B67,Shortage!$A:$M,AF$2,FALSE)="Shortage",1,IFERROR(ROUND(T67/H67,4),0)),IFERROR(ROUND(T67/H67,4),0))</f>
        <v>0</v>
      </c>
      <c r="AG67" s="123">
        <f>IFERROR(IF(VLOOKUP($B67,Shortage!$A:$M,AG$2,FALSE)="Shortage",1,IFERROR(ROUND(U67/I67,4),0)),IFERROR(ROUND(U67/I67,4),0))</f>
        <v>0</v>
      </c>
      <c r="AH67" s="123">
        <f>IFERROR(IF(VLOOKUP($B67,Shortage!$A:$M,AH$2,FALSE)="Shortage",1,IFERROR(ROUND(V67/J67,4),0)),IFERROR(ROUND(V67/J67,4),0))</f>
        <v>0</v>
      </c>
      <c r="AI67" s="123">
        <f>IFERROR(IF(VLOOKUP($B67,Shortage!$A:$M,AI$2,FALSE)="Shortage",1,IFERROR(ROUND(W67/K67,4),0)),IFERROR(ROUND(W67/K67,4),0))</f>
        <v>0</v>
      </c>
      <c r="AJ67" s="123">
        <f>IFERROR(IF(VLOOKUP($B67,Shortage!$A:$M,AP$2,FALSE)="Shortage",1,IFERROR(ROUND(X67/L67,4),0)),IFERROR(ROUND(X67/L67,4),0))</f>
        <v>0</v>
      </c>
      <c r="AK67" s="123">
        <f>IFERROR(IF(VLOOKUP($B67,Shortage!$A:$M,AK$2,FALSE)="Shortage",1,IFERROR(ROUND(Y67/M67,4),0)),IFERROR(ROUND(Y67/M67,4),0))</f>
        <v>0</v>
      </c>
      <c r="AL67" s="123">
        <f>IFERROR(IF(VLOOKUP($B67,Shortage!$A:$M,AL$2,FALSE)="Shortage",1,IFERROR(ROUND(Z67/N67,4),0)),IFERROR(ROUND(Z67/N67,4),0))</f>
        <v>0</v>
      </c>
      <c r="AM67" s="123">
        <f>IFERROR(IF(VLOOKUP($B67,Shortage!$A:$M,AM$2,FALSE)="Shortage",1,IFERROR(ROUND(AA67/O67,4),0)),IFERROR(ROUND(AA67/O67,4),0))</f>
        <v>0</v>
      </c>
      <c r="AN67" s="232">
        <f>IFERROR(IF($C67="Top WS",VLOOKUP("GOAL",'2) หลักการคำนวน Table'!$D$4:$M$4,HLOOKUP(AB67,'2) หลักการคำนวน Table'!$D$1:$M$5,5,TRUE),0),
IF($C67="WS SF",VLOOKUP("GOAL",'2) หลักการคำนวน Table'!$D$32:$M$32,HLOOKUP(AB67,'2) หลักการคำนวน Table'!$D$1:$M$5,5,TRUE),0),
IF($C67="WS WH",VLOOKUP("GOAL",'2) หลักการคำนวน Table'!$D$62:$M$62,HLOOKUP(AB67,'2) หลักการคำนวน Table'!$D$1:$M$5,5,TRUE),0),
IF($C67="SF WH",VLOOKUP("GOAL",'2) หลักการคำนวน Table'!$D$92:$M$92,HLOOKUP(AB67,'2) หลักการคำนวน Table'!$D$1:$M$5,5,TRUE),0))))),0)</f>
        <v>0.9</v>
      </c>
      <c r="AO67" s="232">
        <f>IFERROR(IF($C67="Top WS",VLOOKUP("GOAL",'2) หลักการคำนวน Table'!$D$4:$M$4,HLOOKUP(AC67,'2) หลักการคำนวน Table'!$D$1:$M$5,5,TRUE),0),
IF($C67="WS SF",VLOOKUP("GOAL",'2) หลักการคำนวน Table'!$D$32:$M$32,HLOOKUP(AC67,'2) หลักการคำนวน Table'!$D$1:$M$5,5,TRUE),0),
IF($C67="WS WH",VLOOKUP("GOAL",'2) หลักการคำนวน Table'!$D$62:$M$62,HLOOKUP(AC67,'2) หลักการคำนวน Table'!$D$1:$M$5,5,TRUE),0),
IF($C67="SF WH",VLOOKUP("GOAL",'2) หลักการคำนวน Table'!$D$92:$M$92,HLOOKUP(AC67,'2) หลักการคำนวน Table'!$D$1:$M$5,5,TRUE),0))))),0)</f>
        <v>1.3</v>
      </c>
      <c r="AP67" s="232">
        <f>IFERROR(IF($C67="Top WS",VLOOKUP("GOAL",'2) หลักการคำนวน Table'!$D$4:$M$4,HLOOKUP(AD67,'2) หลักการคำนวน Table'!$D$1:$M$5,5,TRUE),0),
IF($C67="WS SF",VLOOKUP("GOAL",'2) หลักการคำนวน Table'!$D$32:$M$32,HLOOKUP(AD67,'2) หลักการคำนวน Table'!$D$1:$M$5,5,TRUE),0),
IF($C67="WS WH",VLOOKUP("GOAL",'2) หลักการคำนวน Table'!$D$62:$M$62,HLOOKUP(AD67,'2) หลักการคำนวน Table'!$D$1:$M$5,5,TRUE),0),
IF($C67="SF WH",VLOOKUP("GOAL",'2) หลักการคำนวน Table'!$D$92:$M$92,HLOOKUP(AD67,'2) หลักการคำนวน Table'!$D$1:$M$5,5,TRUE),0))))),0)</f>
        <v>0.9</v>
      </c>
      <c r="AQ67" s="232">
        <f>IFERROR(IF($C67="Top WS",VLOOKUP("GOAL",'2) หลักการคำนวน Table'!$D$4:$M$4,HLOOKUP(AE67,'2) หลักการคำนวน Table'!$D$1:$M$5,5,TRUE),0),
IF($C67="WS SF",VLOOKUP("GOAL",'2) หลักการคำนวน Table'!$D$32:$M$32,HLOOKUP(AE67,'2) หลักการคำนวน Table'!$D$1:$M$5,5,TRUE),0),
IF($C67="WS WH",VLOOKUP("GOAL",'2) หลักการคำนวน Table'!$D$62:$M$62,HLOOKUP(AE67,'2) หลักการคำนวน Table'!$D$1:$M$5,5,TRUE),0),
IF($C67="SF WH",VLOOKUP("GOAL",'2) หลักการคำนวน Table'!$D$92:$M$92,HLOOKUP(AE67,'2) หลักการคำนวน Table'!$D$1:$M$5,5,TRUE),0))))),0)</f>
        <v>0.9</v>
      </c>
      <c r="AR67" s="232">
        <f>IFERROR(IF($C67="Top WS",VLOOKUP("GOAL",'2) หลักการคำนวน Table'!$D$4:$M$4,HLOOKUP(AF67,'2) หลักการคำนวน Table'!$D$1:$M$5,5,TRUE),0),
IF($C67="WS SF",VLOOKUP("GOAL",'2) หลักการคำนวน Table'!$D$32:$M$32,HLOOKUP(AF67,'2) หลักการคำนวน Table'!$D$1:$M$5,5,TRUE),0),
IF($C67="WS WH",VLOOKUP("GOAL",'2) หลักการคำนวน Table'!$D$62:$M$62,HLOOKUP(AF67,'2) หลักการคำนวน Table'!$D$1:$M$5,5,TRUE),0),
IF($C67="SF WH",VLOOKUP("GOAL",'2) หลักการคำนวน Table'!$D$92:$M$92,HLOOKUP(AF67,'2) หลักการคำนวน Table'!$D$1:$M$5,5,TRUE),0))))),0)</f>
        <v>0.9</v>
      </c>
      <c r="AS67" s="232">
        <f>IFERROR(IF($C67="Top WS",VLOOKUP("GOAL",'2) หลักการคำนวน Table'!$D$4:$M$4,HLOOKUP(AG67,'2) หลักการคำนวน Table'!$D$1:$M$5,5,TRUE),0),
IF($C67="WS SF",VLOOKUP("GOAL",'2) หลักการคำนวน Table'!$D$32:$M$32,HLOOKUP(AG67,'2) หลักการคำนวน Table'!$D$1:$M$5,5,TRUE),0),
IF($C67="WS WH",VLOOKUP("GOAL",'2) หลักการคำนวน Table'!$D$62:$M$62,HLOOKUP(AG67,'2) หลักการคำนวน Table'!$D$1:$M$5,5,TRUE),0),
IF($C67="SF WH",VLOOKUP("GOAL",'2) หลักการคำนวน Table'!$D$92:$M$92,HLOOKUP(AG67,'2) หลักการคำนวน Table'!$D$1:$M$5,5,TRUE),0))))),0)</f>
        <v>0.9</v>
      </c>
      <c r="AT67" s="232">
        <f>IFERROR(IF($C67="Top WS",VLOOKUP("GOAL",'2) หลักการคำนวน Table'!$D$4:$M$4,HLOOKUP(AH67,'2) หลักการคำนวน Table'!$D$1:$M$5,5,TRUE),0),
IF($C67="WS SF",VLOOKUP("GOAL",'2) หลักการคำนวน Table'!$D$32:$M$32,HLOOKUP(AH67,'2) หลักการคำนวน Table'!$D$1:$M$5,5,TRUE),0),
IF($C67="WS WH",VLOOKUP("GOAL",'2) หลักการคำนวน Table'!$D$62:$M$62,HLOOKUP(AH67,'2) หลักการคำนวน Table'!$D$1:$M$5,5,TRUE),0),
IF($C67="SF WH",VLOOKUP("GOAL",'2) หลักการคำนวน Table'!$D$92:$M$92,HLOOKUP(AH67,'2) หลักการคำนวน Table'!$D$1:$M$5,5,TRUE),0))))),0)</f>
        <v>0.9</v>
      </c>
      <c r="AU67" s="232">
        <f>IFERROR(IF($C67="Top WS",VLOOKUP("GOAL",'2) หลักการคำนวน Table'!$D$4:$M$4,HLOOKUP(AI67,'2) หลักการคำนวน Table'!$D$1:$M$5,5,TRUE),0),
IF($C67="WS SF",VLOOKUP("GOAL",'2) หลักการคำนวน Table'!$D$32:$M$32,HLOOKUP(AI67,'2) หลักการคำนวน Table'!$D$1:$M$5,5,TRUE),0),
IF($C67="WS WH",VLOOKUP("GOAL",'2) หลักการคำนวน Table'!$D$62:$M$62,HLOOKUP(AI67,'2) หลักการคำนวน Table'!$D$1:$M$5,5,TRUE),0),
IF($C67="SF WH",VLOOKUP("GOAL",'2) หลักการคำนวน Table'!$D$92:$M$92,HLOOKUP(AI67,'2) หลักการคำนวน Table'!$D$1:$M$5,5,TRUE),0))))),0)</f>
        <v>0.9</v>
      </c>
      <c r="AV67" s="232">
        <f>IFERROR(IF($C67="Top WS",VLOOKUP("GOAL",'2) หลักการคำนวน Table'!$D$4:$M$4,HLOOKUP(AP67,'2) หลักการคำนวน Table'!$D$1:$M$5,5,TRUE),0),
IF($C67="WS SF",VLOOKUP("GOAL",'2) หลักการคำนวน Table'!$D$32:$M$32,HLOOKUP(AP67,'2) หลักการคำนวน Table'!$D$1:$M$5,5,TRUE),0),
IF($C67="WS WH",VLOOKUP("GOAL",'2) หลักการคำนวน Table'!$D$62:$M$62,HLOOKUP(AP67,'2) หลักการคำนวน Table'!$D$1:$M$5,5,TRUE),0),
IF($C67="SF WH",VLOOKUP("GOAL",'2) หลักการคำนวน Table'!$D$92:$M$92,HLOOKUP(AP67,'2) หลักการคำนวน Table'!$D$1:$M$5,5,TRUE),0))))),0)</f>
        <v>0.9</v>
      </c>
      <c r="AW67" s="232">
        <f>IFERROR(IF($C67="Top WS",VLOOKUP("GOAL",'2) หลักการคำนวน Table'!$D$4:$M$4,HLOOKUP(AK67,'2) หลักการคำนวน Table'!$D$1:$M$5,5,TRUE),0),
IF($C67="WS SF",VLOOKUP("GOAL",'2) หลักการคำนวน Table'!$D$32:$M$32,HLOOKUP(AK67,'2) หลักการคำนวน Table'!$D$1:$M$5,5,TRUE),0),
IF($C67="WS WH",VLOOKUP("GOAL",'2) หลักการคำนวน Table'!$D$62:$M$62,HLOOKUP(AK67,'2) หลักการคำนวน Table'!$D$1:$M$5,5,TRUE),0),
IF($C67="SF WH",VLOOKUP("GOAL",'2) หลักการคำนวน Table'!$D$92:$M$92,HLOOKUP(AK67,'2) หลักการคำนวน Table'!$D$1:$M$5,5,TRUE),0))))),0)</f>
        <v>0.9</v>
      </c>
      <c r="AX67" s="232">
        <f>IFERROR(IF($C67="Top WS",VLOOKUP("GOAL",'2) หลักการคำนวน Table'!$D$4:$M$4,HLOOKUP(AL67,'2) หลักการคำนวน Table'!$D$1:$M$5,5,TRUE),0),
IF($C67="WS SF",VLOOKUP("GOAL",'2) หลักการคำนวน Table'!$D$32:$M$32,HLOOKUP(AL67,'2) หลักการคำนวน Table'!$D$1:$M$5,5,TRUE),0),
IF($C67="WS WH",VLOOKUP("GOAL",'2) หลักการคำนวน Table'!$D$62:$M$62,HLOOKUP(AL67,'2) หลักการคำนวน Table'!$D$1:$M$5,5,TRUE),0),
IF($C67="SF WH",VLOOKUP("GOAL",'2) หลักการคำนวน Table'!$D$92:$M$92,HLOOKUP(AL67,'2) หลักการคำนวน Table'!$D$1:$M$5,5,TRUE),0))))),0)</f>
        <v>0.9</v>
      </c>
      <c r="AY67" s="232">
        <f>IFERROR(IF($C67="Top WS",VLOOKUP("GOAL",'2) หลักการคำนวน Table'!$D$4:$M$4,HLOOKUP(AM67,'2) หลักการคำนวน Table'!$D$1:$M$5,5,TRUE),0),
IF($C67="WS SF",VLOOKUP("GOAL",'2) หลักการคำนวน Table'!$D$32:$M$32,HLOOKUP(AM67,'2) หลักการคำนวน Table'!$D$1:$M$5,5,TRUE),0),
IF($C67="WS WH",VLOOKUP("GOAL",'2) หลักการคำนวน Table'!$D$62:$M$62,HLOOKUP(AM67,'2) หลักการคำนวน Table'!$D$1:$M$5,5,TRUE),0),
IF($C67="SF WH",VLOOKUP("GOAL",'2) หลักการคำนวน Table'!$D$92:$M$92,HLOOKUP(AM67,'2) หลักการคำนวน Table'!$D$1:$M$5,5,TRUE),0))))),0)</f>
        <v>0.9</v>
      </c>
      <c r="AZ67" s="167">
        <f>IFERROR(IF($C67="Top WS",VLOOKUP($B67,'2) หลักการคำนวน Table'!$D$5:$M$20,HLOOKUP(AB67,'2) หลักการคำนวน Table'!$D$1:$M$5,5,TRUE),0),
IF($C67="WS SF",VLOOKUP($B67,'2) หลักการคำนวน Table'!$D$33:$M$48,HLOOKUP(AB67,'2) หลักการคำนวน Table'!$D$1:$M$5,5,TRUE),0),
IF($C67="WS WH",VLOOKUP($B67,'2) หลักการคำนวน Table'!$D$63:$M$78,HLOOKUP(AB67,'2) หลักการคำนวน Table'!$D$1:$M$5,5,TRUE),0),
IF($C67="SF WH",VLOOKUP($B67,'2) หลักการคำนวน Table'!$D$93:$M$108,HLOOKUP(AB67,'2) หลักการคำนวน Table'!$D$1:$M$5,5,TRUE),0))))),0)</f>
        <v>157.5</v>
      </c>
      <c r="BA67" s="167">
        <f>IFERROR(IF($C67="Top WS",VLOOKUP($B67,'2) หลักการคำนวน Table'!$D$5:$M$20,HLOOKUP(AC67,'2) หลักการคำนวน Table'!$D$1:$M$5,5,TRUE),0),
IF($C67="WS SF",VLOOKUP($B67,'2) หลักการคำนวน Table'!$D$33:$M$48,HLOOKUP(AC67,'2) หลักการคำนวน Table'!$D$1:$M$5,5,TRUE),0),
IF($C67="WS WH",VLOOKUP($B67,'2) หลักการคำนวน Table'!$D$63:$M$78,HLOOKUP(AC67,'2) หลักการคำนวน Table'!$D$1:$M$5,5,TRUE),0),
IF($C67="SF WH",VLOOKUP($B67,'2) หลักการคำนวน Table'!$D$93:$M$108,HLOOKUP(AC67,'2) หลักการคำนวน Table'!$D$1:$M$5,5,TRUE),0))))),0)</f>
        <v>227.5</v>
      </c>
      <c r="BB67" s="167">
        <f>IFERROR(IF($C67="Top WS",VLOOKUP($B67,'2) หลักการคำนวน Table'!$D$5:$M$20,HLOOKUP(AD67,'2) หลักการคำนวน Table'!$D$1:$M$5,5,TRUE),0),
IF($C67="WS SF",VLOOKUP($B67,'2) หลักการคำนวน Table'!$D$33:$M$48,HLOOKUP(AD67,'2) หลักการคำนวน Table'!$D$1:$M$5,5,TRUE),0),
IF($C67="WS WH",VLOOKUP($B67,'2) หลักการคำนวน Table'!$D$63:$M$78,HLOOKUP(AD67,'2) หลักการคำนวน Table'!$D$1:$M$5,5,TRUE),0),
IF($C67="SF WH",VLOOKUP($B67,'2) หลักการคำนวน Table'!$D$93:$M$108,HLOOKUP(AD67,'2) หลักการคำนวน Table'!$D$1:$M$5,5,TRUE),0))))),0)</f>
        <v>157.5</v>
      </c>
      <c r="BC67" s="167">
        <f>IFERROR(IF($C67="Top WS",VLOOKUP($B67,'2) หลักการคำนวน Table'!$D$5:$M$20,HLOOKUP(AE67,'2) หลักการคำนวน Table'!$D$1:$M$5,5,TRUE),0),
IF($C67="WS SF",VLOOKUP($B67,'2) หลักการคำนวน Table'!$D$33:$M$48,HLOOKUP(AE67,'2) หลักการคำนวน Table'!$D$1:$M$5,5,TRUE),0),
IF($C67="WS WH",VLOOKUP($B67,'2) หลักการคำนวน Table'!$D$63:$M$78,HLOOKUP(AE67,'2) หลักการคำนวน Table'!$D$1:$M$5,5,TRUE),0),
IF($C67="SF WH",VLOOKUP($B67,'2) หลักการคำนวน Table'!$D$93:$M$108,HLOOKUP(AE67,'2) หลักการคำนวน Table'!$D$1:$M$5,5,TRUE),0))))),0)</f>
        <v>157.5</v>
      </c>
      <c r="BD67" s="167">
        <f>IFERROR(IF($C67="Top WS",VLOOKUP($B67,'2) หลักการคำนวน Table'!$D$5:$M$20,HLOOKUP(AF67,'2) หลักการคำนวน Table'!$D$1:$M$5,5,TRUE),0),
IF($C67="WS SF",VLOOKUP($B67,'2) หลักการคำนวน Table'!$D$33:$M$48,HLOOKUP(AF67,'2) หลักการคำนวน Table'!$D$1:$M$5,5,TRUE),0),
IF($C67="WS WH",VLOOKUP($B67,'2) หลักการคำนวน Table'!$D$63:$M$78,HLOOKUP(AF67,'2) หลักการคำนวน Table'!$D$1:$M$5,5,TRUE),0),
IF($C67="SF WH",VLOOKUP($B67,'2) หลักการคำนวน Table'!$D$93:$M$108,HLOOKUP(AF67,'2) หลักการคำนวน Table'!$D$1:$M$5,5,TRUE),0))))),0)</f>
        <v>157.5</v>
      </c>
      <c r="BE67" s="167">
        <f>IFERROR(IF($C67="Top WS",VLOOKUP($B67,'2) หลักการคำนวน Table'!$D$5:$M$20,HLOOKUP(AG67,'2) หลักการคำนวน Table'!$D$1:$M$5,5,TRUE),0),
IF($C67="WS SF",VLOOKUP($B67,'2) หลักการคำนวน Table'!$D$33:$M$48,HLOOKUP(AG67,'2) หลักการคำนวน Table'!$D$1:$M$5,5,TRUE),0),
IF($C67="WS WH",VLOOKUP($B67,'2) หลักการคำนวน Table'!$D$63:$M$78,HLOOKUP(AG67,'2) หลักการคำนวน Table'!$D$1:$M$5,5,TRUE),0),
IF($C67="SF WH",VLOOKUP($B67,'2) หลักการคำนวน Table'!$D$93:$M$108,HLOOKUP(AG67,'2) หลักการคำนวน Table'!$D$1:$M$5,5,TRUE),0))))),0)</f>
        <v>157.5</v>
      </c>
      <c r="BF67" s="167">
        <f>IFERROR(IF($C67="Top WS",VLOOKUP($B67,'2) หลักการคำนวน Table'!$D$5:$M$20,HLOOKUP(AH67,'2) หลักการคำนวน Table'!$D$1:$M$5,5,TRUE),0),
IF($C67="WS SF",VLOOKUP($B67,'2) หลักการคำนวน Table'!$D$33:$M$48,HLOOKUP(AH67,'2) หลักการคำนวน Table'!$D$1:$M$5,5,TRUE),0),
IF($C67="WS WH",VLOOKUP($B67,'2) หลักการคำนวน Table'!$D$63:$M$78,HLOOKUP(AH67,'2) หลักการคำนวน Table'!$D$1:$M$5,5,TRUE),0),
IF($C67="SF WH",VLOOKUP($B67,'2) หลักการคำนวน Table'!$D$93:$M$108,HLOOKUP(AH67,'2) หลักการคำนวน Table'!$D$1:$M$5,5,TRUE),0))))),0)</f>
        <v>157.5</v>
      </c>
      <c r="BG67" s="167">
        <f>IFERROR(IF($C67="Top WS",VLOOKUP($B67,'2) หลักการคำนวน Table'!$D$5:$M$20,HLOOKUP(AI67,'2) หลักการคำนวน Table'!$D$1:$M$5,5,TRUE),0),
IF($C67="WS SF",VLOOKUP($B67,'2) หลักการคำนวน Table'!$D$33:$M$48,HLOOKUP(AI67,'2) หลักการคำนวน Table'!$D$1:$M$5,5,TRUE),0),
IF($C67="WS WH",VLOOKUP($B67,'2) หลักการคำนวน Table'!$D$63:$M$78,HLOOKUP(AI67,'2) หลักการคำนวน Table'!$D$1:$M$5,5,TRUE),0),
IF($C67="SF WH",VLOOKUP($B67,'2) หลักการคำนวน Table'!$D$93:$M$108,HLOOKUP(AI67,'2) หลักการคำนวน Table'!$D$1:$M$5,5,TRUE),0))))),0)</f>
        <v>157.5</v>
      </c>
      <c r="BH67" s="167">
        <f>IFERROR(IF($C67="Top WS",VLOOKUP($B67,'2) หลักการคำนวน Table'!$D$5:$M$20,HLOOKUP(AP67,'2) หลักการคำนวน Table'!$D$1:$M$5,5,TRUE),0),
IF($C67="WS SF",VLOOKUP($B67,'2) หลักการคำนวน Table'!$D$33:$M$48,HLOOKUP(AP67,'2) หลักการคำนวน Table'!$D$1:$M$5,5,TRUE),0),
IF($C67="WS WH",VLOOKUP($B67,'2) หลักการคำนวน Table'!$D$63:$M$78,HLOOKUP(AP67,'2) หลักการคำนวน Table'!$D$1:$M$5,5,TRUE),0),
IF($C67="SF WH",VLOOKUP($B67,'2) หลักการคำนวน Table'!$D$93:$M$108,HLOOKUP(AP67,'2) หลักการคำนวน Table'!$D$1:$M$5,5,TRUE),0))))),0)</f>
        <v>157.5</v>
      </c>
      <c r="BI67" s="167">
        <f>IFERROR(IF($C67="Top WS",VLOOKUP($B67,'2) หลักการคำนวน Table'!$D$5:$M$20,HLOOKUP(AK67,'2) หลักการคำนวน Table'!$D$1:$M$5,5,TRUE),0),
IF($C67="WS SF",VLOOKUP($B67,'2) หลักการคำนวน Table'!$D$33:$M$48,HLOOKUP(AK67,'2) หลักการคำนวน Table'!$D$1:$M$5,5,TRUE),0),
IF($C67="WS WH",VLOOKUP($B67,'2) หลักการคำนวน Table'!$D$63:$M$78,HLOOKUP(AK67,'2) หลักการคำนวน Table'!$D$1:$M$5,5,TRUE),0),
IF($C67="SF WH",VLOOKUP($B67,'2) หลักการคำนวน Table'!$D$93:$M$108,HLOOKUP(AK67,'2) หลักการคำนวน Table'!$D$1:$M$5,5,TRUE),0))))),0)</f>
        <v>157.5</v>
      </c>
      <c r="BJ67" s="167">
        <f>IFERROR(IF($C67="Top WS",VLOOKUP($B67,'2) หลักการคำนวน Table'!$D$5:$M$20,HLOOKUP(AL67,'2) หลักการคำนวน Table'!$D$1:$M$5,5,TRUE),0),
IF($C67="WS SF",VLOOKUP($B67,'2) หลักการคำนวน Table'!$D$33:$M$48,HLOOKUP(AL67,'2) หลักการคำนวน Table'!$D$1:$M$5,5,TRUE),0),
IF($C67="WS WH",VLOOKUP($B67,'2) หลักการคำนวน Table'!$D$63:$M$78,HLOOKUP(AL67,'2) หลักการคำนวน Table'!$D$1:$M$5,5,TRUE),0),
IF($C67="SF WH",VLOOKUP($B67,'2) หลักการคำนวน Table'!$D$93:$M$108,HLOOKUP(AL67,'2) หลักการคำนวน Table'!$D$1:$M$5,5,TRUE),0))))),0)</f>
        <v>157.5</v>
      </c>
      <c r="BK67" s="167">
        <f>IFERROR(IF($C67="Top WS",VLOOKUP($B67,'2) หลักการคำนวน Table'!$D$5:$M$20,HLOOKUP(AM67,'2) หลักการคำนวน Table'!$D$1:$M$5,5,TRUE),0),
IF($C67="WS SF",VLOOKUP($B67,'2) หลักการคำนวน Table'!$D$33:$M$48,HLOOKUP(AM67,'2) หลักการคำนวน Table'!$D$1:$M$5,5,TRUE),0),
IF($C67="WS WH",VLOOKUP($B67,'2) หลักการคำนวน Table'!$D$63:$M$78,HLOOKUP(AM67,'2) หลักการคำนวน Table'!$D$1:$M$5,5,TRUE),0),
IF($C67="SF WH",VLOOKUP($B67,'2) หลักการคำนวน Table'!$D$93:$M$108,HLOOKUP(AM67,'2) หลักการคำนวน Table'!$D$1:$M$5,5,TRUE),0))))),0)</f>
        <v>157.5</v>
      </c>
      <c r="BM67" s="119">
        <f>VLOOKUP(VLOOKUP(A67,ASTBase!E:S,13,FALSE),ASTBase!F:P,11,FALSE)</f>
        <v>140000</v>
      </c>
      <c r="BN67" s="196" cm="1">
        <f t="array" ref="BN67">INDEX(AN67:AY67,,Period!$D$2)</f>
        <v>1.3</v>
      </c>
    </row>
    <row r="68" spans="1:66" x14ac:dyDescent="0.25">
      <c r="A68" s="117">
        <v>140002</v>
      </c>
      <c r="B68" s="117" t="s">
        <v>405</v>
      </c>
      <c r="C68" s="117" t="s">
        <v>179</v>
      </c>
      <c r="D68" s="118">
        <v>363</v>
      </c>
      <c r="E68" s="118">
        <v>346</v>
      </c>
      <c r="F68" s="118">
        <v>363</v>
      </c>
      <c r="G68" s="118">
        <v>247</v>
      </c>
      <c r="H68" s="118">
        <v>208</v>
      </c>
      <c r="I68" s="118">
        <v>363</v>
      </c>
      <c r="J68" s="118">
        <v>257</v>
      </c>
      <c r="K68" s="118">
        <v>265</v>
      </c>
      <c r="L68" s="118">
        <v>183</v>
      </c>
      <c r="M68" s="118">
        <v>245</v>
      </c>
      <c r="N68" s="118">
        <v>346</v>
      </c>
      <c r="O68" s="118">
        <v>346</v>
      </c>
      <c r="P68" s="117">
        <f>SUMIFS(Actual!C:C,Actual!$A:$A,'3)Target &amp; Cal'!$A68,Actual!$B:$B,'3)Target &amp; Cal'!$B68)</f>
        <v>229.4</v>
      </c>
      <c r="Q68" s="117">
        <f>SUMIFS(Actual!D:D,Actual!$A:$A,'3)Target &amp; Cal'!$A68,Actual!$B:$B,'3)Target &amp; Cal'!$B68)</f>
        <v>0</v>
      </c>
      <c r="R68" s="117">
        <f>SUMIFS(Actual!E:E,Actual!$A:$A,'3)Target &amp; Cal'!$A68,Actual!$B:$B,'3)Target &amp; Cal'!$B68)</f>
        <v>0</v>
      </c>
      <c r="S68" s="117">
        <f>SUMIFS(Actual!F:F,Actual!$A:$A,'3)Target &amp; Cal'!$A68,Actual!$B:$B,'3)Target &amp; Cal'!$B68)</f>
        <v>0</v>
      </c>
      <c r="T68" s="117">
        <f>SUMIFS(Actual!G:G,Actual!$A:$A,'3)Target &amp; Cal'!$A68,Actual!$B:$B,'3)Target &amp; Cal'!$B68)</f>
        <v>0</v>
      </c>
      <c r="U68" s="117">
        <f>SUMIFS(Actual!H:H,Actual!$A:$A,'3)Target &amp; Cal'!$A68,Actual!$B:$B,'3)Target &amp; Cal'!$B68)</f>
        <v>0</v>
      </c>
      <c r="V68" s="117">
        <f>SUMIFS(Actual!I:I,Actual!$A:$A,'3)Target &amp; Cal'!$A68,Actual!$B:$B,'3)Target &amp; Cal'!$B68)</f>
        <v>0</v>
      </c>
      <c r="W68" s="117">
        <f>SUMIFS(Actual!J:J,Actual!$A:$A,'3)Target &amp; Cal'!$A68,Actual!$B:$B,'3)Target &amp; Cal'!$B68)</f>
        <v>0</v>
      </c>
      <c r="X68" s="117">
        <f>SUMIFS(Actual!K:K,Actual!$A:$A,'3)Target &amp; Cal'!$A68,Actual!$B:$B,'3)Target &amp; Cal'!$B68)</f>
        <v>0</v>
      </c>
      <c r="Y68" s="117">
        <f>SUMIFS(Actual!L:L,Actual!$A:$A,'3)Target &amp; Cal'!$A68,Actual!$B:$B,'3)Target &amp; Cal'!$B68)</f>
        <v>0</v>
      </c>
      <c r="Z68" s="117">
        <f>SUMIFS(Actual!M:M,Actual!$A:$A,'3)Target &amp; Cal'!$A68,Actual!$B:$B,'3)Target &amp; Cal'!$B68)</f>
        <v>0</v>
      </c>
      <c r="AA68" s="117">
        <f>SUMIFS(Actual!N:N,Actual!$A:$A,'3)Target &amp; Cal'!$A68,Actual!$B:$B,'3)Target &amp; Cal'!$B68)</f>
        <v>0</v>
      </c>
      <c r="AB68" s="123">
        <f>IFERROR(IF(VLOOKUP($B68,Shortage!$A:$M,AB$2,FALSE)="Shortage",1,IFERROR(ROUND(P68/D68,4),0)),IFERROR(ROUND(P68/D68,4),0))</f>
        <v>0.63200000000000001</v>
      </c>
      <c r="AC68" s="123">
        <f>IFERROR(IF(VLOOKUP($B68,Shortage!$A:$M,AC$2,FALSE)="Shortage",1,IFERROR(ROUND(Q68/E68,4),0)),IFERROR(ROUND(Q68/E68,4),0))</f>
        <v>0</v>
      </c>
      <c r="AD68" s="123">
        <f>IFERROR(IF(VLOOKUP($B68,Shortage!$A:$M,AD$2,FALSE)="Shortage",1,IFERROR(ROUND(R68/F68,4),0)),IFERROR(ROUND(R68/F68,4),0))</f>
        <v>0</v>
      </c>
      <c r="AE68" s="123">
        <f>IFERROR(IF(VLOOKUP($B68,Shortage!$A:$M,AE$2,FALSE)="Shortage",1,IFERROR(ROUND(S68/G68,4),0)),IFERROR(ROUND(S68/G68,4),0))</f>
        <v>0</v>
      </c>
      <c r="AF68" s="123">
        <f>IFERROR(IF(VLOOKUP($B68,Shortage!$A:$M,AF$2,FALSE)="Shortage",1,IFERROR(ROUND(T68/H68,4),0)),IFERROR(ROUND(T68/H68,4),0))</f>
        <v>0</v>
      </c>
      <c r="AG68" s="123">
        <f>IFERROR(IF(VLOOKUP($B68,Shortage!$A:$M,AG$2,FALSE)="Shortage",1,IFERROR(ROUND(U68/I68,4),0)),IFERROR(ROUND(U68/I68,4),0))</f>
        <v>0</v>
      </c>
      <c r="AH68" s="123">
        <f>IFERROR(IF(VLOOKUP($B68,Shortage!$A:$M,AH$2,FALSE)="Shortage",1,IFERROR(ROUND(V68/J68,4),0)),IFERROR(ROUND(V68/J68,4),0))</f>
        <v>0</v>
      </c>
      <c r="AI68" s="123">
        <f>IFERROR(IF(VLOOKUP($B68,Shortage!$A:$M,AI$2,FALSE)="Shortage",1,IFERROR(ROUND(W68/K68,4),0)),IFERROR(ROUND(W68/K68,4),0))</f>
        <v>0</v>
      </c>
      <c r="AJ68" s="123">
        <f>IFERROR(IF(VLOOKUP($B68,Shortage!$A:$M,AP$2,FALSE)="Shortage",1,IFERROR(ROUND(X68/L68,4),0)),IFERROR(ROUND(X68/L68,4),0))</f>
        <v>0</v>
      </c>
      <c r="AK68" s="123">
        <f>IFERROR(IF(VLOOKUP($B68,Shortage!$A:$M,AK$2,FALSE)="Shortage",1,IFERROR(ROUND(Y68/M68,4),0)),IFERROR(ROUND(Y68/M68,4),0))</f>
        <v>0</v>
      </c>
      <c r="AL68" s="123">
        <f>IFERROR(IF(VLOOKUP($B68,Shortage!$A:$M,AL$2,FALSE)="Shortage",1,IFERROR(ROUND(Z68/N68,4),0)),IFERROR(ROUND(Z68/N68,4),0))</f>
        <v>0</v>
      </c>
      <c r="AM68" s="123">
        <f>IFERROR(IF(VLOOKUP($B68,Shortage!$A:$M,AM$2,FALSE)="Shortage",1,IFERROR(ROUND(AA68/O68,4),0)),IFERROR(ROUND(AA68/O68,4),0))</f>
        <v>0</v>
      </c>
      <c r="AN68" s="232">
        <f>IFERROR(IF($C68="Top WS",VLOOKUP("GOAL",'2) หลักการคำนวน Table'!$D$4:$M$4,HLOOKUP(AB68,'2) หลักการคำนวน Table'!$D$1:$M$5,5,TRUE),0),
IF($C68="WS SF",VLOOKUP("GOAL",'2) หลักการคำนวน Table'!$D$32:$M$32,HLOOKUP(AB68,'2) หลักการคำนวน Table'!$D$1:$M$5,5,TRUE),0),
IF($C68="WS WH",VLOOKUP("GOAL",'2) หลักการคำนวน Table'!$D$62:$M$62,HLOOKUP(AB68,'2) หลักการคำนวน Table'!$D$1:$M$5,5,TRUE),0),
IF($C68="SF WH",VLOOKUP("GOAL",'2) หลักการคำนวน Table'!$D$92:$M$92,HLOOKUP(AB68,'2) หลักการคำนวน Table'!$D$1:$M$5,5,TRUE),0))))),0)</f>
        <v>0.9</v>
      </c>
      <c r="AO68" s="232">
        <f>IFERROR(IF($C68="Top WS",VLOOKUP("GOAL",'2) หลักการคำนวน Table'!$D$4:$M$4,HLOOKUP(AC68,'2) หลักการคำนวน Table'!$D$1:$M$5,5,TRUE),0),
IF($C68="WS SF",VLOOKUP("GOAL",'2) หลักการคำนวน Table'!$D$32:$M$32,HLOOKUP(AC68,'2) หลักการคำนวน Table'!$D$1:$M$5,5,TRUE),0),
IF($C68="WS WH",VLOOKUP("GOAL",'2) หลักการคำนวน Table'!$D$62:$M$62,HLOOKUP(AC68,'2) หลักการคำนวน Table'!$D$1:$M$5,5,TRUE),0),
IF($C68="SF WH",VLOOKUP("GOAL",'2) หลักการคำนวน Table'!$D$92:$M$92,HLOOKUP(AC68,'2) หลักการคำนวน Table'!$D$1:$M$5,5,TRUE),0))))),0)</f>
        <v>0.9</v>
      </c>
      <c r="AP68" s="232">
        <f>IFERROR(IF($C68="Top WS",VLOOKUP("GOAL",'2) หลักการคำนวน Table'!$D$4:$M$4,HLOOKUP(AD68,'2) หลักการคำนวน Table'!$D$1:$M$5,5,TRUE),0),
IF($C68="WS SF",VLOOKUP("GOAL",'2) หลักการคำนวน Table'!$D$32:$M$32,HLOOKUP(AD68,'2) หลักการคำนวน Table'!$D$1:$M$5,5,TRUE),0),
IF($C68="WS WH",VLOOKUP("GOAL",'2) หลักการคำนวน Table'!$D$62:$M$62,HLOOKUP(AD68,'2) หลักการคำนวน Table'!$D$1:$M$5,5,TRUE),0),
IF($C68="SF WH",VLOOKUP("GOAL",'2) หลักการคำนวน Table'!$D$92:$M$92,HLOOKUP(AD68,'2) หลักการคำนวน Table'!$D$1:$M$5,5,TRUE),0))))),0)</f>
        <v>0.9</v>
      </c>
      <c r="AQ68" s="232">
        <f>IFERROR(IF($C68="Top WS",VLOOKUP("GOAL",'2) หลักการคำนวน Table'!$D$4:$M$4,HLOOKUP(AE68,'2) หลักการคำนวน Table'!$D$1:$M$5,5,TRUE),0),
IF($C68="WS SF",VLOOKUP("GOAL",'2) หลักการคำนวน Table'!$D$32:$M$32,HLOOKUP(AE68,'2) หลักการคำนวน Table'!$D$1:$M$5,5,TRUE),0),
IF($C68="WS WH",VLOOKUP("GOAL",'2) หลักการคำนวน Table'!$D$62:$M$62,HLOOKUP(AE68,'2) หลักการคำนวน Table'!$D$1:$M$5,5,TRUE),0),
IF($C68="SF WH",VLOOKUP("GOAL",'2) หลักการคำนวน Table'!$D$92:$M$92,HLOOKUP(AE68,'2) หลักการคำนวน Table'!$D$1:$M$5,5,TRUE),0))))),0)</f>
        <v>0.9</v>
      </c>
      <c r="AR68" s="232">
        <f>IFERROR(IF($C68="Top WS",VLOOKUP("GOAL",'2) หลักการคำนวน Table'!$D$4:$M$4,HLOOKUP(AF68,'2) หลักการคำนวน Table'!$D$1:$M$5,5,TRUE),0),
IF($C68="WS SF",VLOOKUP("GOAL",'2) หลักการคำนวน Table'!$D$32:$M$32,HLOOKUP(AF68,'2) หลักการคำนวน Table'!$D$1:$M$5,5,TRUE),0),
IF($C68="WS WH",VLOOKUP("GOAL",'2) หลักการคำนวน Table'!$D$62:$M$62,HLOOKUP(AF68,'2) หลักการคำนวน Table'!$D$1:$M$5,5,TRUE),0),
IF($C68="SF WH",VLOOKUP("GOAL",'2) หลักการคำนวน Table'!$D$92:$M$92,HLOOKUP(AF68,'2) หลักการคำนวน Table'!$D$1:$M$5,5,TRUE),0))))),0)</f>
        <v>0.9</v>
      </c>
      <c r="AS68" s="232">
        <f>IFERROR(IF($C68="Top WS",VLOOKUP("GOAL",'2) หลักการคำนวน Table'!$D$4:$M$4,HLOOKUP(AG68,'2) หลักการคำนวน Table'!$D$1:$M$5,5,TRUE),0),
IF($C68="WS SF",VLOOKUP("GOAL",'2) หลักการคำนวน Table'!$D$32:$M$32,HLOOKUP(AG68,'2) หลักการคำนวน Table'!$D$1:$M$5,5,TRUE),0),
IF($C68="WS WH",VLOOKUP("GOAL",'2) หลักการคำนวน Table'!$D$62:$M$62,HLOOKUP(AG68,'2) หลักการคำนวน Table'!$D$1:$M$5,5,TRUE),0),
IF($C68="SF WH",VLOOKUP("GOAL",'2) หลักการคำนวน Table'!$D$92:$M$92,HLOOKUP(AG68,'2) หลักการคำนวน Table'!$D$1:$M$5,5,TRUE),0))))),0)</f>
        <v>0.9</v>
      </c>
      <c r="AT68" s="232">
        <f>IFERROR(IF($C68="Top WS",VLOOKUP("GOAL",'2) หลักการคำนวน Table'!$D$4:$M$4,HLOOKUP(AH68,'2) หลักการคำนวน Table'!$D$1:$M$5,5,TRUE),0),
IF($C68="WS SF",VLOOKUP("GOAL",'2) หลักการคำนวน Table'!$D$32:$M$32,HLOOKUP(AH68,'2) หลักการคำนวน Table'!$D$1:$M$5,5,TRUE),0),
IF($C68="WS WH",VLOOKUP("GOAL",'2) หลักการคำนวน Table'!$D$62:$M$62,HLOOKUP(AH68,'2) หลักการคำนวน Table'!$D$1:$M$5,5,TRUE),0),
IF($C68="SF WH",VLOOKUP("GOAL",'2) หลักการคำนวน Table'!$D$92:$M$92,HLOOKUP(AH68,'2) หลักการคำนวน Table'!$D$1:$M$5,5,TRUE),0))))),0)</f>
        <v>0.9</v>
      </c>
      <c r="AU68" s="232">
        <f>IFERROR(IF($C68="Top WS",VLOOKUP("GOAL",'2) หลักการคำนวน Table'!$D$4:$M$4,HLOOKUP(AI68,'2) หลักการคำนวน Table'!$D$1:$M$5,5,TRUE),0),
IF($C68="WS SF",VLOOKUP("GOAL",'2) หลักการคำนวน Table'!$D$32:$M$32,HLOOKUP(AI68,'2) หลักการคำนวน Table'!$D$1:$M$5,5,TRUE),0),
IF($C68="WS WH",VLOOKUP("GOAL",'2) หลักการคำนวน Table'!$D$62:$M$62,HLOOKUP(AI68,'2) หลักการคำนวน Table'!$D$1:$M$5,5,TRUE),0),
IF($C68="SF WH",VLOOKUP("GOAL",'2) หลักการคำนวน Table'!$D$92:$M$92,HLOOKUP(AI68,'2) หลักการคำนวน Table'!$D$1:$M$5,5,TRUE),0))))),0)</f>
        <v>0.9</v>
      </c>
      <c r="AV68" s="232">
        <f>IFERROR(IF($C68="Top WS",VLOOKUP("GOAL",'2) หลักการคำนวน Table'!$D$4:$M$4,HLOOKUP(AP68,'2) หลักการคำนวน Table'!$D$1:$M$5,5,TRUE),0),
IF($C68="WS SF",VLOOKUP("GOAL",'2) หลักการคำนวน Table'!$D$32:$M$32,HLOOKUP(AP68,'2) หลักการคำนวน Table'!$D$1:$M$5,5,TRUE),0),
IF($C68="WS WH",VLOOKUP("GOAL",'2) หลักการคำนวน Table'!$D$62:$M$62,HLOOKUP(AP68,'2) หลักการคำนวน Table'!$D$1:$M$5,5,TRUE),0),
IF($C68="SF WH",VLOOKUP("GOAL",'2) หลักการคำนวน Table'!$D$92:$M$92,HLOOKUP(AP68,'2) หลักการคำนวน Table'!$D$1:$M$5,5,TRUE),0))))),0)</f>
        <v>0.9</v>
      </c>
      <c r="AW68" s="232">
        <f>IFERROR(IF($C68="Top WS",VLOOKUP("GOAL",'2) หลักการคำนวน Table'!$D$4:$M$4,HLOOKUP(AK68,'2) หลักการคำนวน Table'!$D$1:$M$5,5,TRUE),0),
IF($C68="WS SF",VLOOKUP("GOAL",'2) หลักการคำนวน Table'!$D$32:$M$32,HLOOKUP(AK68,'2) หลักการคำนวน Table'!$D$1:$M$5,5,TRUE),0),
IF($C68="WS WH",VLOOKUP("GOAL",'2) หลักการคำนวน Table'!$D$62:$M$62,HLOOKUP(AK68,'2) หลักการคำนวน Table'!$D$1:$M$5,5,TRUE),0),
IF($C68="SF WH",VLOOKUP("GOAL",'2) หลักการคำนวน Table'!$D$92:$M$92,HLOOKUP(AK68,'2) หลักการคำนวน Table'!$D$1:$M$5,5,TRUE),0))))),0)</f>
        <v>0.9</v>
      </c>
      <c r="AX68" s="232">
        <f>IFERROR(IF($C68="Top WS",VLOOKUP("GOAL",'2) หลักการคำนวน Table'!$D$4:$M$4,HLOOKUP(AL68,'2) หลักการคำนวน Table'!$D$1:$M$5,5,TRUE),0),
IF($C68="WS SF",VLOOKUP("GOAL",'2) หลักการคำนวน Table'!$D$32:$M$32,HLOOKUP(AL68,'2) หลักการคำนวน Table'!$D$1:$M$5,5,TRUE),0),
IF($C68="WS WH",VLOOKUP("GOAL",'2) หลักการคำนวน Table'!$D$62:$M$62,HLOOKUP(AL68,'2) หลักการคำนวน Table'!$D$1:$M$5,5,TRUE),0),
IF($C68="SF WH",VLOOKUP("GOAL",'2) หลักการคำนวน Table'!$D$92:$M$92,HLOOKUP(AL68,'2) หลักการคำนวน Table'!$D$1:$M$5,5,TRUE),0))))),0)</f>
        <v>0.9</v>
      </c>
      <c r="AY68" s="232">
        <f>IFERROR(IF($C68="Top WS",VLOOKUP("GOAL",'2) หลักการคำนวน Table'!$D$4:$M$4,HLOOKUP(AM68,'2) หลักการคำนวน Table'!$D$1:$M$5,5,TRUE),0),
IF($C68="WS SF",VLOOKUP("GOAL",'2) หลักการคำนวน Table'!$D$32:$M$32,HLOOKUP(AM68,'2) หลักการคำนวน Table'!$D$1:$M$5,5,TRUE),0),
IF($C68="WS WH",VLOOKUP("GOAL",'2) หลักการคำนวน Table'!$D$62:$M$62,HLOOKUP(AM68,'2) หลักการคำนวน Table'!$D$1:$M$5,5,TRUE),0),
IF($C68="SF WH",VLOOKUP("GOAL",'2) หลักการคำนวน Table'!$D$92:$M$92,HLOOKUP(AM68,'2) หลักการคำนวน Table'!$D$1:$M$5,5,TRUE),0))))),0)</f>
        <v>0.9</v>
      </c>
      <c r="AZ68" s="167">
        <f>IFERROR(IF($C68="Top WS",VLOOKUP($B68,'2) หลักการคำนวน Table'!$D$5:$M$20,HLOOKUP(AB68,'2) หลักการคำนวน Table'!$D$1:$M$5,5,TRUE),0),
IF($C68="WS SF",VLOOKUP($B68,'2) หลักการคำนวน Table'!$D$33:$M$48,HLOOKUP(AB68,'2) หลักการคำนวน Table'!$D$1:$M$5,5,TRUE),0),
IF($C68="WS WH",VLOOKUP($B68,'2) หลักการคำนวน Table'!$D$63:$M$78,HLOOKUP(AB68,'2) หลักการคำนวน Table'!$D$1:$M$5,5,TRUE),0),
IF($C68="SF WH",VLOOKUP($B68,'2) หลักการคำนวน Table'!$D$93:$M$108,HLOOKUP(AB68,'2) หลักการคำนวน Table'!$D$1:$M$5,5,TRUE),0))))),0)</f>
        <v>315</v>
      </c>
      <c r="BA68" s="167">
        <f>IFERROR(IF($C68="Top WS",VLOOKUP($B68,'2) หลักการคำนวน Table'!$D$5:$M$20,HLOOKUP(AC68,'2) หลักการคำนวน Table'!$D$1:$M$5,5,TRUE),0),
IF($C68="WS SF",VLOOKUP($B68,'2) หลักการคำนวน Table'!$D$33:$M$48,HLOOKUP(AC68,'2) หลักการคำนวน Table'!$D$1:$M$5,5,TRUE),0),
IF($C68="WS WH",VLOOKUP($B68,'2) หลักการคำนวน Table'!$D$63:$M$78,HLOOKUP(AC68,'2) หลักการคำนวน Table'!$D$1:$M$5,5,TRUE),0),
IF($C68="SF WH",VLOOKUP($B68,'2) หลักการคำนวน Table'!$D$93:$M$108,HLOOKUP(AC68,'2) หลักการคำนวน Table'!$D$1:$M$5,5,TRUE),0))))),0)</f>
        <v>315</v>
      </c>
      <c r="BB68" s="167">
        <f>IFERROR(IF($C68="Top WS",VLOOKUP($B68,'2) หลักการคำนวน Table'!$D$5:$M$20,HLOOKUP(AD68,'2) หลักการคำนวน Table'!$D$1:$M$5,5,TRUE),0),
IF($C68="WS SF",VLOOKUP($B68,'2) หลักการคำนวน Table'!$D$33:$M$48,HLOOKUP(AD68,'2) หลักการคำนวน Table'!$D$1:$M$5,5,TRUE),0),
IF($C68="WS WH",VLOOKUP($B68,'2) หลักการคำนวน Table'!$D$63:$M$78,HLOOKUP(AD68,'2) หลักการคำนวน Table'!$D$1:$M$5,5,TRUE),0),
IF($C68="SF WH",VLOOKUP($B68,'2) หลักการคำนวน Table'!$D$93:$M$108,HLOOKUP(AD68,'2) หลักการคำนวน Table'!$D$1:$M$5,5,TRUE),0))))),0)</f>
        <v>315</v>
      </c>
      <c r="BC68" s="167">
        <f>IFERROR(IF($C68="Top WS",VLOOKUP($B68,'2) หลักการคำนวน Table'!$D$5:$M$20,HLOOKUP(AE68,'2) หลักการคำนวน Table'!$D$1:$M$5,5,TRUE),0),
IF($C68="WS SF",VLOOKUP($B68,'2) หลักการคำนวน Table'!$D$33:$M$48,HLOOKUP(AE68,'2) หลักการคำนวน Table'!$D$1:$M$5,5,TRUE),0),
IF($C68="WS WH",VLOOKUP($B68,'2) หลักการคำนวน Table'!$D$63:$M$78,HLOOKUP(AE68,'2) หลักการคำนวน Table'!$D$1:$M$5,5,TRUE),0),
IF($C68="SF WH",VLOOKUP($B68,'2) หลักการคำนวน Table'!$D$93:$M$108,HLOOKUP(AE68,'2) หลักการคำนวน Table'!$D$1:$M$5,5,TRUE),0))))),0)</f>
        <v>315</v>
      </c>
      <c r="BD68" s="167">
        <f>IFERROR(IF($C68="Top WS",VLOOKUP($B68,'2) หลักการคำนวน Table'!$D$5:$M$20,HLOOKUP(AF68,'2) หลักการคำนวน Table'!$D$1:$M$5,5,TRUE),0),
IF($C68="WS SF",VLOOKUP($B68,'2) หลักการคำนวน Table'!$D$33:$M$48,HLOOKUP(AF68,'2) หลักการคำนวน Table'!$D$1:$M$5,5,TRUE),0),
IF($C68="WS WH",VLOOKUP($B68,'2) หลักการคำนวน Table'!$D$63:$M$78,HLOOKUP(AF68,'2) หลักการคำนวน Table'!$D$1:$M$5,5,TRUE),0),
IF($C68="SF WH",VLOOKUP($B68,'2) หลักการคำนวน Table'!$D$93:$M$108,HLOOKUP(AF68,'2) หลักการคำนวน Table'!$D$1:$M$5,5,TRUE),0))))),0)</f>
        <v>315</v>
      </c>
      <c r="BE68" s="167">
        <f>IFERROR(IF($C68="Top WS",VLOOKUP($B68,'2) หลักการคำนวน Table'!$D$5:$M$20,HLOOKUP(AG68,'2) หลักการคำนวน Table'!$D$1:$M$5,5,TRUE),0),
IF($C68="WS SF",VLOOKUP($B68,'2) หลักการคำนวน Table'!$D$33:$M$48,HLOOKUP(AG68,'2) หลักการคำนวน Table'!$D$1:$M$5,5,TRUE),0),
IF($C68="WS WH",VLOOKUP($B68,'2) หลักการคำนวน Table'!$D$63:$M$78,HLOOKUP(AG68,'2) หลักการคำนวน Table'!$D$1:$M$5,5,TRUE),0),
IF($C68="SF WH",VLOOKUP($B68,'2) หลักการคำนวน Table'!$D$93:$M$108,HLOOKUP(AG68,'2) หลักการคำนวน Table'!$D$1:$M$5,5,TRUE),0))))),0)</f>
        <v>315</v>
      </c>
      <c r="BF68" s="167">
        <f>IFERROR(IF($C68="Top WS",VLOOKUP($B68,'2) หลักการคำนวน Table'!$D$5:$M$20,HLOOKUP(AH68,'2) หลักการคำนวน Table'!$D$1:$M$5,5,TRUE),0),
IF($C68="WS SF",VLOOKUP($B68,'2) หลักการคำนวน Table'!$D$33:$M$48,HLOOKUP(AH68,'2) หลักการคำนวน Table'!$D$1:$M$5,5,TRUE),0),
IF($C68="WS WH",VLOOKUP($B68,'2) หลักการคำนวน Table'!$D$63:$M$78,HLOOKUP(AH68,'2) หลักการคำนวน Table'!$D$1:$M$5,5,TRUE),0),
IF($C68="SF WH",VLOOKUP($B68,'2) หลักการคำนวน Table'!$D$93:$M$108,HLOOKUP(AH68,'2) หลักการคำนวน Table'!$D$1:$M$5,5,TRUE),0))))),0)</f>
        <v>315</v>
      </c>
      <c r="BG68" s="167">
        <f>IFERROR(IF($C68="Top WS",VLOOKUP($B68,'2) หลักการคำนวน Table'!$D$5:$M$20,HLOOKUP(AI68,'2) หลักการคำนวน Table'!$D$1:$M$5,5,TRUE),0),
IF($C68="WS SF",VLOOKUP($B68,'2) หลักการคำนวน Table'!$D$33:$M$48,HLOOKUP(AI68,'2) หลักการคำนวน Table'!$D$1:$M$5,5,TRUE),0),
IF($C68="WS WH",VLOOKUP($B68,'2) หลักการคำนวน Table'!$D$63:$M$78,HLOOKUP(AI68,'2) หลักการคำนวน Table'!$D$1:$M$5,5,TRUE),0),
IF($C68="SF WH",VLOOKUP($B68,'2) หลักการคำนวน Table'!$D$93:$M$108,HLOOKUP(AI68,'2) หลักการคำนวน Table'!$D$1:$M$5,5,TRUE),0))))),0)</f>
        <v>315</v>
      </c>
      <c r="BH68" s="167">
        <f>IFERROR(IF($C68="Top WS",VLOOKUP($B68,'2) หลักการคำนวน Table'!$D$5:$M$20,HLOOKUP(AP68,'2) หลักการคำนวน Table'!$D$1:$M$5,5,TRUE),0),
IF($C68="WS SF",VLOOKUP($B68,'2) หลักการคำนวน Table'!$D$33:$M$48,HLOOKUP(AP68,'2) หลักการคำนวน Table'!$D$1:$M$5,5,TRUE),0),
IF($C68="WS WH",VLOOKUP($B68,'2) หลักการคำนวน Table'!$D$63:$M$78,HLOOKUP(AP68,'2) หลักการคำนวน Table'!$D$1:$M$5,5,TRUE),0),
IF($C68="SF WH",VLOOKUP($B68,'2) หลักการคำนวน Table'!$D$93:$M$108,HLOOKUP(AP68,'2) หลักการคำนวน Table'!$D$1:$M$5,5,TRUE),0))))),0)</f>
        <v>315</v>
      </c>
      <c r="BI68" s="167">
        <f>IFERROR(IF($C68="Top WS",VLOOKUP($B68,'2) หลักการคำนวน Table'!$D$5:$M$20,HLOOKUP(AK68,'2) หลักการคำนวน Table'!$D$1:$M$5,5,TRUE),0),
IF($C68="WS SF",VLOOKUP($B68,'2) หลักการคำนวน Table'!$D$33:$M$48,HLOOKUP(AK68,'2) หลักการคำนวน Table'!$D$1:$M$5,5,TRUE),0),
IF($C68="WS WH",VLOOKUP($B68,'2) หลักการคำนวน Table'!$D$63:$M$78,HLOOKUP(AK68,'2) หลักการคำนวน Table'!$D$1:$M$5,5,TRUE),0),
IF($C68="SF WH",VLOOKUP($B68,'2) หลักการคำนวน Table'!$D$93:$M$108,HLOOKUP(AK68,'2) หลักการคำนวน Table'!$D$1:$M$5,5,TRUE),0))))),0)</f>
        <v>315</v>
      </c>
      <c r="BJ68" s="167">
        <f>IFERROR(IF($C68="Top WS",VLOOKUP($B68,'2) หลักการคำนวน Table'!$D$5:$M$20,HLOOKUP(AL68,'2) หลักการคำนวน Table'!$D$1:$M$5,5,TRUE),0),
IF($C68="WS SF",VLOOKUP($B68,'2) หลักการคำนวน Table'!$D$33:$M$48,HLOOKUP(AL68,'2) หลักการคำนวน Table'!$D$1:$M$5,5,TRUE),0),
IF($C68="WS WH",VLOOKUP($B68,'2) หลักการคำนวน Table'!$D$63:$M$78,HLOOKUP(AL68,'2) หลักการคำนวน Table'!$D$1:$M$5,5,TRUE),0),
IF($C68="SF WH",VLOOKUP($B68,'2) หลักการคำนวน Table'!$D$93:$M$108,HLOOKUP(AL68,'2) หลักการคำนวน Table'!$D$1:$M$5,5,TRUE),0))))),0)</f>
        <v>315</v>
      </c>
      <c r="BK68" s="167">
        <f>IFERROR(IF($C68="Top WS",VLOOKUP($B68,'2) หลักการคำนวน Table'!$D$5:$M$20,HLOOKUP(AM68,'2) หลักการคำนวน Table'!$D$1:$M$5,5,TRUE),0),
IF($C68="WS SF",VLOOKUP($B68,'2) หลักการคำนวน Table'!$D$33:$M$48,HLOOKUP(AM68,'2) หลักการคำนวน Table'!$D$1:$M$5,5,TRUE),0),
IF($C68="WS WH",VLOOKUP($B68,'2) หลักการคำนวน Table'!$D$63:$M$78,HLOOKUP(AM68,'2) หลักการคำนวน Table'!$D$1:$M$5,5,TRUE),0),
IF($C68="SF WH",VLOOKUP($B68,'2) หลักการคำนวน Table'!$D$93:$M$108,HLOOKUP(AM68,'2) หลักการคำนวน Table'!$D$1:$M$5,5,TRUE),0))))),0)</f>
        <v>315</v>
      </c>
      <c r="BM68" s="119">
        <f>VLOOKUP(VLOOKUP(A68,ASTBase!E:S,13,FALSE),ASTBase!F:P,11,FALSE)</f>
        <v>140000</v>
      </c>
      <c r="BN68" s="196" cm="1">
        <f t="array" ref="BN68">INDEX(AN68:AY68,,Period!$D$2)</f>
        <v>0.9</v>
      </c>
    </row>
    <row r="69" spans="1:66" x14ac:dyDescent="0.25">
      <c r="A69" s="117">
        <v>140002</v>
      </c>
      <c r="B69" s="117" t="s">
        <v>393</v>
      </c>
      <c r="C69" s="117" t="s">
        <v>179</v>
      </c>
      <c r="D69" s="118">
        <v>356</v>
      </c>
      <c r="E69" s="118">
        <v>254</v>
      </c>
      <c r="F69" s="118">
        <v>269</v>
      </c>
      <c r="G69" s="118">
        <v>275</v>
      </c>
      <c r="H69" s="118">
        <v>223</v>
      </c>
      <c r="I69" s="118">
        <v>263</v>
      </c>
      <c r="J69" s="118">
        <v>336</v>
      </c>
      <c r="K69" s="118">
        <v>348</v>
      </c>
      <c r="L69" s="118">
        <v>330</v>
      </c>
      <c r="M69" s="118">
        <v>343</v>
      </c>
      <c r="N69" s="118">
        <v>266</v>
      </c>
      <c r="O69" s="118">
        <v>268</v>
      </c>
      <c r="P69" s="117">
        <f>SUMIFS(Actual!C:C,Actual!$A:$A,'3)Target &amp; Cal'!$A69,Actual!$B:$B,'3)Target &amp; Cal'!$B69)</f>
        <v>282</v>
      </c>
      <c r="Q69" s="117">
        <f>SUMIFS(Actual!D:D,Actual!$A:$A,'3)Target &amp; Cal'!$A69,Actual!$B:$B,'3)Target &amp; Cal'!$B69)</f>
        <v>300</v>
      </c>
      <c r="R69" s="117">
        <f>SUMIFS(Actual!E:E,Actual!$A:$A,'3)Target &amp; Cal'!$A69,Actual!$B:$B,'3)Target &amp; Cal'!$B69)</f>
        <v>0</v>
      </c>
      <c r="S69" s="117">
        <f>SUMIFS(Actual!F:F,Actual!$A:$A,'3)Target &amp; Cal'!$A69,Actual!$B:$B,'3)Target &amp; Cal'!$B69)</f>
        <v>0</v>
      </c>
      <c r="T69" s="117">
        <f>SUMIFS(Actual!G:G,Actual!$A:$A,'3)Target &amp; Cal'!$A69,Actual!$B:$B,'3)Target &amp; Cal'!$B69)</f>
        <v>0</v>
      </c>
      <c r="U69" s="117">
        <f>SUMIFS(Actual!H:H,Actual!$A:$A,'3)Target &amp; Cal'!$A69,Actual!$B:$B,'3)Target &amp; Cal'!$B69)</f>
        <v>0</v>
      </c>
      <c r="V69" s="117">
        <f>SUMIFS(Actual!I:I,Actual!$A:$A,'3)Target &amp; Cal'!$A69,Actual!$B:$B,'3)Target &amp; Cal'!$B69)</f>
        <v>0</v>
      </c>
      <c r="W69" s="117">
        <f>SUMIFS(Actual!J:J,Actual!$A:$A,'3)Target &amp; Cal'!$A69,Actual!$B:$B,'3)Target &amp; Cal'!$B69)</f>
        <v>0</v>
      </c>
      <c r="X69" s="117">
        <f>SUMIFS(Actual!K:K,Actual!$A:$A,'3)Target &amp; Cal'!$A69,Actual!$B:$B,'3)Target &amp; Cal'!$B69)</f>
        <v>0</v>
      </c>
      <c r="Y69" s="117">
        <f>SUMIFS(Actual!L:L,Actual!$A:$A,'3)Target &amp; Cal'!$A69,Actual!$B:$B,'3)Target &amp; Cal'!$B69)</f>
        <v>0</v>
      </c>
      <c r="Z69" s="117">
        <f>SUMIFS(Actual!M:M,Actual!$A:$A,'3)Target &amp; Cal'!$A69,Actual!$B:$B,'3)Target &amp; Cal'!$B69)</f>
        <v>0</v>
      </c>
      <c r="AA69" s="117">
        <f>SUMIFS(Actual!N:N,Actual!$A:$A,'3)Target &amp; Cal'!$A69,Actual!$B:$B,'3)Target &amp; Cal'!$B69)</f>
        <v>0</v>
      </c>
      <c r="AB69" s="123">
        <f>IFERROR(IF(VLOOKUP($B69,Shortage!$A:$M,AB$2,FALSE)="Shortage",1,IFERROR(ROUND(P69/D69,4),0)),IFERROR(ROUND(P69/D69,4),0))</f>
        <v>0.79210000000000003</v>
      </c>
      <c r="AC69" s="123">
        <f>IFERROR(IF(VLOOKUP($B69,Shortage!$A:$M,AC$2,FALSE)="Shortage",1,IFERROR(ROUND(Q69/E69,4),0)),IFERROR(ROUND(Q69/E69,4),0))</f>
        <v>1.1811</v>
      </c>
      <c r="AD69" s="123">
        <f>IFERROR(IF(VLOOKUP($B69,Shortage!$A:$M,AD$2,FALSE)="Shortage",1,IFERROR(ROUND(R69/F69,4),0)),IFERROR(ROUND(R69/F69,4),0))</f>
        <v>0</v>
      </c>
      <c r="AE69" s="123">
        <f>IFERROR(IF(VLOOKUP($B69,Shortage!$A:$M,AE$2,FALSE)="Shortage",1,IFERROR(ROUND(S69/G69,4),0)),IFERROR(ROUND(S69/G69,4),0))</f>
        <v>0</v>
      </c>
      <c r="AF69" s="123">
        <f>IFERROR(IF(VLOOKUP($B69,Shortage!$A:$M,AF$2,FALSE)="Shortage",1,IFERROR(ROUND(T69/H69,4),0)),IFERROR(ROUND(T69/H69,4),0))</f>
        <v>0</v>
      </c>
      <c r="AG69" s="123">
        <f>IFERROR(IF(VLOOKUP($B69,Shortage!$A:$M,AG$2,FALSE)="Shortage",1,IFERROR(ROUND(U69/I69,4),0)),IFERROR(ROUND(U69/I69,4),0))</f>
        <v>0</v>
      </c>
      <c r="AH69" s="123">
        <f>IFERROR(IF(VLOOKUP($B69,Shortage!$A:$M,AH$2,FALSE)="Shortage",1,IFERROR(ROUND(V69/J69,4),0)),IFERROR(ROUND(V69/J69,4),0))</f>
        <v>0</v>
      </c>
      <c r="AI69" s="123">
        <f>IFERROR(IF(VLOOKUP($B69,Shortage!$A:$M,AI$2,FALSE)="Shortage",1,IFERROR(ROUND(W69/K69,4),0)),IFERROR(ROUND(W69/K69,4),0))</f>
        <v>0</v>
      </c>
      <c r="AJ69" s="123">
        <f>IFERROR(IF(VLOOKUP($B69,Shortage!$A:$M,AP$2,FALSE)="Shortage",1,IFERROR(ROUND(X69/L69,4),0)),IFERROR(ROUND(X69/L69,4),0))</f>
        <v>0</v>
      </c>
      <c r="AK69" s="123">
        <f>IFERROR(IF(VLOOKUP($B69,Shortage!$A:$M,AK$2,FALSE)="Shortage",1,IFERROR(ROUND(Y69/M69,4),0)),IFERROR(ROUND(Y69/M69,4),0))</f>
        <v>0</v>
      </c>
      <c r="AL69" s="123">
        <f>IFERROR(IF(VLOOKUP($B69,Shortage!$A:$M,AL$2,FALSE)="Shortage",1,IFERROR(ROUND(Z69/N69,4),0)),IFERROR(ROUND(Z69/N69,4),0))</f>
        <v>0</v>
      </c>
      <c r="AM69" s="123">
        <f>IFERROR(IF(VLOOKUP($B69,Shortage!$A:$M,AM$2,FALSE)="Shortage",1,IFERROR(ROUND(AA69/O69,4),0)),IFERROR(ROUND(AA69/O69,4),0))</f>
        <v>0</v>
      </c>
      <c r="AN69" s="232">
        <f>IFERROR(IF($C69="Top WS",VLOOKUP("GOAL",'2) หลักการคำนวน Table'!$D$4:$M$4,HLOOKUP(AB69,'2) หลักการคำนวน Table'!$D$1:$M$5,5,TRUE),0),
IF($C69="WS SF",VLOOKUP("GOAL",'2) หลักการคำนวน Table'!$D$32:$M$32,HLOOKUP(AB69,'2) หลักการคำนวน Table'!$D$1:$M$5,5,TRUE),0),
IF($C69="WS WH",VLOOKUP("GOAL",'2) หลักการคำนวน Table'!$D$62:$M$62,HLOOKUP(AB69,'2) หลักการคำนวน Table'!$D$1:$M$5,5,TRUE),0),
IF($C69="SF WH",VLOOKUP("GOAL",'2) หลักการคำนวน Table'!$D$92:$M$92,HLOOKUP(AB69,'2) หลักการคำนวน Table'!$D$1:$M$5,5,TRUE),0))))),0)</f>
        <v>0.9</v>
      </c>
      <c r="AO69" s="232">
        <f>IFERROR(IF($C69="Top WS",VLOOKUP("GOAL",'2) หลักการคำนวน Table'!$D$4:$M$4,HLOOKUP(AC69,'2) หลักการคำนวน Table'!$D$1:$M$5,5,TRUE),0),
IF($C69="WS SF",VLOOKUP("GOAL",'2) หลักการคำนวน Table'!$D$32:$M$32,HLOOKUP(AC69,'2) หลักการคำนวน Table'!$D$1:$M$5,5,TRUE),0),
IF($C69="WS WH",VLOOKUP("GOAL",'2) หลักการคำนวน Table'!$D$62:$M$62,HLOOKUP(AC69,'2) หลักการคำนวน Table'!$D$1:$M$5,5,TRUE),0),
IF($C69="SF WH",VLOOKUP("GOAL",'2) หลักการคำนวน Table'!$D$92:$M$92,HLOOKUP(AC69,'2) หลักการคำนวน Table'!$D$1:$M$5,5,TRUE),0))))),0)</f>
        <v>1.2</v>
      </c>
      <c r="AP69" s="232">
        <f>IFERROR(IF($C69="Top WS",VLOOKUP("GOAL",'2) หลักการคำนวน Table'!$D$4:$M$4,HLOOKUP(AD69,'2) หลักการคำนวน Table'!$D$1:$M$5,5,TRUE),0),
IF($C69="WS SF",VLOOKUP("GOAL",'2) หลักการคำนวน Table'!$D$32:$M$32,HLOOKUP(AD69,'2) หลักการคำนวน Table'!$D$1:$M$5,5,TRUE),0),
IF($C69="WS WH",VLOOKUP("GOAL",'2) หลักการคำนวน Table'!$D$62:$M$62,HLOOKUP(AD69,'2) หลักการคำนวน Table'!$D$1:$M$5,5,TRUE),0),
IF($C69="SF WH",VLOOKUP("GOAL",'2) หลักการคำนวน Table'!$D$92:$M$92,HLOOKUP(AD69,'2) หลักการคำนวน Table'!$D$1:$M$5,5,TRUE),0))))),0)</f>
        <v>0.9</v>
      </c>
      <c r="AQ69" s="232">
        <f>IFERROR(IF($C69="Top WS",VLOOKUP("GOAL",'2) หลักการคำนวน Table'!$D$4:$M$4,HLOOKUP(AE69,'2) หลักการคำนวน Table'!$D$1:$M$5,5,TRUE),0),
IF($C69="WS SF",VLOOKUP("GOAL",'2) หลักการคำนวน Table'!$D$32:$M$32,HLOOKUP(AE69,'2) หลักการคำนวน Table'!$D$1:$M$5,5,TRUE),0),
IF($C69="WS WH",VLOOKUP("GOAL",'2) หลักการคำนวน Table'!$D$62:$M$62,HLOOKUP(AE69,'2) หลักการคำนวน Table'!$D$1:$M$5,5,TRUE),0),
IF($C69="SF WH",VLOOKUP("GOAL",'2) หลักการคำนวน Table'!$D$92:$M$92,HLOOKUP(AE69,'2) หลักการคำนวน Table'!$D$1:$M$5,5,TRUE),0))))),0)</f>
        <v>0.9</v>
      </c>
      <c r="AR69" s="232">
        <f>IFERROR(IF($C69="Top WS",VLOOKUP("GOAL",'2) หลักการคำนวน Table'!$D$4:$M$4,HLOOKUP(AF69,'2) หลักการคำนวน Table'!$D$1:$M$5,5,TRUE),0),
IF($C69="WS SF",VLOOKUP("GOAL",'2) หลักการคำนวน Table'!$D$32:$M$32,HLOOKUP(AF69,'2) หลักการคำนวน Table'!$D$1:$M$5,5,TRUE),0),
IF($C69="WS WH",VLOOKUP("GOAL",'2) หลักการคำนวน Table'!$D$62:$M$62,HLOOKUP(AF69,'2) หลักการคำนวน Table'!$D$1:$M$5,5,TRUE),0),
IF($C69="SF WH",VLOOKUP("GOAL",'2) หลักการคำนวน Table'!$D$92:$M$92,HLOOKUP(AF69,'2) หลักการคำนวน Table'!$D$1:$M$5,5,TRUE),0))))),0)</f>
        <v>0.9</v>
      </c>
      <c r="AS69" s="232">
        <f>IFERROR(IF($C69="Top WS",VLOOKUP("GOAL",'2) หลักการคำนวน Table'!$D$4:$M$4,HLOOKUP(AG69,'2) หลักการคำนวน Table'!$D$1:$M$5,5,TRUE),0),
IF($C69="WS SF",VLOOKUP("GOAL",'2) หลักการคำนวน Table'!$D$32:$M$32,HLOOKUP(AG69,'2) หลักการคำนวน Table'!$D$1:$M$5,5,TRUE),0),
IF($C69="WS WH",VLOOKUP("GOAL",'2) หลักการคำนวน Table'!$D$62:$M$62,HLOOKUP(AG69,'2) หลักการคำนวน Table'!$D$1:$M$5,5,TRUE),0),
IF($C69="SF WH",VLOOKUP("GOAL",'2) หลักการคำนวน Table'!$D$92:$M$92,HLOOKUP(AG69,'2) หลักการคำนวน Table'!$D$1:$M$5,5,TRUE),0))))),0)</f>
        <v>0.9</v>
      </c>
      <c r="AT69" s="232">
        <f>IFERROR(IF($C69="Top WS",VLOOKUP("GOAL",'2) หลักการคำนวน Table'!$D$4:$M$4,HLOOKUP(AH69,'2) หลักการคำนวน Table'!$D$1:$M$5,5,TRUE),0),
IF($C69="WS SF",VLOOKUP("GOAL",'2) หลักการคำนวน Table'!$D$32:$M$32,HLOOKUP(AH69,'2) หลักการคำนวน Table'!$D$1:$M$5,5,TRUE),0),
IF($C69="WS WH",VLOOKUP("GOAL",'2) หลักการคำนวน Table'!$D$62:$M$62,HLOOKUP(AH69,'2) หลักการคำนวน Table'!$D$1:$M$5,5,TRUE),0),
IF($C69="SF WH",VLOOKUP("GOAL",'2) หลักการคำนวน Table'!$D$92:$M$92,HLOOKUP(AH69,'2) หลักการคำนวน Table'!$D$1:$M$5,5,TRUE),0))))),0)</f>
        <v>0.9</v>
      </c>
      <c r="AU69" s="232">
        <f>IFERROR(IF($C69="Top WS",VLOOKUP("GOAL",'2) หลักการคำนวน Table'!$D$4:$M$4,HLOOKUP(AI69,'2) หลักการคำนวน Table'!$D$1:$M$5,5,TRUE),0),
IF($C69="WS SF",VLOOKUP("GOAL",'2) หลักการคำนวน Table'!$D$32:$M$32,HLOOKUP(AI69,'2) หลักการคำนวน Table'!$D$1:$M$5,5,TRUE),0),
IF($C69="WS WH",VLOOKUP("GOAL",'2) หลักการคำนวน Table'!$D$62:$M$62,HLOOKUP(AI69,'2) หลักการคำนวน Table'!$D$1:$M$5,5,TRUE),0),
IF($C69="SF WH",VLOOKUP("GOAL",'2) หลักการคำนวน Table'!$D$92:$M$92,HLOOKUP(AI69,'2) หลักการคำนวน Table'!$D$1:$M$5,5,TRUE),0))))),0)</f>
        <v>0.9</v>
      </c>
      <c r="AV69" s="232">
        <f>IFERROR(IF($C69="Top WS",VLOOKUP("GOAL",'2) หลักการคำนวน Table'!$D$4:$M$4,HLOOKUP(AP69,'2) หลักการคำนวน Table'!$D$1:$M$5,5,TRUE),0),
IF($C69="WS SF",VLOOKUP("GOAL",'2) หลักการคำนวน Table'!$D$32:$M$32,HLOOKUP(AP69,'2) หลักการคำนวน Table'!$D$1:$M$5,5,TRUE),0),
IF($C69="WS WH",VLOOKUP("GOAL",'2) หลักการคำนวน Table'!$D$62:$M$62,HLOOKUP(AP69,'2) หลักการคำนวน Table'!$D$1:$M$5,5,TRUE),0),
IF($C69="SF WH",VLOOKUP("GOAL",'2) หลักการคำนวน Table'!$D$92:$M$92,HLOOKUP(AP69,'2) หลักการคำนวน Table'!$D$1:$M$5,5,TRUE),0))))),0)</f>
        <v>0.9</v>
      </c>
      <c r="AW69" s="232">
        <f>IFERROR(IF($C69="Top WS",VLOOKUP("GOAL",'2) หลักการคำนวน Table'!$D$4:$M$4,HLOOKUP(AK69,'2) หลักการคำนวน Table'!$D$1:$M$5,5,TRUE),0),
IF($C69="WS SF",VLOOKUP("GOAL",'2) หลักการคำนวน Table'!$D$32:$M$32,HLOOKUP(AK69,'2) หลักการคำนวน Table'!$D$1:$M$5,5,TRUE),0),
IF($C69="WS WH",VLOOKUP("GOAL",'2) หลักการคำนวน Table'!$D$62:$M$62,HLOOKUP(AK69,'2) หลักการคำนวน Table'!$D$1:$M$5,5,TRUE),0),
IF($C69="SF WH",VLOOKUP("GOAL",'2) หลักการคำนวน Table'!$D$92:$M$92,HLOOKUP(AK69,'2) หลักการคำนวน Table'!$D$1:$M$5,5,TRUE),0))))),0)</f>
        <v>0.9</v>
      </c>
      <c r="AX69" s="232">
        <f>IFERROR(IF($C69="Top WS",VLOOKUP("GOAL",'2) หลักการคำนวน Table'!$D$4:$M$4,HLOOKUP(AL69,'2) หลักการคำนวน Table'!$D$1:$M$5,5,TRUE),0),
IF($C69="WS SF",VLOOKUP("GOAL",'2) หลักการคำนวน Table'!$D$32:$M$32,HLOOKUP(AL69,'2) หลักการคำนวน Table'!$D$1:$M$5,5,TRUE),0),
IF($C69="WS WH",VLOOKUP("GOAL",'2) หลักการคำนวน Table'!$D$62:$M$62,HLOOKUP(AL69,'2) หลักการคำนวน Table'!$D$1:$M$5,5,TRUE),0),
IF($C69="SF WH",VLOOKUP("GOAL",'2) หลักการคำนวน Table'!$D$92:$M$92,HLOOKUP(AL69,'2) หลักการคำนวน Table'!$D$1:$M$5,5,TRUE),0))))),0)</f>
        <v>0.9</v>
      </c>
      <c r="AY69" s="232">
        <f>IFERROR(IF($C69="Top WS",VLOOKUP("GOAL",'2) หลักการคำนวน Table'!$D$4:$M$4,HLOOKUP(AM69,'2) หลักการคำนวน Table'!$D$1:$M$5,5,TRUE),0),
IF($C69="WS SF",VLOOKUP("GOAL",'2) หลักการคำนวน Table'!$D$32:$M$32,HLOOKUP(AM69,'2) หลักการคำนวน Table'!$D$1:$M$5,5,TRUE),0),
IF($C69="WS WH",VLOOKUP("GOAL",'2) หลักการคำนวน Table'!$D$62:$M$62,HLOOKUP(AM69,'2) หลักการคำนวน Table'!$D$1:$M$5,5,TRUE),0),
IF($C69="SF WH",VLOOKUP("GOAL",'2) หลักการคำนวน Table'!$D$92:$M$92,HLOOKUP(AM69,'2) หลักการคำนวน Table'!$D$1:$M$5,5,TRUE),0))))),0)</f>
        <v>0.9</v>
      </c>
      <c r="AZ69" s="167">
        <f>IFERROR(IF($C69="Top WS",VLOOKUP($B69,'2) หลักการคำนวน Table'!$D$5:$M$20,HLOOKUP(AB69,'2) หลักการคำนวน Table'!$D$1:$M$5,5,TRUE),0),
IF($C69="WS SF",VLOOKUP($B69,'2) หลักการคำนวน Table'!$D$33:$M$48,HLOOKUP(AB69,'2) หลักการคำนวน Table'!$D$1:$M$5,5,TRUE),0),
IF($C69="WS WH",VLOOKUP($B69,'2) หลักการคำนวน Table'!$D$63:$M$78,HLOOKUP(AB69,'2) หลักการคำนวน Table'!$D$1:$M$5,5,TRUE),0),
IF($C69="SF WH",VLOOKUP($B69,'2) หลักการคำนวน Table'!$D$93:$M$108,HLOOKUP(AB69,'2) หลักการคำนวน Table'!$D$1:$M$5,5,TRUE),0))))),0)</f>
        <v>157.5</v>
      </c>
      <c r="BA69" s="167">
        <f>IFERROR(IF($C69="Top WS",VLOOKUP($B69,'2) หลักการคำนวน Table'!$D$5:$M$20,HLOOKUP(AC69,'2) หลักการคำนวน Table'!$D$1:$M$5,5,TRUE),0),
IF($C69="WS SF",VLOOKUP($B69,'2) หลักการคำนวน Table'!$D$33:$M$48,HLOOKUP(AC69,'2) หลักการคำนวน Table'!$D$1:$M$5,5,TRUE),0),
IF($C69="WS WH",VLOOKUP($B69,'2) หลักการคำนวน Table'!$D$63:$M$78,HLOOKUP(AC69,'2) หลักการคำนวน Table'!$D$1:$M$5,5,TRUE),0),
IF($C69="SF WH",VLOOKUP($B69,'2) หลักการคำนวน Table'!$D$93:$M$108,HLOOKUP(AC69,'2) หลักการคำนวน Table'!$D$1:$M$5,5,TRUE),0))))),0)</f>
        <v>210</v>
      </c>
      <c r="BB69" s="167">
        <f>IFERROR(IF($C69="Top WS",VLOOKUP($B69,'2) หลักการคำนวน Table'!$D$5:$M$20,HLOOKUP(AD69,'2) หลักการคำนวน Table'!$D$1:$M$5,5,TRUE),0),
IF($C69="WS SF",VLOOKUP($B69,'2) หลักการคำนวน Table'!$D$33:$M$48,HLOOKUP(AD69,'2) หลักการคำนวน Table'!$D$1:$M$5,5,TRUE),0),
IF($C69="WS WH",VLOOKUP($B69,'2) หลักการคำนวน Table'!$D$63:$M$78,HLOOKUP(AD69,'2) หลักการคำนวน Table'!$D$1:$M$5,5,TRUE),0),
IF($C69="SF WH",VLOOKUP($B69,'2) หลักการคำนวน Table'!$D$93:$M$108,HLOOKUP(AD69,'2) หลักการคำนวน Table'!$D$1:$M$5,5,TRUE),0))))),0)</f>
        <v>157.5</v>
      </c>
      <c r="BC69" s="167">
        <f>IFERROR(IF($C69="Top WS",VLOOKUP($B69,'2) หลักการคำนวน Table'!$D$5:$M$20,HLOOKUP(AE69,'2) หลักการคำนวน Table'!$D$1:$M$5,5,TRUE),0),
IF($C69="WS SF",VLOOKUP($B69,'2) หลักการคำนวน Table'!$D$33:$M$48,HLOOKUP(AE69,'2) หลักการคำนวน Table'!$D$1:$M$5,5,TRUE),0),
IF($C69="WS WH",VLOOKUP($B69,'2) หลักการคำนวน Table'!$D$63:$M$78,HLOOKUP(AE69,'2) หลักการคำนวน Table'!$D$1:$M$5,5,TRUE),0),
IF($C69="SF WH",VLOOKUP($B69,'2) หลักการคำนวน Table'!$D$93:$M$108,HLOOKUP(AE69,'2) หลักการคำนวน Table'!$D$1:$M$5,5,TRUE),0))))),0)</f>
        <v>157.5</v>
      </c>
      <c r="BD69" s="167">
        <f>IFERROR(IF($C69="Top WS",VLOOKUP($B69,'2) หลักการคำนวน Table'!$D$5:$M$20,HLOOKUP(AF69,'2) หลักการคำนวน Table'!$D$1:$M$5,5,TRUE),0),
IF($C69="WS SF",VLOOKUP($B69,'2) หลักการคำนวน Table'!$D$33:$M$48,HLOOKUP(AF69,'2) หลักการคำนวน Table'!$D$1:$M$5,5,TRUE),0),
IF($C69="WS WH",VLOOKUP($B69,'2) หลักการคำนวน Table'!$D$63:$M$78,HLOOKUP(AF69,'2) หลักการคำนวน Table'!$D$1:$M$5,5,TRUE),0),
IF($C69="SF WH",VLOOKUP($B69,'2) หลักการคำนวน Table'!$D$93:$M$108,HLOOKUP(AF69,'2) หลักการคำนวน Table'!$D$1:$M$5,5,TRUE),0))))),0)</f>
        <v>157.5</v>
      </c>
      <c r="BE69" s="167">
        <f>IFERROR(IF($C69="Top WS",VLOOKUP($B69,'2) หลักการคำนวน Table'!$D$5:$M$20,HLOOKUP(AG69,'2) หลักการคำนวน Table'!$D$1:$M$5,5,TRUE),0),
IF($C69="WS SF",VLOOKUP($B69,'2) หลักการคำนวน Table'!$D$33:$M$48,HLOOKUP(AG69,'2) หลักการคำนวน Table'!$D$1:$M$5,5,TRUE),0),
IF($C69="WS WH",VLOOKUP($B69,'2) หลักการคำนวน Table'!$D$63:$M$78,HLOOKUP(AG69,'2) หลักการคำนวน Table'!$D$1:$M$5,5,TRUE),0),
IF($C69="SF WH",VLOOKUP($B69,'2) หลักการคำนวน Table'!$D$93:$M$108,HLOOKUP(AG69,'2) หลักการคำนวน Table'!$D$1:$M$5,5,TRUE),0))))),0)</f>
        <v>157.5</v>
      </c>
      <c r="BF69" s="167">
        <f>IFERROR(IF($C69="Top WS",VLOOKUP($B69,'2) หลักการคำนวน Table'!$D$5:$M$20,HLOOKUP(AH69,'2) หลักการคำนวน Table'!$D$1:$M$5,5,TRUE),0),
IF($C69="WS SF",VLOOKUP($B69,'2) หลักการคำนวน Table'!$D$33:$M$48,HLOOKUP(AH69,'2) หลักการคำนวน Table'!$D$1:$M$5,5,TRUE),0),
IF($C69="WS WH",VLOOKUP($B69,'2) หลักการคำนวน Table'!$D$63:$M$78,HLOOKUP(AH69,'2) หลักการคำนวน Table'!$D$1:$M$5,5,TRUE),0),
IF($C69="SF WH",VLOOKUP($B69,'2) หลักการคำนวน Table'!$D$93:$M$108,HLOOKUP(AH69,'2) หลักการคำนวน Table'!$D$1:$M$5,5,TRUE),0))))),0)</f>
        <v>157.5</v>
      </c>
      <c r="BG69" s="167">
        <f>IFERROR(IF($C69="Top WS",VLOOKUP($B69,'2) หลักการคำนวน Table'!$D$5:$M$20,HLOOKUP(AI69,'2) หลักการคำนวน Table'!$D$1:$M$5,5,TRUE),0),
IF($C69="WS SF",VLOOKUP($B69,'2) หลักการคำนวน Table'!$D$33:$M$48,HLOOKUP(AI69,'2) หลักการคำนวน Table'!$D$1:$M$5,5,TRUE),0),
IF($C69="WS WH",VLOOKUP($B69,'2) หลักการคำนวน Table'!$D$63:$M$78,HLOOKUP(AI69,'2) หลักการคำนวน Table'!$D$1:$M$5,5,TRUE),0),
IF($C69="SF WH",VLOOKUP($B69,'2) หลักการคำนวน Table'!$D$93:$M$108,HLOOKUP(AI69,'2) หลักการคำนวน Table'!$D$1:$M$5,5,TRUE),0))))),0)</f>
        <v>157.5</v>
      </c>
      <c r="BH69" s="167">
        <f>IFERROR(IF($C69="Top WS",VLOOKUP($B69,'2) หลักการคำนวน Table'!$D$5:$M$20,HLOOKUP(AP69,'2) หลักการคำนวน Table'!$D$1:$M$5,5,TRUE),0),
IF($C69="WS SF",VLOOKUP($B69,'2) หลักการคำนวน Table'!$D$33:$M$48,HLOOKUP(AP69,'2) หลักการคำนวน Table'!$D$1:$M$5,5,TRUE),0),
IF($C69="WS WH",VLOOKUP($B69,'2) หลักการคำนวน Table'!$D$63:$M$78,HLOOKUP(AP69,'2) หลักการคำนวน Table'!$D$1:$M$5,5,TRUE),0),
IF($C69="SF WH",VLOOKUP($B69,'2) หลักการคำนวน Table'!$D$93:$M$108,HLOOKUP(AP69,'2) หลักการคำนวน Table'!$D$1:$M$5,5,TRUE),0))))),0)</f>
        <v>157.5</v>
      </c>
      <c r="BI69" s="167">
        <f>IFERROR(IF($C69="Top WS",VLOOKUP($B69,'2) หลักการคำนวน Table'!$D$5:$M$20,HLOOKUP(AK69,'2) หลักการคำนวน Table'!$D$1:$M$5,5,TRUE),0),
IF($C69="WS SF",VLOOKUP($B69,'2) หลักการคำนวน Table'!$D$33:$M$48,HLOOKUP(AK69,'2) หลักการคำนวน Table'!$D$1:$M$5,5,TRUE),0),
IF($C69="WS WH",VLOOKUP($B69,'2) หลักการคำนวน Table'!$D$63:$M$78,HLOOKUP(AK69,'2) หลักการคำนวน Table'!$D$1:$M$5,5,TRUE),0),
IF($C69="SF WH",VLOOKUP($B69,'2) หลักการคำนวน Table'!$D$93:$M$108,HLOOKUP(AK69,'2) หลักการคำนวน Table'!$D$1:$M$5,5,TRUE),0))))),0)</f>
        <v>157.5</v>
      </c>
      <c r="BJ69" s="167">
        <f>IFERROR(IF($C69="Top WS",VLOOKUP($B69,'2) หลักการคำนวน Table'!$D$5:$M$20,HLOOKUP(AL69,'2) หลักการคำนวน Table'!$D$1:$M$5,5,TRUE),0),
IF($C69="WS SF",VLOOKUP($B69,'2) หลักการคำนวน Table'!$D$33:$M$48,HLOOKUP(AL69,'2) หลักการคำนวน Table'!$D$1:$M$5,5,TRUE),0),
IF($C69="WS WH",VLOOKUP($B69,'2) หลักการคำนวน Table'!$D$63:$M$78,HLOOKUP(AL69,'2) หลักการคำนวน Table'!$D$1:$M$5,5,TRUE),0),
IF($C69="SF WH",VLOOKUP($B69,'2) หลักการคำนวน Table'!$D$93:$M$108,HLOOKUP(AL69,'2) หลักการคำนวน Table'!$D$1:$M$5,5,TRUE),0))))),0)</f>
        <v>157.5</v>
      </c>
      <c r="BK69" s="167">
        <f>IFERROR(IF($C69="Top WS",VLOOKUP($B69,'2) หลักการคำนวน Table'!$D$5:$M$20,HLOOKUP(AM69,'2) หลักการคำนวน Table'!$D$1:$M$5,5,TRUE),0),
IF($C69="WS SF",VLOOKUP($B69,'2) หลักการคำนวน Table'!$D$33:$M$48,HLOOKUP(AM69,'2) หลักการคำนวน Table'!$D$1:$M$5,5,TRUE),0),
IF($C69="WS WH",VLOOKUP($B69,'2) หลักการคำนวน Table'!$D$63:$M$78,HLOOKUP(AM69,'2) หลักการคำนวน Table'!$D$1:$M$5,5,TRUE),0),
IF($C69="SF WH",VLOOKUP($B69,'2) หลักการคำนวน Table'!$D$93:$M$108,HLOOKUP(AM69,'2) หลักการคำนวน Table'!$D$1:$M$5,5,TRUE),0))))),0)</f>
        <v>157.5</v>
      </c>
      <c r="BM69" s="119">
        <f>VLOOKUP(VLOOKUP(A69,ASTBase!E:S,13,FALSE),ASTBase!F:P,11,FALSE)</f>
        <v>140000</v>
      </c>
      <c r="BN69" s="196" cm="1">
        <f t="array" ref="BN69">INDEX(AN69:AY69,,Period!$D$2)</f>
        <v>1.2</v>
      </c>
    </row>
    <row r="70" spans="1:66" x14ac:dyDescent="0.25">
      <c r="A70" s="117">
        <v>140003</v>
      </c>
      <c r="B70" s="117" t="s">
        <v>388</v>
      </c>
      <c r="C70" s="117" t="s">
        <v>180</v>
      </c>
      <c r="D70" s="118">
        <v>8394</v>
      </c>
      <c r="E70" s="118">
        <v>9407</v>
      </c>
      <c r="F70" s="118">
        <v>9268</v>
      </c>
      <c r="G70" s="118">
        <v>8671</v>
      </c>
      <c r="H70" s="118">
        <v>9306</v>
      </c>
      <c r="I70" s="118">
        <v>9469</v>
      </c>
      <c r="J70" s="118">
        <v>9249</v>
      </c>
      <c r="K70" s="118">
        <v>9819</v>
      </c>
      <c r="L70" s="118">
        <v>9622</v>
      </c>
      <c r="M70" s="118">
        <v>10740</v>
      </c>
      <c r="N70" s="118">
        <v>9393</v>
      </c>
      <c r="O70" s="118">
        <v>9393</v>
      </c>
      <c r="P70" s="117">
        <f>SUMIFS(Actual!C:C,Actual!$A:$A,'3)Target &amp; Cal'!$A70,Actual!$B:$B,'3)Target &amp; Cal'!$B70)</f>
        <v>6303</v>
      </c>
      <c r="Q70" s="117">
        <f>SUMIFS(Actual!D:D,Actual!$A:$A,'3)Target &amp; Cal'!$A70,Actual!$B:$B,'3)Target &amp; Cal'!$B70)</f>
        <v>11480.7</v>
      </c>
      <c r="R70" s="117">
        <f>SUMIFS(Actual!E:E,Actual!$A:$A,'3)Target &amp; Cal'!$A70,Actual!$B:$B,'3)Target &amp; Cal'!$B70)</f>
        <v>0</v>
      </c>
      <c r="S70" s="117">
        <f>SUMIFS(Actual!F:F,Actual!$A:$A,'3)Target &amp; Cal'!$A70,Actual!$B:$B,'3)Target &amp; Cal'!$B70)</f>
        <v>0</v>
      </c>
      <c r="T70" s="117">
        <f>SUMIFS(Actual!G:G,Actual!$A:$A,'3)Target &amp; Cal'!$A70,Actual!$B:$B,'3)Target &amp; Cal'!$B70)</f>
        <v>0</v>
      </c>
      <c r="U70" s="117">
        <f>SUMIFS(Actual!H:H,Actual!$A:$A,'3)Target &amp; Cal'!$A70,Actual!$B:$B,'3)Target &amp; Cal'!$B70)</f>
        <v>0</v>
      </c>
      <c r="V70" s="117">
        <f>SUMIFS(Actual!I:I,Actual!$A:$A,'3)Target &amp; Cal'!$A70,Actual!$B:$B,'3)Target &amp; Cal'!$B70)</f>
        <v>0</v>
      </c>
      <c r="W70" s="117">
        <f>SUMIFS(Actual!J:J,Actual!$A:$A,'3)Target &amp; Cal'!$A70,Actual!$B:$B,'3)Target &amp; Cal'!$B70)</f>
        <v>0</v>
      </c>
      <c r="X70" s="117">
        <f>SUMIFS(Actual!K:K,Actual!$A:$A,'3)Target &amp; Cal'!$A70,Actual!$B:$B,'3)Target &amp; Cal'!$B70)</f>
        <v>0</v>
      </c>
      <c r="Y70" s="117">
        <f>SUMIFS(Actual!L:L,Actual!$A:$A,'3)Target &amp; Cal'!$A70,Actual!$B:$B,'3)Target &amp; Cal'!$B70)</f>
        <v>0</v>
      </c>
      <c r="Z70" s="117">
        <f>SUMIFS(Actual!M:M,Actual!$A:$A,'3)Target &amp; Cal'!$A70,Actual!$B:$B,'3)Target &amp; Cal'!$B70)</f>
        <v>0</v>
      </c>
      <c r="AA70" s="117">
        <f>SUMIFS(Actual!N:N,Actual!$A:$A,'3)Target &amp; Cal'!$A70,Actual!$B:$B,'3)Target &amp; Cal'!$B70)</f>
        <v>0</v>
      </c>
      <c r="AB70" s="123">
        <f>IFERROR(IF(VLOOKUP($B70,Shortage!$A:$M,AB$2,FALSE)="Shortage",1,IFERROR(ROUND(P70/D70,4),0)),IFERROR(ROUND(P70/D70,4),0))</f>
        <v>1</v>
      </c>
      <c r="AC70" s="123">
        <f>IFERROR(IF(VLOOKUP($B70,Shortage!$A:$M,AC$2,FALSE)="Shortage",1,IFERROR(ROUND(Q70/E70,4),0)),IFERROR(ROUND(Q70/E70,4),0))</f>
        <v>1.2203999999999999</v>
      </c>
      <c r="AD70" s="123">
        <f>IFERROR(IF(VLOOKUP($B70,Shortage!$A:$M,AD$2,FALSE)="Shortage",1,IFERROR(ROUND(R70/F70,4),0)),IFERROR(ROUND(R70/F70,4),0))</f>
        <v>0</v>
      </c>
      <c r="AE70" s="123">
        <f>IFERROR(IF(VLOOKUP($B70,Shortage!$A:$M,AE$2,FALSE)="Shortage",1,IFERROR(ROUND(S70/G70,4),0)),IFERROR(ROUND(S70/G70,4),0))</f>
        <v>0</v>
      </c>
      <c r="AF70" s="123">
        <f>IFERROR(IF(VLOOKUP($B70,Shortage!$A:$M,AF$2,FALSE)="Shortage",1,IFERROR(ROUND(T70/H70,4),0)),IFERROR(ROUND(T70/H70,4),0))</f>
        <v>0</v>
      </c>
      <c r="AG70" s="123">
        <f>IFERROR(IF(VLOOKUP($B70,Shortage!$A:$M,AG$2,FALSE)="Shortage",1,IFERROR(ROUND(U70/I70,4),0)),IFERROR(ROUND(U70/I70,4),0))</f>
        <v>0</v>
      </c>
      <c r="AH70" s="123">
        <f>IFERROR(IF(VLOOKUP($B70,Shortage!$A:$M,AH$2,FALSE)="Shortage",1,IFERROR(ROUND(V70/J70,4),0)),IFERROR(ROUND(V70/J70,4),0))</f>
        <v>0</v>
      </c>
      <c r="AI70" s="123">
        <f>IFERROR(IF(VLOOKUP($B70,Shortage!$A:$M,AI$2,FALSE)="Shortage",1,IFERROR(ROUND(W70/K70,4),0)),IFERROR(ROUND(W70/K70,4),0))</f>
        <v>0</v>
      </c>
      <c r="AJ70" s="123">
        <f>IFERROR(IF(VLOOKUP($B70,Shortage!$A:$M,AP$2,FALSE)="Shortage",1,IFERROR(ROUND(X70/L70,4),0)),IFERROR(ROUND(X70/L70,4),0))</f>
        <v>0</v>
      </c>
      <c r="AK70" s="123">
        <f>IFERROR(IF(VLOOKUP($B70,Shortage!$A:$M,AK$2,FALSE)="Shortage",1,IFERROR(ROUND(Y70/M70,4),0)),IFERROR(ROUND(Y70/M70,4),0))</f>
        <v>0</v>
      </c>
      <c r="AL70" s="123">
        <f>IFERROR(IF(VLOOKUP($B70,Shortage!$A:$M,AL$2,FALSE)="Shortage",1,IFERROR(ROUND(Z70/N70,4),0)),IFERROR(ROUND(Z70/N70,4),0))</f>
        <v>0</v>
      </c>
      <c r="AM70" s="123">
        <f>IFERROR(IF(VLOOKUP($B70,Shortage!$A:$M,AM$2,FALSE)="Shortage",1,IFERROR(ROUND(AA70/O70,4),0)),IFERROR(ROUND(AA70/O70,4),0))</f>
        <v>0</v>
      </c>
      <c r="AN70" s="232">
        <f>IFERROR(IF($C70="Top WS",VLOOKUP("GOAL",'2) หลักการคำนวน Table'!$D$4:$M$4,HLOOKUP(AB70,'2) หลักการคำนวน Table'!$D$1:$M$5,5,TRUE),0),
IF($C70="WS SF",VLOOKUP("GOAL",'2) หลักการคำนวน Table'!$D$32:$M$32,HLOOKUP(AB70,'2) หลักการคำนวน Table'!$D$1:$M$5,5,TRUE),0),
IF($C70="WS WH",VLOOKUP("GOAL",'2) หลักการคำนวน Table'!$D$62:$M$62,HLOOKUP(AB70,'2) หลักการคำนวน Table'!$D$1:$M$5,5,TRUE),0),
IF($C70="SF WH",VLOOKUP("GOAL",'2) หลักการคำนวน Table'!$D$92:$M$92,HLOOKUP(AB70,'2) หลักการคำนวน Table'!$D$1:$M$5,5,TRUE),0))))),0)</f>
        <v>1</v>
      </c>
      <c r="AO70" s="232">
        <f>IFERROR(IF($C70="Top WS",VLOOKUP("GOAL",'2) หลักการคำนวน Table'!$D$4:$M$4,HLOOKUP(AC70,'2) หลักการคำนวน Table'!$D$1:$M$5,5,TRUE),0),
IF($C70="WS SF",VLOOKUP("GOAL",'2) หลักการคำนวน Table'!$D$32:$M$32,HLOOKUP(AC70,'2) หลักการคำนวน Table'!$D$1:$M$5,5,TRUE),0),
IF($C70="WS WH",VLOOKUP("GOAL",'2) หลักการคำนวน Table'!$D$62:$M$62,HLOOKUP(AC70,'2) หลักการคำนวน Table'!$D$1:$M$5,5,TRUE),0),
IF($C70="SF WH",VLOOKUP("GOAL",'2) หลักการคำนวน Table'!$D$92:$M$92,HLOOKUP(AC70,'2) หลักการคำนวน Table'!$D$1:$M$5,5,TRUE),0))))),0)</f>
        <v>1.3</v>
      </c>
      <c r="AP70" s="232">
        <f>IFERROR(IF($C70="Top WS",VLOOKUP("GOAL",'2) หลักการคำนวน Table'!$D$4:$M$4,HLOOKUP(AD70,'2) หลักการคำนวน Table'!$D$1:$M$5,5,TRUE),0),
IF($C70="WS SF",VLOOKUP("GOAL",'2) หลักการคำนวน Table'!$D$32:$M$32,HLOOKUP(AD70,'2) หลักการคำนวน Table'!$D$1:$M$5,5,TRUE),0),
IF($C70="WS WH",VLOOKUP("GOAL",'2) หลักการคำนวน Table'!$D$62:$M$62,HLOOKUP(AD70,'2) หลักการคำนวน Table'!$D$1:$M$5,5,TRUE),0),
IF($C70="SF WH",VLOOKUP("GOAL",'2) หลักการคำนวน Table'!$D$92:$M$92,HLOOKUP(AD70,'2) หลักการคำนวน Table'!$D$1:$M$5,5,TRUE),0))))),0)</f>
        <v>0.9</v>
      </c>
      <c r="AQ70" s="232">
        <f>IFERROR(IF($C70="Top WS",VLOOKUP("GOAL",'2) หลักการคำนวน Table'!$D$4:$M$4,HLOOKUP(AE70,'2) หลักการคำนวน Table'!$D$1:$M$5,5,TRUE),0),
IF($C70="WS SF",VLOOKUP("GOAL",'2) หลักการคำนวน Table'!$D$32:$M$32,HLOOKUP(AE70,'2) หลักการคำนวน Table'!$D$1:$M$5,5,TRUE),0),
IF($C70="WS WH",VLOOKUP("GOAL",'2) หลักการคำนวน Table'!$D$62:$M$62,HLOOKUP(AE70,'2) หลักการคำนวน Table'!$D$1:$M$5,5,TRUE),0),
IF($C70="SF WH",VLOOKUP("GOAL",'2) หลักการคำนวน Table'!$D$92:$M$92,HLOOKUP(AE70,'2) หลักการคำนวน Table'!$D$1:$M$5,5,TRUE),0))))),0)</f>
        <v>0.9</v>
      </c>
      <c r="AR70" s="232">
        <f>IFERROR(IF($C70="Top WS",VLOOKUP("GOAL",'2) หลักการคำนวน Table'!$D$4:$M$4,HLOOKUP(AF70,'2) หลักการคำนวน Table'!$D$1:$M$5,5,TRUE),0),
IF($C70="WS SF",VLOOKUP("GOAL",'2) หลักการคำนวน Table'!$D$32:$M$32,HLOOKUP(AF70,'2) หลักการคำนวน Table'!$D$1:$M$5,5,TRUE),0),
IF($C70="WS WH",VLOOKUP("GOAL",'2) หลักการคำนวน Table'!$D$62:$M$62,HLOOKUP(AF70,'2) หลักการคำนวน Table'!$D$1:$M$5,5,TRUE),0),
IF($C70="SF WH",VLOOKUP("GOAL",'2) หลักการคำนวน Table'!$D$92:$M$92,HLOOKUP(AF70,'2) หลักการคำนวน Table'!$D$1:$M$5,5,TRUE),0))))),0)</f>
        <v>0.9</v>
      </c>
      <c r="AS70" s="232">
        <f>IFERROR(IF($C70="Top WS",VLOOKUP("GOAL",'2) หลักการคำนวน Table'!$D$4:$M$4,HLOOKUP(AG70,'2) หลักการคำนวน Table'!$D$1:$M$5,5,TRUE),0),
IF($C70="WS SF",VLOOKUP("GOAL",'2) หลักการคำนวน Table'!$D$32:$M$32,HLOOKUP(AG70,'2) หลักการคำนวน Table'!$D$1:$M$5,5,TRUE),0),
IF($C70="WS WH",VLOOKUP("GOAL",'2) หลักการคำนวน Table'!$D$62:$M$62,HLOOKUP(AG70,'2) หลักการคำนวน Table'!$D$1:$M$5,5,TRUE),0),
IF($C70="SF WH",VLOOKUP("GOAL",'2) หลักการคำนวน Table'!$D$92:$M$92,HLOOKUP(AG70,'2) หลักการคำนวน Table'!$D$1:$M$5,5,TRUE),0))))),0)</f>
        <v>0.9</v>
      </c>
      <c r="AT70" s="232">
        <f>IFERROR(IF($C70="Top WS",VLOOKUP("GOAL",'2) หลักการคำนวน Table'!$D$4:$M$4,HLOOKUP(AH70,'2) หลักการคำนวน Table'!$D$1:$M$5,5,TRUE),0),
IF($C70="WS SF",VLOOKUP("GOAL",'2) หลักการคำนวน Table'!$D$32:$M$32,HLOOKUP(AH70,'2) หลักการคำนวน Table'!$D$1:$M$5,5,TRUE),0),
IF($C70="WS WH",VLOOKUP("GOAL",'2) หลักการคำนวน Table'!$D$62:$M$62,HLOOKUP(AH70,'2) หลักการคำนวน Table'!$D$1:$M$5,5,TRUE),0),
IF($C70="SF WH",VLOOKUP("GOAL",'2) หลักการคำนวน Table'!$D$92:$M$92,HLOOKUP(AH70,'2) หลักการคำนวน Table'!$D$1:$M$5,5,TRUE),0))))),0)</f>
        <v>0.9</v>
      </c>
      <c r="AU70" s="232">
        <f>IFERROR(IF($C70="Top WS",VLOOKUP("GOAL",'2) หลักการคำนวน Table'!$D$4:$M$4,HLOOKUP(AI70,'2) หลักการคำนวน Table'!$D$1:$M$5,5,TRUE),0),
IF($C70="WS SF",VLOOKUP("GOAL",'2) หลักการคำนวน Table'!$D$32:$M$32,HLOOKUP(AI70,'2) หลักการคำนวน Table'!$D$1:$M$5,5,TRUE),0),
IF($C70="WS WH",VLOOKUP("GOAL",'2) หลักการคำนวน Table'!$D$62:$M$62,HLOOKUP(AI70,'2) หลักการคำนวน Table'!$D$1:$M$5,5,TRUE),0),
IF($C70="SF WH",VLOOKUP("GOAL",'2) หลักการคำนวน Table'!$D$92:$M$92,HLOOKUP(AI70,'2) หลักการคำนวน Table'!$D$1:$M$5,5,TRUE),0))))),0)</f>
        <v>0.9</v>
      </c>
      <c r="AV70" s="232">
        <f>IFERROR(IF($C70="Top WS",VLOOKUP("GOAL",'2) หลักการคำนวน Table'!$D$4:$M$4,HLOOKUP(AP70,'2) หลักการคำนวน Table'!$D$1:$M$5,5,TRUE),0),
IF($C70="WS SF",VLOOKUP("GOAL",'2) หลักการคำนวน Table'!$D$32:$M$32,HLOOKUP(AP70,'2) หลักการคำนวน Table'!$D$1:$M$5,5,TRUE),0),
IF($C70="WS WH",VLOOKUP("GOAL",'2) หลักการคำนวน Table'!$D$62:$M$62,HLOOKUP(AP70,'2) หลักการคำนวน Table'!$D$1:$M$5,5,TRUE),0),
IF($C70="SF WH",VLOOKUP("GOAL",'2) หลักการคำนวน Table'!$D$92:$M$92,HLOOKUP(AP70,'2) หลักการคำนวน Table'!$D$1:$M$5,5,TRUE),0))))),0)</f>
        <v>0.9</v>
      </c>
      <c r="AW70" s="232">
        <f>IFERROR(IF($C70="Top WS",VLOOKUP("GOAL",'2) หลักการคำนวน Table'!$D$4:$M$4,HLOOKUP(AK70,'2) หลักการคำนวน Table'!$D$1:$M$5,5,TRUE),0),
IF($C70="WS SF",VLOOKUP("GOAL",'2) หลักการคำนวน Table'!$D$32:$M$32,HLOOKUP(AK70,'2) หลักการคำนวน Table'!$D$1:$M$5,5,TRUE),0),
IF($C70="WS WH",VLOOKUP("GOAL",'2) หลักการคำนวน Table'!$D$62:$M$62,HLOOKUP(AK70,'2) หลักการคำนวน Table'!$D$1:$M$5,5,TRUE),0),
IF($C70="SF WH",VLOOKUP("GOAL",'2) หลักการคำนวน Table'!$D$92:$M$92,HLOOKUP(AK70,'2) หลักการคำนวน Table'!$D$1:$M$5,5,TRUE),0))))),0)</f>
        <v>0.9</v>
      </c>
      <c r="AX70" s="232">
        <f>IFERROR(IF($C70="Top WS",VLOOKUP("GOAL",'2) หลักการคำนวน Table'!$D$4:$M$4,HLOOKUP(AL70,'2) หลักการคำนวน Table'!$D$1:$M$5,5,TRUE),0),
IF($C70="WS SF",VLOOKUP("GOAL",'2) หลักการคำนวน Table'!$D$32:$M$32,HLOOKUP(AL70,'2) หลักการคำนวน Table'!$D$1:$M$5,5,TRUE),0),
IF($C70="WS WH",VLOOKUP("GOAL",'2) หลักการคำนวน Table'!$D$62:$M$62,HLOOKUP(AL70,'2) หลักการคำนวน Table'!$D$1:$M$5,5,TRUE),0),
IF($C70="SF WH",VLOOKUP("GOAL",'2) หลักการคำนวน Table'!$D$92:$M$92,HLOOKUP(AL70,'2) หลักการคำนวน Table'!$D$1:$M$5,5,TRUE),0))))),0)</f>
        <v>0.9</v>
      </c>
      <c r="AY70" s="232">
        <f>IFERROR(IF($C70="Top WS",VLOOKUP("GOAL",'2) หลักการคำนวน Table'!$D$4:$M$4,HLOOKUP(AM70,'2) หลักการคำนวน Table'!$D$1:$M$5,5,TRUE),0),
IF($C70="WS SF",VLOOKUP("GOAL",'2) หลักการคำนวน Table'!$D$32:$M$32,HLOOKUP(AM70,'2) หลักการคำนวน Table'!$D$1:$M$5,5,TRUE),0),
IF($C70="WS WH",VLOOKUP("GOAL",'2) หลักการคำนวน Table'!$D$62:$M$62,HLOOKUP(AM70,'2) หลักการคำนวน Table'!$D$1:$M$5,5,TRUE),0),
IF($C70="SF WH",VLOOKUP("GOAL",'2) หลักการคำนวน Table'!$D$92:$M$92,HLOOKUP(AM70,'2) หลักการคำนวน Table'!$D$1:$M$5,5,TRUE),0))))),0)</f>
        <v>0.9</v>
      </c>
      <c r="AZ70" s="167">
        <f>IFERROR(IF($C70="Top WS",VLOOKUP($B70,'2) หลักการคำนวน Table'!$D$5:$M$20,HLOOKUP(AB70,'2) หลักการคำนวน Table'!$D$1:$M$5,5,TRUE),0),
IF($C70="WS SF",VLOOKUP($B70,'2) หลักการคำนวน Table'!$D$33:$M$48,HLOOKUP(AB70,'2) หลักการคำนวน Table'!$D$1:$M$5,5,TRUE),0),
IF($C70="WS WH",VLOOKUP($B70,'2) หลักการคำนวน Table'!$D$63:$M$78,HLOOKUP(AB70,'2) หลักการคำนวน Table'!$D$1:$M$5,5,TRUE),0),
IF($C70="SF WH",VLOOKUP($B70,'2) หลักการคำนวน Table'!$D$93:$M$108,HLOOKUP(AB70,'2) หลักการคำนวน Table'!$D$1:$M$5,5,TRUE),0))))),0)</f>
        <v>350</v>
      </c>
      <c r="BA70" s="167">
        <f>IFERROR(IF($C70="Top WS",VLOOKUP($B70,'2) หลักการคำนวน Table'!$D$5:$M$20,HLOOKUP(AC70,'2) หลักการคำนวน Table'!$D$1:$M$5,5,TRUE),0),
IF($C70="WS SF",VLOOKUP($B70,'2) หลักการคำนวน Table'!$D$33:$M$48,HLOOKUP(AC70,'2) หลักการคำนวน Table'!$D$1:$M$5,5,TRUE),0),
IF($C70="WS WH",VLOOKUP($B70,'2) หลักการคำนวน Table'!$D$63:$M$78,HLOOKUP(AC70,'2) หลักการคำนวน Table'!$D$1:$M$5,5,TRUE),0),
IF($C70="SF WH",VLOOKUP($B70,'2) หลักการคำนวน Table'!$D$93:$M$108,HLOOKUP(AC70,'2) หลักการคำนวน Table'!$D$1:$M$5,5,TRUE),0))))),0)</f>
        <v>455</v>
      </c>
      <c r="BB70" s="167">
        <f>IFERROR(IF($C70="Top WS",VLOOKUP($B70,'2) หลักการคำนวน Table'!$D$5:$M$20,HLOOKUP(AD70,'2) หลักการคำนวน Table'!$D$1:$M$5,5,TRUE),0),
IF($C70="WS SF",VLOOKUP($B70,'2) หลักการคำนวน Table'!$D$33:$M$48,HLOOKUP(AD70,'2) หลักการคำนวน Table'!$D$1:$M$5,5,TRUE),0),
IF($C70="WS WH",VLOOKUP($B70,'2) หลักการคำนวน Table'!$D$63:$M$78,HLOOKUP(AD70,'2) หลักการคำนวน Table'!$D$1:$M$5,5,TRUE),0),
IF($C70="SF WH",VLOOKUP($B70,'2) หลักการคำนวน Table'!$D$93:$M$108,HLOOKUP(AD70,'2) หลักการคำนวน Table'!$D$1:$M$5,5,TRUE),0))))),0)</f>
        <v>315</v>
      </c>
      <c r="BC70" s="167">
        <f>IFERROR(IF($C70="Top WS",VLOOKUP($B70,'2) หลักการคำนวน Table'!$D$5:$M$20,HLOOKUP(AE70,'2) หลักการคำนวน Table'!$D$1:$M$5,5,TRUE),0),
IF($C70="WS SF",VLOOKUP($B70,'2) หลักการคำนวน Table'!$D$33:$M$48,HLOOKUP(AE70,'2) หลักการคำนวน Table'!$D$1:$M$5,5,TRUE),0),
IF($C70="WS WH",VLOOKUP($B70,'2) หลักการคำนวน Table'!$D$63:$M$78,HLOOKUP(AE70,'2) หลักการคำนวน Table'!$D$1:$M$5,5,TRUE),0),
IF($C70="SF WH",VLOOKUP($B70,'2) หลักการคำนวน Table'!$D$93:$M$108,HLOOKUP(AE70,'2) หลักการคำนวน Table'!$D$1:$M$5,5,TRUE),0))))),0)</f>
        <v>315</v>
      </c>
      <c r="BD70" s="167">
        <f>IFERROR(IF($C70="Top WS",VLOOKUP($B70,'2) หลักการคำนวน Table'!$D$5:$M$20,HLOOKUP(AF70,'2) หลักการคำนวน Table'!$D$1:$M$5,5,TRUE),0),
IF($C70="WS SF",VLOOKUP($B70,'2) หลักการคำนวน Table'!$D$33:$M$48,HLOOKUP(AF70,'2) หลักการคำนวน Table'!$D$1:$M$5,5,TRUE),0),
IF($C70="WS WH",VLOOKUP($B70,'2) หลักการคำนวน Table'!$D$63:$M$78,HLOOKUP(AF70,'2) หลักการคำนวน Table'!$D$1:$M$5,5,TRUE),0),
IF($C70="SF WH",VLOOKUP($B70,'2) หลักการคำนวน Table'!$D$93:$M$108,HLOOKUP(AF70,'2) หลักการคำนวน Table'!$D$1:$M$5,5,TRUE),0))))),0)</f>
        <v>315</v>
      </c>
      <c r="BE70" s="167">
        <f>IFERROR(IF($C70="Top WS",VLOOKUP($B70,'2) หลักการคำนวน Table'!$D$5:$M$20,HLOOKUP(AG70,'2) หลักการคำนวน Table'!$D$1:$M$5,5,TRUE),0),
IF($C70="WS SF",VLOOKUP($B70,'2) หลักการคำนวน Table'!$D$33:$M$48,HLOOKUP(AG70,'2) หลักการคำนวน Table'!$D$1:$M$5,5,TRUE),0),
IF($C70="WS WH",VLOOKUP($B70,'2) หลักการคำนวน Table'!$D$63:$M$78,HLOOKUP(AG70,'2) หลักการคำนวน Table'!$D$1:$M$5,5,TRUE),0),
IF($C70="SF WH",VLOOKUP($B70,'2) หลักการคำนวน Table'!$D$93:$M$108,HLOOKUP(AG70,'2) หลักการคำนวน Table'!$D$1:$M$5,5,TRUE),0))))),0)</f>
        <v>315</v>
      </c>
      <c r="BF70" s="167">
        <f>IFERROR(IF($C70="Top WS",VLOOKUP($B70,'2) หลักการคำนวน Table'!$D$5:$M$20,HLOOKUP(AH70,'2) หลักการคำนวน Table'!$D$1:$M$5,5,TRUE),0),
IF($C70="WS SF",VLOOKUP($B70,'2) หลักการคำนวน Table'!$D$33:$M$48,HLOOKUP(AH70,'2) หลักการคำนวน Table'!$D$1:$M$5,5,TRUE),0),
IF($C70="WS WH",VLOOKUP($B70,'2) หลักการคำนวน Table'!$D$63:$M$78,HLOOKUP(AH70,'2) หลักการคำนวน Table'!$D$1:$M$5,5,TRUE),0),
IF($C70="SF WH",VLOOKUP($B70,'2) หลักการคำนวน Table'!$D$93:$M$108,HLOOKUP(AH70,'2) หลักการคำนวน Table'!$D$1:$M$5,5,TRUE),0))))),0)</f>
        <v>315</v>
      </c>
      <c r="BG70" s="167">
        <f>IFERROR(IF($C70="Top WS",VLOOKUP($B70,'2) หลักการคำนวน Table'!$D$5:$M$20,HLOOKUP(AI70,'2) หลักการคำนวน Table'!$D$1:$M$5,5,TRUE),0),
IF($C70="WS SF",VLOOKUP($B70,'2) หลักการคำนวน Table'!$D$33:$M$48,HLOOKUP(AI70,'2) หลักการคำนวน Table'!$D$1:$M$5,5,TRUE),0),
IF($C70="WS WH",VLOOKUP($B70,'2) หลักการคำนวน Table'!$D$63:$M$78,HLOOKUP(AI70,'2) หลักการคำนวน Table'!$D$1:$M$5,5,TRUE),0),
IF($C70="SF WH",VLOOKUP($B70,'2) หลักการคำนวน Table'!$D$93:$M$108,HLOOKUP(AI70,'2) หลักการคำนวน Table'!$D$1:$M$5,5,TRUE),0))))),0)</f>
        <v>315</v>
      </c>
      <c r="BH70" s="167">
        <f>IFERROR(IF($C70="Top WS",VLOOKUP($B70,'2) หลักการคำนวน Table'!$D$5:$M$20,HLOOKUP(AP70,'2) หลักการคำนวน Table'!$D$1:$M$5,5,TRUE),0),
IF($C70="WS SF",VLOOKUP($B70,'2) หลักการคำนวน Table'!$D$33:$M$48,HLOOKUP(AP70,'2) หลักการคำนวน Table'!$D$1:$M$5,5,TRUE),0),
IF($C70="WS WH",VLOOKUP($B70,'2) หลักการคำนวน Table'!$D$63:$M$78,HLOOKUP(AP70,'2) หลักการคำนวน Table'!$D$1:$M$5,5,TRUE),0),
IF($C70="SF WH",VLOOKUP($B70,'2) หลักการคำนวน Table'!$D$93:$M$108,HLOOKUP(AP70,'2) หลักการคำนวน Table'!$D$1:$M$5,5,TRUE),0))))),0)</f>
        <v>315</v>
      </c>
      <c r="BI70" s="167">
        <f>IFERROR(IF($C70="Top WS",VLOOKUP($B70,'2) หลักการคำนวน Table'!$D$5:$M$20,HLOOKUP(AK70,'2) หลักการคำนวน Table'!$D$1:$M$5,5,TRUE),0),
IF($C70="WS SF",VLOOKUP($B70,'2) หลักการคำนวน Table'!$D$33:$M$48,HLOOKUP(AK70,'2) หลักการคำนวน Table'!$D$1:$M$5,5,TRUE),0),
IF($C70="WS WH",VLOOKUP($B70,'2) หลักการคำนวน Table'!$D$63:$M$78,HLOOKUP(AK70,'2) หลักการคำนวน Table'!$D$1:$M$5,5,TRUE),0),
IF($C70="SF WH",VLOOKUP($B70,'2) หลักการคำนวน Table'!$D$93:$M$108,HLOOKUP(AK70,'2) หลักการคำนวน Table'!$D$1:$M$5,5,TRUE),0))))),0)</f>
        <v>315</v>
      </c>
      <c r="BJ70" s="167">
        <f>IFERROR(IF($C70="Top WS",VLOOKUP($B70,'2) หลักการคำนวน Table'!$D$5:$M$20,HLOOKUP(AL70,'2) หลักการคำนวน Table'!$D$1:$M$5,5,TRUE),0),
IF($C70="WS SF",VLOOKUP($B70,'2) หลักการคำนวน Table'!$D$33:$M$48,HLOOKUP(AL70,'2) หลักการคำนวน Table'!$D$1:$M$5,5,TRUE),0),
IF($C70="WS WH",VLOOKUP($B70,'2) หลักการคำนวน Table'!$D$63:$M$78,HLOOKUP(AL70,'2) หลักการคำนวน Table'!$D$1:$M$5,5,TRUE),0),
IF($C70="SF WH",VLOOKUP($B70,'2) หลักการคำนวน Table'!$D$93:$M$108,HLOOKUP(AL70,'2) หลักการคำนวน Table'!$D$1:$M$5,5,TRUE),0))))),0)</f>
        <v>315</v>
      </c>
      <c r="BK70" s="167">
        <f>IFERROR(IF($C70="Top WS",VLOOKUP($B70,'2) หลักการคำนวน Table'!$D$5:$M$20,HLOOKUP(AM70,'2) หลักการคำนวน Table'!$D$1:$M$5,5,TRUE),0),
IF($C70="WS SF",VLOOKUP($B70,'2) หลักการคำนวน Table'!$D$33:$M$48,HLOOKUP(AM70,'2) หลักการคำนวน Table'!$D$1:$M$5,5,TRUE),0),
IF($C70="WS WH",VLOOKUP($B70,'2) หลักการคำนวน Table'!$D$63:$M$78,HLOOKUP(AM70,'2) หลักการคำนวน Table'!$D$1:$M$5,5,TRUE),0),
IF($C70="SF WH",VLOOKUP($B70,'2) หลักการคำนวน Table'!$D$93:$M$108,HLOOKUP(AM70,'2) หลักการคำนวน Table'!$D$1:$M$5,5,TRUE),0))))),0)</f>
        <v>315</v>
      </c>
      <c r="BM70" s="119">
        <f>VLOOKUP(VLOOKUP(A70,ASTBase!E:S,13,FALSE),ASTBase!F:P,11,FALSE)</f>
        <v>140000</v>
      </c>
      <c r="BN70" s="196" cm="1">
        <f t="array" ref="BN70">INDEX(AN70:AY70,,Period!$D$2)</f>
        <v>1.3</v>
      </c>
    </row>
    <row r="71" spans="1:66" x14ac:dyDescent="0.25">
      <c r="A71" s="117">
        <v>140003</v>
      </c>
      <c r="B71" s="117" t="s">
        <v>389</v>
      </c>
      <c r="C71" s="117" t="s">
        <v>180</v>
      </c>
      <c r="D71" s="118">
        <v>5741</v>
      </c>
      <c r="E71" s="118">
        <v>5410</v>
      </c>
      <c r="F71" s="118">
        <v>6258</v>
      </c>
      <c r="G71" s="118">
        <v>5132</v>
      </c>
      <c r="H71" s="118">
        <v>4292</v>
      </c>
      <c r="I71" s="118">
        <v>5447</v>
      </c>
      <c r="J71" s="118">
        <v>5002</v>
      </c>
      <c r="K71" s="118">
        <v>5682</v>
      </c>
      <c r="L71" s="118">
        <v>5699</v>
      </c>
      <c r="M71" s="118">
        <v>6343</v>
      </c>
      <c r="N71" s="118">
        <v>5132</v>
      </c>
      <c r="O71" s="118">
        <v>5128</v>
      </c>
      <c r="P71" s="117">
        <f>SUMIFS(Actual!C:C,Actual!$A:$A,'3)Target &amp; Cal'!$A71,Actual!$B:$B,'3)Target &amp; Cal'!$B71)</f>
        <v>6660.5</v>
      </c>
      <c r="Q71" s="117">
        <f>SUMIFS(Actual!D:D,Actual!$A:$A,'3)Target &amp; Cal'!$A71,Actual!$B:$B,'3)Target &amp; Cal'!$B71)</f>
        <v>10883</v>
      </c>
      <c r="R71" s="117">
        <f>SUMIFS(Actual!E:E,Actual!$A:$A,'3)Target &amp; Cal'!$A71,Actual!$B:$B,'3)Target &amp; Cal'!$B71)</f>
        <v>0</v>
      </c>
      <c r="S71" s="117">
        <f>SUMIFS(Actual!F:F,Actual!$A:$A,'3)Target &amp; Cal'!$A71,Actual!$B:$B,'3)Target &amp; Cal'!$B71)</f>
        <v>0</v>
      </c>
      <c r="T71" s="117">
        <f>SUMIFS(Actual!G:G,Actual!$A:$A,'3)Target &amp; Cal'!$A71,Actual!$B:$B,'3)Target &amp; Cal'!$B71)</f>
        <v>0</v>
      </c>
      <c r="U71" s="117">
        <f>SUMIFS(Actual!H:H,Actual!$A:$A,'3)Target &amp; Cal'!$A71,Actual!$B:$B,'3)Target &amp; Cal'!$B71)</f>
        <v>0</v>
      </c>
      <c r="V71" s="117">
        <f>SUMIFS(Actual!I:I,Actual!$A:$A,'3)Target &amp; Cal'!$A71,Actual!$B:$B,'3)Target &amp; Cal'!$B71)</f>
        <v>0</v>
      </c>
      <c r="W71" s="117">
        <f>SUMIFS(Actual!J:J,Actual!$A:$A,'3)Target &amp; Cal'!$A71,Actual!$B:$B,'3)Target &amp; Cal'!$B71)</f>
        <v>0</v>
      </c>
      <c r="X71" s="117">
        <f>SUMIFS(Actual!K:K,Actual!$A:$A,'3)Target &amp; Cal'!$A71,Actual!$B:$B,'3)Target &amp; Cal'!$B71)</f>
        <v>0</v>
      </c>
      <c r="Y71" s="117">
        <f>SUMIFS(Actual!L:L,Actual!$A:$A,'3)Target &amp; Cal'!$A71,Actual!$B:$B,'3)Target &amp; Cal'!$B71)</f>
        <v>0</v>
      </c>
      <c r="Z71" s="117">
        <f>SUMIFS(Actual!M:M,Actual!$A:$A,'3)Target &amp; Cal'!$A71,Actual!$B:$B,'3)Target &amp; Cal'!$B71)</f>
        <v>0</v>
      </c>
      <c r="AA71" s="117">
        <f>SUMIFS(Actual!N:N,Actual!$A:$A,'3)Target &amp; Cal'!$A71,Actual!$B:$B,'3)Target &amp; Cal'!$B71)</f>
        <v>0</v>
      </c>
      <c r="AB71" s="123">
        <f>IFERROR(IF(VLOOKUP($B71,Shortage!$A:$M,AB$2,FALSE)="Shortage",1,IFERROR(ROUND(P71/D71,4),0)),IFERROR(ROUND(P71/D71,4),0))</f>
        <v>1</v>
      </c>
      <c r="AC71" s="123">
        <f>IFERROR(IF(VLOOKUP($B71,Shortage!$A:$M,AC$2,FALSE)="Shortage",1,IFERROR(ROUND(Q71/E71,4),0)),IFERROR(ROUND(Q71/E71,4),0))</f>
        <v>1</v>
      </c>
      <c r="AD71" s="123">
        <f>IFERROR(IF(VLOOKUP($B71,Shortage!$A:$M,AD$2,FALSE)="Shortage",1,IFERROR(ROUND(R71/F71,4),0)),IFERROR(ROUND(R71/F71,4),0))</f>
        <v>0</v>
      </c>
      <c r="AE71" s="123">
        <f>IFERROR(IF(VLOOKUP($B71,Shortage!$A:$M,AE$2,FALSE)="Shortage",1,IFERROR(ROUND(S71/G71,4),0)),IFERROR(ROUND(S71/G71,4),0))</f>
        <v>0</v>
      </c>
      <c r="AF71" s="123">
        <f>IFERROR(IF(VLOOKUP($B71,Shortage!$A:$M,AF$2,FALSE)="Shortage",1,IFERROR(ROUND(T71/H71,4),0)),IFERROR(ROUND(T71/H71,4),0))</f>
        <v>0</v>
      </c>
      <c r="AG71" s="123">
        <f>IFERROR(IF(VLOOKUP($B71,Shortage!$A:$M,AG$2,FALSE)="Shortage",1,IFERROR(ROUND(U71/I71,4),0)),IFERROR(ROUND(U71/I71,4),0))</f>
        <v>0</v>
      </c>
      <c r="AH71" s="123">
        <f>IFERROR(IF(VLOOKUP($B71,Shortage!$A:$M,AH$2,FALSE)="Shortage",1,IFERROR(ROUND(V71/J71,4),0)),IFERROR(ROUND(V71/J71,4),0))</f>
        <v>0</v>
      </c>
      <c r="AI71" s="123">
        <f>IFERROR(IF(VLOOKUP($B71,Shortage!$A:$M,AI$2,FALSE)="Shortage",1,IFERROR(ROUND(W71/K71,4),0)),IFERROR(ROUND(W71/K71,4),0))</f>
        <v>0</v>
      </c>
      <c r="AJ71" s="123">
        <f>IFERROR(IF(VLOOKUP($B71,Shortage!$A:$M,AP$2,FALSE)="Shortage",1,IFERROR(ROUND(X71/L71,4),0)),IFERROR(ROUND(X71/L71,4),0))</f>
        <v>0</v>
      </c>
      <c r="AK71" s="123">
        <f>IFERROR(IF(VLOOKUP($B71,Shortage!$A:$M,AK$2,FALSE)="Shortage",1,IFERROR(ROUND(Y71/M71,4),0)),IFERROR(ROUND(Y71/M71,4),0))</f>
        <v>0</v>
      </c>
      <c r="AL71" s="123">
        <f>IFERROR(IF(VLOOKUP($B71,Shortage!$A:$M,AL$2,FALSE)="Shortage",1,IFERROR(ROUND(Z71/N71,4),0)),IFERROR(ROUND(Z71/N71,4),0))</f>
        <v>0</v>
      </c>
      <c r="AM71" s="123">
        <f>IFERROR(IF(VLOOKUP($B71,Shortage!$A:$M,AM$2,FALSE)="Shortage",1,IFERROR(ROUND(AA71/O71,4),0)),IFERROR(ROUND(AA71/O71,4),0))</f>
        <v>0</v>
      </c>
      <c r="AN71" s="232">
        <f>IFERROR(IF($C71="Top WS",VLOOKUP("GOAL",'2) หลักการคำนวน Table'!$D$4:$M$4,HLOOKUP(AB71,'2) หลักการคำนวน Table'!$D$1:$M$5,5,TRUE),0),
IF($C71="WS SF",VLOOKUP("GOAL",'2) หลักการคำนวน Table'!$D$32:$M$32,HLOOKUP(AB71,'2) หลักการคำนวน Table'!$D$1:$M$5,5,TRUE),0),
IF($C71="WS WH",VLOOKUP("GOAL",'2) หลักการคำนวน Table'!$D$62:$M$62,HLOOKUP(AB71,'2) หลักการคำนวน Table'!$D$1:$M$5,5,TRUE),0),
IF($C71="SF WH",VLOOKUP("GOAL",'2) หลักการคำนวน Table'!$D$92:$M$92,HLOOKUP(AB71,'2) หลักการคำนวน Table'!$D$1:$M$5,5,TRUE),0))))),0)</f>
        <v>1</v>
      </c>
      <c r="AO71" s="232">
        <f>IFERROR(IF($C71="Top WS",VLOOKUP("GOAL",'2) หลักการคำนวน Table'!$D$4:$M$4,HLOOKUP(AC71,'2) หลักการคำนวน Table'!$D$1:$M$5,5,TRUE),0),
IF($C71="WS SF",VLOOKUP("GOAL",'2) หลักการคำนวน Table'!$D$32:$M$32,HLOOKUP(AC71,'2) หลักการคำนวน Table'!$D$1:$M$5,5,TRUE),0),
IF($C71="WS WH",VLOOKUP("GOAL",'2) หลักการคำนวน Table'!$D$62:$M$62,HLOOKUP(AC71,'2) หลักการคำนวน Table'!$D$1:$M$5,5,TRUE),0),
IF($C71="SF WH",VLOOKUP("GOAL",'2) หลักการคำนวน Table'!$D$92:$M$92,HLOOKUP(AC71,'2) หลักการคำนวน Table'!$D$1:$M$5,5,TRUE),0))))),0)</f>
        <v>1</v>
      </c>
      <c r="AP71" s="232">
        <f>IFERROR(IF($C71="Top WS",VLOOKUP("GOAL",'2) หลักการคำนวน Table'!$D$4:$M$4,HLOOKUP(AD71,'2) หลักการคำนวน Table'!$D$1:$M$5,5,TRUE),0),
IF($C71="WS SF",VLOOKUP("GOAL",'2) หลักการคำนวน Table'!$D$32:$M$32,HLOOKUP(AD71,'2) หลักการคำนวน Table'!$D$1:$M$5,5,TRUE),0),
IF($C71="WS WH",VLOOKUP("GOAL",'2) หลักการคำนวน Table'!$D$62:$M$62,HLOOKUP(AD71,'2) หลักการคำนวน Table'!$D$1:$M$5,5,TRUE),0),
IF($C71="SF WH",VLOOKUP("GOAL",'2) หลักการคำนวน Table'!$D$92:$M$92,HLOOKUP(AD71,'2) หลักการคำนวน Table'!$D$1:$M$5,5,TRUE),0))))),0)</f>
        <v>0.9</v>
      </c>
      <c r="AQ71" s="232">
        <f>IFERROR(IF($C71="Top WS",VLOOKUP("GOAL",'2) หลักการคำนวน Table'!$D$4:$M$4,HLOOKUP(AE71,'2) หลักการคำนวน Table'!$D$1:$M$5,5,TRUE),0),
IF($C71="WS SF",VLOOKUP("GOAL",'2) หลักการคำนวน Table'!$D$32:$M$32,HLOOKUP(AE71,'2) หลักการคำนวน Table'!$D$1:$M$5,5,TRUE),0),
IF($C71="WS WH",VLOOKUP("GOAL",'2) หลักการคำนวน Table'!$D$62:$M$62,HLOOKUP(AE71,'2) หลักการคำนวน Table'!$D$1:$M$5,5,TRUE),0),
IF($C71="SF WH",VLOOKUP("GOAL",'2) หลักการคำนวน Table'!$D$92:$M$92,HLOOKUP(AE71,'2) หลักการคำนวน Table'!$D$1:$M$5,5,TRUE),0))))),0)</f>
        <v>0.9</v>
      </c>
      <c r="AR71" s="232">
        <f>IFERROR(IF($C71="Top WS",VLOOKUP("GOAL",'2) หลักการคำนวน Table'!$D$4:$M$4,HLOOKUP(AF71,'2) หลักการคำนวน Table'!$D$1:$M$5,5,TRUE),0),
IF($C71="WS SF",VLOOKUP("GOAL",'2) หลักการคำนวน Table'!$D$32:$M$32,HLOOKUP(AF71,'2) หลักการคำนวน Table'!$D$1:$M$5,5,TRUE),0),
IF($C71="WS WH",VLOOKUP("GOAL",'2) หลักการคำนวน Table'!$D$62:$M$62,HLOOKUP(AF71,'2) หลักการคำนวน Table'!$D$1:$M$5,5,TRUE),0),
IF($C71="SF WH",VLOOKUP("GOAL",'2) หลักการคำนวน Table'!$D$92:$M$92,HLOOKUP(AF71,'2) หลักการคำนวน Table'!$D$1:$M$5,5,TRUE),0))))),0)</f>
        <v>0.9</v>
      </c>
      <c r="AS71" s="232">
        <f>IFERROR(IF($C71="Top WS",VLOOKUP("GOAL",'2) หลักการคำนวน Table'!$D$4:$M$4,HLOOKUP(AG71,'2) หลักการคำนวน Table'!$D$1:$M$5,5,TRUE),0),
IF($C71="WS SF",VLOOKUP("GOAL",'2) หลักการคำนวน Table'!$D$32:$M$32,HLOOKUP(AG71,'2) หลักการคำนวน Table'!$D$1:$M$5,5,TRUE),0),
IF($C71="WS WH",VLOOKUP("GOAL",'2) หลักการคำนวน Table'!$D$62:$M$62,HLOOKUP(AG71,'2) หลักการคำนวน Table'!$D$1:$M$5,5,TRUE),0),
IF($C71="SF WH",VLOOKUP("GOAL",'2) หลักการคำนวน Table'!$D$92:$M$92,HLOOKUP(AG71,'2) หลักการคำนวน Table'!$D$1:$M$5,5,TRUE),0))))),0)</f>
        <v>0.9</v>
      </c>
      <c r="AT71" s="232">
        <f>IFERROR(IF($C71="Top WS",VLOOKUP("GOAL",'2) หลักการคำนวน Table'!$D$4:$M$4,HLOOKUP(AH71,'2) หลักการคำนวน Table'!$D$1:$M$5,5,TRUE),0),
IF($C71="WS SF",VLOOKUP("GOAL",'2) หลักการคำนวน Table'!$D$32:$M$32,HLOOKUP(AH71,'2) หลักการคำนวน Table'!$D$1:$M$5,5,TRUE),0),
IF($C71="WS WH",VLOOKUP("GOAL",'2) หลักการคำนวน Table'!$D$62:$M$62,HLOOKUP(AH71,'2) หลักการคำนวน Table'!$D$1:$M$5,5,TRUE),0),
IF($C71="SF WH",VLOOKUP("GOAL",'2) หลักการคำนวน Table'!$D$92:$M$92,HLOOKUP(AH71,'2) หลักการคำนวน Table'!$D$1:$M$5,5,TRUE),0))))),0)</f>
        <v>0.9</v>
      </c>
      <c r="AU71" s="232">
        <f>IFERROR(IF($C71="Top WS",VLOOKUP("GOAL",'2) หลักการคำนวน Table'!$D$4:$M$4,HLOOKUP(AI71,'2) หลักการคำนวน Table'!$D$1:$M$5,5,TRUE),0),
IF($C71="WS SF",VLOOKUP("GOAL",'2) หลักการคำนวน Table'!$D$32:$M$32,HLOOKUP(AI71,'2) หลักการคำนวน Table'!$D$1:$M$5,5,TRUE),0),
IF($C71="WS WH",VLOOKUP("GOAL",'2) หลักการคำนวน Table'!$D$62:$M$62,HLOOKUP(AI71,'2) หลักการคำนวน Table'!$D$1:$M$5,5,TRUE),0),
IF($C71="SF WH",VLOOKUP("GOAL",'2) หลักการคำนวน Table'!$D$92:$M$92,HLOOKUP(AI71,'2) หลักการคำนวน Table'!$D$1:$M$5,5,TRUE),0))))),0)</f>
        <v>0.9</v>
      </c>
      <c r="AV71" s="232">
        <f>IFERROR(IF($C71="Top WS",VLOOKUP("GOAL",'2) หลักการคำนวน Table'!$D$4:$M$4,HLOOKUP(AP71,'2) หลักการคำนวน Table'!$D$1:$M$5,5,TRUE),0),
IF($C71="WS SF",VLOOKUP("GOAL",'2) หลักการคำนวน Table'!$D$32:$M$32,HLOOKUP(AP71,'2) หลักการคำนวน Table'!$D$1:$M$5,5,TRUE),0),
IF($C71="WS WH",VLOOKUP("GOAL",'2) หลักการคำนวน Table'!$D$62:$M$62,HLOOKUP(AP71,'2) หลักการคำนวน Table'!$D$1:$M$5,5,TRUE),0),
IF($C71="SF WH",VLOOKUP("GOAL",'2) หลักการคำนวน Table'!$D$92:$M$92,HLOOKUP(AP71,'2) หลักการคำนวน Table'!$D$1:$M$5,5,TRUE),0))))),0)</f>
        <v>0.9</v>
      </c>
      <c r="AW71" s="232">
        <f>IFERROR(IF($C71="Top WS",VLOOKUP("GOAL",'2) หลักการคำนวน Table'!$D$4:$M$4,HLOOKUP(AK71,'2) หลักการคำนวน Table'!$D$1:$M$5,5,TRUE),0),
IF($C71="WS SF",VLOOKUP("GOAL",'2) หลักการคำนวน Table'!$D$32:$M$32,HLOOKUP(AK71,'2) หลักการคำนวน Table'!$D$1:$M$5,5,TRUE),0),
IF($C71="WS WH",VLOOKUP("GOAL",'2) หลักการคำนวน Table'!$D$62:$M$62,HLOOKUP(AK71,'2) หลักการคำนวน Table'!$D$1:$M$5,5,TRUE),0),
IF($C71="SF WH",VLOOKUP("GOAL",'2) หลักการคำนวน Table'!$D$92:$M$92,HLOOKUP(AK71,'2) หลักการคำนวน Table'!$D$1:$M$5,5,TRUE),0))))),0)</f>
        <v>0.9</v>
      </c>
      <c r="AX71" s="232">
        <f>IFERROR(IF($C71="Top WS",VLOOKUP("GOAL",'2) หลักการคำนวน Table'!$D$4:$M$4,HLOOKUP(AL71,'2) หลักการคำนวน Table'!$D$1:$M$5,5,TRUE),0),
IF($C71="WS SF",VLOOKUP("GOAL",'2) หลักการคำนวน Table'!$D$32:$M$32,HLOOKUP(AL71,'2) หลักการคำนวน Table'!$D$1:$M$5,5,TRUE),0),
IF($C71="WS WH",VLOOKUP("GOAL",'2) หลักการคำนวน Table'!$D$62:$M$62,HLOOKUP(AL71,'2) หลักการคำนวน Table'!$D$1:$M$5,5,TRUE),0),
IF($C71="SF WH",VLOOKUP("GOAL",'2) หลักการคำนวน Table'!$D$92:$M$92,HLOOKUP(AL71,'2) หลักการคำนวน Table'!$D$1:$M$5,5,TRUE),0))))),0)</f>
        <v>0.9</v>
      </c>
      <c r="AY71" s="232">
        <f>IFERROR(IF($C71="Top WS",VLOOKUP("GOAL",'2) หลักการคำนวน Table'!$D$4:$M$4,HLOOKUP(AM71,'2) หลักการคำนวน Table'!$D$1:$M$5,5,TRUE),0),
IF($C71="WS SF",VLOOKUP("GOAL",'2) หลักการคำนวน Table'!$D$32:$M$32,HLOOKUP(AM71,'2) หลักการคำนวน Table'!$D$1:$M$5,5,TRUE),0),
IF($C71="WS WH",VLOOKUP("GOAL",'2) หลักการคำนวน Table'!$D$62:$M$62,HLOOKUP(AM71,'2) หลักการคำนวน Table'!$D$1:$M$5,5,TRUE),0),
IF($C71="SF WH",VLOOKUP("GOAL",'2) หลักการคำนวน Table'!$D$92:$M$92,HLOOKUP(AM71,'2) หลักการคำนวน Table'!$D$1:$M$5,5,TRUE),0))))),0)</f>
        <v>0.9</v>
      </c>
      <c r="AZ71" s="167">
        <f>IFERROR(IF($C71="Top WS",VLOOKUP($B71,'2) หลักการคำนวน Table'!$D$5:$M$20,HLOOKUP(AB71,'2) หลักการคำนวน Table'!$D$1:$M$5,5,TRUE),0),
IF($C71="WS SF",VLOOKUP($B71,'2) หลักการคำนวน Table'!$D$33:$M$48,HLOOKUP(AB71,'2) หลักการคำนวน Table'!$D$1:$M$5,5,TRUE),0),
IF($C71="WS WH",VLOOKUP($B71,'2) หลักการคำนวน Table'!$D$63:$M$78,HLOOKUP(AB71,'2) หลักการคำนวน Table'!$D$1:$M$5,5,TRUE),0),
IF($C71="SF WH",VLOOKUP($B71,'2) หลักการคำนวน Table'!$D$93:$M$108,HLOOKUP(AB71,'2) หลักการคำนวน Table'!$D$1:$M$5,5,TRUE),0))))),0)</f>
        <v>525</v>
      </c>
      <c r="BA71" s="167">
        <f>IFERROR(IF($C71="Top WS",VLOOKUP($B71,'2) หลักการคำนวน Table'!$D$5:$M$20,HLOOKUP(AC71,'2) หลักการคำนวน Table'!$D$1:$M$5,5,TRUE),0),
IF($C71="WS SF",VLOOKUP($B71,'2) หลักการคำนวน Table'!$D$33:$M$48,HLOOKUP(AC71,'2) หลักการคำนวน Table'!$D$1:$M$5,5,TRUE),0),
IF($C71="WS WH",VLOOKUP($B71,'2) หลักการคำนวน Table'!$D$63:$M$78,HLOOKUP(AC71,'2) หลักการคำนวน Table'!$D$1:$M$5,5,TRUE),0),
IF($C71="SF WH",VLOOKUP($B71,'2) หลักการคำนวน Table'!$D$93:$M$108,HLOOKUP(AC71,'2) หลักการคำนวน Table'!$D$1:$M$5,5,TRUE),0))))),0)</f>
        <v>525</v>
      </c>
      <c r="BB71" s="167">
        <f>IFERROR(IF($C71="Top WS",VLOOKUP($B71,'2) หลักการคำนวน Table'!$D$5:$M$20,HLOOKUP(AD71,'2) หลักการคำนวน Table'!$D$1:$M$5,5,TRUE),0),
IF($C71="WS SF",VLOOKUP($B71,'2) หลักการคำนวน Table'!$D$33:$M$48,HLOOKUP(AD71,'2) หลักการคำนวน Table'!$D$1:$M$5,5,TRUE),0),
IF($C71="WS WH",VLOOKUP($B71,'2) หลักการคำนวน Table'!$D$63:$M$78,HLOOKUP(AD71,'2) หลักการคำนวน Table'!$D$1:$M$5,5,TRUE),0),
IF($C71="SF WH",VLOOKUP($B71,'2) หลักการคำนวน Table'!$D$93:$M$108,HLOOKUP(AD71,'2) หลักการคำนวน Table'!$D$1:$M$5,5,TRUE),0))))),0)</f>
        <v>472.5</v>
      </c>
      <c r="BC71" s="167">
        <f>IFERROR(IF($C71="Top WS",VLOOKUP($B71,'2) หลักการคำนวน Table'!$D$5:$M$20,HLOOKUP(AE71,'2) หลักการคำนวน Table'!$D$1:$M$5,5,TRUE),0),
IF($C71="WS SF",VLOOKUP($B71,'2) หลักการคำนวน Table'!$D$33:$M$48,HLOOKUP(AE71,'2) หลักการคำนวน Table'!$D$1:$M$5,5,TRUE),0),
IF($C71="WS WH",VLOOKUP($B71,'2) หลักการคำนวน Table'!$D$63:$M$78,HLOOKUP(AE71,'2) หลักการคำนวน Table'!$D$1:$M$5,5,TRUE),0),
IF($C71="SF WH",VLOOKUP($B71,'2) หลักการคำนวน Table'!$D$93:$M$108,HLOOKUP(AE71,'2) หลักการคำนวน Table'!$D$1:$M$5,5,TRUE),0))))),0)</f>
        <v>472.5</v>
      </c>
      <c r="BD71" s="167">
        <f>IFERROR(IF($C71="Top WS",VLOOKUP($B71,'2) หลักการคำนวน Table'!$D$5:$M$20,HLOOKUP(AF71,'2) หลักการคำนวน Table'!$D$1:$M$5,5,TRUE),0),
IF($C71="WS SF",VLOOKUP($B71,'2) หลักการคำนวน Table'!$D$33:$M$48,HLOOKUP(AF71,'2) หลักการคำนวน Table'!$D$1:$M$5,5,TRUE),0),
IF($C71="WS WH",VLOOKUP($B71,'2) หลักการคำนวน Table'!$D$63:$M$78,HLOOKUP(AF71,'2) หลักการคำนวน Table'!$D$1:$M$5,5,TRUE),0),
IF($C71="SF WH",VLOOKUP($B71,'2) หลักการคำนวน Table'!$D$93:$M$108,HLOOKUP(AF71,'2) หลักการคำนวน Table'!$D$1:$M$5,5,TRUE),0))))),0)</f>
        <v>472.5</v>
      </c>
      <c r="BE71" s="167">
        <f>IFERROR(IF($C71="Top WS",VLOOKUP($B71,'2) หลักการคำนวน Table'!$D$5:$M$20,HLOOKUP(AG71,'2) หลักการคำนวน Table'!$D$1:$M$5,5,TRUE),0),
IF($C71="WS SF",VLOOKUP($B71,'2) หลักการคำนวน Table'!$D$33:$M$48,HLOOKUP(AG71,'2) หลักการคำนวน Table'!$D$1:$M$5,5,TRUE),0),
IF($C71="WS WH",VLOOKUP($B71,'2) หลักการคำนวน Table'!$D$63:$M$78,HLOOKUP(AG71,'2) หลักการคำนวน Table'!$D$1:$M$5,5,TRUE),0),
IF($C71="SF WH",VLOOKUP($B71,'2) หลักการคำนวน Table'!$D$93:$M$108,HLOOKUP(AG71,'2) หลักการคำนวน Table'!$D$1:$M$5,5,TRUE),0))))),0)</f>
        <v>472.5</v>
      </c>
      <c r="BF71" s="167">
        <f>IFERROR(IF($C71="Top WS",VLOOKUP($B71,'2) หลักการคำนวน Table'!$D$5:$M$20,HLOOKUP(AH71,'2) หลักการคำนวน Table'!$D$1:$M$5,5,TRUE),0),
IF($C71="WS SF",VLOOKUP($B71,'2) หลักการคำนวน Table'!$D$33:$M$48,HLOOKUP(AH71,'2) หลักการคำนวน Table'!$D$1:$M$5,5,TRUE),0),
IF($C71="WS WH",VLOOKUP($B71,'2) หลักการคำนวน Table'!$D$63:$M$78,HLOOKUP(AH71,'2) หลักการคำนวน Table'!$D$1:$M$5,5,TRUE),0),
IF($C71="SF WH",VLOOKUP($B71,'2) หลักการคำนวน Table'!$D$93:$M$108,HLOOKUP(AH71,'2) หลักการคำนวน Table'!$D$1:$M$5,5,TRUE),0))))),0)</f>
        <v>472.5</v>
      </c>
      <c r="BG71" s="167">
        <f>IFERROR(IF($C71="Top WS",VLOOKUP($B71,'2) หลักการคำนวน Table'!$D$5:$M$20,HLOOKUP(AI71,'2) หลักการคำนวน Table'!$D$1:$M$5,5,TRUE),0),
IF($C71="WS SF",VLOOKUP($B71,'2) หลักการคำนวน Table'!$D$33:$M$48,HLOOKUP(AI71,'2) หลักการคำนวน Table'!$D$1:$M$5,5,TRUE),0),
IF($C71="WS WH",VLOOKUP($B71,'2) หลักการคำนวน Table'!$D$63:$M$78,HLOOKUP(AI71,'2) หลักการคำนวน Table'!$D$1:$M$5,5,TRUE),0),
IF($C71="SF WH",VLOOKUP($B71,'2) หลักการคำนวน Table'!$D$93:$M$108,HLOOKUP(AI71,'2) หลักการคำนวน Table'!$D$1:$M$5,5,TRUE),0))))),0)</f>
        <v>472.5</v>
      </c>
      <c r="BH71" s="167">
        <f>IFERROR(IF($C71="Top WS",VLOOKUP($B71,'2) หลักการคำนวน Table'!$D$5:$M$20,HLOOKUP(AP71,'2) หลักการคำนวน Table'!$D$1:$M$5,5,TRUE),0),
IF($C71="WS SF",VLOOKUP($B71,'2) หลักการคำนวน Table'!$D$33:$M$48,HLOOKUP(AP71,'2) หลักการคำนวน Table'!$D$1:$M$5,5,TRUE),0),
IF($C71="WS WH",VLOOKUP($B71,'2) หลักการคำนวน Table'!$D$63:$M$78,HLOOKUP(AP71,'2) หลักการคำนวน Table'!$D$1:$M$5,5,TRUE),0),
IF($C71="SF WH",VLOOKUP($B71,'2) หลักการคำนวน Table'!$D$93:$M$108,HLOOKUP(AP71,'2) หลักการคำนวน Table'!$D$1:$M$5,5,TRUE),0))))),0)</f>
        <v>472.5</v>
      </c>
      <c r="BI71" s="167">
        <f>IFERROR(IF($C71="Top WS",VLOOKUP($B71,'2) หลักการคำนวน Table'!$D$5:$M$20,HLOOKUP(AK71,'2) หลักการคำนวน Table'!$D$1:$M$5,5,TRUE),0),
IF($C71="WS SF",VLOOKUP($B71,'2) หลักการคำนวน Table'!$D$33:$M$48,HLOOKUP(AK71,'2) หลักการคำนวน Table'!$D$1:$M$5,5,TRUE),0),
IF($C71="WS WH",VLOOKUP($B71,'2) หลักการคำนวน Table'!$D$63:$M$78,HLOOKUP(AK71,'2) หลักการคำนวน Table'!$D$1:$M$5,5,TRUE),0),
IF($C71="SF WH",VLOOKUP($B71,'2) หลักการคำนวน Table'!$D$93:$M$108,HLOOKUP(AK71,'2) หลักการคำนวน Table'!$D$1:$M$5,5,TRUE),0))))),0)</f>
        <v>472.5</v>
      </c>
      <c r="BJ71" s="167">
        <f>IFERROR(IF($C71="Top WS",VLOOKUP($B71,'2) หลักการคำนวน Table'!$D$5:$M$20,HLOOKUP(AL71,'2) หลักการคำนวน Table'!$D$1:$M$5,5,TRUE),0),
IF($C71="WS SF",VLOOKUP($B71,'2) หลักการคำนวน Table'!$D$33:$M$48,HLOOKUP(AL71,'2) หลักการคำนวน Table'!$D$1:$M$5,5,TRUE),0),
IF($C71="WS WH",VLOOKUP($B71,'2) หลักการคำนวน Table'!$D$63:$M$78,HLOOKUP(AL71,'2) หลักการคำนวน Table'!$D$1:$M$5,5,TRUE),0),
IF($C71="SF WH",VLOOKUP($B71,'2) หลักการคำนวน Table'!$D$93:$M$108,HLOOKUP(AL71,'2) หลักการคำนวน Table'!$D$1:$M$5,5,TRUE),0))))),0)</f>
        <v>472.5</v>
      </c>
      <c r="BK71" s="167">
        <f>IFERROR(IF($C71="Top WS",VLOOKUP($B71,'2) หลักการคำนวน Table'!$D$5:$M$20,HLOOKUP(AM71,'2) หลักการคำนวน Table'!$D$1:$M$5,5,TRUE),0),
IF($C71="WS SF",VLOOKUP($B71,'2) หลักการคำนวน Table'!$D$33:$M$48,HLOOKUP(AM71,'2) หลักการคำนวน Table'!$D$1:$M$5,5,TRUE),0),
IF($C71="WS WH",VLOOKUP($B71,'2) หลักการคำนวน Table'!$D$63:$M$78,HLOOKUP(AM71,'2) หลักการคำนวน Table'!$D$1:$M$5,5,TRUE),0),
IF($C71="SF WH",VLOOKUP($B71,'2) หลักการคำนวน Table'!$D$93:$M$108,HLOOKUP(AM71,'2) หลักการคำนวน Table'!$D$1:$M$5,5,TRUE),0))))),0)</f>
        <v>472.5</v>
      </c>
      <c r="BM71" s="119">
        <f>VLOOKUP(VLOOKUP(A71,ASTBase!E:S,13,FALSE),ASTBase!F:P,11,FALSE)</f>
        <v>140000</v>
      </c>
      <c r="BN71" s="196" cm="1">
        <f t="array" ref="BN71">INDEX(AN71:AY71,,Period!$D$2)</f>
        <v>1</v>
      </c>
    </row>
    <row r="72" spans="1:66" x14ac:dyDescent="0.25">
      <c r="A72" s="117">
        <v>140003</v>
      </c>
      <c r="B72" s="117" t="s">
        <v>390</v>
      </c>
      <c r="C72" s="117" t="s">
        <v>180</v>
      </c>
      <c r="D72" s="118">
        <v>1069</v>
      </c>
      <c r="E72" s="118">
        <v>602</v>
      </c>
      <c r="F72" s="118">
        <v>674</v>
      </c>
      <c r="G72" s="118">
        <v>989</v>
      </c>
      <c r="H72" s="118">
        <v>917</v>
      </c>
      <c r="I72" s="118">
        <v>1070</v>
      </c>
      <c r="J72" s="118">
        <v>980</v>
      </c>
      <c r="K72" s="118">
        <v>1021</v>
      </c>
      <c r="L72" s="118">
        <v>965</v>
      </c>
      <c r="M72" s="118">
        <v>945</v>
      </c>
      <c r="N72" s="118">
        <v>965</v>
      </c>
      <c r="O72" s="118">
        <v>980</v>
      </c>
      <c r="P72" s="117">
        <f>SUMIFS(Actual!C:C,Actual!$A:$A,'3)Target &amp; Cal'!$A72,Actual!$B:$B,'3)Target &amp; Cal'!$B72)</f>
        <v>0</v>
      </c>
      <c r="Q72" s="117">
        <f>SUMIFS(Actual!D:D,Actual!$A:$A,'3)Target &amp; Cal'!$A72,Actual!$B:$B,'3)Target &amp; Cal'!$B72)</f>
        <v>399.99999999600004</v>
      </c>
      <c r="R72" s="117">
        <f>SUMIFS(Actual!E:E,Actual!$A:$A,'3)Target &amp; Cal'!$A72,Actual!$B:$B,'3)Target &amp; Cal'!$B72)</f>
        <v>0</v>
      </c>
      <c r="S72" s="117">
        <f>SUMIFS(Actual!F:F,Actual!$A:$A,'3)Target &amp; Cal'!$A72,Actual!$B:$B,'3)Target &amp; Cal'!$B72)</f>
        <v>0</v>
      </c>
      <c r="T72" s="117">
        <f>SUMIFS(Actual!G:G,Actual!$A:$A,'3)Target &amp; Cal'!$A72,Actual!$B:$B,'3)Target &amp; Cal'!$B72)</f>
        <v>0</v>
      </c>
      <c r="U72" s="117">
        <f>SUMIFS(Actual!H:H,Actual!$A:$A,'3)Target &amp; Cal'!$A72,Actual!$B:$B,'3)Target &amp; Cal'!$B72)</f>
        <v>0</v>
      </c>
      <c r="V72" s="117">
        <f>SUMIFS(Actual!I:I,Actual!$A:$A,'3)Target &amp; Cal'!$A72,Actual!$B:$B,'3)Target &amp; Cal'!$B72)</f>
        <v>0</v>
      </c>
      <c r="W72" s="117">
        <f>SUMIFS(Actual!J:J,Actual!$A:$A,'3)Target &amp; Cal'!$A72,Actual!$B:$B,'3)Target &amp; Cal'!$B72)</f>
        <v>0</v>
      </c>
      <c r="X72" s="117">
        <f>SUMIFS(Actual!K:K,Actual!$A:$A,'3)Target &amp; Cal'!$A72,Actual!$B:$B,'3)Target &amp; Cal'!$B72)</f>
        <v>0</v>
      </c>
      <c r="Y72" s="117">
        <f>SUMIFS(Actual!L:L,Actual!$A:$A,'3)Target &amp; Cal'!$A72,Actual!$B:$B,'3)Target &amp; Cal'!$B72)</f>
        <v>0</v>
      </c>
      <c r="Z72" s="117">
        <f>SUMIFS(Actual!M:M,Actual!$A:$A,'3)Target &amp; Cal'!$A72,Actual!$B:$B,'3)Target &amp; Cal'!$B72)</f>
        <v>0</v>
      </c>
      <c r="AA72" s="117">
        <f>SUMIFS(Actual!N:N,Actual!$A:$A,'3)Target &amp; Cal'!$A72,Actual!$B:$B,'3)Target &amp; Cal'!$B72)</f>
        <v>0</v>
      </c>
      <c r="AB72" s="123">
        <f>IFERROR(IF(VLOOKUP($B72,Shortage!$A:$M,AB$2,FALSE)="Shortage",1,IFERROR(ROUND(P72/D72,4),0)),IFERROR(ROUND(P72/D72,4),0))</f>
        <v>0</v>
      </c>
      <c r="AC72" s="123">
        <f>IFERROR(IF(VLOOKUP($B72,Shortage!$A:$M,AC$2,FALSE)="Shortage",1,IFERROR(ROUND(Q72/E72,4),0)),IFERROR(ROUND(Q72/E72,4),0))</f>
        <v>0.66449999999999998</v>
      </c>
      <c r="AD72" s="123">
        <f>IFERROR(IF(VLOOKUP($B72,Shortage!$A:$M,AD$2,FALSE)="Shortage",1,IFERROR(ROUND(R72/F72,4),0)),IFERROR(ROUND(R72/F72,4),0))</f>
        <v>0</v>
      </c>
      <c r="AE72" s="123">
        <f>IFERROR(IF(VLOOKUP($B72,Shortage!$A:$M,AE$2,FALSE)="Shortage",1,IFERROR(ROUND(S72/G72,4),0)),IFERROR(ROUND(S72/G72,4),0))</f>
        <v>0</v>
      </c>
      <c r="AF72" s="123">
        <f>IFERROR(IF(VLOOKUP($B72,Shortage!$A:$M,AF$2,FALSE)="Shortage",1,IFERROR(ROUND(T72/H72,4),0)),IFERROR(ROUND(T72/H72,4),0))</f>
        <v>0</v>
      </c>
      <c r="AG72" s="123">
        <f>IFERROR(IF(VLOOKUP($B72,Shortage!$A:$M,AG$2,FALSE)="Shortage",1,IFERROR(ROUND(U72/I72,4),0)),IFERROR(ROUND(U72/I72,4),0))</f>
        <v>0</v>
      </c>
      <c r="AH72" s="123">
        <f>IFERROR(IF(VLOOKUP($B72,Shortage!$A:$M,AH$2,FALSE)="Shortage",1,IFERROR(ROUND(V72/J72,4),0)),IFERROR(ROUND(V72/J72,4),0))</f>
        <v>0</v>
      </c>
      <c r="AI72" s="123">
        <f>IFERROR(IF(VLOOKUP($B72,Shortage!$A:$M,AI$2,FALSE)="Shortage",1,IFERROR(ROUND(W72/K72,4),0)),IFERROR(ROUND(W72/K72,4),0))</f>
        <v>0</v>
      </c>
      <c r="AJ72" s="123">
        <f>IFERROR(IF(VLOOKUP($B72,Shortage!$A:$M,AP$2,FALSE)="Shortage",1,IFERROR(ROUND(X72/L72,4),0)),IFERROR(ROUND(X72/L72,4),0))</f>
        <v>0</v>
      </c>
      <c r="AK72" s="123">
        <f>IFERROR(IF(VLOOKUP($B72,Shortage!$A:$M,AK$2,FALSE)="Shortage",1,IFERROR(ROUND(Y72/M72,4),0)),IFERROR(ROUND(Y72/M72,4),0))</f>
        <v>0</v>
      </c>
      <c r="AL72" s="123">
        <f>IFERROR(IF(VLOOKUP($B72,Shortage!$A:$M,AL$2,FALSE)="Shortage",1,IFERROR(ROUND(Z72/N72,4),0)),IFERROR(ROUND(Z72/N72,4),0))</f>
        <v>0</v>
      </c>
      <c r="AM72" s="123">
        <f>IFERROR(IF(VLOOKUP($B72,Shortage!$A:$M,AM$2,FALSE)="Shortage",1,IFERROR(ROUND(AA72/O72,4),0)),IFERROR(ROUND(AA72/O72,4),0))</f>
        <v>0</v>
      </c>
      <c r="AN72" s="232">
        <f>IFERROR(IF($C72="Top WS",VLOOKUP("GOAL",'2) หลักการคำนวน Table'!$D$4:$M$4,HLOOKUP(AB72,'2) หลักการคำนวน Table'!$D$1:$M$5,5,TRUE),0),
IF($C72="WS SF",VLOOKUP("GOAL",'2) หลักการคำนวน Table'!$D$32:$M$32,HLOOKUP(AB72,'2) หลักการคำนวน Table'!$D$1:$M$5,5,TRUE),0),
IF($C72="WS WH",VLOOKUP("GOAL",'2) หลักการคำนวน Table'!$D$62:$M$62,HLOOKUP(AB72,'2) หลักการคำนวน Table'!$D$1:$M$5,5,TRUE),0),
IF($C72="SF WH",VLOOKUP("GOAL",'2) หลักการคำนวน Table'!$D$92:$M$92,HLOOKUP(AB72,'2) หลักการคำนวน Table'!$D$1:$M$5,5,TRUE),0))))),0)</f>
        <v>0.9</v>
      </c>
      <c r="AO72" s="232">
        <f>IFERROR(IF($C72="Top WS",VLOOKUP("GOAL",'2) หลักการคำนวน Table'!$D$4:$M$4,HLOOKUP(AC72,'2) หลักการคำนวน Table'!$D$1:$M$5,5,TRUE),0),
IF($C72="WS SF",VLOOKUP("GOAL",'2) หลักการคำนวน Table'!$D$32:$M$32,HLOOKUP(AC72,'2) หลักการคำนวน Table'!$D$1:$M$5,5,TRUE),0),
IF($C72="WS WH",VLOOKUP("GOAL",'2) หลักการคำนวน Table'!$D$62:$M$62,HLOOKUP(AC72,'2) หลักการคำนวน Table'!$D$1:$M$5,5,TRUE),0),
IF($C72="SF WH",VLOOKUP("GOAL",'2) หลักการคำนวน Table'!$D$92:$M$92,HLOOKUP(AC72,'2) หลักการคำนวน Table'!$D$1:$M$5,5,TRUE),0))))),0)</f>
        <v>0.9</v>
      </c>
      <c r="AP72" s="232">
        <f>IFERROR(IF($C72="Top WS",VLOOKUP("GOAL",'2) หลักการคำนวน Table'!$D$4:$M$4,HLOOKUP(AD72,'2) หลักการคำนวน Table'!$D$1:$M$5,5,TRUE),0),
IF($C72="WS SF",VLOOKUP("GOAL",'2) หลักการคำนวน Table'!$D$32:$M$32,HLOOKUP(AD72,'2) หลักการคำนวน Table'!$D$1:$M$5,5,TRUE),0),
IF($C72="WS WH",VLOOKUP("GOAL",'2) หลักการคำนวน Table'!$D$62:$M$62,HLOOKUP(AD72,'2) หลักการคำนวน Table'!$D$1:$M$5,5,TRUE),0),
IF($C72="SF WH",VLOOKUP("GOAL",'2) หลักการคำนวน Table'!$D$92:$M$92,HLOOKUP(AD72,'2) หลักการคำนวน Table'!$D$1:$M$5,5,TRUE),0))))),0)</f>
        <v>0.9</v>
      </c>
      <c r="AQ72" s="232">
        <f>IFERROR(IF($C72="Top WS",VLOOKUP("GOAL",'2) หลักการคำนวน Table'!$D$4:$M$4,HLOOKUP(AE72,'2) หลักการคำนวน Table'!$D$1:$M$5,5,TRUE),0),
IF($C72="WS SF",VLOOKUP("GOAL",'2) หลักการคำนวน Table'!$D$32:$M$32,HLOOKUP(AE72,'2) หลักการคำนวน Table'!$D$1:$M$5,5,TRUE),0),
IF($C72="WS WH",VLOOKUP("GOAL",'2) หลักการคำนวน Table'!$D$62:$M$62,HLOOKUP(AE72,'2) หลักการคำนวน Table'!$D$1:$M$5,5,TRUE),0),
IF($C72="SF WH",VLOOKUP("GOAL",'2) หลักการคำนวน Table'!$D$92:$M$92,HLOOKUP(AE72,'2) หลักการคำนวน Table'!$D$1:$M$5,5,TRUE),0))))),0)</f>
        <v>0.9</v>
      </c>
      <c r="AR72" s="232">
        <f>IFERROR(IF($C72="Top WS",VLOOKUP("GOAL",'2) หลักการคำนวน Table'!$D$4:$M$4,HLOOKUP(AF72,'2) หลักการคำนวน Table'!$D$1:$M$5,5,TRUE),0),
IF($C72="WS SF",VLOOKUP("GOAL",'2) หลักการคำนวน Table'!$D$32:$M$32,HLOOKUP(AF72,'2) หลักการคำนวน Table'!$D$1:$M$5,5,TRUE),0),
IF($C72="WS WH",VLOOKUP("GOAL",'2) หลักการคำนวน Table'!$D$62:$M$62,HLOOKUP(AF72,'2) หลักการคำนวน Table'!$D$1:$M$5,5,TRUE),0),
IF($C72="SF WH",VLOOKUP("GOAL",'2) หลักการคำนวน Table'!$D$92:$M$92,HLOOKUP(AF72,'2) หลักการคำนวน Table'!$D$1:$M$5,5,TRUE),0))))),0)</f>
        <v>0.9</v>
      </c>
      <c r="AS72" s="232">
        <f>IFERROR(IF($C72="Top WS",VLOOKUP("GOAL",'2) หลักการคำนวน Table'!$D$4:$M$4,HLOOKUP(AG72,'2) หลักการคำนวน Table'!$D$1:$M$5,5,TRUE),0),
IF($C72="WS SF",VLOOKUP("GOAL",'2) หลักการคำนวน Table'!$D$32:$M$32,HLOOKUP(AG72,'2) หลักการคำนวน Table'!$D$1:$M$5,5,TRUE),0),
IF($C72="WS WH",VLOOKUP("GOAL",'2) หลักการคำนวน Table'!$D$62:$M$62,HLOOKUP(AG72,'2) หลักการคำนวน Table'!$D$1:$M$5,5,TRUE),0),
IF($C72="SF WH",VLOOKUP("GOAL",'2) หลักการคำนวน Table'!$D$92:$M$92,HLOOKUP(AG72,'2) หลักการคำนวน Table'!$D$1:$M$5,5,TRUE),0))))),0)</f>
        <v>0.9</v>
      </c>
      <c r="AT72" s="232">
        <f>IFERROR(IF($C72="Top WS",VLOOKUP("GOAL",'2) หลักการคำนวน Table'!$D$4:$M$4,HLOOKUP(AH72,'2) หลักการคำนวน Table'!$D$1:$M$5,5,TRUE),0),
IF($C72="WS SF",VLOOKUP("GOAL",'2) หลักการคำนวน Table'!$D$32:$M$32,HLOOKUP(AH72,'2) หลักการคำนวน Table'!$D$1:$M$5,5,TRUE),0),
IF($C72="WS WH",VLOOKUP("GOAL",'2) หลักการคำนวน Table'!$D$62:$M$62,HLOOKUP(AH72,'2) หลักการคำนวน Table'!$D$1:$M$5,5,TRUE),0),
IF($C72="SF WH",VLOOKUP("GOAL",'2) หลักการคำนวน Table'!$D$92:$M$92,HLOOKUP(AH72,'2) หลักการคำนวน Table'!$D$1:$M$5,5,TRUE),0))))),0)</f>
        <v>0.9</v>
      </c>
      <c r="AU72" s="232">
        <f>IFERROR(IF($C72="Top WS",VLOOKUP("GOAL",'2) หลักการคำนวน Table'!$D$4:$M$4,HLOOKUP(AI72,'2) หลักการคำนวน Table'!$D$1:$M$5,5,TRUE),0),
IF($C72="WS SF",VLOOKUP("GOAL",'2) หลักการคำนวน Table'!$D$32:$M$32,HLOOKUP(AI72,'2) หลักการคำนวน Table'!$D$1:$M$5,5,TRUE),0),
IF($C72="WS WH",VLOOKUP("GOAL",'2) หลักการคำนวน Table'!$D$62:$M$62,HLOOKUP(AI72,'2) หลักการคำนวน Table'!$D$1:$M$5,5,TRUE),0),
IF($C72="SF WH",VLOOKUP("GOAL",'2) หลักการคำนวน Table'!$D$92:$M$92,HLOOKUP(AI72,'2) หลักการคำนวน Table'!$D$1:$M$5,5,TRUE),0))))),0)</f>
        <v>0.9</v>
      </c>
      <c r="AV72" s="232">
        <f>IFERROR(IF($C72="Top WS",VLOOKUP("GOAL",'2) หลักการคำนวน Table'!$D$4:$M$4,HLOOKUP(AP72,'2) หลักการคำนวน Table'!$D$1:$M$5,5,TRUE),0),
IF($C72="WS SF",VLOOKUP("GOAL",'2) หลักการคำนวน Table'!$D$32:$M$32,HLOOKUP(AP72,'2) หลักการคำนวน Table'!$D$1:$M$5,5,TRUE),0),
IF($C72="WS WH",VLOOKUP("GOAL",'2) หลักการคำนวน Table'!$D$62:$M$62,HLOOKUP(AP72,'2) หลักการคำนวน Table'!$D$1:$M$5,5,TRUE),0),
IF($C72="SF WH",VLOOKUP("GOAL",'2) หลักการคำนวน Table'!$D$92:$M$92,HLOOKUP(AP72,'2) หลักการคำนวน Table'!$D$1:$M$5,5,TRUE),0))))),0)</f>
        <v>0.9</v>
      </c>
      <c r="AW72" s="232">
        <f>IFERROR(IF($C72="Top WS",VLOOKUP("GOAL",'2) หลักการคำนวน Table'!$D$4:$M$4,HLOOKUP(AK72,'2) หลักการคำนวน Table'!$D$1:$M$5,5,TRUE),0),
IF($C72="WS SF",VLOOKUP("GOAL",'2) หลักการคำนวน Table'!$D$32:$M$32,HLOOKUP(AK72,'2) หลักการคำนวน Table'!$D$1:$M$5,5,TRUE),0),
IF($C72="WS WH",VLOOKUP("GOAL",'2) หลักการคำนวน Table'!$D$62:$M$62,HLOOKUP(AK72,'2) หลักการคำนวน Table'!$D$1:$M$5,5,TRUE),0),
IF($C72="SF WH",VLOOKUP("GOAL",'2) หลักการคำนวน Table'!$D$92:$M$92,HLOOKUP(AK72,'2) หลักการคำนวน Table'!$D$1:$M$5,5,TRUE),0))))),0)</f>
        <v>0.9</v>
      </c>
      <c r="AX72" s="232">
        <f>IFERROR(IF($C72="Top WS",VLOOKUP("GOAL",'2) หลักการคำนวน Table'!$D$4:$M$4,HLOOKUP(AL72,'2) หลักการคำนวน Table'!$D$1:$M$5,5,TRUE),0),
IF($C72="WS SF",VLOOKUP("GOAL",'2) หลักการคำนวน Table'!$D$32:$M$32,HLOOKUP(AL72,'2) หลักการคำนวน Table'!$D$1:$M$5,5,TRUE),0),
IF($C72="WS WH",VLOOKUP("GOAL",'2) หลักการคำนวน Table'!$D$62:$M$62,HLOOKUP(AL72,'2) หลักการคำนวน Table'!$D$1:$M$5,5,TRUE),0),
IF($C72="SF WH",VLOOKUP("GOAL",'2) หลักการคำนวน Table'!$D$92:$M$92,HLOOKUP(AL72,'2) หลักการคำนวน Table'!$D$1:$M$5,5,TRUE),0))))),0)</f>
        <v>0.9</v>
      </c>
      <c r="AY72" s="232">
        <f>IFERROR(IF($C72="Top WS",VLOOKUP("GOAL",'2) หลักการคำนวน Table'!$D$4:$M$4,HLOOKUP(AM72,'2) หลักการคำนวน Table'!$D$1:$M$5,5,TRUE),0),
IF($C72="WS SF",VLOOKUP("GOAL",'2) หลักการคำนวน Table'!$D$32:$M$32,HLOOKUP(AM72,'2) หลักการคำนวน Table'!$D$1:$M$5,5,TRUE),0),
IF($C72="WS WH",VLOOKUP("GOAL",'2) หลักการคำนวน Table'!$D$62:$M$62,HLOOKUP(AM72,'2) หลักการคำนวน Table'!$D$1:$M$5,5,TRUE),0),
IF($C72="SF WH",VLOOKUP("GOAL",'2) หลักการคำนวน Table'!$D$92:$M$92,HLOOKUP(AM72,'2) หลักการคำนวน Table'!$D$1:$M$5,5,TRUE),0))))),0)</f>
        <v>0.9</v>
      </c>
      <c r="AZ72" s="167">
        <f>IFERROR(IF($C72="Top WS",VLOOKUP($B72,'2) หลักการคำนวน Table'!$D$5:$M$20,HLOOKUP(AB72,'2) หลักการคำนวน Table'!$D$1:$M$5,5,TRUE),0),
IF($C72="WS SF",VLOOKUP($B72,'2) หลักการคำนวน Table'!$D$33:$M$48,HLOOKUP(AB72,'2) หลักการคำนวน Table'!$D$1:$M$5,5,TRUE),0),
IF($C72="WS WH",VLOOKUP($B72,'2) หลักการคำนวน Table'!$D$63:$M$78,HLOOKUP(AB72,'2) หลักการคำนวน Table'!$D$1:$M$5,5,TRUE),0),
IF($C72="SF WH",VLOOKUP($B72,'2) หลักการคำนวน Table'!$D$93:$M$108,HLOOKUP(AB72,'2) หลักการคำนวน Table'!$D$1:$M$5,5,TRUE),0))))),0)</f>
        <v>787.5</v>
      </c>
      <c r="BA72" s="167">
        <f>IFERROR(IF($C72="Top WS",VLOOKUP($B72,'2) หลักการคำนวน Table'!$D$5:$M$20,HLOOKUP(AC72,'2) หลักการคำนวน Table'!$D$1:$M$5,5,TRUE),0),
IF($C72="WS SF",VLOOKUP($B72,'2) หลักการคำนวน Table'!$D$33:$M$48,HLOOKUP(AC72,'2) หลักการคำนวน Table'!$D$1:$M$5,5,TRUE),0),
IF($C72="WS WH",VLOOKUP($B72,'2) หลักการคำนวน Table'!$D$63:$M$78,HLOOKUP(AC72,'2) หลักการคำนวน Table'!$D$1:$M$5,5,TRUE),0),
IF($C72="SF WH",VLOOKUP($B72,'2) หลักการคำนวน Table'!$D$93:$M$108,HLOOKUP(AC72,'2) หลักการคำนวน Table'!$D$1:$M$5,5,TRUE),0))))),0)</f>
        <v>787.5</v>
      </c>
      <c r="BB72" s="167">
        <f>IFERROR(IF($C72="Top WS",VLOOKUP($B72,'2) หลักการคำนวน Table'!$D$5:$M$20,HLOOKUP(AD72,'2) หลักการคำนวน Table'!$D$1:$M$5,5,TRUE),0),
IF($C72="WS SF",VLOOKUP($B72,'2) หลักการคำนวน Table'!$D$33:$M$48,HLOOKUP(AD72,'2) หลักการคำนวน Table'!$D$1:$M$5,5,TRUE),0),
IF($C72="WS WH",VLOOKUP($B72,'2) หลักการคำนวน Table'!$D$63:$M$78,HLOOKUP(AD72,'2) หลักการคำนวน Table'!$D$1:$M$5,5,TRUE),0),
IF($C72="SF WH",VLOOKUP($B72,'2) หลักการคำนวน Table'!$D$93:$M$108,HLOOKUP(AD72,'2) หลักการคำนวน Table'!$D$1:$M$5,5,TRUE),0))))),0)</f>
        <v>787.5</v>
      </c>
      <c r="BC72" s="167">
        <f>IFERROR(IF($C72="Top WS",VLOOKUP($B72,'2) หลักการคำนวน Table'!$D$5:$M$20,HLOOKUP(AE72,'2) หลักการคำนวน Table'!$D$1:$M$5,5,TRUE),0),
IF($C72="WS SF",VLOOKUP($B72,'2) หลักการคำนวน Table'!$D$33:$M$48,HLOOKUP(AE72,'2) หลักการคำนวน Table'!$D$1:$M$5,5,TRUE),0),
IF($C72="WS WH",VLOOKUP($B72,'2) หลักการคำนวน Table'!$D$63:$M$78,HLOOKUP(AE72,'2) หลักการคำนวน Table'!$D$1:$M$5,5,TRUE),0),
IF($C72="SF WH",VLOOKUP($B72,'2) หลักการคำนวน Table'!$D$93:$M$108,HLOOKUP(AE72,'2) หลักการคำนวน Table'!$D$1:$M$5,5,TRUE),0))))),0)</f>
        <v>787.5</v>
      </c>
      <c r="BD72" s="167">
        <f>IFERROR(IF($C72="Top WS",VLOOKUP($B72,'2) หลักการคำนวน Table'!$D$5:$M$20,HLOOKUP(AF72,'2) หลักการคำนวน Table'!$D$1:$M$5,5,TRUE),0),
IF($C72="WS SF",VLOOKUP($B72,'2) หลักการคำนวน Table'!$D$33:$M$48,HLOOKUP(AF72,'2) หลักการคำนวน Table'!$D$1:$M$5,5,TRUE),0),
IF($C72="WS WH",VLOOKUP($B72,'2) หลักการคำนวน Table'!$D$63:$M$78,HLOOKUP(AF72,'2) หลักการคำนวน Table'!$D$1:$M$5,5,TRUE),0),
IF($C72="SF WH",VLOOKUP($B72,'2) หลักการคำนวน Table'!$D$93:$M$108,HLOOKUP(AF72,'2) หลักการคำนวน Table'!$D$1:$M$5,5,TRUE),0))))),0)</f>
        <v>787.5</v>
      </c>
      <c r="BE72" s="167">
        <f>IFERROR(IF($C72="Top WS",VLOOKUP($B72,'2) หลักการคำนวน Table'!$D$5:$M$20,HLOOKUP(AG72,'2) หลักการคำนวน Table'!$D$1:$M$5,5,TRUE),0),
IF($C72="WS SF",VLOOKUP($B72,'2) หลักการคำนวน Table'!$D$33:$M$48,HLOOKUP(AG72,'2) หลักการคำนวน Table'!$D$1:$M$5,5,TRUE),0),
IF($C72="WS WH",VLOOKUP($B72,'2) หลักการคำนวน Table'!$D$63:$M$78,HLOOKUP(AG72,'2) หลักการคำนวน Table'!$D$1:$M$5,5,TRUE),0),
IF($C72="SF WH",VLOOKUP($B72,'2) หลักการคำนวน Table'!$D$93:$M$108,HLOOKUP(AG72,'2) หลักการคำนวน Table'!$D$1:$M$5,5,TRUE),0))))),0)</f>
        <v>787.5</v>
      </c>
      <c r="BF72" s="167">
        <f>IFERROR(IF($C72="Top WS",VLOOKUP($B72,'2) หลักการคำนวน Table'!$D$5:$M$20,HLOOKUP(AH72,'2) หลักการคำนวน Table'!$D$1:$M$5,5,TRUE),0),
IF($C72="WS SF",VLOOKUP($B72,'2) หลักการคำนวน Table'!$D$33:$M$48,HLOOKUP(AH72,'2) หลักการคำนวน Table'!$D$1:$M$5,5,TRUE),0),
IF($C72="WS WH",VLOOKUP($B72,'2) หลักการคำนวน Table'!$D$63:$M$78,HLOOKUP(AH72,'2) หลักการคำนวน Table'!$D$1:$M$5,5,TRUE),0),
IF($C72="SF WH",VLOOKUP($B72,'2) หลักการคำนวน Table'!$D$93:$M$108,HLOOKUP(AH72,'2) หลักการคำนวน Table'!$D$1:$M$5,5,TRUE),0))))),0)</f>
        <v>787.5</v>
      </c>
      <c r="BG72" s="167">
        <f>IFERROR(IF($C72="Top WS",VLOOKUP($B72,'2) หลักการคำนวน Table'!$D$5:$M$20,HLOOKUP(AI72,'2) หลักการคำนวน Table'!$D$1:$M$5,5,TRUE),0),
IF($C72="WS SF",VLOOKUP($B72,'2) หลักการคำนวน Table'!$D$33:$M$48,HLOOKUP(AI72,'2) หลักการคำนวน Table'!$D$1:$M$5,5,TRUE),0),
IF($C72="WS WH",VLOOKUP($B72,'2) หลักการคำนวน Table'!$D$63:$M$78,HLOOKUP(AI72,'2) หลักการคำนวน Table'!$D$1:$M$5,5,TRUE),0),
IF($C72="SF WH",VLOOKUP($B72,'2) หลักการคำนวน Table'!$D$93:$M$108,HLOOKUP(AI72,'2) หลักการคำนวน Table'!$D$1:$M$5,5,TRUE),0))))),0)</f>
        <v>787.5</v>
      </c>
      <c r="BH72" s="167">
        <f>IFERROR(IF($C72="Top WS",VLOOKUP($B72,'2) หลักการคำนวน Table'!$D$5:$M$20,HLOOKUP(AP72,'2) หลักการคำนวน Table'!$D$1:$M$5,5,TRUE),0),
IF($C72="WS SF",VLOOKUP($B72,'2) หลักการคำนวน Table'!$D$33:$M$48,HLOOKUP(AP72,'2) หลักการคำนวน Table'!$D$1:$M$5,5,TRUE),0),
IF($C72="WS WH",VLOOKUP($B72,'2) หลักการคำนวน Table'!$D$63:$M$78,HLOOKUP(AP72,'2) หลักการคำนวน Table'!$D$1:$M$5,5,TRUE),0),
IF($C72="SF WH",VLOOKUP($B72,'2) หลักการคำนวน Table'!$D$93:$M$108,HLOOKUP(AP72,'2) หลักการคำนวน Table'!$D$1:$M$5,5,TRUE),0))))),0)</f>
        <v>787.5</v>
      </c>
      <c r="BI72" s="167">
        <f>IFERROR(IF($C72="Top WS",VLOOKUP($B72,'2) หลักการคำนวน Table'!$D$5:$M$20,HLOOKUP(AK72,'2) หลักการคำนวน Table'!$D$1:$M$5,5,TRUE),0),
IF($C72="WS SF",VLOOKUP($B72,'2) หลักการคำนวน Table'!$D$33:$M$48,HLOOKUP(AK72,'2) หลักการคำนวน Table'!$D$1:$M$5,5,TRUE),0),
IF($C72="WS WH",VLOOKUP($B72,'2) หลักการคำนวน Table'!$D$63:$M$78,HLOOKUP(AK72,'2) หลักการคำนวน Table'!$D$1:$M$5,5,TRUE),0),
IF($C72="SF WH",VLOOKUP($B72,'2) หลักการคำนวน Table'!$D$93:$M$108,HLOOKUP(AK72,'2) หลักการคำนวน Table'!$D$1:$M$5,5,TRUE),0))))),0)</f>
        <v>787.5</v>
      </c>
      <c r="BJ72" s="167">
        <f>IFERROR(IF($C72="Top WS",VLOOKUP($B72,'2) หลักการคำนวน Table'!$D$5:$M$20,HLOOKUP(AL72,'2) หลักการคำนวน Table'!$D$1:$M$5,5,TRUE),0),
IF($C72="WS SF",VLOOKUP($B72,'2) หลักการคำนวน Table'!$D$33:$M$48,HLOOKUP(AL72,'2) หลักการคำนวน Table'!$D$1:$M$5,5,TRUE),0),
IF($C72="WS WH",VLOOKUP($B72,'2) หลักการคำนวน Table'!$D$63:$M$78,HLOOKUP(AL72,'2) หลักการคำนวน Table'!$D$1:$M$5,5,TRUE),0),
IF($C72="SF WH",VLOOKUP($B72,'2) หลักการคำนวน Table'!$D$93:$M$108,HLOOKUP(AL72,'2) หลักการคำนวน Table'!$D$1:$M$5,5,TRUE),0))))),0)</f>
        <v>787.5</v>
      </c>
      <c r="BK72" s="167">
        <f>IFERROR(IF($C72="Top WS",VLOOKUP($B72,'2) หลักการคำนวน Table'!$D$5:$M$20,HLOOKUP(AM72,'2) หลักการคำนวน Table'!$D$1:$M$5,5,TRUE),0),
IF($C72="WS SF",VLOOKUP($B72,'2) หลักการคำนวน Table'!$D$33:$M$48,HLOOKUP(AM72,'2) หลักการคำนวน Table'!$D$1:$M$5,5,TRUE),0),
IF($C72="WS WH",VLOOKUP($B72,'2) หลักการคำนวน Table'!$D$63:$M$78,HLOOKUP(AM72,'2) หลักการคำนวน Table'!$D$1:$M$5,5,TRUE),0),
IF($C72="SF WH",VLOOKUP($B72,'2) หลักการคำนวน Table'!$D$93:$M$108,HLOOKUP(AM72,'2) หลักการคำนวน Table'!$D$1:$M$5,5,TRUE),0))))),0)</f>
        <v>787.5</v>
      </c>
      <c r="BM72" s="119">
        <f>VLOOKUP(VLOOKUP(A72,ASTBase!E:S,13,FALSE),ASTBase!F:P,11,FALSE)</f>
        <v>140000</v>
      </c>
      <c r="BN72" s="196" cm="1">
        <f t="array" ref="BN72">INDEX(AN72:AY72,,Period!$D$2)</f>
        <v>0.9</v>
      </c>
    </row>
    <row r="73" spans="1:66" x14ac:dyDescent="0.25">
      <c r="A73" s="117">
        <v>140003</v>
      </c>
      <c r="B73" s="117" t="s">
        <v>392</v>
      </c>
      <c r="C73" s="117" t="s">
        <v>180</v>
      </c>
      <c r="D73" s="118">
        <v>1731</v>
      </c>
      <c r="E73" s="118">
        <v>764</v>
      </c>
      <c r="F73" s="118">
        <v>769</v>
      </c>
      <c r="G73" s="118">
        <v>1282</v>
      </c>
      <c r="H73" s="118">
        <v>1050</v>
      </c>
      <c r="I73" s="118">
        <v>651</v>
      </c>
      <c r="J73" s="118">
        <v>1663</v>
      </c>
      <c r="K73" s="118">
        <v>953</v>
      </c>
      <c r="L73" s="118">
        <v>1076</v>
      </c>
      <c r="M73" s="118">
        <v>1416</v>
      </c>
      <c r="N73" s="118">
        <v>1483</v>
      </c>
      <c r="O73" s="118">
        <v>1482</v>
      </c>
      <c r="P73" s="117">
        <f>SUMIFS(Actual!C:C,Actual!$A:$A,'3)Target &amp; Cal'!$A73,Actual!$B:$B,'3)Target &amp; Cal'!$B73)</f>
        <v>1067.742</v>
      </c>
      <c r="Q73" s="117">
        <f>SUMIFS(Actual!D:D,Actual!$A:$A,'3)Target &amp; Cal'!$A73,Actual!$B:$B,'3)Target &amp; Cal'!$B73)</f>
        <v>0</v>
      </c>
      <c r="R73" s="117">
        <f>SUMIFS(Actual!E:E,Actual!$A:$A,'3)Target &amp; Cal'!$A73,Actual!$B:$B,'3)Target &amp; Cal'!$B73)</f>
        <v>0</v>
      </c>
      <c r="S73" s="117">
        <f>SUMIFS(Actual!F:F,Actual!$A:$A,'3)Target &amp; Cal'!$A73,Actual!$B:$B,'3)Target &amp; Cal'!$B73)</f>
        <v>0</v>
      </c>
      <c r="T73" s="117">
        <f>SUMIFS(Actual!G:G,Actual!$A:$A,'3)Target &amp; Cal'!$A73,Actual!$B:$B,'3)Target &amp; Cal'!$B73)</f>
        <v>0</v>
      </c>
      <c r="U73" s="117">
        <f>SUMIFS(Actual!H:H,Actual!$A:$A,'3)Target &amp; Cal'!$A73,Actual!$B:$B,'3)Target &amp; Cal'!$B73)</f>
        <v>0</v>
      </c>
      <c r="V73" s="117">
        <f>SUMIFS(Actual!I:I,Actual!$A:$A,'3)Target &amp; Cal'!$A73,Actual!$B:$B,'3)Target &amp; Cal'!$B73)</f>
        <v>0</v>
      </c>
      <c r="W73" s="117">
        <f>SUMIFS(Actual!J:J,Actual!$A:$A,'3)Target &amp; Cal'!$A73,Actual!$B:$B,'3)Target &amp; Cal'!$B73)</f>
        <v>0</v>
      </c>
      <c r="X73" s="117">
        <f>SUMIFS(Actual!K:K,Actual!$A:$A,'3)Target &amp; Cal'!$A73,Actual!$B:$B,'3)Target &amp; Cal'!$B73)</f>
        <v>0</v>
      </c>
      <c r="Y73" s="117">
        <f>SUMIFS(Actual!L:L,Actual!$A:$A,'3)Target &amp; Cal'!$A73,Actual!$B:$B,'3)Target &amp; Cal'!$B73)</f>
        <v>0</v>
      </c>
      <c r="Z73" s="117">
        <f>SUMIFS(Actual!M:M,Actual!$A:$A,'3)Target &amp; Cal'!$A73,Actual!$B:$B,'3)Target &amp; Cal'!$B73)</f>
        <v>0</v>
      </c>
      <c r="AA73" s="117">
        <f>SUMIFS(Actual!N:N,Actual!$A:$A,'3)Target &amp; Cal'!$A73,Actual!$B:$B,'3)Target &amp; Cal'!$B73)</f>
        <v>0</v>
      </c>
      <c r="AB73" s="123">
        <f>IFERROR(IF(VLOOKUP($B73,Shortage!$A:$M,AB$2,FALSE)="Shortage",1,IFERROR(ROUND(P73/D73,4),0)),IFERROR(ROUND(P73/D73,4),0))</f>
        <v>0.61680000000000001</v>
      </c>
      <c r="AC73" s="123">
        <f>IFERROR(IF(VLOOKUP($B73,Shortage!$A:$M,AC$2,FALSE)="Shortage",1,IFERROR(ROUND(Q73/E73,4),0)),IFERROR(ROUND(Q73/E73,4),0))</f>
        <v>0</v>
      </c>
      <c r="AD73" s="123">
        <f>IFERROR(IF(VLOOKUP($B73,Shortage!$A:$M,AD$2,FALSE)="Shortage",1,IFERROR(ROUND(R73/F73,4),0)),IFERROR(ROUND(R73/F73,4),0))</f>
        <v>0</v>
      </c>
      <c r="AE73" s="123">
        <f>IFERROR(IF(VLOOKUP($B73,Shortage!$A:$M,AE$2,FALSE)="Shortage",1,IFERROR(ROUND(S73/G73,4),0)),IFERROR(ROUND(S73/G73,4),0))</f>
        <v>0</v>
      </c>
      <c r="AF73" s="123">
        <f>IFERROR(IF(VLOOKUP($B73,Shortage!$A:$M,AF$2,FALSE)="Shortage",1,IFERROR(ROUND(T73/H73,4),0)),IFERROR(ROUND(T73/H73,4),0))</f>
        <v>0</v>
      </c>
      <c r="AG73" s="123">
        <f>IFERROR(IF(VLOOKUP($B73,Shortage!$A:$M,AG$2,FALSE)="Shortage",1,IFERROR(ROUND(U73/I73,4),0)),IFERROR(ROUND(U73/I73,4),0))</f>
        <v>0</v>
      </c>
      <c r="AH73" s="123">
        <f>IFERROR(IF(VLOOKUP($B73,Shortage!$A:$M,AH$2,FALSE)="Shortage",1,IFERROR(ROUND(V73/J73,4),0)),IFERROR(ROUND(V73/J73,4),0))</f>
        <v>0</v>
      </c>
      <c r="AI73" s="123">
        <f>IFERROR(IF(VLOOKUP($B73,Shortage!$A:$M,AI$2,FALSE)="Shortage",1,IFERROR(ROUND(W73/K73,4),0)),IFERROR(ROUND(W73/K73,4),0))</f>
        <v>0</v>
      </c>
      <c r="AJ73" s="123">
        <f>IFERROR(IF(VLOOKUP($B73,Shortage!$A:$M,AP$2,FALSE)="Shortage",1,IFERROR(ROUND(X73/L73,4),0)),IFERROR(ROUND(X73/L73,4),0))</f>
        <v>0</v>
      </c>
      <c r="AK73" s="123">
        <f>IFERROR(IF(VLOOKUP($B73,Shortage!$A:$M,AK$2,FALSE)="Shortage",1,IFERROR(ROUND(Y73/M73,4),0)),IFERROR(ROUND(Y73/M73,4),0))</f>
        <v>0</v>
      </c>
      <c r="AL73" s="123">
        <f>IFERROR(IF(VLOOKUP($B73,Shortage!$A:$M,AL$2,FALSE)="Shortage",1,IFERROR(ROUND(Z73/N73,4),0)),IFERROR(ROUND(Z73/N73,4),0))</f>
        <v>0</v>
      </c>
      <c r="AM73" s="123">
        <f>IFERROR(IF(VLOOKUP($B73,Shortage!$A:$M,AM$2,FALSE)="Shortage",1,IFERROR(ROUND(AA73/O73,4),0)),IFERROR(ROUND(AA73/O73,4),0))</f>
        <v>0</v>
      </c>
      <c r="AN73" s="232">
        <f>IFERROR(IF($C73="Top WS",VLOOKUP("GOAL",'2) หลักการคำนวน Table'!$D$4:$M$4,HLOOKUP(AB73,'2) หลักการคำนวน Table'!$D$1:$M$5,5,TRUE),0),
IF($C73="WS SF",VLOOKUP("GOAL",'2) หลักการคำนวน Table'!$D$32:$M$32,HLOOKUP(AB73,'2) หลักการคำนวน Table'!$D$1:$M$5,5,TRUE),0),
IF($C73="WS WH",VLOOKUP("GOAL",'2) หลักการคำนวน Table'!$D$62:$M$62,HLOOKUP(AB73,'2) หลักการคำนวน Table'!$D$1:$M$5,5,TRUE),0),
IF($C73="SF WH",VLOOKUP("GOAL",'2) หลักการคำนวน Table'!$D$92:$M$92,HLOOKUP(AB73,'2) หลักการคำนวน Table'!$D$1:$M$5,5,TRUE),0))))),0)</f>
        <v>0.9</v>
      </c>
      <c r="AO73" s="232">
        <f>IFERROR(IF($C73="Top WS",VLOOKUP("GOAL",'2) หลักการคำนวน Table'!$D$4:$M$4,HLOOKUP(AC73,'2) หลักการคำนวน Table'!$D$1:$M$5,5,TRUE),0),
IF($C73="WS SF",VLOOKUP("GOAL",'2) หลักการคำนวน Table'!$D$32:$M$32,HLOOKUP(AC73,'2) หลักการคำนวน Table'!$D$1:$M$5,5,TRUE),0),
IF($C73="WS WH",VLOOKUP("GOAL",'2) หลักการคำนวน Table'!$D$62:$M$62,HLOOKUP(AC73,'2) หลักการคำนวน Table'!$D$1:$M$5,5,TRUE),0),
IF($C73="SF WH",VLOOKUP("GOAL",'2) หลักการคำนวน Table'!$D$92:$M$92,HLOOKUP(AC73,'2) หลักการคำนวน Table'!$D$1:$M$5,5,TRUE),0))))),0)</f>
        <v>0.9</v>
      </c>
      <c r="AP73" s="232">
        <f>IFERROR(IF($C73="Top WS",VLOOKUP("GOAL",'2) หลักการคำนวน Table'!$D$4:$M$4,HLOOKUP(AD73,'2) หลักการคำนวน Table'!$D$1:$M$5,5,TRUE),0),
IF($C73="WS SF",VLOOKUP("GOAL",'2) หลักการคำนวน Table'!$D$32:$M$32,HLOOKUP(AD73,'2) หลักการคำนวน Table'!$D$1:$M$5,5,TRUE),0),
IF($C73="WS WH",VLOOKUP("GOAL",'2) หลักการคำนวน Table'!$D$62:$M$62,HLOOKUP(AD73,'2) หลักการคำนวน Table'!$D$1:$M$5,5,TRUE),0),
IF($C73="SF WH",VLOOKUP("GOAL",'2) หลักการคำนวน Table'!$D$92:$M$92,HLOOKUP(AD73,'2) หลักการคำนวน Table'!$D$1:$M$5,5,TRUE),0))))),0)</f>
        <v>0.9</v>
      </c>
      <c r="AQ73" s="232">
        <f>IFERROR(IF($C73="Top WS",VLOOKUP("GOAL",'2) หลักการคำนวน Table'!$D$4:$M$4,HLOOKUP(AE73,'2) หลักการคำนวน Table'!$D$1:$M$5,5,TRUE),0),
IF($C73="WS SF",VLOOKUP("GOAL",'2) หลักการคำนวน Table'!$D$32:$M$32,HLOOKUP(AE73,'2) หลักการคำนวน Table'!$D$1:$M$5,5,TRUE),0),
IF($C73="WS WH",VLOOKUP("GOAL",'2) หลักการคำนวน Table'!$D$62:$M$62,HLOOKUP(AE73,'2) หลักการคำนวน Table'!$D$1:$M$5,5,TRUE),0),
IF($C73="SF WH",VLOOKUP("GOAL",'2) หลักการคำนวน Table'!$D$92:$M$92,HLOOKUP(AE73,'2) หลักการคำนวน Table'!$D$1:$M$5,5,TRUE),0))))),0)</f>
        <v>0.9</v>
      </c>
      <c r="AR73" s="232">
        <f>IFERROR(IF($C73="Top WS",VLOOKUP("GOAL",'2) หลักการคำนวน Table'!$D$4:$M$4,HLOOKUP(AF73,'2) หลักการคำนวน Table'!$D$1:$M$5,5,TRUE),0),
IF($C73="WS SF",VLOOKUP("GOAL",'2) หลักการคำนวน Table'!$D$32:$M$32,HLOOKUP(AF73,'2) หลักการคำนวน Table'!$D$1:$M$5,5,TRUE),0),
IF($C73="WS WH",VLOOKUP("GOAL",'2) หลักการคำนวน Table'!$D$62:$M$62,HLOOKUP(AF73,'2) หลักการคำนวน Table'!$D$1:$M$5,5,TRUE),0),
IF($C73="SF WH",VLOOKUP("GOAL",'2) หลักการคำนวน Table'!$D$92:$M$92,HLOOKUP(AF73,'2) หลักการคำนวน Table'!$D$1:$M$5,5,TRUE),0))))),0)</f>
        <v>0.9</v>
      </c>
      <c r="AS73" s="232">
        <f>IFERROR(IF($C73="Top WS",VLOOKUP("GOAL",'2) หลักการคำนวน Table'!$D$4:$M$4,HLOOKUP(AG73,'2) หลักการคำนวน Table'!$D$1:$M$5,5,TRUE),0),
IF($C73="WS SF",VLOOKUP("GOAL",'2) หลักการคำนวน Table'!$D$32:$M$32,HLOOKUP(AG73,'2) หลักการคำนวน Table'!$D$1:$M$5,5,TRUE),0),
IF($C73="WS WH",VLOOKUP("GOAL",'2) หลักการคำนวน Table'!$D$62:$M$62,HLOOKUP(AG73,'2) หลักการคำนวน Table'!$D$1:$M$5,5,TRUE),0),
IF($C73="SF WH",VLOOKUP("GOAL",'2) หลักการคำนวน Table'!$D$92:$M$92,HLOOKUP(AG73,'2) หลักการคำนวน Table'!$D$1:$M$5,5,TRUE),0))))),0)</f>
        <v>0.9</v>
      </c>
      <c r="AT73" s="232">
        <f>IFERROR(IF($C73="Top WS",VLOOKUP("GOAL",'2) หลักการคำนวน Table'!$D$4:$M$4,HLOOKUP(AH73,'2) หลักการคำนวน Table'!$D$1:$M$5,5,TRUE),0),
IF($C73="WS SF",VLOOKUP("GOAL",'2) หลักการคำนวน Table'!$D$32:$M$32,HLOOKUP(AH73,'2) หลักการคำนวน Table'!$D$1:$M$5,5,TRUE),0),
IF($C73="WS WH",VLOOKUP("GOAL",'2) หลักการคำนวน Table'!$D$62:$M$62,HLOOKUP(AH73,'2) หลักการคำนวน Table'!$D$1:$M$5,5,TRUE),0),
IF($C73="SF WH",VLOOKUP("GOAL",'2) หลักการคำนวน Table'!$D$92:$M$92,HLOOKUP(AH73,'2) หลักการคำนวน Table'!$D$1:$M$5,5,TRUE),0))))),0)</f>
        <v>0.9</v>
      </c>
      <c r="AU73" s="232">
        <f>IFERROR(IF($C73="Top WS",VLOOKUP("GOAL",'2) หลักการคำนวน Table'!$D$4:$M$4,HLOOKUP(AI73,'2) หลักการคำนวน Table'!$D$1:$M$5,5,TRUE),0),
IF($C73="WS SF",VLOOKUP("GOAL",'2) หลักการคำนวน Table'!$D$32:$M$32,HLOOKUP(AI73,'2) หลักการคำนวน Table'!$D$1:$M$5,5,TRUE),0),
IF($C73="WS WH",VLOOKUP("GOAL",'2) หลักการคำนวน Table'!$D$62:$M$62,HLOOKUP(AI73,'2) หลักการคำนวน Table'!$D$1:$M$5,5,TRUE),0),
IF($C73="SF WH",VLOOKUP("GOAL",'2) หลักการคำนวน Table'!$D$92:$M$92,HLOOKUP(AI73,'2) หลักการคำนวน Table'!$D$1:$M$5,5,TRUE),0))))),0)</f>
        <v>0.9</v>
      </c>
      <c r="AV73" s="232">
        <f>IFERROR(IF($C73="Top WS",VLOOKUP("GOAL",'2) หลักการคำนวน Table'!$D$4:$M$4,HLOOKUP(AP73,'2) หลักการคำนวน Table'!$D$1:$M$5,5,TRUE),0),
IF($C73="WS SF",VLOOKUP("GOAL",'2) หลักการคำนวน Table'!$D$32:$M$32,HLOOKUP(AP73,'2) หลักการคำนวน Table'!$D$1:$M$5,5,TRUE),0),
IF($C73="WS WH",VLOOKUP("GOAL",'2) หลักการคำนวน Table'!$D$62:$M$62,HLOOKUP(AP73,'2) หลักการคำนวน Table'!$D$1:$M$5,5,TRUE),0),
IF($C73="SF WH",VLOOKUP("GOAL",'2) หลักการคำนวน Table'!$D$92:$M$92,HLOOKUP(AP73,'2) หลักการคำนวน Table'!$D$1:$M$5,5,TRUE),0))))),0)</f>
        <v>0.9</v>
      </c>
      <c r="AW73" s="232">
        <f>IFERROR(IF($C73="Top WS",VLOOKUP("GOAL",'2) หลักการคำนวน Table'!$D$4:$M$4,HLOOKUP(AK73,'2) หลักการคำนวน Table'!$D$1:$M$5,5,TRUE),0),
IF($C73="WS SF",VLOOKUP("GOAL",'2) หลักการคำนวน Table'!$D$32:$M$32,HLOOKUP(AK73,'2) หลักการคำนวน Table'!$D$1:$M$5,5,TRUE),0),
IF($C73="WS WH",VLOOKUP("GOAL",'2) หลักการคำนวน Table'!$D$62:$M$62,HLOOKUP(AK73,'2) หลักการคำนวน Table'!$D$1:$M$5,5,TRUE),0),
IF($C73="SF WH",VLOOKUP("GOAL",'2) หลักการคำนวน Table'!$D$92:$M$92,HLOOKUP(AK73,'2) หลักการคำนวน Table'!$D$1:$M$5,5,TRUE),0))))),0)</f>
        <v>0.9</v>
      </c>
      <c r="AX73" s="232">
        <f>IFERROR(IF($C73="Top WS",VLOOKUP("GOAL",'2) หลักการคำนวน Table'!$D$4:$M$4,HLOOKUP(AL73,'2) หลักการคำนวน Table'!$D$1:$M$5,5,TRUE),0),
IF($C73="WS SF",VLOOKUP("GOAL",'2) หลักการคำนวน Table'!$D$32:$M$32,HLOOKUP(AL73,'2) หลักการคำนวน Table'!$D$1:$M$5,5,TRUE),0),
IF($C73="WS WH",VLOOKUP("GOAL",'2) หลักการคำนวน Table'!$D$62:$M$62,HLOOKUP(AL73,'2) หลักการคำนวน Table'!$D$1:$M$5,5,TRUE),0),
IF($C73="SF WH",VLOOKUP("GOAL",'2) หลักการคำนวน Table'!$D$92:$M$92,HLOOKUP(AL73,'2) หลักการคำนวน Table'!$D$1:$M$5,5,TRUE),0))))),0)</f>
        <v>0.9</v>
      </c>
      <c r="AY73" s="232">
        <f>IFERROR(IF($C73="Top WS",VLOOKUP("GOAL",'2) หลักการคำนวน Table'!$D$4:$M$4,HLOOKUP(AM73,'2) หลักการคำนวน Table'!$D$1:$M$5,5,TRUE),0),
IF($C73="WS SF",VLOOKUP("GOAL",'2) หลักการคำนวน Table'!$D$32:$M$32,HLOOKUP(AM73,'2) หลักการคำนวน Table'!$D$1:$M$5,5,TRUE),0),
IF($C73="WS WH",VLOOKUP("GOAL",'2) หลักการคำนวน Table'!$D$62:$M$62,HLOOKUP(AM73,'2) หลักการคำนวน Table'!$D$1:$M$5,5,TRUE),0),
IF($C73="SF WH",VLOOKUP("GOAL",'2) หลักการคำนวน Table'!$D$92:$M$92,HLOOKUP(AM73,'2) หลักการคำนวน Table'!$D$1:$M$5,5,TRUE),0))))),0)</f>
        <v>0.9</v>
      </c>
      <c r="AZ73" s="167">
        <f>IFERROR(IF($C73="Top WS",VLOOKUP($B73,'2) หลักการคำนวน Table'!$D$5:$M$20,HLOOKUP(AB73,'2) หลักการคำนวน Table'!$D$1:$M$5,5,TRUE),0),
IF($C73="WS SF",VLOOKUP($B73,'2) หลักการคำนวน Table'!$D$33:$M$48,HLOOKUP(AB73,'2) หลักการคำนวน Table'!$D$1:$M$5,5,TRUE),0),
IF($C73="WS WH",VLOOKUP($B73,'2) หลักการคำนวน Table'!$D$63:$M$78,HLOOKUP(AB73,'2) หลักการคำนวน Table'!$D$1:$M$5,5,TRUE),0),
IF($C73="SF WH",VLOOKUP($B73,'2) หลักการคำนวน Table'!$D$93:$M$108,HLOOKUP(AB73,'2) หลักการคำนวน Table'!$D$1:$M$5,5,TRUE),0))))),0)</f>
        <v>315</v>
      </c>
      <c r="BA73" s="167">
        <f>IFERROR(IF($C73="Top WS",VLOOKUP($B73,'2) หลักการคำนวน Table'!$D$5:$M$20,HLOOKUP(AC73,'2) หลักการคำนวน Table'!$D$1:$M$5,5,TRUE),0),
IF($C73="WS SF",VLOOKUP($B73,'2) หลักการคำนวน Table'!$D$33:$M$48,HLOOKUP(AC73,'2) หลักการคำนวน Table'!$D$1:$M$5,5,TRUE),0),
IF($C73="WS WH",VLOOKUP($B73,'2) หลักการคำนวน Table'!$D$63:$M$78,HLOOKUP(AC73,'2) หลักการคำนวน Table'!$D$1:$M$5,5,TRUE),0),
IF($C73="SF WH",VLOOKUP($B73,'2) หลักการคำนวน Table'!$D$93:$M$108,HLOOKUP(AC73,'2) หลักการคำนวน Table'!$D$1:$M$5,5,TRUE),0))))),0)</f>
        <v>315</v>
      </c>
      <c r="BB73" s="167">
        <f>IFERROR(IF($C73="Top WS",VLOOKUP($B73,'2) หลักการคำนวน Table'!$D$5:$M$20,HLOOKUP(AD73,'2) หลักการคำนวน Table'!$D$1:$M$5,5,TRUE),0),
IF($C73="WS SF",VLOOKUP($B73,'2) หลักการคำนวน Table'!$D$33:$M$48,HLOOKUP(AD73,'2) หลักการคำนวน Table'!$D$1:$M$5,5,TRUE),0),
IF($C73="WS WH",VLOOKUP($B73,'2) หลักการคำนวน Table'!$D$63:$M$78,HLOOKUP(AD73,'2) หลักการคำนวน Table'!$D$1:$M$5,5,TRUE),0),
IF($C73="SF WH",VLOOKUP($B73,'2) หลักการคำนวน Table'!$D$93:$M$108,HLOOKUP(AD73,'2) หลักการคำนวน Table'!$D$1:$M$5,5,TRUE),0))))),0)</f>
        <v>315</v>
      </c>
      <c r="BC73" s="167">
        <f>IFERROR(IF($C73="Top WS",VLOOKUP($B73,'2) หลักการคำนวน Table'!$D$5:$M$20,HLOOKUP(AE73,'2) หลักการคำนวน Table'!$D$1:$M$5,5,TRUE),0),
IF($C73="WS SF",VLOOKUP($B73,'2) หลักการคำนวน Table'!$D$33:$M$48,HLOOKUP(AE73,'2) หลักการคำนวน Table'!$D$1:$M$5,5,TRUE),0),
IF($C73="WS WH",VLOOKUP($B73,'2) หลักการคำนวน Table'!$D$63:$M$78,HLOOKUP(AE73,'2) หลักการคำนวน Table'!$D$1:$M$5,5,TRUE),0),
IF($C73="SF WH",VLOOKUP($B73,'2) หลักการคำนวน Table'!$D$93:$M$108,HLOOKUP(AE73,'2) หลักการคำนวน Table'!$D$1:$M$5,5,TRUE),0))))),0)</f>
        <v>315</v>
      </c>
      <c r="BD73" s="167">
        <f>IFERROR(IF($C73="Top WS",VLOOKUP($B73,'2) หลักการคำนวน Table'!$D$5:$M$20,HLOOKUP(AF73,'2) หลักการคำนวน Table'!$D$1:$M$5,5,TRUE),0),
IF($C73="WS SF",VLOOKUP($B73,'2) หลักการคำนวน Table'!$D$33:$M$48,HLOOKUP(AF73,'2) หลักการคำนวน Table'!$D$1:$M$5,5,TRUE),0),
IF($C73="WS WH",VLOOKUP($B73,'2) หลักการคำนวน Table'!$D$63:$M$78,HLOOKUP(AF73,'2) หลักการคำนวน Table'!$D$1:$M$5,5,TRUE),0),
IF($C73="SF WH",VLOOKUP($B73,'2) หลักการคำนวน Table'!$D$93:$M$108,HLOOKUP(AF73,'2) หลักการคำนวน Table'!$D$1:$M$5,5,TRUE),0))))),0)</f>
        <v>315</v>
      </c>
      <c r="BE73" s="167">
        <f>IFERROR(IF($C73="Top WS",VLOOKUP($B73,'2) หลักการคำนวน Table'!$D$5:$M$20,HLOOKUP(AG73,'2) หลักการคำนวน Table'!$D$1:$M$5,5,TRUE),0),
IF($C73="WS SF",VLOOKUP($B73,'2) หลักการคำนวน Table'!$D$33:$M$48,HLOOKUP(AG73,'2) หลักการคำนวน Table'!$D$1:$M$5,5,TRUE),0),
IF($C73="WS WH",VLOOKUP($B73,'2) หลักการคำนวน Table'!$D$63:$M$78,HLOOKUP(AG73,'2) หลักการคำนวน Table'!$D$1:$M$5,5,TRUE),0),
IF($C73="SF WH",VLOOKUP($B73,'2) หลักการคำนวน Table'!$D$93:$M$108,HLOOKUP(AG73,'2) หลักการคำนวน Table'!$D$1:$M$5,5,TRUE),0))))),0)</f>
        <v>315</v>
      </c>
      <c r="BF73" s="167">
        <f>IFERROR(IF($C73="Top WS",VLOOKUP($B73,'2) หลักการคำนวน Table'!$D$5:$M$20,HLOOKUP(AH73,'2) หลักการคำนวน Table'!$D$1:$M$5,5,TRUE),0),
IF($C73="WS SF",VLOOKUP($B73,'2) หลักการคำนวน Table'!$D$33:$M$48,HLOOKUP(AH73,'2) หลักการคำนวน Table'!$D$1:$M$5,5,TRUE),0),
IF($C73="WS WH",VLOOKUP($B73,'2) หลักการคำนวน Table'!$D$63:$M$78,HLOOKUP(AH73,'2) หลักการคำนวน Table'!$D$1:$M$5,5,TRUE),0),
IF($C73="SF WH",VLOOKUP($B73,'2) หลักการคำนวน Table'!$D$93:$M$108,HLOOKUP(AH73,'2) หลักการคำนวน Table'!$D$1:$M$5,5,TRUE),0))))),0)</f>
        <v>315</v>
      </c>
      <c r="BG73" s="167">
        <f>IFERROR(IF($C73="Top WS",VLOOKUP($B73,'2) หลักการคำนวน Table'!$D$5:$M$20,HLOOKUP(AI73,'2) หลักการคำนวน Table'!$D$1:$M$5,5,TRUE),0),
IF($C73="WS SF",VLOOKUP($B73,'2) หลักการคำนวน Table'!$D$33:$M$48,HLOOKUP(AI73,'2) หลักการคำนวน Table'!$D$1:$M$5,5,TRUE),0),
IF($C73="WS WH",VLOOKUP($B73,'2) หลักการคำนวน Table'!$D$63:$M$78,HLOOKUP(AI73,'2) หลักการคำนวน Table'!$D$1:$M$5,5,TRUE),0),
IF($C73="SF WH",VLOOKUP($B73,'2) หลักการคำนวน Table'!$D$93:$M$108,HLOOKUP(AI73,'2) หลักการคำนวน Table'!$D$1:$M$5,5,TRUE),0))))),0)</f>
        <v>315</v>
      </c>
      <c r="BH73" s="167">
        <f>IFERROR(IF($C73="Top WS",VLOOKUP($B73,'2) หลักการคำนวน Table'!$D$5:$M$20,HLOOKUP(AP73,'2) หลักการคำนวน Table'!$D$1:$M$5,5,TRUE),0),
IF($C73="WS SF",VLOOKUP($B73,'2) หลักการคำนวน Table'!$D$33:$M$48,HLOOKUP(AP73,'2) หลักการคำนวน Table'!$D$1:$M$5,5,TRUE),0),
IF($C73="WS WH",VLOOKUP($B73,'2) หลักการคำนวน Table'!$D$63:$M$78,HLOOKUP(AP73,'2) หลักการคำนวน Table'!$D$1:$M$5,5,TRUE),0),
IF($C73="SF WH",VLOOKUP($B73,'2) หลักการคำนวน Table'!$D$93:$M$108,HLOOKUP(AP73,'2) หลักการคำนวน Table'!$D$1:$M$5,5,TRUE),0))))),0)</f>
        <v>315</v>
      </c>
      <c r="BI73" s="167">
        <f>IFERROR(IF($C73="Top WS",VLOOKUP($B73,'2) หลักการคำนวน Table'!$D$5:$M$20,HLOOKUP(AK73,'2) หลักการคำนวน Table'!$D$1:$M$5,5,TRUE),0),
IF($C73="WS SF",VLOOKUP($B73,'2) หลักการคำนวน Table'!$D$33:$M$48,HLOOKUP(AK73,'2) หลักการคำนวน Table'!$D$1:$M$5,5,TRUE),0),
IF($C73="WS WH",VLOOKUP($B73,'2) หลักการคำนวน Table'!$D$63:$M$78,HLOOKUP(AK73,'2) หลักการคำนวน Table'!$D$1:$M$5,5,TRUE),0),
IF($C73="SF WH",VLOOKUP($B73,'2) หลักการคำนวน Table'!$D$93:$M$108,HLOOKUP(AK73,'2) หลักการคำนวน Table'!$D$1:$M$5,5,TRUE),0))))),0)</f>
        <v>315</v>
      </c>
      <c r="BJ73" s="167">
        <f>IFERROR(IF($C73="Top WS",VLOOKUP($B73,'2) หลักการคำนวน Table'!$D$5:$M$20,HLOOKUP(AL73,'2) หลักการคำนวน Table'!$D$1:$M$5,5,TRUE),0),
IF($C73="WS SF",VLOOKUP($B73,'2) หลักการคำนวน Table'!$D$33:$M$48,HLOOKUP(AL73,'2) หลักการคำนวน Table'!$D$1:$M$5,5,TRUE),0),
IF($C73="WS WH",VLOOKUP($B73,'2) หลักการคำนวน Table'!$D$63:$M$78,HLOOKUP(AL73,'2) หลักการคำนวน Table'!$D$1:$M$5,5,TRUE),0),
IF($C73="SF WH",VLOOKUP($B73,'2) หลักการคำนวน Table'!$D$93:$M$108,HLOOKUP(AL73,'2) หลักการคำนวน Table'!$D$1:$M$5,5,TRUE),0))))),0)</f>
        <v>315</v>
      </c>
      <c r="BK73" s="167">
        <f>IFERROR(IF($C73="Top WS",VLOOKUP($B73,'2) หลักการคำนวน Table'!$D$5:$M$20,HLOOKUP(AM73,'2) หลักการคำนวน Table'!$D$1:$M$5,5,TRUE),0),
IF($C73="WS SF",VLOOKUP($B73,'2) หลักการคำนวน Table'!$D$33:$M$48,HLOOKUP(AM73,'2) หลักการคำนวน Table'!$D$1:$M$5,5,TRUE),0),
IF($C73="WS WH",VLOOKUP($B73,'2) หลักการคำนวน Table'!$D$63:$M$78,HLOOKUP(AM73,'2) หลักการคำนวน Table'!$D$1:$M$5,5,TRUE),0),
IF($C73="SF WH",VLOOKUP($B73,'2) หลักการคำนวน Table'!$D$93:$M$108,HLOOKUP(AM73,'2) หลักการคำนวน Table'!$D$1:$M$5,5,TRUE),0))))),0)</f>
        <v>315</v>
      </c>
      <c r="BM73" s="119">
        <f>VLOOKUP(VLOOKUP(A73,ASTBase!E:S,13,FALSE),ASTBase!F:P,11,FALSE)</f>
        <v>140000</v>
      </c>
      <c r="BN73" s="196" cm="1">
        <f t="array" ref="BN73">INDEX(AN73:AY73,,Period!$D$2)</f>
        <v>0.9</v>
      </c>
    </row>
    <row r="74" spans="1:66" x14ac:dyDescent="0.25">
      <c r="A74" s="117">
        <v>140003</v>
      </c>
      <c r="B74" s="117" t="s">
        <v>391</v>
      </c>
      <c r="C74" s="117" t="s">
        <v>180</v>
      </c>
      <c r="D74" s="118">
        <v>1725</v>
      </c>
      <c r="E74" s="118">
        <v>2031</v>
      </c>
      <c r="F74" s="118">
        <v>2198</v>
      </c>
      <c r="G74" s="118">
        <v>2467</v>
      </c>
      <c r="H74" s="118">
        <v>2271</v>
      </c>
      <c r="I74" s="118">
        <v>2244</v>
      </c>
      <c r="J74" s="118">
        <v>2500</v>
      </c>
      <c r="K74" s="118">
        <v>2592</v>
      </c>
      <c r="L74" s="118">
        <v>2970</v>
      </c>
      <c r="M74" s="118">
        <v>2223</v>
      </c>
      <c r="N74" s="118">
        <v>1867</v>
      </c>
      <c r="O74" s="118">
        <v>1869</v>
      </c>
      <c r="P74" s="117">
        <f>SUMIFS(Actual!C:C,Actual!$A:$A,'3)Target &amp; Cal'!$A74,Actual!$B:$B,'3)Target &amp; Cal'!$B74)</f>
        <v>3347.9999999549991</v>
      </c>
      <c r="Q74" s="117">
        <f>SUMIFS(Actual!D:D,Actual!$A:$A,'3)Target &amp; Cal'!$A74,Actual!$B:$B,'3)Target &amp; Cal'!$B74)</f>
        <v>4487.9999999497213</v>
      </c>
      <c r="R74" s="117">
        <f>SUMIFS(Actual!E:E,Actual!$A:$A,'3)Target &amp; Cal'!$A74,Actual!$B:$B,'3)Target &amp; Cal'!$B74)</f>
        <v>0</v>
      </c>
      <c r="S74" s="117">
        <f>SUMIFS(Actual!F:F,Actual!$A:$A,'3)Target &amp; Cal'!$A74,Actual!$B:$B,'3)Target &amp; Cal'!$B74)</f>
        <v>0</v>
      </c>
      <c r="T74" s="117">
        <f>SUMIFS(Actual!G:G,Actual!$A:$A,'3)Target &amp; Cal'!$A74,Actual!$B:$B,'3)Target &amp; Cal'!$B74)</f>
        <v>0</v>
      </c>
      <c r="U74" s="117">
        <f>SUMIFS(Actual!H:H,Actual!$A:$A,'3)Target &amp; Cal'!$A74,Actual!$B:$B,'3)Target &amp; Cal'!$B74)</f>
        <v>0</v>
      </c>
      <c r="V74" s="117">
        <f>SUMIFS(Actual!I:I,Actual!$A:$A,'3)Target &amp; Cal'!$A74,Actual!$B:$B,'3)Target &amp; Cal'!$B74)</f>
        <v>0</v>
      </c>
      <c r="W74" s="117">
        <f>SUMIFS(Actual!J:J,Actual!$A:$A,'3)Target &amp; Cal'!$A74,Actual!$B:$B,'3)Target &amp; Cal'!$B74)</f>
        <v>0</v>
      </c>
      <c r="X74" s="117">
        <f>SUMIFS(Actual!K:K,Actual!$A:$A,'3)Target &amp; Cal'!$A74,Actual!$B:$B,'3)Target &amp; Cal'!$B74)</f>
        <v>0</v>
      </c>
      <c r="Y74" s="117">
        <f>SUMIFS(Actual!L:L,Actual!$A:$A,'3)Target &amp; Cal'!$A74,Actual!$B:$B,'3)Target &amp; Cal'!$B74)</f>
        <v>0</v>
      </c>
      <c r="Z74" s="117">
        <f>SUMIFS(Actual!M:M,Actual!$A:$A,'3)Target &amp; Cal'!$A74,Actual!$B:$B,'3)Target &amp; Cal'!$B74)</f>
        <v>0</v>
      </c>
      <c r="AA74" s="117">
        <f>SUMIFS(Actual!N:N,Actual!$A:$A,'3)Target &amp; Cal'!$A74,Actual!$B:$B,'3)Target &amp; Cal'!$B74)</f>
        <v>0</v>
      </c>
      <c r="AB74" s="123">
        <f>IFERROR(IF(VLOOKUP($B74,Shortage!$A:$M,AB$2,FALSE)="Shortage",1,IFERROR(ROUND(P74/D74,4),0)),IFERROR(ROUND(P74/D74,4),0))</f>
        <v>1</v>
      </c>
      <c r="AC74" s="123">
        <f>IFERROR(IF(VLOOKUP($B74,Shortage!$A:$M,AC$2,FALSE)="Shortage",1,IFERROR(ROUND(Q74/E74,4),0)),IFERROR(ROUND(Q74/E74,4),0))</f>
        <v>1</v>
      </c>
      <c r="AD74" s="123">
        <f>IFERROR(IF(VLOOKUP($B74,Shortage!$A:$M,AD$2,FALSE)="Shortage",1,IFERROR(ROUND(R74/F74,4),0)),IFERROR(ROUND(R74/F74,4),0))</f>
        <v>0</v>
      </c>
      <c r="AE74" s="123">
        <f>IFERROR(IF(VLOOKUP($B74,Shortage!$A:$M,AE$2,FALSE)="Shortage",1,IFERROR(ROUND(S74/G74,4),0)),IFERROR(ROUND(S74/G74,4),0))</f>
        <v>0</v>
      </c>
      <c r="AF74" s="123">
        <f>IFERROR(IF(VLOOKUP($B74,Shortage!$A:$M,AF$2,FALSE)="Shortage",1,IFERROR(ROUND(T74/H74,4),0)),IFERROR(ROUND(T74/H74,4),0))</f>
        <v>0</v>
      </c>
      <c r="AG74" s="123">
        <f>IFERROR(IF(VLOOKUP($B74,Shortage!$A:$M,AG$2,FALSE)="Shortage",1,IFERROR(ROUND(U74/I74,4),0)),IFERROR(ROUND(U74/I74,4),0))</f>
        <v>0</v>
      </c>
      <c r="AH74" s="123">
        <f>IFERROR(IF(VLOOKUP($B74,Shortage!$A:$M,AH$2,FALSE)="Shortage",1,IFERROR(ROUND(V74/J74,4),0)),IFERROR(ROUND(V74/J74,4),0))</f>
        <v>0</v>
      </c>
      <c r="AI74" s="123">
        <f>IFERROR(IF(VLOOKUP($B74,Shortage!$A:$M,AI$2,FALSE)="Shortage",1,IFERROR(ROUND(W74/K74,4),0)),IFERROR(ROUND(W74/K74,4),0))</f>
        <v>0</v>
      </c>
      <c r="AJ74" s="123">
        <f>IFERROR(IF(VLOOKUP($B74,Shortage!$A:$M,AP$2,FALSE)="Shortage",1,IFERROR(ROUND(X74/L74,4),0)),IFERROR(ROUND(X74/L74,4),0))</f>
        <v>0</v>
      </c>
      <c r="AK74" s="123">
        <f>IFERROR(IF(VLOOKUP($B74,Shortage!$A:$M,AK$2,FALSE)="Shortage",1,IFERROR(ROUND(Y74/M74,4),0)),IFERROR(ROUND(Y74/M74,4),0))</f>
        <v>0</v>
      </c>
      <c r="AL74" s="123">
        <f>IFERROR(IF(VLOOKUP($B74,Shortage!$A:$M,AL$2,FALSE)="Shortage",1,IFERROR(ROUND(Z74/N74,4),0)),IFERROR(ROUND(Z74/N74,4),0))</f>
        <v>0</v>
      </c>
      <c r="AM74" s="123">
        <f>IFERROR(IF(VLOOKUP($B74,Shortage!$A:$M,AM$2,FALSE)="Shortage",1,IFERROR(ROUND(AA74/O74,4),0)),IFERROR(ROUND(AA74/O74,4),0))</f>
        <v>0</v>
      </c>
      <c r="AN74" s="232">
        <f>IFERROR(IF($C74="Top WS",VLOOKUP("GOAL",'2) หลักการคำนวน Table'!$D$4:$M$4,HLOOKUP(AB74,'2) หลักการคำนวน Table'!$D$1:$M$5,5,TRUE),0),
IF($C74="WS SF",VLOOKUP("GOAL",'2) หลักการคำนวน Table'!$D$32:$M$32,HLOOKUP(AB74,'2) หลักการคำนวน Table'!$D$1:$M$5,5,TRUE),0),
IF($C74="WS WH",VLOOKUP("GOAL",'2) หลักการคำนวน Table'!$D$62:$M$62,HLOOKUP(AB74,'2) หลักการคำนวน Table'!$D$1:$M$5,5,TRUE),0),
IF($C74="SF WH",VLOOKUP("GOAL",'2) หลักการคำนวน Table'!$D$92:$M$92,HLOOKUP(AB74,'2) หลักการคำนวน Table'!$D$1:$M$5,5,TRUE),0))))),0)</f>
        <v>1</v>
      </c>
      <c r="AO74" s="232">
        <f>IFERROR(IF($C74="Top WS",VLOOKUP("GOAL",'2) หลักการคำนวน Table'!$D$4:$M$4,HLOOKUP(AC74,'2) หลักการคำนวน Table'!$D$1:$M$5,5,TRUE),0),
IF($C74="WS SF",VLOOKUP("GOAL",'2) หลักการคำนวน Table'!$D$32:$M$32,HLOOKUP(AC74,'2) หลักการคำนวน Table'!$D$1:$M$5,5,TRUE),0),
IF($C74="WS WH",VLOOKUP("GOAL",'2) หลักการคำนวน Table'!$D$62:$M$62,HLOOKUP(AC74,'2) หลักการคำนวน Table'!$D$1:$M$5,5,TRUE),0),
IF($C74="SF WH",VLOOKUP("GOAL",'2) หลักการคำนวน Table'!$D$92:$M$92,HLOOKUP(AC74,'2) หลักการคำนวน Table'!$D$1:$M$5,5,TRUE),0))))),0)</f>
        <v>1</v>
      </c>
      <c r="AP74" s="232">
        <f>IFERROR(IF($C74="Top WS",VLOOKUP("GOAL",'2) หลักการคำนวน Table'!$D$4:$M$4,HLOOKUP(AD74,'2) หลักการคำนวน Table'!$D$1:$M$5,5,TRUE),0),
IF($C74="WS SF",VLOOKUP("GOAL",'2) หลักการคำนวน Table'!$D$32:$M$32,HLOOKUP(AD74,'2) หลักการคำนวน Table'!$D$1:$M$5,5,TRUE),0),
IF($C74="WS WH",VLOOKUP("GOAL",'2) หลักการคำนวน Table'!$D$62:$M$62,HLOOKUP(AD74,'2) หลักการคำนวน Table'!$D$1:$M$5,5,TRUE),0),
IF($C74="SF WH",VLOOKUP("GOAL",'2) หลักการคำนวน Table'!$D$92:$M$92,HLOOKUP(AD74,'2) หลักการคำนวน Table'!$D$1:$M$5,5,TRUE),0))))),0)</f>
        <v>0.9</v>
      </c>
      <c r="AQ74" s="232">
        <f>IFERROR(IF($C74="Top WS",VLOOKUP("GOAL",'2) หลักการคำนวน Table'!$D$4:$M$4,HLOOKUP(AE74,'2) หลักการคำนวน Table'!$D$1:$M$5,5,TRUE),0),
IF($C74="WS SF",VLOOKUP("GOAL",'2) หลักการคำนวน Table'!$D$32:$M$32,HLOOKUP(AE74,'2) หลักการคำนวน Table'!$D$1:$M$5,5,TRUE),0),
IF($C74="WS WH",VLOOKUP("GOAL",'2) หลักการคำนวน Table'!$D$62:$M$62,HLOOKUP(AE74,'2) หลักการคำนวน Table'!$D$1:$M$5,5,TRUE),0),
IF($C74="SF WH",VLOOKUP("GOAL",'2) หลักการคำนวน Table'!$D$92:$M$92,HLOOKUP(AE74,'2) หลักการคำนวน Table'!$D$1:$M$5,5,TRUE),0))))),0)</f>
        <v>0.9</v>
      </c>
      <c r="AR74" s="232">
        <f>IFERROR(IF($C74="Top WS",VLOOKUP("GOAL",'2) หลักการคำนวน Table'!$D$4:$M$4,HLOOKUP(AF74,'2) หลักการคำนวน Table'!$D$1:$M$5,5,TRUE),0),
IF($C74="WS SF",VLOOKUP("GOAL",'2) หลักการคำนวน Table'!$D$32:$M$32,HLOOKUP(AF74,'2) หลักการคำนวน Table'!$D$1:$M$5,5,TRUE),0),
IF($C74="WS WH",VLOOKUP("GOAL",'2) หลักการคำนวน Table'!$D$62:$M$62,HLOOKUP(AF74,'2) หลักการคำนวน Table'!$D$1:$M$5,5,TRUE),0),
IF($C74="SF WH",VLOOKUP("GOAL",'2) หลักการคำนวน Table'!$D$92:$M$92,HLOOKUP(AF74,'2) หลักการคำนวน Table'!$D$1:$M$5,5,TRUE),0))))),0)</f>
        <v>0.9</v>
      </c>
      <c r="AS74" s="232">
        <f>IFERROR(IF($C74="Top WS",VLOOKUP("GOAL",'2) หลักการคำนวน Table'!$D$4:$M$4,HLOOKUP(AG74,'2) หลักการคำนวน Table'!$D$1:$M$5,5,TRUE),0),
IF($C74="WS SF",VLOOKUP("GOAL",'2) หลักการคำนวน Table'!$D$32:$M$32,HLOOKUP(AG74,'2) หลักการคำนวน Table'!$D$1:$M$5,5,TRUE),0),
IF($C74="WS WH",VLOOKUP("GOAL",'2) หลักการคำนวน Table'!$D$62:$M$62,HLOOKUP(AG74,'2) หลักการคำนวน Table'!$D$1:$M$5,5,TRUE),0),
IF($C74="SF WH",VLOOKUP("GOAL",'2) หลักการคำนวน Table'!$D$92:$M$92,HLOOKUP(AG74,'2) หลักการคำนวน Table'!$D$1:$M$5,5,TRUE),0))))),0)</f>
        <v>0.9</v>
      </c>
      <c r="AT74" s="232">
        <f>IFERROR(IF($C74="Top WS",VLOOKUP("GOAL",'2) หลักการคำนวน Table'!$D$4:$M$4,HLOOKUP(AH74,'2) หลักการคำนวน Table'!$D$1:$M$5,5,TRUE),0),
IF($C74="WS SF",VLOOKUP("GOAL",'2) หลักการคำนวน Table'!$D$32:$M$32,HLOOKUP(AH74,'2) หลักการคำนวน Table'!$D$1:$M$5,5,TRUE),0),
IF($C74="WS WH",VLOOKUP("GOAL",'2) หลักการคำนวน Table'!$D$62:$M$62,HLOOKUP(AH74,'2) หลักการคำนวน Table'!$D$1:$M$5,5,TRUE),0),
IF($C74="SF WH",VLOOKUP("GOAL",'2) หลักการคำนวน Table'!$D$92:$M$92,HLOOKUP(AH74,'2) หลักการคำนวน Table'!$D$1:$M$5,5,TRUE),0))))),0)</f>
        <v>0.9</v>
      </c>
      <c r="AU74" s="232">
        <f>IFERROR(IF($C74="Top WS",VLOOKUP("GOAL",'2) หลักการคำนวน Table'!$D$4:$M$4,HLOOKUP(AI74,'2) หลักการคำนวน Table'!$D$1:$M$5,5,TRUE),0),
IF($C74="WS SF",VLOOKUP("GOAL",'2) หลักการคำนวน Table'!$D$32:$M$32,HLOOKUP(AI74,'2) หลักการคำนวน Table'!$D$1:$M$5,5,TRUE),0),
IF($C74="WS WH",VLOOKUP("GOAL",'2) หลักการคำนวน Table'!$D$62:$M$62,HLOOKUP(AI74,'2) หลักการคำนวน Table'!$D$1:$M$5,5,TRUE),0),
IF($C74="SF WH",VLOOKUP("GOAL",'2) หลักการคำนวน Table'!$D$92:$M$92,HLOOKUP(AI74,'2) หลักการคำนวน Table'!$D$1:$M$5,5,TRUE),0))))),0)</f>
        <v>0.9</v>
      </c>
      <c r="AV74" s="232">
        <f>IFERROR(IF($C74="Top WS",VLOOKUP("GOAL",'2) หลักการคำนวน Table'!$D$4:$M$4,HLOOKUP(AP74,'2) หลักการคำนวน Table'!$D$1:$M$5,5,TRUE),0),
IF($C74="WS SF",VLOOKUP("GOAL",'2) หลักการคำนวน Table'!$D$32:$M$32,HLOOKUP(AP74,'2) หลักการคำนวน Table'!$D$1:$M$5,5,TRUE),0),
IF($C74="WS WH",VLOOKUP("GOAL",'2) หลักการคำนวน Table'!$D$62:$M$62,HLOOKUP(AP74,'2) หลักการคำนวน Table'!$D$1:$M$5,5,TRUE),0),
IF($C74="SF WH",VLOOKUP("GOAL",'2) หลักการคำนวน Table'!$D$92:$M$92,HLOOKUP(AP74,'2) หลักการคำนวน Table'!$D$1:$M$5,5,TRUE),0))))),0)</f>
        <v>0.9</v>
      </c>
      <c r="AW74" s="232">
        <f>IFERROR(IF($C74="Top WS",VLOOKUP("GOAL",'2) หลักการคำนวน Table'!$D$4:$M$4,HLOOKUP(AK74,'2) หลักการคำนวน Table'!$D$1:$M$5,5,TRUE),0),
IF($C74="WS SF",VLOOKUP("GOAL",'2) หลักการคำนวน Table'!$D$32:$M$32,HLOOKUP(AK74,'2) หลักการคำนวน Table'!$D$1:$M$5,5,TRUE),0),
IF($C74="WS WH",VLOOKUP("GOAL",'2) หลักการคำนวน Table'!$D$62:$M$62,HLOOKUP(AK74,'2) หลักการคำนวน Table'!$D$1:$M$5,5,TRUE),0),
IF($C74="SF WH",VLOOKUP("GOAL",'2) หลักการคำนวน Table'!$D$92:$M$92,HLOOKUP(AK74,'2) หลักการคำนวน Table'!$D$1:$M$5,5,TRUE),0))))),0)</f>
        <v>0.9</v>
      </c>
      <c r="AX74" s="232">
        <f>IFERROR(IF($C74="Top WS",VLOOKUP("GOAL",'2) หลักการคำนวน Table'!$D$4:$M$4,HLOOKUP(AL74,'2) หลักการคำนวน Table'!$D$1:$M$5,5,TRUE),0),
IF($C74="WS SF",VLOOKUP("GOAL",'2) หลักการคำนวน Table'!$D$32:$M$32,HLOOKUP(AL74,'2) หลักการคำนวน Table'!$D$1:$M$5,5,TRUE),0),
IF($C74="WS WH",VLOOKUP("GOAL",'2) หลักการคำนวน Table'!$D$62:$M$62,HLOOKUP(AL74,'2) หลักการคำนวน Table'!$D$1:$M$5,5,TRUE),0),
IF($C74="SF WH",VLOOKUP("GOAL",'2) หลักการคำนวน Table'!$D$92:$M$92,HLOOKUP(AL74,'2) หลักการคำนวน Table'!$D$1:$M$5,5,TRUE),0))))),0)</f>
        <v>0.9</v>
      </c>
      <c r="AY74" s="232">
        <f>IFERROR(IF($C74="Top WS",VLOOKUP("GOAL",'2) หลักการคำนวน Table'!$D$4:$M$4,HLOOKUP(AM74,'2) หลักการคำนวน Table'!$D$1:$M$5,5,TRUE),0),
IF($C74="WS SF",VLOOKUP("GOAL",'2) หลักการคำนวน Table'!$D$32:$M$32,HLOOKUP(AM74,'2) หลักการคำนวน Table'!$D$1:$M$5,5,TRUE),0),
IF($C74="WS WH",VLOOKUP("GOAL",'2) หลักการคำนวน Table'!$D$62:$M$62,HLOOKUP(AM74,'2) หลักการคำนวน Table'!$D$1:$M$5,5,TRUE),0),
IF($C74="SF WH",VLOOKUP("GOAL",'2) หลักการคำนวน Table'!$D$92:$M$92,HLOOKUP(AM74,'2) หลักการคำนวน Table'!$D$1:$M$5,5,TRUE),0))))),0)</f>
        <v>0.9</v>
      </c>
      <c r="AZ74" s="167">
        <f>IFERROR(IF($C74="Top WS",VLOOKUP($B74,'2) หลักการคำนวน Table'!$D$5:$M$20,HLOOKUP(AB74,'2) หลักการคำนวน Table'!$D$1:$M$5,5,TRUE),0),
IF($C74="WS SF",VLOOKUP($B74,'2) หลักการคำนวน Table'!$D$33:$M$48,HLOOKUP(AB74,'2) หลักการคำนวน Table'!$D$1:$M$5,5,TRUE),0),
IF($C74="WS WH",VLOOKUP($B74,'2) หลักการคำนวน Table'!$D$63:$M$78,HLOOKUP(AB74,'2) หลักการคำนวน Table'!$D$1:$M$5,5,TRUE),0),
IF($C74="SF WH",VLOOKUP($B74,'2) หลักการคำนวน Table'!$D$93:$M$108,HLOOKUP(AB74,'2) หลักการคำนวน Table'!$D$1:$M$5,5,TRUE),0))))),0)</f>
        <v>350</v>
      </c>
      <c r="BA74" s="167">
        <f>IFERROR(IF($C74="Top WS",VLOOKUP($B74,'2) หลักการคำนวน Table'!$D$5:$M$20,HLOOKUP(AC74,'2) หลักการคำนวน Table'!$D$1:$M$5,5,TRUE),0),
IF($C74="WS SF",VLOOKUP($B74,'2) หลักการคำนวน Table'!$D$33:$M$48,HLOOKUP(AC74,'2) หลักการคำนวน Table'!$D$1:$M$5,5,TRUE),0),
IF($C74="WS WH",VLOOKUP($B74,'2) หลักการคำนวน Table'!$D$63:$M$78,HLOOKUP(AC74,'2) หลักการคำนวน Table'!$D$1:$M$5,5,TRUE),0),
IF($C74="SF WH",VLOOKUP($B74,'2) หลักการคำนวน Table'!$D$93:$M$108,HLOOKUP(AC74,'2) หลักการคำนวน Table'!$D$1:$M$5,5,TRUE),0))))),0)</f>
        <v>350</v>
      </c>
      <c r="BB74" s="167">
        <f>IFERROR(IF($C74="Top WS",VLOOKUP($B74,'2) หลักการคำนวน Table'!$D$5:$M$20,HLOOKUP(AD74,'2) หลักการคำนวน Table'!$D$1:$M$5,5,TRUE),0),
IF($C74="WS SF",VLOOKUP($B74,'2) หลักการคำนวน Table'!$D$33:$M$48,HLOOKUP(AD74,'2) หลักการคำนวน Table'!$D$1:$M$5,5,TRUE),0),
IF($C74="WS WH",VLOOKUP($B74,'2) หลักการคำนวน Table'!$D$63:$M$78,HLOOKUP(AD74,'2) หลักการคำนวน Table'!$D$1:$M$5,5,TRUE),0),
IF($C74="SF WH",VLOOKUP($B74,'2) หลักการคำนวน Table'!$D$93:$M$108,HLOOKUP(AD74,'2) หลักการคำนวน Table'!$D$1:$M$5,5,TRUE),0))))),0)</f>
        <v>315</v>
      </c>
      <c r="BC74" s="167">
        <f>IFERROR(IF($C74="Top WS",VLOOKUP($B74,'2) หลักการคำนวน Table'!$D$5:$M$20,HLOOKUP(AE74,'2) หลักการคำนวน Table'!$D$1:$M$5,5,TRUE),0),
IF($C74="WS SF",VLOOKUP($B74,'2) หลักการคำนวน Table'!$D$33:$M$48,HLOOKUP(AE74,'2) หลักการคำนวน Table'!$D$1:$M$5,5,TRUE),0),
IF($C74="WS WH",VLOOKUP($B74,'2) หลักการคำนวน Table'!$D$63:$M$78,HLOOKUP(AE74,'2) หลักการคำนวน Table'!$D$1:$M$5,5,TRUE),0),
IF($C74="SF WH",VLOOKUP($B74,'2) หลักการคำนวน Table'!$D$93:$M$108,HLOOKUP(AE74,'2) หลักการคำนวน Table'!$D$1:$M$5,5,TRUE),0))))),0)</f>
        <v>315</v>
      </c>
      <c r="BD74" s="167">
        <f>IFERROR(IF($C74="Top WS",VLOOKUP($B74,'2) หลักการคำนวน Table'!$D$5:$M$20,HLOOKUP(AF74,'2) หลักการคำนวน Table'!$D$1:$M$5,5,TRUE),0),
IF($C74="WS SF",VLOOKUP($B74,'2) หลักการคำนวน Table'!$D$33:$M$48,HLOOKUP(AF74,'2) หลักการคำนวน Table'!$D$1:$M$5,5,TRUE),0),
IF($C74="WS WH",VLOOKUP($B74,'2) หลักการคำนวน Table'!$D$63:$M$78,HLOOKUP(AF74,'2) หลักการคำนวน Table'!$D$1:$M$5,5,TRUE),0),
IF($C74="SF WH",VLOOKUP($B74,'2) หลักการคำนวน Table'!$D$93:$M$108,HLOOKUP(AF74,'2) หลักการคำนวน Table'!$D$1:$M$5,5,TRUE),0))))),0)</f>
        <v>315</v>
      </c>
      <c r="BE74" s="167">
        <f>IFERROR(IF($C74="Top WS",VLOOKUP($B74,'2) หลักการคำนวน Table'!$D$5:$M$20,HLOOKUP(AG74,'2) หลักการคำนวน Table'!$D$1:$M$5,5,TRUE),0),
IF($C74="WS SF",VLOOKUP($B74,'2) หลักการคำนวน Table'!$D$33:$M$48,HLOOKUP(AG74,'2) หลักการคำนวน Table'!$D$1:$M$5,5,TRUE),0),
IF($C74="WS WH",VLOOKUP($B74,'2) หลักการคำนวน Table'!$D$63:$M$78,HLOOKUP(AG74,'2) หลักการคำนวน Table'!$D$1:$M$5,5,TRUE),0),
IF($C74="SF WH",VLOOKUP($B74,'2) หลักการคำนวน Table'!$D$93:$M$108,HLOOKUP(AG74,'2) หลักการคำนวน Table'!$D$1:$M$5,5,TRUE),0))))),0)</f>
        <v>315</v>
      </c>
      <c r="BF74" s="167">
        <f>IFERROR(IF($C74="Top WS",VLOOKUP($B74,'2) หลักการคำนวน Table'!$D$5:$M$20,HLOOKUP(AH74,'2) หลักการคำนวน Table'!$D$1:$M$5,5,TRUE),0),
IF($C74="WS SF",VLOOKUP($B74,'2) หลักการคำนวน Table'!$D$33:$M$48,HLOOKUP(AH74,'2) หลักการคำนวน Table'!$D$1:$M$5,5,TRUE),0),
IF($C74="WS WH",VLOOKUP($B74,'2) หลักการคำนวน Table'!$D$63:$M$78,HLOOKUP(AH74,'2) หลักการคำนวน Table'!$D$1:$M$5,5,TRUE),0),
IF($C74="SF WH",VLOOKUP($B74,'2) หลักการคำนวน Table'!$D$93:$M$108,HLOOKUP(AH74,'2) หลักการคำนวน Table'!$D$1:$M$5,5,TRUE),0))))),0)</f>
        <v>315</v>
      </c>
      <c r="BG74" s="167">
        <f>IFERROR(IF($C74="Top WS",VLOOKUP($B74,'2) หลักการคำนวน Table'!$D$5:$M$20,HLOOKUP(AI74,'2) หลักการคำนวน Table'!$D$1:$M$5,5,TRUE),0),
IF($C74="WS SF",VLOOKUP($B74,'2) หลักการคำนวน Table'!$D$33:$M$48,HLOOKUP(AI74,'2) หลักการคำนวน Table'!$D$1:$M$5,5,TRUE),0),
IF($C74="WS WH",VLOOKUP($B74,'2) หลักการคำนวน Table'!$D$63:$M$78,HLOOKUP(AI74,'2) หลักการคำนวน Table'!$D$1:$M$5,5,TRUE),0),
IF($C74="SF WH",VLOOKUP($B74,'2) หลักการคำนวน Table'!$D$93:$M$108,HLOOKUP(AI74,'2) หลักการคำนวน Table'!$D$1:$M$5,5,TRUE),0))))),0)</f>
        <v>315</v>
      </c>
      <c r="BH74" s="167">
        <f>IFERROR(IF($C74="Top WS",VLOOKUP($B74,'2) หลักการคำนวน Table'!$D$5:$M$20,HLOOKUP(AP74,'2) หลักการคำนวน Table'!$D$1:$M$5,5,TRUE),0),
IF($C74="WS SF",VLOOKUP($B74,'2) หลักการคำนวน Table'!$D$33:$M$48,HLOOKUP(AP74,'2) หลักการคำนวน Table'!$D$1:$M$5,5,TRUE),0),
IF($C74="WS WH",VLOOKUP($B74,'2) หลักการคำนวน Table'!$D$63:$M$78,HLOOKUP(AP74,'2) หลักการคำนวน Table'!$D$1:$M$5,5,TRUE),0),
IF($C74="SF WH",VLOOKUP($B74,'2) หลักการคำนวน Table'!$D$93:$M$108,HLOOKUP(AP74,'2) หลักการคำนวน Table'!$D$1:$M$5,5,TRUE),0))))),0)</f>
        <v>315</v>
      </c>
      <c r="BI74" s="167">
        <f>IFERROR(IF($C74="Top WS",VLOOKUP($B74,'2) หลักการคำนวน Table'!$D$5:$M$20,HLOOKUP(AK74,'2) หลักการคำนวน Table'!$D$1:$M$5,5,TRUE),0),
IF($C74="WS SF",VLOOKUP($B74,'2) หลักการคำนวน Table'!$D$33:$M$48,HLOOKUP(AK74,'2) หลักการคำนวน Table'!$D$1:$M$5,5,TRUE),0),
IF($C74="WS WH",VLOOKUP($B74,'2) หลักการคำนวน Table'!$D$63:$M$78,HLOOKUP(AK74,'2) หลักการคำนวน Table'!$D$1:$M$5,5,TRUE),0),
IF($C74="SF WH",VLOOKUP($B74,'2) หลักการคำนวน Table'!$D$93:$M$108,HLOOKUP(AK74,'2) หลักการคำนวน Table'!$D$1:$M$5,5,TRUE),0))))),0)</f>
        <v>315</v>
      </c>
      <c r="BJ74" s="167">
        <f>IFERROR(IF($C74="Top WS",VLOOKUP($B74,'2) หลักการคำนวน Table'!$D$5:$M$20,HLOOKUP(AL74,'2) หลักการคำนวน Table'!$D$1:$M$5,5,TRUE),0),
IF($C74="WS SF",VLOOKUP($B74,'2) หลักการคำนวน Table'!$D$33:$M$48,HLOOKUP(AL74,'2) หลักการคำนวน Table'!$D$1:$M$5,5,TRUE),0),
IF($C74="WS WH",VLOOKUP($B74,'2) หลักการคำนวน Table'!$D$63:$M$78,HLOOKUP(AL74,'2) หลักการคำนวน Table'!$D$1:$M$5,5,TRUE),0),
IF($C74="SF WH",VLOOKUP($B74,'2) หลักการคำนวน Table'!$D$93:$M$108,HLOOKUP(AL74,'2) หลักการคำนวน Table'!$D$1:$M$5,5,TRUE),0))))),0)</f>
        <v>315</v>
      </c>
      <c r="BK74" s="167">
        <f>IFERROR(IF($C74="Top WS",VLOOKUP($B74,'2) หลักการคำนวน Table'!$D$5:$M$20,HLOOKUP(AM74,'2) หลักการคำนวน Table'!$D$1:$M$5,5,TRUE),0),
IF($C74="WS SF",VLOOKUP($B74,'2) หลักการคำนวน Table'!$D$33:$M$48,HLOOKUP(AM74,'2) หลักการคำนวน Table'!$D$1:$M$5,5,TRUE),0),
IF($C74="WS WH",VLOOKUP($B74,'2) หลักการคำนวน Table'!$D$63:$M$78,HLOOKUP(AM74,'2) หลักการคำนวน Table'!$D$1:$M$5,5,TRUE),0),
IF($C74="SF WH",VLOOKUP($B74,'2) หลักการคำนวน Table'!$D$93:$M$108,HLOOKUP(AM74,'2) หลักการคำนวน Table'!$D$1:$M$5,5,TRUE),0))))),0)</f>
        <v>315</v>
      </c>
      <c r="BM74" s="119">
        <f>VLOOKUP(VLOOKUP(A74,ASTBase!E:S,13,FALSE),ASTBase!F:P,11,FALSE)</f>
        <v>140000</v>
      </c>
      <c r="BN74" s="196" cm="1">
        <f t="array" ref="BN74">INDEX(AN74:AY74,,Period!$D$2)</f>
        <v>1</v>
      </c>
    </row>
    <row r="75" spans="1:66" x14ac:dyDescent="0.25">
      <c r="A75" s="117">
        <v>140003</v>
      </c>
      <c r="B75" s="117" t="s">
        <v>395</v>
      </c>
      <c r="C75" s="117" t="s">
        <v>180</v>
      </c>
      <c r="D75" s="118">
        <v>571</v>
      </c>
      <c r="E75" s="118">
        <v>602</v>
      </c>
      <c r="F75" s="118">
        <v>636</v>
      </c>
      <c r="G75" s="118">
        <v>691</v>
      </c>
      <c r="H75" s="118">
        <v>612</v>
      </c>
      <c r="I75" s="118">
        <v>566</v>
      </c>
      <c r="J75" s="118">
        <v>703</v>
      </c>
      <c r="K75" s="118">
        <v>722</v>
      </c>
      <c r="L75" s="118">
        <v>633</v>
      </c>
      <c r="M75" s="118">
        <v>655</v>
      </c>
      <c r="N75" s="118">
        <v>583</v>
      </c>
      <c r="O75" s="118">
        <v>541</v>
      </c>
      <c r="P75" s="117">
        <f>SUMIFS(Actual!C:C,Actual!$A:$A,'3)Target &amp; Cal'!$A75,Actual!$B:$B,'3)Target &amp; Cal'!$B75)</f>
        <v>0</v>
      </c>
      <c r="Q75" s="117">
        <f>SUMIFS(Actual!D:D,Actual!$A:$A,'3)Target &amp; Cal'!$A75,Actual!$B:$B,'3)Target &amp; Cal'!$B75)</f>
        <v>151.19999999999999</v>
      </c>
      <c r="R75" s="117">
        <f>SUMIFS(Actual!E:E,Actual!$A:$A,'3)Target &amp; Cal'!$A75,Actual!$B:$B,'3)Target &amp; Cal'!$B75)</f>
        <v>0</v>
      </c>
      <c r="S75" s="117">
        <f>SUMIFS(Actual!F:F,Actual!$A:$A,'3)Target &amp; Cal'!$A75,Actual!$B:$B,'3)Target &amp; Cal'!$B75)</f>
        <v>0</v>
      </c>
      <c r="T75" s="117">
        <f>SUMIFS(Actual!G:G,Actual!$A:$A,'3)Target &amp; Cal'!$A75,Actual!$B:$B,'3)Target &amp; Cal'!$B75)</f>
        <v>0</v>
      </c>
      <c r="U75" s="117">
        <f>SUMIFS(Actual!H:H,Actual!$A:$A,'3)Target &amp; Cal'!$A75,Actual!$B:$B,'3)Target &amp; Cal'!$B75)</f>
        <v>0</v>
      </c>
      <c r="V75" s="117">
        <f>SUMIFS(Actual!I:I,Actual!$A:$A,'3)Target &amp; Cal'!$A75,Actual!$B:$B,'3)Target &amp; Cal'!$B75)</f>
        <v>0</v>
      </c>
      <c r="W75" s="117">
        <f>SUMIFS(Actual!J:J,Actual!$A:$A,'3)Target &amp; Cal'!$A75,Actual!$B:$B,'3)Target &amp; Cal'!$B75)</f>
        <v>0</v>
      </c>
      <c r="X75" s="117">
        <f>SUMIFS(Actual!K:K,Actual!$A:$A,'3)Target &amp; Cal'!$A75,Actual!$B:$B,'3)Target &amp; Cal'!$B75)</f>
        <v>0</v>
      </c>
      <c r="Y75" s="117">
        <f>SUMIFS(Actual!L:L,Actual!$A:$A,'3)Target &amp; Cal'!$A75,Actual!$B:$B,'3)Target &amp; Cal'!$B75)</f>
        <v>0</v>
      </c>
      <c r="Z75" s="117">
        <f>SUMIFS(Actual!M:M,Actual!$A:$A,'3)Target &amp; Cal'!$A75,Actual!$B:$B,'3)Target &amp; Cal'!$B75)</f>
        <v>0</v>
      </c>
      <c r="AA75" s="117">
        <f>SUMIFS(Actual!N:N,Actual!$A:$A,'3)Target &amp; Cal'!$A75,Actual!$B:$B,'3)Target &amp; Cal'!$B75)</f>
        <v>0</v>
      </c>
      <c r="AB75" s="123">
        <f>IFERROR(IF(VLOOKUP($B75,Shortage!$A:$M,AB$2,FALSE)="Shortage",1,IFERROR(ROUND(P75/D75,4),0)),IFERROR(ROUND(P75/D75,4),0))</f>
        <v>0</v>
      </c>
      <c r="AC75" s="123">
        <f>IFERROR(IF(VLOOKUP($B75,Shortage!$A:$M,AC$2,FALSE)="Shortage",1,IFERROR(ROUND(Q75/E75,4),0)),IFERROR(ROUND(Q75/E75,4),0))</f>
        <v>0.25119999999999998</v>
      </c>
      <c r="AD75" s="123">
        <f>IFERROR(IF(VLOOKUP($B75,Shortage!$A:$M,AD$2,FALSE)="Shortage",1,IFERROR(ROUND(R75/F75,4),0)),IFERROR(ROUND(R75/F75,4),0))</f>
        <v>0</v>
      </c>
      <c r="AE75" s="123">
        <f>IFERROR(IF(VLOOKUP($B75,Shortage!$A:$M,AE$2,FALSE)="Shortage",1,IFERROR(ROUND(S75/G75,4),0)),IFERROR(ROUND(S75/G75,4),0))</f>
        <v>0</v>
      </c>
      <c r="AF75" s="123">
        <f>IFERROR(IF(VLOOKUP($B75,Shortage!$A:$M,AF$2,FALSE)="Shortage",1,IFERROR(ROUND(T75/H75,4),0)),IFERROR(ROUND(T75/H75,4),0))</f>
        <v>0</v>
      </c>
      <c r="AG75" s="123">
        <f>IFERROR(IF(VLOOKUP($B75,Shortage!$A:$M,AG$2,FALSE)="Shortage",1,IFERROR(ROUND(U75/I75,4),0)),IFERROR(ROUND(U75/I75,4),0))</f>
        <v>0</v>
      </c>
      <c r="AH75" s="123">
        <f>IFERROR(IF(VLOOKUP($B75,Shortage!$A:$M,AH$2,FALSE)="Shortage",1,IFERROR(ROUND(V75/J75,4),0)),IFERROR(ROUND(V75/J75,4),0))</f>
        <v>0</v>
      </c>
      <c r="AI75" s="123">
        <f>IFERROR(IF(VLOOKUP($B75,Shortage!$A:$M,AI$2,FALSE)="Shortage",1,IFERROR(ROUND(W75/K75,4),0)),IFERROR(ROUND(W75/K75,4),0))</f>
        <v>0</v>
      </c>
      <c r="AJ75" s="123">
        <f>IFERROR(IF(VLOOKUP($B75,Shortage!$A:$M,AP$2,FALSE)="Shortage",1,IFERROR(ROUND(X75/L75,4),0)),IFERROR(ROUND(X75/L75,4),0))</f>
        <v>0</v>
      </c>
      <c r="AK75" s="123">
        <f>IFERROR(IF(VLOOKUP($B75,Shortage!$A:$M,AK$2,FALSE)="Shortage",1,IFERROR(ROUND(Y75/M75,4),0)),IFERROR(ROUND(Y75/M75,4),0))</f>
        <v>0</v>
      </c>
      <c r="AL75" s="123">
        <f>IFERROR(IF(VLOOKUP($B75,Shortage!$A:$M,AL$2,FALSE)="Shortage",1,IFERROR(ROUND(Z75/N75,4),0)),IFERROR(ROUND(Z75/N75,4),0))</f>
        <v>0</v>
      </c>
      <c r="AM75" s="123">
        <f>IFERROR(IF(VLOOKUP($B75,Shortage!$A:$M,AM$2,FALSE)="Shortage",1,IFERROR(ROUND(AA75/O75,4),0)),IFERROR(ROUND(AA75/O75,4),0))</f>
        <v>0</v>
      </c>
      <c r="AN75" s="232">
        <f>IFERROR(IF($C75="Top WS",VLOOKUP("GOAL",'2) หลักการคำนวน Table'!$D$4:$M$4,HLOOKUP(AB75,'2) หลักการคำนวน Table'!$D$1:$M$5,5,TRUE),0),
IF($C75="WS SF",VLOOKUP("GOAL",'2) หลักการคำนวน Table'!$D$32:$M$32,HLOOKUP(AB75,'2) หลักการคำนวน Table'!$D$1:$M$5,5,TRUE),0),
IF($C75="WS WH",VLOOKUP("GOAL",'2) หลักการคำนวน Table'!$D$62:$M$62,HLOOKUP(AB75,'2) หลักการคำนวน Table'!$D$1:$M$5,5,TRUE),0),
IF($C75="SF WH",VLOOKUP("GOAL",'2) หลักการคำนวน Table'!$D$92:$M$92,HLOOKUP(AB75,'2) หลักการคำนวน Table'!$D$1:$M$5,5,TRUE),0))))),0)</f>
        <v>0.9</v>
      </c>
      <c r="AO75" s="232">
        <f>IFERROR(IF($C75="Top WS",VLOOKUP("GOAL",'2) หลักการคำนวน Table'!$D$4:$M$4,HLOOKUP(AC75,'2) หลักการคำนวน Table'!$D$1:$M$5,5,TRUE),0),
IF($C75="WS SF",VLOOKUP("GOAL",'2) หลักการคำนวน Table'!$D$32:$M$32,HLOOKUP(AC75,'2) หลักการคำนวน Table'!$D$1:$M$5,5,TRUE),0),
IF($C75="WS WH",VLOOKUP("GOAL",'2) หลักการคำนวน Table'!$D$62:$M$62,HLOOKUP(AC75,'2) หลักการคำนวน Table'!$D$1:$M$5,5,TRUE),0),
IF($C75="SF WH",VLOOKUP("GOAL",'2) หลักการคำนวน Table'!$D$92:$M$92,HLOOKUP(AC75,'2) หลักการคำนวน Table'!$D$1:$M$5,5,TRUE),0))))),0)</f>
        <v>0.9</v>
      </c>
      <c r="AP75" s="232">
        <f>IFERROR(IF($C75="Top WS",VLOOKUP("GOAL",'2) หลักการคำนวน Table'!$D$4:$M$4,HLOOKUP(AD75,'2) หลักการคำนวน Table'!$D$1:$M$5,5,TRUE),0),
IF($C75="WS SF",VLOOKUP("GOAL",'2) หลักการคำนวน Table'!$D$32:$M$32,HLOOKUP(AD75,'2) หลักการคำนวน Table'!$D$1:$M$5,5,TRUE),0),
IF($C75="WS WH",VLOOKUP("GOAL",'2) หลักการคำนวน Table'!$D$62:$M$62,HLOOKUP(AD75,'2) หลักการคำนวน Table'!$D$1:$M$5,5,TRUE),0),
IF($C75="SF WH",VLOOKUP("GOAL",'2) หลักการคำนวน Table'!$D$92:$M$92,HLOOKUP(AD75,'2) หลักการคำนวน Table'!$D$1:$M$5,5,TRUE),0))))),0)</f>
        <v>0.9</v>
      </c>
      <c r="AQ75" s="232">
        <f>IFERROR(IF($C75="Top WS",VLOOKUP("GOAL",'2) หลักการคำนวน Table'!$D$4:$M$4,HLOOKUP(AE75,'2) หลักการคำนวน Table'!$D$1:$M$5,5,TRUE),0),
IF($C75="WS SF",VLOOKUP("GOAL",'2) หลักการคำนวน Table'!$D$32:$M$32,HLOOKUP(AE75,'2) หลักการคำนวน Table'!$D$1:$M$5,5,TRUE),0),
IF($C75="WS WH",VLOOKUP("GOAL",'2) หลักการคำนวน Table'!$D$62:$M$62,HLOOKUP(AE75,'2) หลักการคำนวน Table'!$D$1:$M$5,5,TRUE),0),
IF($C75="SF WH",VLOOKUP("GOAL",'2) หลักการคำนวน Table'!$D$92:$M$92,HLOOKUP(AE75,'2) หลักการคำนวน Table'!$D$1:$M$5,5,TRUE),0))))),0)</f>
        <v>0.9</v>
      </c>
      <c r="AR75" s="232">
        <f>IFERROR(IF($C75="Top WS",VLOOKUP("GOAL",'2) หลักการคำนวน Table'!$D$4:$M$4,HLOOKUP(AF75,'2) หลักการคำนวน Table'!$D$1:$M$5,5,TRUE),0),
IF($C75="WS SF",VLOOKUP("GOAL",'2) หลักการคำนวน Table'!$D$32:$M$32,HLOOKUP(AF75,'2) หลักการคำนวน Table'!$D$1:$M$5,5,TRUE),0),
IF($C75="WS WH",VLOOKUP("GOAL",'2) หลักการคำนวน Table'!$D$62:$M$62,HLOOKUP(AF75,'2) หลักการคำนวน Table'!$D$1:$M$5,5,TRUE),0),
IF($C75="SF WH",VLOOKUP("GOAL",'2) หลักการคำนวน Table'!$D$92:$M$92,HLOOKUP(AF75,'2) หลักการคำนวน Table'!$D$1:$M$5,5,TRUE),0))))),0)</f>
        <v>0.9</v>
      </c>
      <c r="AS75" s="232">
        <f>IFERROR(IF($C75="Top WS",VLOOKUP("GOAL",'2) หลักการคำนวน Table'!$D$4:$M$4,HLOOKUP(AG75,'2) หลักการคำนวน Table'!$D$1:$M$5,5,TRUE),0),
IF($C75="WS SF",VLOOKUP("GOAL",'2) หลักการคำนวน Table'!$D$32:$M$32,HLOOKUP(AG75,'2) หลักการคำนวน Table'!$D$1:$M$5,5,TRUE),0),
IF($C75="WS WH",VLOOKUP("GOAL",'2) หลักการคำนวน Table'!$D$62:$M$62,HLOOKUP(AG75,'2) หลักการคำนวน Table'!$D$1:$M$5,5,TRUE),0),
IF($C75="SF WH",VLOOKUP("GOAL",'2) หลักการคำนวน Table'!$D$92:$M$92,HLOOKUP(AG75,'2) หลักการคำนวน Table'!$D$1:$M$5,5,TRUE),0))))),0)</f>
        <v>0.9</v>
      </c>
      <c r="AT75" s="232">
        <f>IFERROR(IF($C75="Top WS",VLOOKUP("GOAL",'2) หลักการคำนวน Table'!$D$4:$M$4,HLOOKUP(AH75,'2) หลักการคำนวน Table'!$D$1:$M$5,5,TRUE),0),
IF($C75="WS SF",VLOOKUP("GOAL",'2) หลักการคำนวน Table'!$D$32:$M$32,HLOOKUP(AH75,'2) หลักการคำนวน Table'!$D$1:$M$5,5,TRUE),0),
IF($C75="WS WH",VLOOKUP("GOAL",'2) หลักการคำนวน Table'!$D$62:$M$62,HLOOKUP(AH75,'2) หลักการคำนวน Table'!$D$1:$M$5,5,TRUE),0),
IF($C75="SF WH",VLOOKUP("GOAL",'2) หลักการคำนวน Table'!$D$92:$M$92,HLOOKUP(AH75,'2) หลักการคำนวน Table'!$D$1:$M$5,5,TRUE),0))))),0)</f>
        <v>0.9</v>
      </c>
      <c r="AU75" s="232">
        <f>IFERROR(IF($C75="Top WS",VLOOKUP("GOAL",'2) หลักการคำนวน Table'!$D$4:$M$4,HLOOKUP(AI75,'2) หลักการคำนวน Table'!$D$1:$M$5,5,TRUE),0),
IF($C75="WS SF",VLOOKUP("GOAL",'2) หลักการคำนวน Table'!$D$32:$M$32,HLOOKUP(AI75,'2) หลักการคำนวน Table'!$D$1:$M$5,5,TRUE),0),
IF($C75="WS WH",VLOOKUP("GOAL",'2) หลักการคำนวน Table'!$D$62:$M$62,HLOOKUP(AI75,'2) หลักการคำนวน Table'!$D$1:$M$5,5,TRUE),0),
IF($C75="SF WH",VLOOKUP("GOAL",'2) หลักการคำนวน Table'!$D$92:$M$92,HLOOKUP(AI75,'2) หลักการคำนวน Table'!$D$1:$M$5,5,TRUE),0))))),0)</f>
        <v>0.9</v>
      </c>
      <c r="AV75" s="232">
        <f>IFERROR(IF($C75="Top WS",VLOOKUP("GOAL",'2) หลักการคำนวน Table'!$D$4:$M$4,HLOOKUP(AP75,'2) หลักการคำนวน Table'!$D$1:$M$5,5,TRUE),0),
IF($C75="WS SF",VLOOKUP("GOAL",'2) หลักการคำนวน Table'!$D$32:$M$32,HLOOKUP(AP75,'2) หลักการคำนวน Table'!$D$1:$M$5,5,TRUE),0),
IF($C75="WS WH",VLOOKUP("GOAL",'2) หลักการคำนวน Table'!$D$62:$M$62,HLOOKUP(AP75,'2) หลักการคำนวน Table'!$D$1:$M$5,5,TRUE),0),
IF($C75="SF WH",VLOOKUP("GOAL",'2) หลักการคำนวน Table'!$D$92:$M$92,HLOOKUP(AP75,'2) หลักการคำนวน Table'!$D$1:$M$5,5,TRUE),0))))),0)</f>
        <v>0.9</v>
      </c>
      <c r="AW75" s="232">
        <f>IFERROR(IF($C75="Top WS",VLOOKUP("GOAL",'2) หลักการคำนวน Table'!$D$4:$M$4,HLOOKUP(AK75,'2) หลักการคำนวน Table'!$D$1:$M$5,5,TRUE),0),
IF($C75="WS SF",VLOOKUP("GOAL",'2) หลักการคำนวน Table'!$D$32:$M$32,HLOOKUP(AK75,'2) หลักการคำนวน Table'!$D$1:$M$5,5,TRUE),0),
IF($C75="WS WH",VLOOKUP("GOAL",'2) หลักการคำนวน Table'!$D$62:$M$62,HLOOKUP(AK75,'2) หลักการคำนวน Table'!$D$1:$M$5,5,TRUE),0),
IF($C75="SF WH",VLOOKUP("GOAL",'2) หลักการคำนวน Table'!$D$92:$M$92,HLOOKUP(AK75,'2) หลักการคำนวน Table'!$D$1:$M$5,5,TRUE),0))))),0)</f>
        <v>0.9</v>
      </c>
      <c r="AX75" s="232">
        <f>IFERROR(IF($C75="Top WS",VLOOKUP("GOAL",'2) หลักการคำนวน Table'!$D$4:$M$4,HLOOKUP(AL75,'2) หลักการคำนวน Table'!$D$1:$M$5,5,TRUE),0),
IF($C75="WS SF",VLOOKUP("GOAL",'2) หลักการคำนวน Table'!$D$32:$M$32,HLOOKUP(AL75,'2) หลักการคำนวน Table'!$D$1:$M$5,5,TRUE),0),
IF($C75="WS WH",VLOOKUP("GOAL",'2) หลักการคำนวน Table'!$D$62:$M$62,HLOOKUP(AL75,'2) หลักการคำนวน Table'!$D$1:$M$5,5,TRUE),0),
IF($C75="SF WH",VLOOKUP("GOAL",'2) หลักการคำนวน Table'!$D$92:$M$92,HLOOKUP(AL75,'2) หลักการคำนวน Table'!$D$1:$M$5,5,TRUE),0))))),0)</f>
        <v>0.9</v>
      </c>
      <c r="AY75" s="232">
        <f>IFERROR(IF($C75="Top WS",VLOOKUP("GOAL",'2) หลักการคำนวน Table'!$D$4:$M$4,HLOOKUP(AM75,'2) หลักการคำนวน Table'!$D$1:$M$5,5,TRUE),0),
IF($C75="WS SF",VLOOKUP("GOAL",'2) หลักการคำนวน Table'!$D$32:$M$32,HLOOKUP(AM75,'2) หลักการคำนวน Table'!$D$1:$M$5,5,TRUE),0),
IF($C75="WS WH",VLOOKUP("GOAL",'2) หลักการคำนวน Table'!$D$62:$M$62,HLOOKUP(AM75,'2) หลักการคำนวน Table'!$D$1:$M$5,5,TRUE),0),
IF($C75="SF WH",VLOOKUP("GOAL",'2) หลักการคำนวน Table'!$D$92:$M$92,HLOOKUP(AM75,'2) หลักการคำนวน Table'!$D$1:$M$5,5,TRUE),0))))),0)</f>
        <v>0.9</v>
      </c>
      <c r="AZ75" s="167">
        <f>IFERROR(IF($C75="Top WS",VLOOKUP($B75,'2) หลักการคำนวน Table'!$D$5:$M$20,HLOOKUP(AB75,'2) หลักการคำนวน Table'!$D$1:$M$5,5,TRUE),0),
IF($C75="WS SF",VLOOKUP($B75,'2) หลักการคำนวน Table'!$D$33:$M$48,HLOOKUP(AB75,'2) หลักการคำนวน Table'!$D$1:$M$5,5,TRUE),0),
IF($C75="WS WH",VLOOKUP($B75,'2) หลักการคำนวน Table'!$D$63:$M$78,HLOOKUP(AB75,'2) หลักการคำนวน Table'!$D$1:$M$5,5,TRUE),0),
IF($C75="SF WH",VLOOKUP($B75,'2) หลักการคำนวน Table'!$D$93:$M$108,HLOOKUP(AB75,'2) หลักการคำนวน Table'!$D$1:$M$5,5,TRUE),0))))),0)</f>
        <v>157.5</v>
      </c>
      <c r="BA75" s="167">
        <f>IFERROR(IF($C75="Top WS",VLOOKUP($B75,'2) หลักการคำนวน Table'!$D$5:$M$20,HLOOKUP(AC75,'2) หลักการคำนวน Table'!$D$1:$M$5,5,TRUE),0),
IF($C75="WS SF",VLOOKUP($B75,'2) หลักการคำนวน Table'!$D$33:$M$48,HLOOKUP(AC75,'2) หลักการคำนวน Table'!$D$1:$M$5,5,TRUE),0),
IF($C75="WS WH",VLOOKUP($B75,'2) หลักการคำนวน Table'!$D$63:$M$78,HLOOKUP(AC75,'2) หลักการคำนวน Table'!$D$1:$M$5,5,TRUE),0),
IF($C75="SF WH",VLOOKUP($B75,'2) หลักการคำนวน Table'!$D$93:$M$108,HLOOKUP(AC75,'2) หลักการคำนวน Table'!$D$1:$M$5,5,TRUE),0))))),0)</f>
        <v>157.5</v>
      </c>
      <c r="BB75" s="167">
        <f>IFERROR(IF($C75="Top WS",VLOOKUP($B75,'2) หลักการคำนวน Table'!$D$5:$M$20,HLOOKUP(AD75,'2) หลักการคำนวน Table'!$D$1:$M$5,5,TRUE),0),
IF($C75="WS SF",VLOOKUP($B75,'2) หลักการคำนวน Table'!$D$33:$M$48,HLOOKUP(AD75,'2) หลักการคำนวน Table'!$D$1:$M$5,5,TRUE),0),
IF($C75="WS WH",VLOOKUP($B75,'2) หลักการคำนวน Table'!$D$63:$M$78,HLOOKUP(AD75,'2) หลักการคำนวน Table'!$D$1:$M$5,5,TRUE),0),
IF($C75="SF WH",VLOOKUP($B75,'2) หลักการคำนวน Table'!$D$93:$M$108,HLOOKUP(AD75,'2) หลักการคำนวน Table'!$D$1:$M$5,5,TRUE),0))))),0)</f>
        <v>157.5</v>
      </c>
      <c r="BC75" s="167">
        <f>IFERROR(IF($C75="Top WS",VLOOKUP($B75,'2) หลักการคำนวน Table'!$D$5:$M$20,HLOOKUP(AE75,'2) หลักการคำนวน Table'!$D$1:$M$5,5,TRUE),0),
IF($C75="WS SF",VLOOKUP($B75,'2) หลักการคำนวน Table'!$D$33:$M$48,HLOOKUP(AE75,'2) หลักการคำนวน Table'!$D$1:$M$5,5,TRUE),0),
IF($C75="WS WH",VLOOKUP($B75,'2) หลักการคำนวน Table'!$D$63:$M$78,HLOOKUP(AE75,'2) หลักการคำนวน Table'!$D$1:$M$5,5,TRUE),0),
IF($C75="SF WH",VLOOKUP($B75,'2) หลักการคำนวน Table'!$D$93:$M$108,HLOOKUP(AE75,'2) หลักการคำนวน Table'!$D$1:$M$5,5,TRUE),0))))),0)</f>
        <v>157.5</v>
      </c>
      <c r="BD75" s="167">
        <f>IFERROR(IF($C75="Top WS",VLOOKUP($B75,'2) หลักการคำนวน Table'!$D$5:$M$20,HLOOKUP(AF75,'2) หลักการคำนวน Table'!$D$1:$M$5,5,TRUE),0),
IF($C75="WS SF",VLOOKUP($B75,'2) หลักการคำนวน Table'!$D$33:$M$48,HLOOKUP(AF75,'2) หลักการคำนวน Table'!$D$1:$M$5,5,TRUE),0),
IF($C75="WS WH",VLOOKUP($B75,'2) หลักการคำนวน Table'!$D$63:$M$78,HLOOKUP(AF75,'2) หลักการคำนวน Table'!$D$1:$M$5,5,TRUE),0),
IF($C75="SF WH",VLOOKUP($B75,'2) หลักการคำนวน Table'!$D$93:$M$108,HLOOKUP(AF75,'2) หลักการคำนวน Table'!$D$1:$M$5,5,TRUE),0))))),0)</f>
        <v>157.5</v>
      </c>
      <c r="BE75" s="167">
        <f>IFERROR(IF($C75="Top WS",VLOOKUP($B75,'2) หลักการคำนวน Table'!$D$5:$M$20,HLOOKUP(AG75,'2) หลักการคำนวน Table'!$D$1:$M$5,5,TRUE),0),
IF($C75="WS SF",VLOOKUP($B75,'2) หลักการคำนวน Table'!$D$33:$M$48,HLOOKUP(AG75,'2) หลักการคำนวน Table'!$D$1:$M$5,5,TRUE),0),
IF($C75="WS WH",VLOOKUP($B75,'2) หลักการคำนวน Table'!$D$63:$M$78,HLOOKUP(AG75,'2) หลักการคำนวน Table'!$D$1:$M$5,5,TRUE),0),
IF($C75="SF WH",VLOOKUP($B75,'2) หลักการคำนวน Table'!$D$93:$M$108,HLOOKUP(AG75,'2) หลักการคำนวน Table'!$D$1:$M$5,5,TRUE),0))))),0)</f>
        <v>157.5</v>
      </c>
      <c r="BF75" s="167">
        <f>IFERROR(IF($C75="Top WS",VLOOKUP($B75,'2) หลักการคำนวน Table'!$D$5:$M$20,HLOOKUP(AH75,'2) หลักการคำนวน Table'!$D$1:$M$5,5,TRUE),0),
IF($C75="WS SF",VLOOKUP($B75,'2) หลักการคำนวน Table'!$D$33:$M$48,HLOOKUP(AH75,'2) หลักการคำนวน Table'!$D$1:$M$5,5,TRUE),0),
IF($C75="WS WH",VLOOKUP($B75,'2) หลักการคำนวน Table'!$D$63:$M$78,HLOOKUP(AH75,'2) หลักการคำนวน Table'!$D$1:$M$5,5,TRUE),0),
IF($C75="SF WH",VLOOKUP($B75,'2) หลักการคำนวน Table'!$D$93:$M$108,HLOOKUP(AH75,'2) หลักการคำนวน Table'!$D$1:$M$5,5,TRUE),0))))),0)</f>
        <v>157.5</v>
      </c>
      <c r="BG75" s="167">
        <f>IFERROR(IF($C75="Top WS",VLOOKUP($B75,'2) หลักการคำนวน Table'!$D$5:$M$20,HLOOKUP(AI75,'2) หลักการคำนวน Table'!$D$1:$M$5,5,TRUE),0),
IF($C75="WS SF",VLOOKUP($B75,'2) หลักการคำนวน Table'!$D$33:$M$48,HLOOKUP(AI75,'2) หลักการคำนวน Table'!$D$1:$M$5,5,TRUE),0),
IF($C75="WS WH",VLOOKUP($B75,'2) หลักการคำนวน Table'!$D$63:$M$78,HLOOKUP(AI75,'2) หลักการคำนวน Table'!$D$1:$M$5,5,TRUE),0),
IF($C75="SF WH",VLOOKUP($B75,'2) หลักการคำนวน Table'!$D$93:$M$108,HLOOKUP(AI75,'2) หลักการคำนวน Table'!$D$1:$M$5,5,TRUE),0))))),0)</f>
        <v>157.5</v>
      </c>
      <c r="BH75" s="167">
        <f>IFERROR(IF($C75="Top WS",VLOOKUP($B75,'2) หลักการคำนวน Table'!$D$5:$M$20,HLOOKUP(AP75,'2) หลักการคำนวน Table'!$D$1:$M$5,5,TRUE),0),
IF($C75="WS SF",VLOOKUP($B75,'2) หลักการคำนวน Table'!$D$33:$M$48,HLOOKUP(AP75,'2) หลักการคำนวน Table'!$D$1:$M$5,5,TRUE),0),
IF($C75="WS WH",VLOOKUP($B75,'2) หลักการคำนวน Table'!$D$63:$M$78,HLOOKUP(AP75,'2) หลักการคำนวน Table'!$D$1:$M$5,5,TRUE),0),
IF($C75="SF WH",VLOOKUP($B75,'2) หลักการคำนวน Table'!$D$93:$M$108,HLOOKUP(AP75,'2) หลักการคำนวน Table'!$D$1:$M$5,5,TRUE),0))))),0)</f>
        <v>157.5</v>
      </c>
      <c r="BI75" s="167">
        <f>IFERROR(IF($C75="Top WS",VLOOKUP($B75,'2) หลักการคำนวน Table'!$D$5:$M$20,HLOOKUP(AK75,'2) หลักการคำนวน Table'!$D$1:$M$5,5,TRUE),0),
IF($C75="WS SF",VLOOKUP($B75,'2) หลักการคำนวน Table'!$D$33:$M$48,HLOOKUP(AK75,'2) หลักการคำนวน Table'!$D$1:$M$5,5,TRUE),0),
IF($C75="WS WH",VLOOKUP($B75,'2) หลักการคำนวน Table'!$D$63:$M$78,HLOOKUP(AK75,'2) หลักการคำนวน Table'!$D$1:$M$5,5,TRUE),0),
IF($C75="SF WH",VLOOKUP($B75,'2) หลักการคำนวน Table'!$D$93:$M$108,HLOOKUP(AK75,'2) หลักการคำนวน Table'!$D$1:$M$5,5,TRUE),0))))),0)</f>
        <v>157.5</v>
      </c>
      <c r="BJ75" s="167">
        <f>IFERROR(IF($C75="Top WS",VLOOKUP($B75,'2) หลักการคำนวน Table'!$D$5:$M$20,HLOOKUP(AL75,'2) หลักการคำนวน Table'!$D$1:$M$5,5,TRUE),0),
IF($C75="WS SF",VLOOKUP($B75,'2) หลักการคำนวน Table'!$D$33:$M$48,HLOOKUP(AL75,'2) หลักการคำนวน Table'!$D$1:$M$5,5,TRUE),0),
IF($C75="WS WH",VLOOKUP($B75,'2) หลักการคำนวน Table'!$D$63:$M$78,HLOOKUP(AL75,'2) หลักการคำนวน Table'!$D$1:$M$5,5,TRUE),0),
IF($C75="SF WH",VLOOKUP($B75,'2) หลักการคำนวน Table'!$D$93:$M$108,HLOOKUP(AL75,'2) หลักการคำนวน Table'!$D$1:$M$5,5,TRUE),0))))),0)</f>
        <v>157.5</v>
      </c>
      <c r="BK75" s="167">
        <f>IFERROR(IF($C75="Top WS",VLOOKUP($B75,'2) หลักการคำนวน Table'!$D$5:$M$20,HLOOKUP(AM75,'2) หลักการคำนวน Table'!$D$1:$M$5,5,TRUE),0),
IF($C75="WS SF",VLOOKUP($B75,'2) หลักการคำนวน Table'!$D$33:$M$48,HLOOKUP(AM75,'2) หลักการคำนวน Table'!$D$1:$M$5,5,TRUE),0),
IF($C75="WS WH",VLOOKUP($B75,'2) หลักการคำนวน Table'!$D$63:$M$78,HLOOKUP(AM75,'2) หลักการคำนวน Table'!$D$1:$M$5,5,TRUE),0),
IF($C75="SF WH",VLOOKUP($B75,'2) หลักการคำนวน Table'!$D$93:$M$108,HLOOKUP(AM75,'2) หลักการคำนวน Table'!$D$1:$M$5,5,TRUE),0))))),0)</f>
        <v>157.5</v>
      </c>
      <c r="BM75" s="119">
        <f>VLOOKUP(VLOOKUP(A75,ASTBase!E:S,13,FALSE),ASTBase!F:P,11,FALSE)</f>
        <v>140000</v>
      </c>
      <c r="BN75" s="196" cm="1">
        <f t="array" ref="BN75">INDEX(AN75:AY75,,Period!$D$2)</f>
        <v>0.9</v>
      </c>
    </row>
    <row r="76" spans="1:66" x14ac:dyDescent="0.25">
      <c r="A76" s="117">
        <v>140003</v>
      </c>
      <c r="B76" s="117" t="s">
        <v>402</v>
      </c>
      <c r="C76" s="117" t="s">
        <v>180</v>
      </c>
      <c r="D76" s="118">
        <v>400</v>
      </c>
      <c r="E76" s="118">
        <v>453</v>
      </c>
      <c r="F76" s="118">
        <v>368</v>
      </c>
      <c r="G76" s="118">
        <v>388</v>
      </c>
      <c r="H76" s="118">
        <v>397</v>
      </c>
      <c r="I76" s="118">
        <v>408</v>
      </c>
      <c r="J76" s="118">
        <v>460</v>
      </c>
      <c r="K76" s="118">
        <v>682</v>
      </c>
      <c r="L76" s="118">
        <v>448</v>
      </c>
      <c r="M76" s="118">
        <v>408</v>
      </c>
      <c r="N76" s="118">
        <v>513</v>
      </c>
      <c r="O76" s="118">
        <v>516</v>
      </c>
      <c r="P76" s="117">
        <f>SUMIFS(Actual!C:C,Actual!$A:$A,'3)Target &amp; Cal'!$A76,Actual!$B:$B,'3)Target &amp; Cal'!$B76)</f>
        <v>850</v>
      </c>
      <c r="Q76" s="117">
        <f>SUMIFS(Actual!D:D,Actual!$A:$A,'3)Target &amp; Cal'!$A76,Actual!$B:$B,'3)Target &amp; Cal'!$B76)</f>
        <v>1089</v>
      </c>
      <c r="R76" s="117">
        <f>SUMIFS(Actual!E:E,Actual!$A:$A,'3)Target &amp; Cal'!$A76,Actual!$B:$B,'3)Target &amp; Cal'!$B76)</f>
        <v>0</v>
      </c>
      <c r="S76" s="117">
        <f>SUMIFS(Actual!F:F,Actual!$A:$A,'3)Target &amp; Cal'!$A76,Actual!$B:$B,'3)Target &amp; Cal'!$B76)</f>
        <v>0</v>
      </c>
      <c r="T76" s="117">
        <f>SUMIFS(Actual!G:G,Actual!$A:$A,'3)Target &amp; Cal'!$A76,Actual!$B:$B,'3)Target &amp; Cal'!$B76)</f>
        <v>0</v>
      </c>
      <c r="U76" s="117">
        <f>SUMIFS(Actual!H:H,Actual!$A:$A,'3)Target &amp; Cal'!$A76,Actual!$B:$B,'3)Target &amp; Cal'!$B76)</f>
        <v>0</v>
      </c>
      <c r="V76" s="117">
        <f>SUMIFS(Actual!I:I,Actual!$A:$A,'3)Target &amp; Cal'!$A76,Actual!$B:$B,'3)Target &amp; Cal'!$B76)</f>
        <v>0</v>
      </c>
      <c r="W76" s="117">
        <f>SUMIFS(Actual!J:J,Actual!$A:$A,'3)Target &amp; Cal'!$A76,Actual!$B:$B,'3)Target &amp; Cal'!$B76)</f>
        <v>0</v>
      </c>
      <c r="X76" s="117">
        <f>SUMIFS(Actual!K:K,Actual!$A:$A,'3)Target &amp; Cal'!$A76,Actual!$B:$B,'3)Target &amp; Cal'!$B76)</f>
        <v>0</v>
      </c>
      <c r="Y76" s="117">
        <f>SUMIFS(Actual!L:L,Actual!$A:$A,'3)Target &amp; Cal'!$A76,Actual!$B:$B,'3)Target &amp; Cal'!$B76)</f>
        <v>0</v>
      </c>
      <c r="Z76" s="117">
        <f>SUMIFS(Actual!M:M,Actual!$A:$A,'3)Target &amp; Cal'!$A76,Actual!$B:$B,'3)Target &amp; Cal'!$B76)</f>
        <v>0</v>
      </c>
      <c r="AA76" s="117">
        <f>SUMIFS(Actual!N:N,Actual!$A:$A,'3)Target &amp; Cal'!$A76,Actual!$B:$B,'3)Target &amp; Cal'!$B76)</f>
        <v>0</v>
      </c>
      <c r="AB76" s="123">
        <f>IFERROR(IF(VLOOKUP($B76,Shortage!$A:$M,AB$2,FALSE)="Shortage",1,IFERROR(ROUND(P76/D76,4),0)),IFERROR(ROUND(P76/D76,4),0))</f>
        <v>2.125</v>
      </c>
      <c r="AC76" s="123">
        <f>IFERROR(IF(VLOOKUP($B76,Shortage!$A:$M,AC$2,FALSE)="Shortage",1,IFERROR(ROUND(Q76/E76,4),0)),IFERROR(ROUND(Q76/E76,4),0))</f>
        <v>2.4039999999999999</v>
      </c>
      <c r="AD76" s="123">
        <f>IFERROR(IF(VLOOKUP($B76,Shortage!$A:$M,AD$2,FALSE)="Shortage",1,IFERROR(ROUND(R76/F76,4),0)),IFERROR(ROUND(R76/F76,4),0))</f>
        <v>0</v>
      </c>
      <c r="AE76" s="123">
        <f>IFERROR(IF(VLOOKUP($B76,Shortage!$A:$M,AE$2,FALSE)="Shortage",1,IFERROR(ROUND(S76/G76,4),0)),IFERROR(ROUND(S76/G76,4),0))</f>
        <v>0</v>
      </c>
      <c r="AF76" s="123">
        <f>IFERROR(IF(VLOOKUP($B76,Shortage!$A:$M,AF$2,FALSE)="Shortage",1,IFERROR(ROUND(T76/H76,4),0)),IFERROR(ROUND(T76/H76,4),0))</f>
        <v>0</v>
      </c>
      <c r="AG76" s="123">
        <f>IFERROR(IF(VLOOKUP($B76,Shortage!$A:$M,AG$2,FALSE)="Shortage",1,IFERROR(ROUND(U76/I76,4),0)),IFERROR(ROUND(U76/I76,4),0))</f>
        <v>0</v>
      </c>
      <c r="AH76" s="123">
        <f>IFERROR(IF(VLOOKUP($B76,Shortage!$A:$M,AH$2,FALSE)="Shortage",1,IFERROR(ROUND(V76/J76,4),0)),IFERROR(ROUND(V76/J76,4),0))</f>
        <v>0</v>
      </c>
      <c r="AI76" s="123">
        <f>IFERROR(IF(VLOOKUP($B76,Shortage!$A:$M,AI$2,FALSE)="Shortage",1,IFERROR(ROUND(W76/K76,4),0)),IFERROR(ROUND(W76/K76,4),0))</f>
        <v>0</v>
      </c>
      <c r="AJ76" s="123">
        <f>IFERROR(IF(VLOOKUP($B76,Shortage!$A:$M,AP$2,FALSE)="Shortage",1,IFERROR(ROUND(X76/L76,4),0)),IFERROR(ROUND(X76/L76,4),0))</f>
        <v>0</v>
      </c>
      <c r="AK76" s="123">
        <f>IFERROR(IF(VLOOKUP($B76,Shortage!$A:$M,AK$2,FALSE)="Shortage",1,IFERROR(ROUND(Y76/M76,4),0)),IFERROR(ROUND(Y76/M76,4),0))</f>
        <v>0</v>
      </c>
      <c r="AL76" s="123">
        <f>IFERROR(IF(VLOOKUP($B76,Shortage!$A:$M,AL$2,FALSE)="Shortage",1,IFERROR(ROUND(Z76/N76,4),0)),IFERROR(ROUND(Z76/N76,4),0))</f>
        <v>0</v>
      </c>
      <c r="AM76" s="123">
        <f>IFERROR(IF(VLOOKUP($B76,Shortage!$A:$M,AM$2,FALSE)="Shortage",1,IFERROR(ROUND(AA76/O76,4),0)),IFERROR(ROUND(AA76/O76,4),0))</f>
        <v>0</v>
      </c>
      <c r="AN76" s="232">
        <f>IFERROR(IF($C76="Top WS",VLOOKUP("GOAL",'2) หลักการคำนวน Table'!$D$4:$M$4,HLOOKUP(AB76,'2) หลักการคำนวน Table'!$D$1:$M$5,5,TRUE),0),
IF($C76="WS SF",VLOOKUP("GOAL",'2) หลักการคำนวน Table'!$D$32:$M$32,HLOOKUP(AB76,'2) หลักการคำนวน Table'!$D$1:$M$5,5,TRUE),0),
IF($C76="WS WH",VLOOKUP("GOAL",'2) หลักการคำนวน Table'!$D$62:$M$62,HLOOKUP(AB76,'2) หลักการคำนวน Table'!$D$1:$M$5,5,TRUE),0),
IF($C76="SF WH",VLOOKUP("GOAL",'2) หลักการคำนวน Table'!$D$92:$M$92,HLOOKUP(AB76,'2) หลักการคำนวน Table'!$D$1:$M$5,5,TRUE),0))))),0)</f>
        <v>1.3</v>
      </c>
      <c r="AO76" s="232">
        <f>IFERROR(IF($C76="Top WS",VLOOKUP("GOAL",'2) หลักการคำนวน Table'!$D$4:$M$4,HLOOKUP(AC76,'2) หลักการคำนวน Table'!$D$1:$M$5,5,TRUE),0),
IF($C76="WS SF",VLOOKUP("GOAL",'2) หลักการคำนวน Table'!$D$32:$M$32,HLOOKUP(AC76,'2) หลักการคำนวน Table'!$D$1:$M$5,5,TRUE),0),
IF($C76="WS WH",VLOOKUP("GOAL",'2) หลักการคำนวน Table'!$D$62:$M$62,HLOOKUP(AC76,'2) หลักการคำนวน Table'!$D$1:$M$5,5,TRUE),0),
IF($C76="SF WH",VLOOKUP("GOAL",'2) หลักการคำนวน Table'!$D$92:$M$92,HLOOKUP(AC76,'2) หลักการคำนวน Table'!$D$1:$M$5,5,TRUE),0))))),0)</f>
        <v>1.3</v>
      </c>
      <c r="AP76" s="232">
        <f>IFERROR(IF($C76="Top WS",VLOOKUP("GOAL",'2) หลักการคำนวน Table'!$D$4:$M$4,HLOOKUP(AD76,'2) หลักการคำนวน Table'!$D$1:$M$5,5,TRUE),0),
IF($C76="WS SF",VLOOKUP("GOAL",'2) หลักการคำนวน Table'!$D$32:$M$32,HLOOKUP(AD76,'2) หลักการคำนวน Table'!$D$1:$M$5,5,TRUE),0),
IF($C76="WS WH",VLOOKUP("GOAL",'2) หลักการคำนวน Table'!$D$62:$M$62,HLOOKUP(AD76,'2) หลักการคำนวน Table'!$D$1:$M$5,5,TRUE),0),
IF($C76="SF WH",VLOOKUP("GOAL",'2) หลักการคำนวน Table'!$D$92:$M$92,HLOOKUP(AD76,'2) หลักการคำนวน Table'!$D$1:$M$5,5,TRUE),0))))),0)</f>
        <v>0.9</v>
      </c>
      <c r="AQ76" s="232">
        <f>IFERROR(IF($C76="Top WS",VLOOKUP("GOAL",'2) หลักการคำนวน Table'!$D$4:$M$4,HLOOKUP(AE76,'2) หลักการคำนวน Table'!$D$1:$M$5,5,TRUE),0),
IF($C76="WS SF",VLOOKUP("GOAL",'2) หลักการคำนวน Table'!$D$32:$M$32,HLOOKUP(AE76,'2) หลักการคำนวน Table'!$D$1:$M$5,5,TRUE),0),
IF($C76="WS WH",VLOOKUP("GOAL",'2) หลักการคำนวน Table'!$D$62:$M$62,HLOOKUP(AE76,'2) หลักการคำนวน Table'!$D$1:$M$5,5,TRUE),0),
IF($C76="SF WH",VLOOKUP("GOAL",'2) หลักการคำนวน Table'!$D$92:$M$92,HLOOKUP(AE76,'2) หลักการคำนวน Table'!$D$1:$M$5,5,TRUE),0))))),0)</f>
        <v>0.9</v>
      </c>
      <c r="AR76" s="232">
        <f>IFERROR(IF($C76="Top WS",VLOOKUP("GOAL",'2) หลักการคำนวน Table'!$D$4:$M$4,HLOOKUP(AF76,'2) หลักการคำนวน Table'!$D$1:$M$5,5,TRUE),0),
IF($C76="WS SF",VLOOKUP("GOAL",'2) หลักการคำนวน Table'!$D$32:$M$32,HLOOKUP(AF76,'2) หลักการคำนวน Table'!$D$1:$M$5,5,TRUE),0),
IF($C76="WS WH",VLOOKUP("GOAL",'2) หลักการคำนวน Table'!$D$62:$M$62,HLOOKUP(AF76,'2) หลักการคำนวน Table'!$D$1:$M$5,5,TRUE),0),
IF($C76="SF WH",VLOOKUP("GOAL",'2) หลักการคำนวน Table'!$D$92:$M$92,HLOOKUP(AF76,'2) หลักการคำนวน Table'!$D$1:$M$5,5,TRUE),0))))),0)</f>
        <v>0.9</v>
      </c>
      <c r="AS76" s="232">
        <f>IFERROR(IF($C76="Top WS",VLOOKUP("GOAL",'2) หลักการคำนวน Table'!$D$4:$M$4,HLOOKUP(AG76,'2) หลักการคำนวน Table'!$D$1:$M$5,5,TRUE),0),
IF($C76="WS SF",VLOOKUP("GOAL",'2) หลักการคำนวน Table'!$D$32:$M$32,HLOOKUP(AG76,'2) หลักการคำนวน Table'!$D$1:$M$5,5,TRUE),0),
IF($C76="WS WH",VLOOKUP("GOAL",'2) หลักการคำนวน Table'!$D$62:$M$62,HLOOKUP(AG76,'2) หลักการคำนวน Table'!$D$1:$M$5,5,TRUE),0),
IF($C76="SF WH",VLOOKUP("GOAL",'2) หลักการคำนวน Table'!$D$92:$M$92,HLOOKUP(AG76,'2) หลักการคำนวน Table'!$D$1:$M$5,5,TRUE),0))))),0)</f>
        <v>0.9</v>
      </c>
      <c r="AT76" s="232">
        <f>IFERROR(IF($C76="Top WS",VLOOKUP("GOAL",'2) หลักการคำนวน Table'!$D$4:$M$4,HLOOKUP(AH76,'2) หลักการคำนวน Table'!$D$1:$M$5,5,TRUE),0),
IF($C76="WS SF",VLOOKUP("GOAL",'2) หลักการคำนวน Table'!$D$32:$M$32,HLOOKUP(AH76,'2) หลักการคำนวน Table'!$D$1:$M$5,5,TRUE),0),
IF($C76="WS WH",VLOOKUP("GOAL",'2) หลักการคำนวน Table'!$D$62:$M$62,HLOOKUP(AH76,'2) หลักการคำนวน Table'!$D$1:$M$5,5,TRUE),0),
IF($C76="SF WH",VLOOKUP("GOAL",'2) หลักการคำนวน Table'!$D$92:$M$92,HLOOKUP(AH76,'2) หลักการคำนวน Table'!$D$1:$M$5,5,TRUE),0))))),0)</f>
        <v>0.9</v>
      </c>
      <c r="AU76" s="232">
        <f>IFERROR(IF($C76="Top WS",VLOOKUP("GOAL",'2) หลักการคำนวน Table'!$D$4:$M$4,HLOOKUP(AI76,'2) หลักการคำนวน Table'!$D$1:$M$5,5,TRUE),0),
IF($C76="WS SF",VLOOKUP("GOAL",'2) หลักการคำนวน Table'!$D$32:$M$32,HLOOKUP(AI76,'2) หลักการคำนวน Table'!$D$1:$M$5,5,TRUE),0),
IF($C76="WS WH",VLOOKUP("GOAL",'2) หลักการคำนวน Table'!$D$62:$M$62,HLOOKUP(AI76,'2) หลักการคำนวน Table'!$D$1:$M$5,5,TRUE),0),
IF($C76="SF WH",VLOOKUP("GOAL",'2) หลักการคำนวน Table'!$D$92:$M$92,HLOOKUP(AI76,'2) หลักการคำนวน Table'!$D$1:$M$5,5,TRUE),0))))),0)</f>
        <v>0.9</v>
      </c>
      <c r="AV76" s="232">
        <f>IFERROR(IF($C76="Top WS",VLOOKUP("GOAL",'2) หลักการคำนวน Table'!$D$4:$M$4,HLOOKUP(AP76,'2) หลักการคำนวน Table'!$D$1:$M$5,5,TRUE),0),
IF($C76="WS SF",VLOOKUP("GOAL",'2) หลักการคำนวน Table'!$D$32:$M$32,HLOOKUP(AP76,'2) หลักการคำนวน Table'!$D$1:$M$5,5,TRUE),0),
IF($C76="WS WH",VLOOKUP("GOAL",'2) หลักการคำนวน Table'!$D$62:$M$62,HLOOKUP(AP76,'2) หลักการคำนวน Table'!$D$1:$M$5,5,TRUE),0),
IF($C76="SF WH",VLOOKUP("GOAL",'2) หลักการคำนวน Table'!$D$92:$M$92,HLOOKUP(AP76,'2) หลักการคำนวน Table'!$D$1:$M$5,5,TRUE),0))))),0)</f>
        <v>0.9</v>
      </c>
      <c r="AW76" s="232">
        <f>IFERROR(IF($C76="Top WS",VLOOKUP("GOAL",'2) หลักการคำนวน Table'!$D$4:$M$4,HLOOKUP(AK76,'2) หลักการคำนวน Table'!$D$1:$M$5,5,TRUE),0),
IF($C76="WS SF",VLOOKUP("GOAL",'2) หลักการคำนวน Table'!$D$32:$M$32,HLOOKUP(AK76,'2) หลักการคำนวน Table'!$D$1:$M$5,5,TRUE),0),
IF($C76="WS WH",VLOOKUP("GOAL",'2) หลักการคำนวน Table'!$D$62:$M$62,HLOOKUP(AK76,'2) หลักการคำนวน Table'!$D$1:$M$5,5,TRUE),0),
IF($C76="SF WH",VLOOKUP("GOAL",'2) หลักการคำนวน Table'!$D$92:$M$92,HLOOKUP(AK76,'2) หลักการคำนวน Table'!$D$1:$M$5,5,TRUE),0))))),0)</f>
        <v>0.9</v>
      </c>
      <c r="AX76" s="232">
        <f>IFERROR(IF($C76="Top WS",VLOOKUP("GOAL",'2) หลักการคำนวน Table'!$D$4:$M$4,HLOOKUP(AL76,'2) หลักการคำนวน Table'!$D$1:$M$5,5,TRUE),0),
IF($C76="WS SF",VLOOKUP("GOAL",'2) หลักการคำนวน Table'!$D$32:$M$32,HLOOKUP(AL76,'2) หลักการคำนวน Table'!$D$1:$M$5,5,TRUE),0),
IF($C76="WS WH",VLOOKUP("GOAL",'2) หลักการคำนวน Table'!$D$62:$M$62,HLOOKUP(AL76,'2) หลักการคำนวน Table'!$D$1:$M$5,5,TRUE),0),
IF($C76="SF WH",VLOOKUP("GOAL",'2) หลักการคำนวน Table'!$D$92:$M$92,HLOOKUP(AL76,'2) หลักการคำนวน Table'!$D$1:$M$5,5,TRUE),0))))),0)</f>
        <v>0.9</v>
      </c>
      <c r="AY76" s="232">
        <f>IFERROR(IF($C76="Top WS",VLOOKUP("GOAL",'2) หลักการคำนวน Table'!$D$4:$M$4,HLOOKUP(AM76,'2) หลักการคำนวน Table'!$D$1:$M$5,5,TRUE),0),
IF($C76="WS SF",VLOOKUP("GOAL",'2) หลักการคำนวน Table'!$D$32:$M$32,HLOOKUP(AM76,'2) หลักการคำนวน Table'!$D$1:$M$5,5,TRUE),0),
IF($C76="WS WH",VLOOKUP("GOAL",'2) หลักการคำนวน Table'!$D$62:$M$62,HLOOKUP(AM76,'2) หลักการคำนวน Table'!$D$1:$M$5,5,TRUE),0),
IF($C76="SF WH",VLOOKUP("GOAL",'2) หลักการคำนวน Table'!$D$92:$M$92,HLOOKUP(AM76,'2) หลักการคำนวน Table'!$D$1:$M$5,5,TRUE),0))))),0)</f>
        <v>0.9</v>
      </c>
      <c r="AZ76" s="167">
        <f>IFERROR(IF($C76="Top WS",VLOOKUP($B76,'2) หลักการคำนวน Table'!$D$5:$M$20,HLOOKUP(AB76,'2) หลักการคำนวน Table'!$D$1:$M$5,5,TRUE),0),
IF($C76="WS SF",VLOOKUP($B76,'2) หลักการคำนวน Table'!$D$33:$M$48,HLOOKUP(AB76,'2) หลักการคำนวน Table'!$D$1:$M$5,5,TRUE),0),
IF($C76="WS WH",VLOOKUP($B76,'2) หลักการคำนวน Table'!$D$63:$M$78,HLOOKUP(AB76,'2) หลักการคำนวน Table'!$D$1:$M$5,5,TRUE),0),
IF($C76="SF WH",VLOOKUP($B76,'2) หลักการคำนวน Table'!$D$93:$M$108,HLOOKUP(AB76,'2) หลักการคำนวน Table'!$D$1:$M$5,5,TRUE),0))))),0)</f>
        <v>227.5</v>
      </c>
      <c r="BA76" s="167">
        <f>IFERROR(IF($C76="Top WS",VLOOKUP($B76,'2) หลักการคำนวน Table'!$D$5:$M$20,HLOOKUP(AC76,'2) หลักการคำนวน Table'!$D$1:$M$5,5,TRUE),0),
IF($C76="WS SF",VLOOKUP($B76,'2) หลักการคำนวน Table'!$D$33:$M$48,HLOOKUP(AC76,'2) หลักการคำนวน Table'!$D$1:$M$5,5,TRUE),0),
IF($C76="WS WH",VLOOKUP($B76,'2) หลักการคำนวน Table'!$D$63:$M$78,HLOOKUP(AC76,'2) หลักการคำนวน Table'!$D$1:$M$5,5,TRUE),0),
IF($C76="SF WH",VLOOKUP($B76,'2) หลักการคำนวน Table'!$D$93:$M$108,HLOOKUP(AC76,'2) หลักการคำนวน Table'!$D$1:$M$5,5,TRUE),0))))),0)</f>
        <v>227.5</v>
      </c>
      <c r="BB76" s="167">
        <f>IFERROR(IF($C76="Top WS",VLOOKUP($B76,'2) หลักการคำนวน Table'!$D$5:$M$20,HLOOKUP(AD76,'2) หลักการคำนวน Table'!$D$1:$M$5,5,TRUE),0),
IF($C76="WS SF",VLOOKUP($B76,'2) หลักการคำนวน Table'!$D$33:$M$48,HLOOKUP(AD76,'2) หลักการคำนวน Table'!$D$1:$M$5,5,TRUE),0),
IF($C76="WS WH",VLOOKUP($B76,'2) หลักการคำนวน Table'!$D$63:$M$78,HLOOKUP(AD76,'2) หลักการคำนวน Table'!$D$1:$M$5,5,TRUE),0),
IF($C76="SF WH",VLOOKUP($B76,'2) หลักการคำนวน Table'!$D$93:$M$108,HLOOKUP(AD76,'2) หลักการคำนวน Table'!$D$1:$M$5,5,TRUE),0))))),0)</f>
        <v>157.5</v>
      </c>
      <c r="BC76" s="167">
        <f>IFERROR(IF($C76="Top WS",VLOOKUP($B76,'2) หลักการคำนวน Table'!$D$5:$M$20,HLOOKUP(AE76,'2) หลักการคำนวน Table'!$D$1:$M$5,5,TRUE),0),
IF($C76="WS SF",VLOOKUP($B76,'2) หลักการคำนวน Table'!$D$33:$M$48,HLOOKUP(AE76,'2) หลักการคำนวน Table'!$D$1:$M$5,5,TRUE),0),
IF($C76="WS WH",VLOOKUP($B76,'2) หลักการคำนวน Table'!$D$63:$M$78,HLOOKUP(AE76,'2) หลักการคำนวน Table'!$D$1:$M$5,5,TRUE),0),
IF($C76="SF WH",VLOOKUP($B76,'2) หลักการคำนวน Table'!$D$93:$M$108,HLOOKUP(AE76,'2) หลักการคำนวน Table'!$D$1:$M$5,5,TRUE),0))))),0)</f>
        <v>157.5</v>
      </c>
      <c r="BD76" s="167">
        <f>IFERROR(IF($C76="Top WS",VLOOKUP($B76,'2) หลักการคำนวน Table'!$D$5:$M$20,HLOOKUP(AF76,'2) หลักการคำนวน Table'!$D$1:$M$5,5,TRUE),0),
IF($C76="WS SF",VLOOKUP($B76,'2) หลักการคำนวน Table'!$D$33:$M$48,HLOOKUP(AF76,'2) หลักการคำนวน Table'!$D$1:$M$5,5,TRUE),0),
IF($C76="WS WH",VLOOKUP($B76,'2) หลักการคำนวน Table'!$D$63:$M$78,HLOOKUP(AF76,'2) หลักการคำนวน Table'!$D$1:$M$5,5,TRUE),0),
IF($C76="SF WH",VLOOKUP($B76,'2) หลักการคำนวน Table'!$D$93:$M$108,HLOOKUP(AF76,'2) หลักการคำนวน Table'!$D$1:$M$5,5,TRUE),0))))),0)</f>
        <v>157.5</v>
      </c>
      <c r="BE76" s="167">
        <f>IFERROR(IF($C76="Top WS",VLOOKUP($B76,'2) หลักการคำนวน Table'!$D$5:$M$20,HLOOKUP(AG76,'2) หลักการคำนวน Table'!$D$1:$M$5,5,TRUE),0),
IF($C76="WS SF",VLOOKUP($B76,'2) หลักการคำนวน Table'!$D$33:$M$48,HLOOKUP(AG76,'2) หลักการคำนวน Table'!$D$1:$M$5,5,TRUE),0),
IF($C76="WS WH",VLOOKUP($B76,'2) หลักการคำนวน Table'!$D$63:$M$78,HLOOKUP(AG76,'2) หลักการคำนวน Table'!$D$1:$M$5,5,TRUE),0),
IF($C76="SF WH",VLOOKUP($B76,'2) หลักการคำนวน Table'!$D$93:$M$108,HLOOKUP(AG76,'2) หลักการคำนวน Table'!$D$1:$M$5,5,TRUE),0))))),0)</f>
        <v>157.5</v>
      </c>
      <c r="BF76" s="167">
        <f>IFERROR(IF($C76="Top WS",VLOOKUP($B76,'2) หลักการคำนวน Table'!$D$5:$M$20,HLOOKUP(AH76,'2) หลักการคำนวน Table'!$D$1:$M$5,5,TRUE),0),
IF($C76="WS SF",VLOOKUP($B76,'2) หลักการคำนวน Table'!$D$33:$M$48,HLOOKUP(AH76,'2) หลักการคำนวน Table'!$D$1:$M$5,5,TRUE),0),
IF($C76="WS WH",VLOOKUP($B76,'2) หลักการคำนวน Table'!$D$63:$M$78,HLOOKUP(AH76,'2) หลักการคำนวน Table'!$D$1:$M$5,5,TRUE),0),
IF($C76="SF WH",VLOOKUP($B76,'2) หลักการคำนวน Table'!$D$93:$M$108,HLOOKUP(AH76,'2) หลักการคำนวน Table'!$D$1:$M$5,5,TRUE),0))))),0)</f>
        <v>157.5</v>
      </c>
      <c r="BG76" s="167">
        <f>IFERROR(IF($C76="Top WS",VLOOKUP($B76,'2) หลักการคำนวน Table'!$D$5:$M$20,HLOOKUP(AI76,'2) หลักการคำนวน Table'!$D$1:$M$5,5,TRUE),0),
IF($C76="WS SF",VLOOKUP($B76,'2) หลักการคำนวน Table'!$D$33:$M$48,HLOOKUP(AI76,'2) หลักการคำนวน Table'!$D$1:$M$5,5,TRUE),0),
IF($C76="WS WH",VLOOKUP($B76,'2) หลักการคำนวน Table'!$D$63:$M$78,HLOOKUP(AI76,'2) หลักการคำนวน Table'!$D$1:$M$5,5,TRUE),0),
IF($C76="SF WH",VLOOKUP($B76,'2) หลักการคำนวน Table'!$D$93:$M$108,HLOOKUP(AI76,'2) หลักการคำนวน Table'!$D$1:$M$5,5,TRUE),0))))),0)</f>
        <v>157.5</v>
      </c>
      <c r="BH76" s="167">
        <f>IFERROR(IF($C76="Top WS",VLOOKUP($B76,'2) หลักการคำนวน Table'!$D$5:$M$20,HLOOKUP(AP76,'2) หลักการคำนวน Table'!$D$1:$M$5,5,TRUE),0),
IF($C76="WS SF",VLOOKUP($B76,'2) หลักการคำนวน Table'!$D$33:$M$48,HLOOKUP(AP76,'2) หลักการคำนวน Table'!$D$1:$M$5,5,TRUE),0),
IF($C76="WS WH",VLOOKUP($B76,'2) หลักการคำนวน Table'!$D$63:$M$78,HLOOKUP(AP76,'2) หลักการคำนวน Table'!$D$1:$M$5,5,TRUE),0),
IF($C76="SF WH",VLOOKUP($B76,'2) หลักการคำนวน Table'!$D$93:$M$108,HLOOKUP(AP76,'2) หลักการคำนวน Table'!$D$1:$M$5,5,TRUE),0))))),0)</f>
        <v>157.5</v>
      </c>
      <c r="BI76" s="167">
        <f>IFERROR(IF($C76="Top WS",VLOOKUP($B76,'2) หลักการคำนวน Table'!$D$5:$M$20,HLOOKUP(AK76,'2) หลักการคำนวน Table'!$D$1:$M$5,5,TRUE),0),
IF($C76="WS SF",VLOOKUP($B76,'2) หลักการคำนวน Table'!$D$33:$M$48,HLOOKUP(AK76,'2) หลักการคำนวน Table'!$D$1:$M$5,5,TRUE),0),
IF($C76="WS WH",VLOOKUP($B76,'2) หลักการคำนวน Table'!$D$63:$M$78,HLOOKUP(AK76,'2) หลักการคำนวน Table'!$D$1:$M$5,5,TRUE),0),
IF($C76="SF WH",VLOOKUP($B76,'2) หลักการคำนวน Table'!$D$93:$M$108,HLOOKUP(AK76,'2) หลักการคำนวน Table'!$D$1:$M$5,5,TRUE),0))))),0)</f>
        <v>157.5</v>
      </c>
      <c r="BJ76" s="167">
        <f>IFERROR(IF($C76="Top WS",VLOOKUP($B76,'2) หลักการคำนวน Table'!$D$5:$M$20,HLOOKUP(AL76,'2) หลักการคำนวน Table'!$D$1:$M$5,5,TRUE),0),
IF($C76="WS SF",VLOOKUP($B76,'2) หลักการคำนวน Table'!$D$33:$M$48,HLOOKUP(AL76,'2) หลักการคำนวน Table'!$D$1:$M$5,5,TRUE),0),
IF($C76="WS WH",VLOOKUP($B76,'2) หลักการคำนวน Table'!$D$63:$M$78,HLOOKUP(AL76,'2) หลักการคำนวน Table'!$D$1:$M$5,5,TRUE),0),
IF($C76="SF WH",VLOOKUP($B76,'2) หลักการคำนวน Table'!$D$93:$M$108,HLOOKUP(AL76,'2) หลักการคำนวน Table'!$D$1:$M$5,5,TRUE),0))))),0)</f>
        <v>157.5</v>
      </c>
      <c r="BK76" s="167">
        <f>IFERROR(IF($C76="Top WS",VLOOKUP($B76,'2) หลักการคำนวน Table'!$D$5:$M$20,HLOOKUP(AM76,'2) หลักการคำนวน Table'!$D$1:$M$5,5,TRUE),0),
IF($C76="WS SF",VLOOKUP($B76,'2) หลักการคำนวน Table'!$D$33:$M$48,HLOOKUP(AM76,'2) หลักการคำนวน Table'!$D$1:$M$5,5,TRUE),0),
IF($C76="WS WH",VLOOKUP($B76,'2) หลักการคำนวน Table'!$D$63:$M$78,HLOOKUP(AM76,'2) หลักการคำนวน Table'!$D$1:$M$5,5,TRUE),0),
IF($C76="SF WH",VLOOKUP($B76,'2) หลักการคำนวน Table'!$D$93:$M$108,HLOOKUP(AM76,'2) หลักการคำนวน Table'!$D$1:$M$5,5,TRUE),0))))),0)</f>
        <v>157.5</v>
      </c>
      <c r="BM76" s="119">
        <f>VLOOKUP(VLOOKUP(A76,ASTBase!E:S,13,FALSE),ASTBase!F:P,11,FALSE)</f>
        <v>140000</v>
      </c>
      <c r="BN76" s="196" cm="1">
        <f t="array" ref="BN76">INDEX(AN76:AY76,,Period!$D$2)</f>
        <v>1.3</v>
      </c>
    </row>
    <row r="77" spans="1:66" x14ac:dyDescent="0.25">
      <c r="A77" s="117">
        <v>140003</v>
      </c>
      <c r="B77" s="117" t="s">
        <v>394</v>
      </c>
      <c r="C77" s="117" t="s">
        <v>180</v>
      </c>
      <c r="D77" s="118">
        <v>138</v>
      </c>
      <c r="E77" s="118">
        <v>205</v>
      </c>
      <c r="F77" s="118">
        <v>112</v>
      </c>
      <c r="G77" s="118">
        <v>39</v>
      </c>
      <c r="H77" s="118">
        <v>3</v>
      </c>
      <c r="I77" s="118">
        <v>182</v>
      </c>
      <c r="J77" s="118">
        <v>163</v>
      </c>
      <c r="K77" s="118">
        <v>254</v>
      </c>
      <c r="L77" s="118">
        <v>181</v>
      </c>
      <c r="M77" s="118">
        <v>160</v>
      </c>
      <c r="N77" s="118">
        <v>175</v>
      </c>
      <c r="O77" s="118">
        <v>174</v>
      </c>
      <c r="P77" s="117">
        <f>SUMIFS(Actual!C:C,Actual!$A:$A,'3)Target &amp; Cal'!$A77,Actual!$B:$B,'3)Target &amp; Cal'!$B77)</f>
        <v>0</v>
      </c>
      <c r="Q77" s="117">
        <f>SUMIFS(Actual!D:D,Actual!$A:$A,'3)Target &amp; Cal'!$A77,Actual!$B:$B,'3)Target &amp; Cal'!$B77)</f>
        <v>216</v>
      </c>
      <c r="R77" s="117">
        <f>SUMIFS(Actual!E:E,Actual!$A:$A,'3)Target &amp; Cal'!$A77,Actual!$B:$B,'3)Target &amp; Cal'!$B77)</f>
        <v>0</v>
      </c>
      <c r="S77" s="117">
        <f>SUMIFS(Actual!F:F,Actual!$A:$A,'3)Target &amp; Cal'!$A77,Actual!$B:$B,'3)Target &amp; Cal'!$B77)</f>
        <v>0</v>
      </c>
      <c r="T77" s="117">
        <f>SUMIFS(Actual!G:G,Actual!$A:$A,'3)Target &amp; Cal'!$A77,Actual!$B:$B,'3)Target &amp; Cal'!$B77)</f>
        <v>0</v>
      </c>
      <c r="U77" s="117">
        <f>SUMIFS(Actual!H:H,Actual!$A:$A,'3)Target &amp; Cal'!$A77,Actual!$B:$B,'3)Target &amp; Cal'!$B77)</f>
        <v>0</v>
      </c>
      <c r="V77" s="117">
        <f>SUMIFS(Actual!I:I,Actual!$A:$A,'3)Target &amp; Cal'!$A77,Actual!$B:$B,'3)Target &amp; Cal'!$B77)</f>
        <v>0</v>
      </c>
      <c r="W77" s="117">
        <f>SUMIFS(Actual!J:J,Actual!$A:$A,'3)Target &amp; Cal'!$A77,Actual!$B:$B,'3)Target &amp; Cal'!$B77)</f>
        <v>0</v>
      </c>
      <c r="X77" s="117">
        <f>SUMIFS(Actual!K:K,Actual!$A:$A,'3)Target &amp; Cal'!$A77,Actual!$B:$B,'3)Target &amp; Cal'!$B77)</f>
        <v>0</v>
      </c>
      <c r="Y77" s="117">
        <f>SUMIFS(Actual!L:L,Actual!$A:$A,'3)Target &amp; Cal'!$A77,Actual!$B:$B,'3)Target &amp; Cal'!$B77)</f>
        <v>0</v>
      </c>
      <c r="Z77" s="117">
        <f>SUMIFS(Actual!M:M,Actual!$A:$A,'3)Target &amp; Cal'!$A77,Actual!$B:$B,'3)Target &amp; Cal'!$B77)</f>
        <v>0</v>
      </c>
      <c r="AA77" s="117">
        <f>SUMIFS(Actual!N:N,Actual!$A:$A,'3)Target &amp; Cal'!$A77,Actual!$B:$B,'3)Target &amp; Cal'!$B77)</f>
        <v>0</v>
      </c>
      <c r="AB77" s="123">
        <f>IFERROR(IF(VLOOKUP($B77,Shortage!$A:$M,AB$2,FALSE)="Shortage",1,IFERROR(ROUND(P77/D77,4),0)),IFERROR(ROUND(P77/D77,4),0))</f>
        <v>0</v>
      </c>
      <c r="AC77" s="123">
        <f>IFERROR(IF(VLOOKUP($B77,Shortage!$A:$M,AC$2,FALSE)="Shortage",1,IFERROR(ROUND(Q77/E77,4),0)),IFERROR(ROUND(Q77/E77,4),0))</f>
        <v>1.0537000000000001</v>
      </c>
      <c r="AD77" s="123">
        <f>IFERROR(IF(VLOOKUP($B77,Shortage!$A:$M,AD$2,FALSE)="Shortage",1,IFERROR(ROUND(R77/F77,4),0)),IFERROR(ROUND(R77/F77,4),0))</f>
        <v>0</v>
      </c>
      <c r="AE77" s="123">
        <f>IFERROR(IF(VLOOKUP($B77,Shortage!$A:$M,AE$2,FALSE)="Shortage",1,IFERROR(ROUND(S77/G77,4),0)),IFERROR(ROUND(S77/G77,4),0))</f>
        <v>0</v>
      </c>
      <c r="AF77" s="123">
        <f>IFERROR(IF(VLOOKUP($B77,Shortage!$A:$M,AF$2,FALSE)="Shortage",1,IFERROR(ROUND(T77/H77,4),0)),IFERROR(ROUND(T77/H77,4),0))</f>
        <v>0</v>
      </c>
      <c r="AG77" s="123">
        <f>IFERROR(IF(VLOOKUP($B77,Shortage!$A:$M,AG$2,FALSE)="Shortage",1,IFERROR(ROUND(U77/I77,4),0)),IFERROR(ROUND(U77/I77,4),0))</f>
        <v>0</v>
      </c>
      <c r="AH77" s="123">
        <f>IFERROR(IF(VLOOKUP($B77,Shortage!$A:$M,AH$2,FALSE)="Shortage",1,IFERROR(ROUND(V77/J77,4),0)),IFERROR(ROUND(V77/J77,4),0))</f>
        <v>0</v>
      </c>
      <c r="AI77" s="123">
        <f>IFERROR(IF(VLOOKUP($B77,Shortage!$A:$M,AI$2,FALSE)="Shortage",1,IFERROR(ROUND(W77/K77,4),0)),IFERROR(ROUND(W77/K77,4),0))</f>
        <v>0</v>
      </c>
      <c r="AJ77" s="123">
        <f>IFERROR(IF(VLOOKUP($B77,Shortage!$A:$M,AP$2,FALSE)="Shortage",1,IFERROR(ROUND(X77/L77,4),0)),IFERROR(ROUND(X77/L77,4),0))</f>
        <v>0</v>
      </c>
      <c r="AK77" s="123">
        <f>IFERROR(IF(VLOOKUP($B77,Shortage!$A:$M,AK$2,FALSE)="Shortage",1,IFERROR(ROUND(Y77/M77,4),0)),IFERROR(ROUND(Y77/M77,4),0))</f>
        <v>0</v>
      </c>
      <c r="AL77" s="123">
        <f>IFERROR(IF(VLOOKUP($B77,Shortage!$A:$M,AL$2,FALSE)="Shortage",1,IFERROR(ROUND(Z77/N77,4),0)),IFERROR(ROUND(Z77/N77,4),0))</f>
        <v>0</v>
      </c>
      <c r="AM77" s="123">
        <f>IFERROR(IF(VLOOKUP($B77,Shortage!$A:$M,AM$2,FALSE)="Shortage",1,IFERROR(ROUND(AA77/O77,4),0)),IFERROR(ROUND(AA77/O77,4),0))</f>
        <v>0</v>
      </c>
      <c r="AN77" s="232">
        <f>IFERROR(IF($C77="Top WS",VLOOKUP("GOAL",'2) หลักการคำนวน Table'!$D$4:$M$4,HLOOKUP(AB77,'2) หลักการคำนวน Table'!$D$1:$M$5,5,TRUE),0),
IF($C77="WS SF",VLOOKUP("GOAL",'2) หลักการคำนวน Table'!$D$32:$M$32,HLOOKUP(AB77,'2) หลักการคำนวน Table'!$D$1:$M$5,5,TRUE),0),
IF($C77="WS WH",VLOOKUP("GOAL",'2) หลักการคำนวน Table'!$D$62:$M$62,HLOOKUP(AB77,'2) หลักการคำนวน Table'!$D$1:$M$5,5,TRUE),0),
IF($C77="SF WH",VLOOKUP("GOAL",'2) หลักการคำนวน Table'!$D$92:$M$92,HLOOKUP(AB77,'2) หลักการคำนวน Table'!$D$1:$M$5,5,TRUE),0))))),0)</f>
        <v>0.9</v>
      </c>
      <c r="AO77" s="232">
        <f>IFERROR(IF($C77="Top WS",VLOOKUP("GOAL",'2) หลักการคำนวน Table'!$D$4:$M$4,HLOOKUP(AC77,'2) หลักการคำนวน Table'!$D$1:$M$5,5,TRUE),0),
IF($C77="WS SF",VLOOKUP("GOAL",'2) หลักการคำนวน Table'!$D$32:$M$32,HLOOKUP(AC77,'2) หลักการคำนวน Table'!$D$1:$M$5,5,TRUE),0),
IF($C77="WS WH",VLOOKUP("GOAL",'2) หลักการคำนวน Table'!$D$62:$M$62,HLOOKUP(AC77,'2) หลักการคำนวน Table'!$D$1:$M$5,5,TRUE),0),
IF($C77="SF WH",VLOOKUP("GOAL",'2) หลักการคำนวน Table'!$D$92:$M$92,HLOOKUP(AC77,'2) หลักการคำนวน Table'!$D$1:$M$5,5,TRUE),0))))),0)</f>
        <v>1.06</v>
      </c>
      <c r="AP77" s="232">
        <f>IFERROR(IF($C77="Top WS",VLOOKUP("GOAL",'2) หลักการคำนวน Table'!$D$4:$M$4,HLOOKUP(AD77,'2) หลักการคำนวน Table'!$D$1:$M$5,5,TRUE),0),
IF($C77="WS SF",VLOOKUP("GOAL",'2) หลักการคำนวน Table'!$D$32:$M$32,HLOOKUP(AD77,'2) หลักการคำนวน Table'!$D$1:$M$5,5,TRUE),0),
IF($C77="WS WH",VLOOKUP("GOAL",'2) หลักการคำนวน Table'!$D$62:$M$62,HLOOKUP(AD77,'2) หลักการคำนวน Table'!$D$1:$M$5,5,TRUE),0),
IF($C77="SF WH",VLOOKUP("GOAL",'2) หลักการคำนวน Table'!$D$92:$M$92,HLOOKUP(AD77,'2) หลักการคำนวน Table'!$D$1:$M$5,5,TRUE),0))))),0)</f>
        <v>0.9</v>
      </c>
      <c r="AQ77" s="232">
        <f>IFERROR(IF($C77="Top WS",VLOOKUP("GOAL",'2) หลักการคำนวน Table'!$D$4:$M$4,HLOOKUP(AE77,'2) หลักการคำนวน Table'!$D$1:$M$5,5,TRUE),0),
IF($C77="WS SF",VLOOKUP("GOAL",'2) หลักการคำนวน Table'!$D$32:$M$32,HLOOKUP(AE77,'2) หลักการคำนวน Table'!$D$1:$M$5,5,TRUE),0),
IF($C77="WS WH",VLOOKUP("GOAL",'2) หลักการคำนวน Table'!$D$62:$M$62,HLOOKUP(AE77,'2) หลักการคำนวน Table'!$D$1:$M$5,5,TRUE),0),
IF($C77="SF WH",VLOOKUP("GOAL",'2) หลักการคำนวน Table'!$D$92:$M$92,HLOOKUP(AE77,'2) หลักการคำนวน Table'!$D$1:$M$5,5,TRUE),0))))),0)</f>
        <v>0.9</v>
      </c>
      <c r="AR77" s="232">
        <f>IFERROR(IF($C77="Top WS",VLOOKUP("GOAL",'2) หลักการคำนวน Table'!$D$4:$M$4,HLOOKUP(AF77,'2) หลักการคำนวน Table'!$D$1:$M$5,5,TRUE),0),
IF($C77="WS SF",VLOOKUP("GOAL",'2) หลักการคำนวน Table'!$D$32:$M$32,HLOOKUP(AF77,'2) หลักการคำนวน Table'!$D$1:$M$5,5,TRUE),0),
IF($C77="WS WH",VLOOKUP("GOAL",'2) หลักการคำนวน Table'!$D$62:$M$62,HLOOKUP(AF77,'2) หลักการคำนวน Table'!$D$1:$M$5,5,TRUE),0),
IF($C77="SF WH",VLOOKUP("GOAL",'2) หลักการคำนวน Table'!$D$92:$M$92,HLOOKUP(AF77,'2) หลักการคำนวน Table'!$D$1:$M$5,5,TRUE),0))))),0)</f>
        <v>0.9</v>
      </c>
      <c r="AS77" s="232">
        <f>IFERROR(IF($C77="Top WS",VLOOKUP("GOAL",'2) หลักการคำนวน Table'!$D$4:$M$4,HLOOKUP(AG77,'2) หลักการคำนวน Table'!$D$1:$M$5,5,TRUE),0),
IF($C77="WS SF",VLOOKUP("GOAL",'2) หลักการคำนวน Table'!$D$32:$M$32,HLOOKUP(AG77,'2) หลักการคำนวน Table'!$D$1:$M$5,5,TRUE),0),
IF($C77="WS WH",VLOOKUP("GOAL",'2) หลักการคำนวน Table'!$D$62:$M$62,HLOOKUP(AG77,'2) หลักการคำนวน Table'!$D$1:$M$5,5,TRUE),0),
IF($C77="SF WH",VLOOKUP("GOAL",'2) หลักการคำนวน Table'!$D$92:$M$92,HLOOKUP(AG77,'2) หลักการคำนวน Table'!$D$1:$M$5,5,TRUE),0))))),0)</f>
        <v>0.9</v>
      </c>
      <c r="AT77" s="232">
        <f>IFERROR(IF($C77="Top WS",VLOOKUP("GOAL",'2) หลักการคำนวน Table'!$D$4:$M$4,HLOOKUP(AH77,'2) หลักการคำนวน Table'!$D$1:$M$5,5,TRUE),0),
IF($C77="WS SF",VLOOKUP("GOAL",'2) หลักการคำนวน Table'!$D$32:$M$32,HLOOKUP(AH77,'2) หลักการคำนวน Table'!$D$1:$M$5,5,TRUE),0),
IF($C77="WS WH",VLOOKUP("GOAL",'2) หลักการคำนวน Table'!$D$62:$M$62,HLOOKUP(AH77,'2) หลักการคำนวน Table'!$D$1:$M$5,5,TRUE),0),
IF($C77="SF WH",VLOOKUP("GOAL",'2) หลักการคำนวน Table'!$D$92:$M$92,HLOOKUP(AH77,'2) หลักการคำนวน Table'!$D$1:$M$5,5,TRUE),0))))),0)</f>
        <v>0.9</v>
      </c>
      <c r="AU77" s="232">
        <f>IFERROR(IF($C77="Top WS",VLOOKUP("GOAL",'2) หลักการคำนวน Table'!$D$4:$M$4,HLOOKUP(AI77,'2) หลักการคำนวน Table'!$D$1:$M$5,5,TRUE),0),
IF($C77="WS SF",VLOOKUP("GOAL",'2) หลักการคำนวน Table'!$D$32:$M$32,HLOOKUP(AI77,'2) หลักการคำนวน Table'!$D$1:$M$5,5,TRUE),0),
IF($C77="WS WH",VLOOKUP("GOAL",'2) หลักการคำนวน Table'!$D$62:$M$62,HLOOKUP(AI77,'2) หลักการคำนวน Table'!$D$1:$M$5,5,TRUE),0),
IF($C77="SF WH",VLOOKUP("GOAL",'2) หลักการคำนวน Table'!$D$92:$M$92,HLOOKUP(AI77,'2) หลักการคำนวน Table'!$D$1:$M$5,5,TRUE),0))))),0)</f>
        <v>0.9</v>
      </c>
      <c r="AV77" s="232">
        <f>IFERROR(IF($C77="Top WS",VLOOKUP("GOAL",'2) หลักการคำนวน Table'!$D$4:$M$4,HLOOKUP(AP77,'2) หลักการคำนวน Table'!$D$1:$M$5,5,TRUE),0),
IF($C77="WS SF",VLOOKUP("GOAL",'2) หลักการคำนวน Table'!$D$32:$M$32,HLOOKUP(AP77,'2) หลักการคำนวน Table'!$D$1:$M$5,5,TRUE),0),
IF($C77="WS WH",VLOOKUP("GOAL",'2) หลักการคำนวน Table'!$D$62:$M$62,HLOOKUP(AP77,'2) หลักการคำนวน Table'!$D$1:$M$5,5,TRUE),0),
IF($C77="SF WH",VLOOKUP("GOAL",'2) หลักการคำนวน Table'!$D$92:$M$92,HLOOKUP(AP77,'2) หลักการคำนวน Table'!$D$1:$M$5,5,TRUE),0))))),0)</f>
        <v>0.9</v>
      </c>
      <c r="AW77" s="232">
        <f>IFERROR(IF($C77="Top WS",VLOOKUP("GOAL",'2) หลักการคำนวน Table'!$D$4:$M$4,HLOOKUP(AK77,'2) หลักการคำนวน Table'!$D$1:$M$5,5,TRUE),0),
IF($C77="WS SF",VLOOKUP("GOAL",'2) หลักการคำนวน Table'!$D$32:$M$32,HLOOKUP(AK77,'2) หลักการคำนวน Table'!$D$1:$M$5,5,TRUE),0),
IF($C77="WS WH",VLOOKUP("GOAL",'2) หลักการคำนวน Table'!$D$62:$M$62,HLOOKUP(AK77,'2) หลักการคำนวน Table'!$D$1:$M$5,5,TRUE),0),
IF($C77="SF WH",VLOOKUP("GOAL",'2) หลักการคำนวน Table'!$D$92:$M$92,HLOOKUP(AK77,'2) หลักการคำนวน Table'!$D$1:$M$5,5,TRUE),0))))),0)</f>
        <v>0.9</v>
      </c>
      <c r="AX77" s="232">
        <f>IFERROR(IF($C77="Top WS",VLOOKUP("GOAL",'2) หลักการคำนวน Table'!$D$4:$M$4,HLOOKUP(AL77,'2) หลักการคำนวน Table'!$D$1:$M$5,5,TRUE),0),
IF($C77="WS SF",VLOOKUP("GOAL",'2) หลักการคำนวน Table'!$D$32:$M$32,HLOOKUP(AL77,'2) หลักการคำนวน Table'!$D$1:$M$5,5,TRUE),0),
IF($C77="WS WH",VLOOKUP("GOAL",'2) หลักการคำนวน Table'!$D$62:$M$62,HLOOKUP(AL77,'2) หลักการคำนวน Table'!$D$1:$M$5,5,TRUE),0),
IF($C77="SF WH",VLOOKUP("GOAL",'2) หลักการคำนวน Table'!$D$92:$M$92,HLOOKUP(AL77,'2) หลักการคำนวน Table'!$D$1:$M$5,5,TRUE),0))))),0)</f>
        <v>0.9</v>
      </c>
      <c r="AY77" s="232">
        <f>IFERROR(IF($C77="Top WS",VLOOKUP("GOAL",'2) หลักการคำนวน Table'!$D$4:$M$4,HLOOKUP(AM77,'2) หลักการคำนวน Table'!$D$1:$M$5,5,TRUE),0),
IF($C77="WS SF",VLOOKUP("GOAL",'2) หลักการคำนวน Table'!$D$32:$M$32,HLOOKUP(AM77,'2) หลักการคำนวน Table'!$D$1:$M$5,5,TRUE),0),
IF($C77="WS WH",VLOOKUP("GOAL",'2) หลักการคำนวน Table'!$D$62:$M$62,HLOOKUP(AM77,'2) หลักการคำนวน Table'!$D$1:$M$5,5,TRUE),0),
IF($C77="SF WH",VLOOKUP("GOAL",'2) หลักการคำนวน Table'!$D$92:$M$92,HLOOKUP(AM77,'2) หลักการคำนวน Table'!$D$1:$M$5,5,TRUE),0))))),0)</f>
        <v>0.9</v>
      </c>
      <c r="AZ77" s="167">
        <f>IFERROR(IF($C77="Top WS",VLOOKUP($B77,'2) หลักการคำนวน Table'!$D$5:$M$20,HLOOKUP(AB77,'2) หลักการคำนวน Table'!$D$1:$M$5,5,TRUE),0),
IF($C77="WS SF",VLOOKUP($B77,'2) หลักการคำนวน Table'!$D$33:$M$48,HLOOKUP(AB77,'2) หลักการคำนวน Table'!$D$1:$M$5,5,TRUE),0),
IF($C77="WS WH",VLOOKUP($B77,'2) หลักการคำนวน Table'!$D$63:$M$78,HLOOKUP(AB77,'2) หลักการคำนวน Table'!$D$1:$M$5,5,TRUE),0),
IF($C77="SF WH",VLOOKUP($B77,'2) หลักการคำนวน Table'!$D$93:$M$108,HLOOKUP(AB77,'2) หลักการคำนวน Table'!$D$1:$M$5,5,TRUE),0))))),0)</f>
        <v>157.5</v>
      </c>
      <c r="BA77" s="167">
        <f>IFERROR(IF($C77="Top WS",VLOOKUP($B77,'2) หลักการคำนวน Table'!$D$5:$M$20,HLOOKUP(AC77,'2) หลักการคำนวน Table'!$D$1:$M$5,5,TRUE),0),
IF($C77="WS SF",VLOOKUP($B77,'2) หลักการคำนวน Table'!$D$33:$M$48,HLOOKUP(AC77,'2) หลักการคำนวน Table'!$D$1:$M$5,5,TRUE),0),
IF($C77="WS WH",VLOOKUP($B77,'2) หลักการคำนวน Table'!$D$63:$M$78,HLOOKUP(AC77,'2) หลักการคำนวน Table'!$D$1:$M$5,5,TRUE),0),
IF($C77="SF WH",VLOOKUP($B77,'2) หลักการคำนวน Table'!$D$93:$M$108,HLOOKUP(AC77,'2) หลักการคำนวน Table'!$D$1:$M$5,5,TRUE),0))))),0)</f>
        <v>189</v>
      </c>
      <c r="BB77" s="167">
        <f>IFERROR(IF($C77="Top WS",VLOOKUP($B77,'2) หลักการคำนวน Table'!$D$5:$M$20,HLOOKUP(AD77,'2) หลักการคำนวน Table'!$D$1:$M$5,5,TRUE),0),
IF($C77="WS SF",VLOOKUP($B77,'2) หลักการคำนวน Table'!$D$33:$M$48,HLOOKUP(AD77,'2) หลักการคำนวน Table'!$D$1:$M$5,5,TRUE),0),
IF($C77="WS WH",VLOOKUP($B77,'2) หลักการคำนวน Table'!$D$63:$M$78,HLOOKUP(AD77,'2) หลักการคำนวน Table'!$D$1:$M$5,5,TRUE),0),
IF($C77="SF WH",VLOOKUP($B77,'2) หลักการคำนวน Table'!$D$93:$M$108,HLOOKUP(AD77,'2) หลักการคำนวน Table'!$D$1:$M$5,5,TRUE),0))))),0)</f>
        <v>157.5</v>
      </c>
      <c r="BC77" s="167">
        <f>IFERROR(IF($C77="Top WS",VLOOKUP($B77,'2) หลักการคำนวน Table'!$D$5:$M$20,HLOOKUP(AE77,'2) หลักการคำนวน Table'!$D$1:$M$5,5,TRUE),0),
IF($C77="WS SF",VLOOKUP($B77,'2) หลักการคำนวน Table'!$D$33:$M$48,HLOOKUP(AE77,'2) หลักการคำนวน Table'!$D$1:$M$5,5,TRUE),0),
IF($C77="WS WH",VLOOKUP($B77,'2) หลักการคำนวน Table'!$D$63:$M$78,HLOOKUP(AE77,'2) หลักการคำนวน Table'!$D$1:$M$5,5,TRUE),0),
IF($C77="SF WH",VLOOKUP($B77,'2) หลักการคำนวน Table'!$D$93:$M$108,HLOOKUP(AE77,'2) หลักการคำนวน Table'!$D$1:$M$5,5,TRUE),0))))),0)</f>
        <v>157.5</v>
      </c>
      <c r="BD77" s="167">
        <f>IFERROR(IF($C77="Top WS",VLOOKUP($B77,'2) หลักการคำนวน Table'!$D$5:$M$20,HLOOKUP(AF77,'2) หลักการคำนวน Table'!$D$1:$M$5,5,TRUE),0),
IF($C77="WS SF",VLOOKUP($B77,'2) หลักการคำนวน Table'!$D$33:$M$48,HLOOKUP(AF77,'2) หลักการคำนวน Table'!$D$1:$M$5,5,TRUE),0),
IF($C77="WS WH",VLOOKUP($B77,'2) หลักการคำนวน Table'!$D$63:$M$78,HLOOKUP(AF77,'2) หลักการคำนวน Table'!$D$1:$M$5,5,TRUE),0),
IF($C77="SF WH",VLOOKUP($B77,'2) หลักการคำนวน Table'!$D$93:$M$108,HLOOKUP(AF77,'2) หลักการคำนวน Table'!$D$1:$M$5,5,TRUE),0))))),0)</f>
        <v>157.5</v>
      </c>
      <c r="BE77" s="167">
        <f>IFERROR(IF($C77="Top WS",VLOOKUP($B77,'2) หลักการคำนวน Table'!$D$5:$M$20,HLOOKUP(AG77,'2) หลักการคำนวน Table'!$D$1:$M$5,5,TRUE),0),
IF($C77="WS SF",VLOOKUP($B77,'2) หลักการคำนวน Table'!$D$33:$M$48,HLOOKUP(AG77,'2) หลักการคำนวน Table'!$D$1:$M$5,5,TRUE),0),
IF($C77="WS WH",VLOOKUP($B77,'2) หลักการคำนวน Table'!$D$63:$M$78,HLOOKUP(AG77,'2) หลักการคำนวน Table'!$D$1:$M$5,5,TRUE),0),
IF($C77="SF WH",VLOOKUP($B77,'2) หลักการคำนวน Table'!$D$93:$M$108,HLOOKUP(AG77,'2) หลักการคำนวน Table'!$D$1:$M$5,5,TRUE),0))))),0)</f>
        <v>157.5</v>
      </c>
      <c r="BF77" s="167">
        <f>IFERROR(IF($C77="Top WS",VLOOKUP($B77,'2) หลักการคำนวน Table'!$D$5:$M$20,HLOOKUP(AH77,'2) หลักการคำนวน Table'!$D$1:$M$5,5,TRUE),0),
IF($C77="WS SF",VLOOKUP($B77,'2) หลักการคำนวน Table'!$D$33:$M$48,HLOOKUP(AH77,'2) หลักการคำนวน Table'!$D$1:$M$5,5,TRUE),0),
IF($C77="WS WH",VLOOKUP($B77,'2) หลักการคำนวน Table'!$D$63:$M$78,HLOOKUP(AH77,'2) หลักการคำนวน Table'!$D$1:$M$5,5,TRUE),0),
IF($C77="SF WH",VLOOKUP($B77,'2) หลักการคำนวน Table'!$D$93:$M$108,HLOOKUP(AH77,'2) หลักการคำนวน Table'!$D$1:$M$5,5,TRUE),0))))),0)</f>
        <v>157.5</v>
      </c>
      <c r="BG77" s="167">
        <f>IFERROR(IF($C77="Top WS",VLOOKUP($B77,'2) หลักการคำนวน Table'!$D$5:$M$20,HLOOKUP(AI77,'2) หลักการคำนวน Table'!$D$1:$M$5,5,TRUE),0),
IF($C77="WS SF",VLOOKUP($B77,'2) หลักการคำนวน Table'!$D$33:$M$48,HLOOKUP(AI77,'2) หลักการคำนวน Table'!$D$1:$M$5,5,TRUE),0),
IF($C77="WS WH",VLOOKUP($B77,'2) หลักการคำนวน Table'!$D$63:$M$78,HLOOKUP(AI77,'2) หลักการคำนวน Table'!$D$1:$M$5,5,TRUE),0),
IF($C77="SF WH",VLOOKUP($B77,'2) หลักการคำนวน Table'!$D$93:$M$108,HLOOKUP(AI77,'2) หลักการคำนวน Table'!$D$1:$M$5,5,TRUE),0))))),0)</f>
        <v>157.5</v>
      </c>
      <c r="BH77" s="167">
        <f>IFERROR(IF($C77="Top WS",VLOOKUP($B77,'2) หลักการคำนวน Table'!$D$5:$M$20,HLOOKUP(AP77,'2) หลักการคำนวน Table'!$D$1:$M$5,5,TRUE),0),
IF($C77="WS SF",VLOOKUP($B77,'2) หลักการคำนวน Table'!$D$33:$M$48,HLOOKUP(AP77,'2) หลักการคำนวน Table'!$D$1:$M$5,5,TRUE),0),
IF($C77="WS WH",VLOOKUP($B77,'2) หลักการคำนวน Table'!$D$63:$M$78,HLOOKUP(AP77,'2) หลักการคำนวน Table'!$D$1:$M$5,5,TRUE),0),
IF($C77="SF WH",VLOOKUP($B77,'2) หลักการคำนวน Table'!$D$93:$M$108,HLOOKUP(AP77,'2) หลักการคำนวน Table'!$D$1:$M$5,5,TRUE),0))))),0)</f>
        <v>157.5</v>
      </c>
      <c r="BI77" s="167">
        <f>IFERROR(IF($C77="Top WS",VLOOKUP($B77,'2) หลักการคำนวน Table'!$D$5:$M$20,HLOOKUP(AK77,'2) หลักการคำนวน Table'!$D$1:$M$5,5,TRUE),0),
IF($C77="WS SF",VLOOKUP($B77,'2) หลักการคำนวน Table'!$D$33:$M$48,HLOOKUP(AK77,'2) หลักการคำนวน Table'!$D$1:$M$5,5,TRUE),0),
IF($C77="WS WH",VLOOKUP($B77,'2) หลักการคำนวน Table'!$D$63:$M$78,HLOOKUP(AK77,'2) หลักการคำนวน Table'!$D$1:$M$5,5,TRUE),0),
IF($C77="SF WH",VLOOKUP($B77,'2) หลักการคำนวน Table'!$D$93:$M$108,HLOOKUP(AK77,'2) หลักการคำนวน Table'!$D$1:$M$5,5,TRUE),0))))),0)</f>
        <v>157.5</v>
      </c>
      <c r="BJ77" s="167">
        <f>IFERROR(IF($C77="Top WS",VLOOKUP($B77,'2) หลักการคำนวน Table'!$D$5:$M$20,HLOOKUP(AL77,'2) หลักการคำนวน Table'!$D$1:$M$5,5,TRUE),0),
IF($C77="WS SF",VLOOKUP($B77,'2) หลักการคำนวน Table'!$D$33:$M$48,HLOOKUP(AL77,'2) หลักการคำนวน Table'!$D$1:$M$5,5,TRUE),0),
IF($C77="WS WH",VLOOKUP($B77,'2) หลักการคำนวน Table'!$D$63:$M$78,HLOOKUP(AL77,'2) หลักการคำนวน Table'!$D$1:$M$5,5,TRUE),0),
IF($C77="SF WH",VLOOKUP($B77,'2) หลักการคำนวน Table'!$D$93:$M$108,HLOOKUP(AL77,'2) หลักการคำนวน Table'!$D$1:$M$5,5,TRUE),0))))),0)</f>
        <v>157.5</v>
      </c>
      <c r="BK77" s="167">
        <f>IFERROR(IF($C77="Top WS",VLOOKUP($B77,'2) หลักการคำนวน Table'!$D$5:$M$20,HLOOKUP(AM77,'2) หลักการคำนวน Table'!$D$1:$M$5,5,TRUE),0),
IF($C77="WS SF",VLOOKUP($B77,'2) หลักการคำนวน Table'!$D$33:$M$48,HLOOKUP(AM77,'2) หลักการคำนวน Table'!$D$1:$M$5,5,TRUE),0),
IF($C77="WS WH",VLOOKUP($B77,'2) หลักการคำนวน Table'!$D$63:$M$78,HLOOKUP(AM77,'2) หลักการคำนวน Table'!$D$1:$M$5,5,TRUE),0),
IF($C77="SF WH",VLOOKUP($B77,'2) หลักการคำนวน Table'!$D$93:$M$108,HLOOKUP(AM77,'2) หลักการคำนวน Table'!$D$1:$M$5,5,TRUE),0))))),0)</f>
        <v>157.5</v>
      </c>
      <c r="BM77" s="119">
        <f>VLOOKUP(VLOOKUP(A77,ASTBase!E:S,13,FALSE),ASTBase!F:P,11,FALSE)</f>
        <v>140000</v>
      </c>
      <c r="BN77" s="196" cm="1">
        <f t="array" ref="BN77">INDEX(AN77:AY77,,Period!$D$2)</f>
        <v>1.06</v>
      </c>
    </row>
    <row r="78" spans="1:66" x14ac:dyDescent="0.25">
      <c r="A78" s="117">
        <v>140003</v>
      </c>
      <c r="B78" s="117" t="s">
        <v>405</v>
      </c>
      <c r="C78" s="117" t="s">
        <v>180</v>
      </c>
      <c r="D78" s="118">
        <v>21</v>
      </c>
      <c r="E78" s="118">
        <v>20</v>
      </c>
      <c r="F78" s="118">
        <v>21</v>
      </c>
      <c r="G78" s="118">
        <v>13</v>
      </c>
      <c r="H78" s="118">
        <v>12</v>
      </c>
      <c r="I78" s="118">
        <v>21</v>
      </c>
      <c r="J78" s="118">
        <v>14</v>
      </c>
      <c r="K78" s="118">
        <v>14</v>
      </c>
      <c r="L78" s="118">
        <v>11</v>
      </c>
      <c r="M78" s="118">
        <v>13</v>
      </c>
      <c r="N78" s="118">
        <v>20</v>
      </c>
      <c r="O78" s="118">
        <v>24</v>
      </c>
      <c r="P78" s="117">
        <f>SUMIFS(Actual!C:C,Actual!$A:$A,'3)Target &amp; Cal'!$A78,Actual!$B:$B,'3)Target &amp; Cal'!$B78)</f>
        <v>0</v>
      </c>
      <c r="Q78" s="117">
        <f>SUMIFS(Actual!D:D,Actual!$A:$A,'3)Target &amp; Cal'!$A78,Actual!$B:$B,'3)Target &amp; Cal'!$B78)</f>
        <v>0</v>
      </c>
      <c r="R78" s="117">
        <f>SUMIFS(Actual!E:E,Actual!$A:$A,'3)Target &amp; Cal'!$A78,Actual!$B:$B,'3)Target &amp; Cal'!$B78)</f>
        <v>0</v>
      </c>
      <c r="S78" s="117">
        <f>SUMIFS(Actual!F:F,Actual!$A:$A,'3)Target &amp; Cal'!$A78,Actual!$B:$B,'3)Target &amp; Cal'!$B78)</f>
        <v>0</v>
      </c>
      <c r="T78" s="117">
        <f>SUMIFS(Actual!G:G,Actual!$A:$A,'3)Target &amp; Cal'!$A78,Actual!$B:$B,'3)Target &amp; Cal'!$B78)</f>
        <v>0</v>
      </c>
      <c r="U78" s="117">
        <f>SUMIFS(Actual!H:H,Actual!$A:$A,'3)Target &amp; Cal'!$A78,Actual!$B:$B,'3)Target &amp; Cal'!$B78)</f>
        <v>0</v>
      </c>
      <c r="V78" s="117">
        <f>SUMIFS(Actual!I:I,Actual!$A:$A,'3)Target &amp; Cal'!$A78,Actual!$B:$B,'3)Target &amp; Cal'!$B78)</f>
        <v>0</v>
      </c>
      <c r="W78" s="117">
        <f>SUMIFS(Actual!J:J,Actual!$A:$A,'3)Target &amp; Cal'!$A78,Actual!$B:$B,'3)Target &amp; Cal'!$B78)</f>
        <v>0</v>
      </c>
      <c r="X78" s="117">
        <f>SUMIFS(Actual!K:K,Actual!$A:$A,'3)Target &amp; Cal'!$A78,Actual!$B:$B,'3)Target &amp; Cal'!$B78)</f>
        <v>0</v>
      </c>
      <c r="Y78" s="117">
        <f>SUMIFS(Actual!L:L,Actual!$A:$A,'3)Target &amp; Cal'!$A78,Actual!$B:$B,'3)Target &amp; Cal'!$B78)</f>
        <v>0</v>
      </c>
      <c r="Z78" s="117">
        <f>SUMIFS(Actual!M:M,Actual!$A:$A,'3)Target &amp; Cal'!$A78,Actual!$B:$B,'3)Target &amp; Cal'!$B78)</f>
        <v>0</v>
      </c>
      <c r="AA78" s="117">
        <f>SUMIFS(Actual!N:N,Actual!$A:$A,'3)Target &amp; Cal'!$A78,Actual!$B:$B,'3)Target &amp; Cal'!$B78)</f>
        <v>0</v>
      </c>
      <c r="AB78" s="123">
        <f>IFERROR(IF(VLOOKUP($B78,Shortage!$A:$M,AB$2,FALSE)="Shortage",1,IFERROR(ROUND(P78/D78,4),0)),IFERROR(ROUND(P78/D78,4),0))</f>
        <v>0</v>
      </c>
      <c r="AC78" s="123">
        <f>IFERROR(IF(VLOOKUP($B78,Shortage!$A:$M,AC$2,FALSE)="Shortage",1,IFERROR(ROUND(Q78/E78,4),0)),IFERROR(ROUND(Q78/E78,4),0))</f>
        <v>0</v>
      </c>
      <c r="AD78" s="123">
        <f>IFERROR(IF(VLOOKUP($B78,Shortage!$A:$M,AD$2,FALSE)="Shortage",1,IFERROR(ROUND(R78/F78,4),0)),IFERROR(ROUND(R78/F78,4),0))</f>
        <v>0</v>
      </c>
      <c r="AE78" s="123">
        <f>IFERROR(IF(VLOOKUP($B78,Shortage!$A:$M,AE$2,FALSE)="Shortage",1,IFERROR(ROUND(S78/G78,4),0)),IFERROR(ROUND(S78/G78,4),0))</f>
        <v>0</v>
      </c>
      <c r="AF78" s="123">
        <f>IFERROR(IF(VLOOKUP($B78,Shortage!$A:$M,AF$2,FALSE)="Shortage",1,IFERROR(ROUND(T78/H78,4),0)),IFERROR(ROUND(T78/H78,4),0))</f>
        <v>0</v>
      </c>
      <c r="AG78" s="123">
        <f>IFERROR(IF(VLOOKUP($B78,Shortage!$A:$M,AG$2,FALSE)="Shortage",1,IFERROR(ROUND(U78/I78,4),0)),IFERROR(ROUND(U78/I78,4),0))</f>
        <v>0</v>
      </c>
      <c r="AH78" s="123">
        <f>IFERROR(IF(VLOOKUP($B78,Shortage!$A:$M,AH$2,FALSE)="Shortage",1,IFERROR(ROUND(V78/J78,4),0)),IFERROR(ROUND(V78/J78,4),0))</f>
        <v>0</v>
      </c>
      <c r="AI78" s="123">
        <f>IFERROR(IF(VLOOKUP($B78,Shortage!$A:$M,AI$2,FALSE)="Shortage",1,IFERROR(ROUND(W78/K78,4),0)),IFERROR(ROUND(W78/K78,4),0))</f>
        <v>0</v>
      </c>
      <c r="AJ78" s="123">
        <f>IFERROR(IF(VLOOKUP($B78,Shortage!$A:$M,AP$2,FALSE)="Shortage",1,IFERROR(ROUND(X78/L78,4),0)),IFERROR(ROUND(X78/L78,4),0))</f>
        <v>0</v>
      </c>
      <c r="AK78" s="123">
        <f>IFERROR(IF(VLOOKUP($B78,Shortage!$A:$M,AK$2,FALSE)="Shortage",1,IFERROR(ROUND(Y78/M78,4),0)),IFERROR(ROUND(Y78/M78,4),0))</f>
        <v>0</v>
      </c>
      <c r="AL78" s="123">
        <f>IFERROR(IF(VLOOKUP($B78,Shortage!$A:$M,AL$2,FALSE)="Shortage",1,IFERROR(ROUND(Z78/N78,4),0)),IFERROR(ROUND(Z78/N78,4),0))</f>
        <v>0</v>
      </c>
      <c r="AM78" s="123">
        <f>IFERROR(IF(VLOOKUP($B78,Shortage!$A:$M,AM$2,FALSE)="Shortage",1,IFERROR(ROUND(AA78/O78,4),0)),IFERROR(ROUND(AA78/O78,4),0))</f>
        <v>0</v>
      </c>
      <c r="AN78" s="232">
        <f>IFERROR(IF($C78="Top WS",VLOOKUP("GOAL",'2) หลักการคำนวน Table'!$D$4:$M$4,HLOOKUP(AB78,'2) หลักการคำนวน Table'!$D$1:$M$5,5,TRUE),0),
IF($C78="WS SF",VLOOKUP("GOAL",'2) หลักการคำนวน Table'!$D$32:$M$32,HLOOKUP(AB78,'2) หลักการคำนวน Table'!$D$1:$M$5,5,TRUE),0),
IF($C78="WS WH",VLOOKUP("GOAL",'2) หลักการคำนวน Table'!$D$62:$M$62,HLOOKUP(AB78,'2) หลักการคำนวน Table'!$D$1:$M$5,5,TRUE),0),
IF($C78="SF WH",VLOOKUP("GOAL",'2) หลักการคำนวน Table'!$D$92:$M$92,HLOOKUP(AB78,'2) หลักการคำนวน Table'!$D$1:$M$5,5,TRUE),0))))),0)</f>
        <v>0.9</v>
      </c>
      <c r="AO78" s="232">
        <f>IFERROR(IF($C78="Top WS",VLOOKUP("GOAL",'2) หลักการคำนวน Table'!$D$4:$M$4,HLOOKUP(AC78,'2) หลักการคำนวน Table'!$D$1:$M$5,5,TRUE),0),
IF($C78="WS SF",VLOOKUP("GOAL",'2) หลักการคำนวน Table'!$D$32:$M$32,HLOOKUP(AC78,'2) หลักการคำนวน Table'!$D$1:$M$5,5,TRUE),0),
IF($C78="WS WH",VLOOKUP("GOAL",'2) หลักการคำนวน Table'!$D$62:$M$62,HLOOKUP(AC78,'2) หลักการคำนวน Table'!$D$1:$M$5,5,TRUE),0),
IF($C78="SF WH",VLOOKUP("GOAL",'2) หลักการคำนวน Table'!$D$92:$M$92,HLOOKUP(AC78,'2) หลักการคำนวน Table'!$D$1:$M$5,5,TRUE),0))))),0)</f>
        <v>0.9</v>
      </c>
      <c r="AP78" s="232">
        <f>IFERROR(IF($C78="Top WS",VLOOKUP("GOAL",'2) หลักการคำนวน Table'!$D$4:$M$4,HLOOKUP(AD78,'2) หลักการคำนวน Table'!$D$1:$M$5,5,TRUE),0),
IF($C78="WS SF",VLOOKUP("GOAL",'2) หลักการคำนวน Table'!$D$32:$M$32,HLOOKUP(AD78,'2) หลักการคำนวน Table'!$D$1:$M$5,5,TRUE),0),
IF($C78="WS WH",VLOOKUP("GOAL",'2) หลักการคำนวน Table'!$D$62:$M$62,HLOOKUP(AD78,'2) หลักการคำนวน Table'!$D$1:$M$5,5,TRUE),0),
IF($C78="SF WH",VLOOKUP("GOAL",'2) หลักการคำนวน Table'!$D$92:$M$92,HLOOKUP(AD78,'2) หลักการคำนวน Table'!$D$1:$M$5,5,TRUE),0))))),0)</f>
        <v>0.9</v>
      </c>
      <c r="AQ78" s="232">
        <f>IFERROR(IF($C78="Top WS",VLOOKUP("GOAL",'2) หลักการคำนวน Table'!$D$4:$M$4,HLOOKUP(AE78,'2) หลักการคำนวน Table'!$D$1:$M$5,5,TRUE),0),
IF($C78="WS SF",VLOOKUP("GOAL",'2) หลักการคำนวน Table'!$D$32:$M$32,HLOOKUP(AE78,'2) หลักการคำนวน Table'!$D$1:$M$5,5,TRUE),0),
IF($C78="WS WH",VLOOKUP("GOAL",'2) หลักการคำนวน Table'!$D$62:$M$62,HLOOKUP(AE78,'2) หลักการคำนวน Table'!$D$1:$M$5,5,TRUE),0),
IF($C78="SF WH",VLOOKUP("GOAL",'2) หลักการคำนวน Table'!$D$92:$M$92,HLOOKUP(AE78,'2) หลักการคำนวน Table'!$D$1:$M$5,5,TRUE),0))))),0)</f>
        <v>0.9</v>
      </c>
      <c r="AR78" s="232">
        <f>IFERROR(IF($C78="Top WS",VLOOKUP("GOAL",'2) หลักการคำนวน Table'!$D$4:$M$4,HLOOKUP(AF78,'2) หลักการคำนวน Table'!$D$1:$M$5,5,TRUE),0),
IF($C78="WS SF",VLOOKUP("GOAL",'2) หลักการคำนวน Table'!$D$32:$M$32,HLOOKUP(AF78,'2) หลักการคำนวน Table'!$D$1:$M$5,5,TRUE),0),
IF($C78="WS WH",VLOOKUP("GOAL",'2) หลักการคำนวน Table'!$D$62:$M$62,HLOOKUP(AF78,'2) หลักการคำนวน Table'!$D$1:$M$5,5,TRUE),0),
IF($C78="SF WH",VLOOKUP("GOAL",'2) หลักการคำนวน Table'!$D$92:$M$92,HLOOKUP(AF78,'2) หลักการคำนวน Table'!$D$1:$M$5,5,TRUE),0))))),0)</f>
        <v>0.9</v>
      </c>
      <c r="AS78" s="232">
        <f>IFERROR(IF($C78="Top WS",VLOOKUP("GOAL",'2) หลักการคำนวน Table'!$D$4:$M$4,HLOOKUP(AG78,'2) หลักการคำนวน Table'!$D$1:$M$5,5,TRUE),0),
IF($C78="WS SF",VLOOKUP("GOAL",'2) หลักการคำนวน Table'!$D$32:$M$32,HLOOKUP(AG78,'2) หลักการคำนวน Table'!$D$1:$M$5,5,TRUE),0),
IF($C78="WS WH",VLOOKUP("GOAL",'2) หลักการคำนวน Table'!$D$62:$M$62,HLOOKUP(AG78,'2) หลักการคำนวน Table'!$D$1:$M$5,5,TRUE),0),
IF($C78="SF WH",VLOOKUP("GOAL",'2) หลักการคำนวน Table'!$D$92:$M$92,HLOOKUP(AG78,'2) หลักการคำนวน Table'!$D$1:$M$5,5,TRUE),0))))),0)</f>
        <v>0.9</v>
      </c>
      <c r="AT78" s="232">
        <f>IFERROR(IF($C78="Top WS",VLOOKUP("GOAL",'2) หลักการคำนวน Table'!$D$4:$M$4,HLOOKUP(AH78,'2) หลักการคำนวน Table'!$D$1:$M$5,5,TRUE),0),
IF($C78="WS SF",VLOOKUP("GOAL",'2) หลักการคำนวน Table'!$D$32:$M$32,HLOOKUP(AH78,'2) หลักการคำนวน Table'!$D$1:$M$5,5,TRUE),0),
IF($C78="WS WH",VLOOKUP("GOAL",'2) หลักการคำนวน Table'!$D$62:$M$62,HLOOKUP(AH78,'2) หลักการคำนวน Table'!$D$1:$M$5,5,TRUE),0),
IF($C78="SF WH",VLOOKUP("GOAL",'2) หลักการคำนวน Table'!$D$92:$M$92,HLOOKUP(AH78,'2) หลักการคำนวน Table'!$D$1:$M$5,5,TRUE),0))))),0)</f>
        <v>0.9</v>
      </c>
      <c r="AU78" s="232">
        <f>IFERROR(IF($C78="Top WS",VLOOKUP("GOAL",'2) หลักการคำนวน Table'!$D$4:$M$4,HLOOKUP(AI78,'2) หลักการคำนวน Table'!$D$1:$M$5,5,TRUE),0),
IF($C78="WS SF",VLOOKUP("GOAL",'2) หลักการคำนวน Table'!$D$32:$M$32,HLOOKUP(AI78,'2) หลักการคำนวน Table'!$D$1:$M$5,5,TRUE),0),
IF($C78="WS WH",VLOOKUP("GOAL",'2) หลักการคำนวน Table'!$D$62:$M$62,HLOOKUP(AI78,'2) หลักการคำนวน Table'!$D$1:$M$5,5,TRUE),0),
IF($C78="SF WH",VLOOKUP("GOAL",'2) หลักการคำนวน Table'!$D$92:$M$92,HLOOKUP(AI78,'2) หลักการคำนวน Table'!$D$1:$M$5,5,TRUE),0))))),0)</f>
        <v>0.9</v>
      </c>
      <c r="AV78" s="232">
        <f>IFERROR(IF($C78="Top WS",VLOOKUP("GOAL",'2) หลักการคำนวน Table'!$D$4:$M$4,HLOOKUP(AP78,'2) หลักการคำนวน Table'!$D$1:$M$5,5,TRUE),0),
IF($C78="WS SF",VLOOKUP("GOAL",'2) หลักการคำนวน Table'!$D$32:$M$32,HLOOKUP(AP78,'2) หลักการคำนวน Table'!$D$1:$M$5,5,TRUE),0),
IF($C78="WS WH",VLOOKUP("GOAL",'2) หลักการคำนวน Table'!$D$62:$M$62,HLOOKUP(AP78,'2) หลักการคำนวน Table'!$D$1:$M$5,5,TRUE),0),
IF($C78="SF WH",VLOOKUP("GOAL",'2) หลักการคำนวน Table'!$D$92:$M$92,HLOOKUP(AP78,'2) หลักการคำนวน Table'!$D$1:$M$5,5,TRUE),0))))),0)</f>
        <v>0.9</v>
      </c>
      <c r="AW78" s="232">
        <f>IFERROR(IF($C78="Top WS",VLOOKUP("GOAL",'2) หลักการคำนวน Table'!$D$4:$M$4,HLOOKUP(AK78,'2) หลักการคำนวน Table'!$D$1:$M$5,5,TRUE),0),
IF($C78="WS SF",VLOOKUP("GOAL",'2) หลักการคำนวน Table'!$D$32:$M$32,HLOOKUP(AK78,'2) หลักการคำนวน Table'!$D$1:$M$5,5,TRUE),0),
IF($C78="WS WH",VLOOKUP("GOAL",'2) หลักการคำนวน Table'!$D$62:$M$62,HLOOKUP(AK78,'2) หลักการคำนวน Table'!$D$1:$M$5,5,TRUE),0),
IF($C78="SF WH",VLOOKUP("GOAL",'2) หลักการคำนวน Table'!$D$92:$M$92,HLOOKUP(AK78,'2) หลักการคำนวน Table'!$D$1:$M$5,5,TRUE),0))))),0)</f>
        <v>0.9</v>
      </c>
      <c r="AX78" s="232">
        <f>IFERROR(IF($C78="Top WS",VLOOKUP("GOAL",'2) หลักการคำนวน Table'!$D$4:$M$4,HLOOKUP(AL78,'2) หลักการคำนวน Table'!$D$1:$M$5,5,TRUE),0),
IF($C78="WS SF",VLOOKUP("GOAL",'2) หลักการคำนวน Table'!$D$32:$M$32,HLOOKUP(AL78,'2) หลักการคำนวน Table'!$D$1:$M$5,5,TRUE),0),
IF($C78="WS WH",VLOOKUP("GOAL",'2) หลักการคำนวน Table'!$D$62:$M$62,HLOOKUP(AL78,'2) หลักการคำนวน Table'!$D$1:$M$5,5,TRUE),0),
IF($C78="SF WH",VLOOKUP("GOAL",'2) หลักการคำนวน Table'!$D$92:$M$92,HLOOKUP(AL78,'2) หลักการคำนวน Table'!$D$1:$M$5,5,TRUE),0))))),0)</f>
        <v>0.9</v>
      </c>
      <c r="AY78" s="232">
        <f>IFERROR(IF($C78="Top WS",VLOOKUP("GOAL",'2) หลักการคำนวน Table'!$D$4:$M$4,HLOOKUP(AM78,'2) หลักการคำนวน Table'!$D$1:$M$5,5,TRUE),0),
IF($C78="WS SF",VLOOKUP("GOAL",'2) หลักการคำนวน Table'!$D$32:$M$32,HLOOKUP(AM78,'2) หลักการคำนวน Table'!$D$1:$M$5,5,TRUE),0),
IF($C78="WS WH",VLOOKUP("GOAL",'2) หลักการคำนวน Table'!$D$62:$M$62,HLOOKUP(AM78,'2) หลักการคำนวน Table'!$D$1:$M$5,5,TRUE),0),
IF($C78="SF WH",VLOOKUP("GOAL",'2) หลักการคำนวน Table'!$D$92:$M$92,HLOOKUP(AM78,'2) หลักการคำนวน Table'!$D$1:$M$5,5,TRUE),0))))),0)</f>
        <v>0.9</v>
      </c>
      <c r="AZ78" s="167">
        <f>IFERROR(IF($C78="Top WS",VLOOKUP($B78,'2) หลักการคำนวน Table'!$D$5:$M$20,HLOOKUP(AB78,'2) หลักการคำนวน Table'!$D$1:$M$5,5,TRUE),0),
IF($C78="WS SF",VLOOKUP($B78,'2) หลักการคำนวน Table'!$D$33:$M$48,HLOOKUP(AB78,'2) หลักการคำนวน Table'!$D$1:$M$5,5,TRUE),0),
IF($C78="WS WH",VLOOKUP($B78,'2) หลักการคำนวน Table'!$D$63:$M$78,HLOOKUP(AB78,'2) หลักการคำนวน Table'!$D$1:$M$5,5,TRUE),0),
IF($C78="SF WH",VLOOKUP($B78,'2) หลักการคำนวน Table'!$D$93:$M$108,HLOOKUP(AB78,'2) หลักการคำนวน Table'!$D$1:$M$5,5,TRUE),0))))),0)</f>
        <v>157.5</v>
      </c>
      <c r="BA78" s="167">
        <f>IFERROR(IF($C78="Top WS",VLOOKUP($B78,'2) หลักการคำนวน Table'!$D$5:$M$20,HLOOKUP(AC78,'2) หลักการคำนวน Table'!$D$1:$M$5,5,TRUE),0),
IF($C78="WS SF",VLOOKUP($B78,'2) หลักการคำนวน Table'!$D$33:$M$48,HLOOKUP(AC78,'2) หลักการคำนวน Table'!$D$1:$M$5,5,TRUE),0),
IF($C78="WS WH",VLOOKUP($B78,'2) หลักการคำนวน Table'!$D$63:$M$78,HLOOKUP(AC78,'2) หลักการคำนวน Table'!$D$1:$M$5,5,TRUE),0),
IF($C78="SF WH",VLOOKUP($B78,'2) หลักการคำนวน Table'!$D$93:$M$108,HLOOKUP(AC78,'2) หลักการคำนวน Table'!$D$1:$M$5,5,TRUE),0))))),0)</f>
        <v>157.5</v>
      </c>
      <c r="BB78" s="167">
        <f>IFERROR(IF($C78="Top WS",VLOOKUP($B78,'2) หลักการคำนวน Table'!$D$5:$M$20,HLOOKUP(AD78,'2) หลักการคำนวน Table'!$D$1:$M$5,5,TRUE),0),
IF($C78="WS SF",VLOOKUP($B78,'2) หลักการคำนวน Table'!$D$33:$M$48,HLOOKUP(AD78,'2) หลักการคำนวน Table'!$D$1:$M$5,5,TRUE),0),
IF($C78="WS WH",VLOOKUP($B78,'2) หลักการคำนวน Table'!$D$63:$M$78,HLOOKUP(AD78,'2) หลักการคำนวน Table'!$D$1:$M$5,5,TRUE),0),
IF($C78="SF WH",VLOOKUP($B78,'2) หลักการคำนวน Table'!$D$93:$M$108,HLOOKUP(AD78,'2) หลักการคำนวน Table'!$D$1:$M$5,5,TRUE),0))))),0)</f>
        <v>157.5</v>
      </c>
      <c r="BC78" s="167">
        <f>IFERROR(IF($C78="Top WS",VLOOKUP($B78,'2) หลักการคำนวน Table'!$D$5:$M$20,HLOOKUP(AE78,'2) หลักการคำนวน Table'!$D$1:$M$5,5,TRUE),0),
IF($C78="WS SF",VLOOKUP($B78,'2) หลักการคำนวน Table'!$D$33:$M$48,HLOOKUP(AE78,'2) หลักการคำนวน Table'!$D$1:$M$5,5,TRUE),0),
IF($C78="WS WH",VLOOKUP($B78,'2) หลักการคำนวน Table'!$D$63:$M$78,HLOOKUP(AE78,'2) หลักการคำนวน Table'!$D$1:$M$5,5,TRUE),0),
IF($C78="SF WH",VLOOKUP($B78,'2) หลักการคำนวน Table'!$D$93:$M$108,HLOOKUP(AE78,'2) หลักการคำนวน Table'!$D$1:$M$5,5,TRUE),0))))),0)</f>
        <v>157.5</v>
      </c>
      <c r="BD78" s="167">
        <f>IFERROR(IF($C78="Top WS",VLOOKUP($B78,'2) หลักการคำนวน Table'!$D$5:$M$20,HLOOKUP(AF78,'2) หลักการคำนวน Table'!$D$1:$M$5,5,TRUE),0),
IF($C78="WS SF",VLOOKUP($B78,'2) หลักการคำนวน Table'!$D$33:$M$48,HLOOKUP(AF78,'2) หลักการคำนวน Table'!$D$1:$M$5,5,TRUE),0),
IF($C78="WS WH",VLOOKUP($B78,'2) หลักการคำนวน Table'!$D$63:$M$78,HLOOKUP(AF78,'2) หลักการคำนวน Table'!$D$1:$M$5,5,TRUE),0),
IF($C78="SF WH",VLOOKUP($B78,'2) หลักการคำนวน Table'!$D$93:$M$108,HLOOKUP(AF78,'2) หลักการคำนวน Table'!$D$1:$M$5,5,TRUE),0))))),0)</f>
        <v>157.5</v>
      </c>
      <c r="BE78" s="167">
        <f>IFERROR(IF($C78="Top WS",VLOOKUP($B78,'2) หลักการคำนวน Table'!$D$5:$M$20,HLOOKUP(AG78,'2) หลักการคำนวน Table'!$D$1:$M$5,5,TRUE),0),
IF($C78="WS SF",VLOOKUP($B78,'2) หลักการคำนวน Table'!$D$33:$M$48,HLOOKUP(AG78,'2) หลักการคำนวน Table'!$D$1:$M$5,5,TRUE),0),
IF($C78="WS WH",VLOOKUP($B78,'2) หลักการคำนวน Table'!$D$63:$M$78,HLOOKUP(AG78,'2) หลักการคำนวน Table'!$D$1:$M$5,5,TRUE),0),
IF($C78="SF WH",VLOOKUP($B78,'2) หลักการคำนวน Table'!$D$93:$M$108,HLOOKUP(AG78,'2) หลักการคำนวน Table'!$D$1:$M$5,5,TRUE),0))))),0)</f>
        <v>157.5</v>
      </c>
      <c r="BF78" s="167">
        <f>IFERROR(IF($C78="Top WS",VLOOKUP($B78,'2) หลักการคำนวน Table'!$D$5:$M$20,HLOOKUP(AH78,'2) หลักการคำนวน Table'!$D$1:$M$5,5,TRUE),0),
IF($C78="WS SF",VLOOKUP($B78,'2) หลักการคำนวน Table'!$D$33:$M$48,HLOOKUP(AH78,'2) หลักการคำนวน Table'!$D$1:$M$5,5,TRUE),0),
IF($C78="WS WH",VLOOKUP($B78,'2) หลักการคำนวน Table'!$D$63:$M$78,HLOOKUP(AH78,'2) หลักการคำนวน Table'!$D$1:$M$5,5,TRUE),0),
IF($C78="SF WH",VLOOKUP($B78,'2) หลักการคำนวน Table'!$D$93:$M$108,HLOOKUP(AH78,'2) หลักการคำนวน Table'!$D$1:$M$5,5,TRUE),0))))),0)</f>
        <v>157.5</v>
      </c>
      <c r="BG78" s="167">
        <f>IFERROR(IF($C78="Top WS",VLOOKUP($B78,'2) หลักการคำนวน Table'!$D$5:$M$20,HLOOKUP(AI78,'2) หลักการคำนวน Table'!$D$1:$M$5,5,TRUE),0),
IF($C78="WS SF",VLOOKUP($B78,'2) หลักการคำนวน Table'!$D$33:$M$48,HLOOKUP(AI78,'2) หลักการคำนวน Table'!$D$1:$M$5,5,TRUE),0),
IF($C78="WS WH",VLOOKUP($B78,'2) หลักการคำนวน Table'!$D$63:$M$78,HLOOKUP(AI78,'2) หลักการคำนวน Table'!$D$1:$M$5,5,TRUE),0),
IF($C78="SF WH",VLOOKUP($B78,'2) หลักการคำนวน Table'!$D$93:$M$108,HLOOKUP(AI78,'2) หลักการคำนวน Table'!$D$1:$M$5,5,TRUE),0))))),0)</f>
        <v>157.5</v>
      </c>
      <c r="BH78" s="167">
        <f>IFERROR(IF($C78="Top WS",VLOOKUP($B78,'2) หลักการคำนวน Table'!$D$5:$M$20,HLOOKUP(AP78,'2) หลักการคำนวน Table'!$D$1:$M$5,5,TRUE),0),
IF($C78="WS SF",VLOOKUP($B78,'2) หลักการคำนวน Table'!$D$33:$M$48,HLOOKUP(AP78,'2) หลักการคำนวน Table'!$D$1:$M$5,5,TRUE),0),
IF($C78="WS WH",VLOOKUP($B78,'2) หลักการคำนวน Table'!$D$63:$M$78,HLOOKUP(AP78,'2) หลักการคำนวน Table'!$D$1:$M$5,5,TRUE),0),
IF($C78="SF WH",VLOOKUP($B78,'2) หลักการคำนวน Table'!$D$93:$M$108,HLOOKUP(AP78,'2) หลักการคำนวน Table'!$D$1:$M$5,5,TRUE),0))))),0)</f>
        <v>157.5</v>
      </c>
      <c r="BI78" s="167">
        <f>IFERROR(IF($C78="Top WS",VLOOKUP($B78,'2) หลักการคำนวน Table'!$D$5:$M$20,HLOOKUP(AK78,'2) หลักการคำนวน Table'!$D$1:$M$5,5,TRUE),0),
IF($C78="WS SF",VLOOKUP($B78,'2) หลักการคำนวน Table'!$D$33:$M$48,HLOOKUP(AK78,'2) หลักการคำนวน Table'!$D$1:$M$5,5,TRUE),0),
IF($C78="WS WH",VLOOKUP($B78,'2) หลักการคำนวน Table'!$D$63:$M$78,HLOOKUP(AK78,'2) หลักการคำนวน Table'!$D$1:$M$5,5,TRUE),0),
IF($C78="SF WH",VLOOKUP($B78,'2) หลักการคำนวน Table'!$D$93:$M$108,HLOOKUP(AK78,'2) หลักการคำนวน Table'!$D$1:$M$5,5,TRUE),0))))),0)</f>
        <v>157.5</v>
      </c>
      <c r="BJ78" s="167">
        <f>IFERROR(IF($C78="Top WS",VLOOKUP($B78,'2) หลักการคำนวน Table'!$D$5:$M$20,HLOOKUP(AL78,'2) หลักการคำนวน Table'!$D$1:$M$5,5,TRUE),0),
IF($C78="WS SF",VLOOKUP($B78,'2) หลักการคำนวน Table'!$D$33:$M$48,HLOOKUP(AL78,'2) หลักการคำนวน Table'!$D$1:$M$5,5,TRUE),0),
IF($C78="WS WH",VLOOKUP($B78,'2) หลักการคำนวน Table'!$D$63:$M$78,HLOOKUP(AL78,'2) หลักการคำนวน Table'!$D$1:$M$5,5,TRUE),0),
IF($C78="SF WH",VLOOKUP($B78,'2) หลักการคำนวน Table'!$D$93:$M$108,HLOOKUP(AL78,'2) หลักการคำนวน Table'!$D$1:$M$5,5,TRUE),0))))),0)</f>
        <v>157.5</v>
      </c>
      <c r="BK78" s="167">
        <f>IFERROR(IF($C78="Top WS",VLOOKUP($B78,'2) หลักการคำนวน Table'!$D$5:$M$20,HLOOKUP(AM78,'2) หลักการคำนวน Table'!$D$1:$M$5,5,TRUE),0),
IF($C78="WS SF",VLOOKUP($B78,'2) หลักการคำนวน Table'!$D$33:$M$48,HLOOKUP(AM78,'2) หลักการคำนวน Table'!$D$1:$M$5,5,TRUE),0),
IF($C78="WS WH",VLOOKUP($B78,'2) หลักการคำนวน Table'!$D$63:$M$78,HLOOKUP(AM78,'2) หลักการคำนวน Table'!$D$1:$M$5,5,TRUE),0),
IF($C78="SF WH",VLOOKUP($B78,'2) หลักการคำนวน Table'!$D$93:$M$108,HLOOKUP(AM78,'2) หลักการคำนวน Table'!$D$1:$M$5,5,TRUE),0))))),0)</f>
        <v>157.5</v>
      </c>
      <c r="BM78" s="119">
        <f>VLOOKUP(VLOOKUP(A78,ASTBase!E:S,13,FALSE),ASTBase!F:P,11,FALSE)</f>
        <v>140000</v>
      </c>
      <c r="BN78" s="196" cm="1">
        <f t="array" ref="BN78">INDEX(AN78:AY78,,Period!$D$2)</f>
        <v>0.9</v>
      </c>
    </row>
    <row r="79" spans="1:66" x14ac:dyDescent="0.25">
      <c r="A79" s="117">
        <v>140003</v>
      </c>
      <c r="B79" s="117" t="s">
        <v>393</v>
      </c>
      <c r="C79" s="117" t="s">
        <v>180</v>
      </c>
      <c r="D79" s="118">
        <v>16</v>
      </c>
      <c r="E79" s="118">
        <v>11</v>
      </c>
      <c r="F79" s="118">
        <v>11</v>
      </c>
      <c r="G79" s="118">
        <v>11</v>
      </c>
      <c r="H79" s="118">
        <v>9</v>
      </c>
      <c r="I79" s="118">
        <v>11</v>
      </c>
      <c r="J79" s="118">
        <v>13</v>
      </c>
      <c r="K79" s="118">
        <v>14</v>
      </c>
      <c r="L79" s="118">
        <v>13</v>
      </c>
      <c r="M79" s="118">
        <v>13</v>
      </c>
      <c r="N79" s="118">
        <v>11</v>
      </c>
      <c r="O79" s="118">
        <v>10</v>
      </c>
      <c r="P79" s="117">
        <f>SUMIFS(Actual!C:C,Actual!$A:$A,'3)Target &amp; Cal'!$A79,Actual!$B:$B,'3)Target &amp; Cal'!$B79)</f>
        <v>120</v>
      </c>
      <c r="Q79" s="117">
        <f>SUMIFS(Actual!D:D,Actual!$A:$A,'3)Target &amp; Cal'!$A79,Actual!$B:$B,'3)Target &amp; Cal'!$B79)</f>
        <v>0</v>
      </c>
      <c r="R79" s="117">
        <f>SUMIFS(Actual!E:E,Actual!$A:$A,'3)Target &amp; Cal'!$A79,Actual!$B:$B,'3)Target &amp; Cal'!$B79)</f>
        <v>0</v>
      </c>
      <c r="S79" s="117">
        <f>SUMIFS(Actual!F:F,Actual!$A:$A,'3)Target &amp; Cal'!$A79,Actual!$B:$B,'3)Target &amp; Cal'!$B79)</f>
        <v>0</v>
      </c>
      <c r="T79" s="117">
        <f>SUMIFS(Actual!G:G,Actual!$A:$A,'3)Target &amp; Cal'!$A79,Actual!$B:$B,'3)Target &amp; Cal'!$B79)</f>
        <v>0</v>
      </c>
      <c r="U79" s="117">
        <f>SUMIFS(Actual!H:H,Actual!$A:$A,'3)Target &amp; Cal'!$A79,Actual!$B:$B,'3)Target &amp; Cal'!$B79)</f>
        <v>0</v>
      </c>
      <c r="V79" s="117">
        <f>SUMIFS(Actual!I:I,Actual!$A:$A,'3)Target &amp; Cal'!$A79,Actual!$B:$B,'3)Target &amp; Cal'!$B79)</f>
        <v>0</v>
      </c>
      <c r="W79" s="117">
        <f>SUMIFS(Actual!J:J,Actual!$A:$A,'3)Target &amp; Cal'!$A79,Actual!$B:$B,'3)Target &amp; Cal'!$B79)</f>
        <v>0</v>
      </c>
      <c r="X79" s="117">
        <f>SUMIFS(Actual!K:K,Actual!$A:$A,'3)Target &amp; Cal'!$A79,Actual!$B:$B,'3)Target &amp; Cal'!$B79)</f>
        <v>0</v>
      </c>
      <c r="Y79" s="117">
        <f>SUMIFS(Actual!L:L,Actual!$A:$A,'3)Target &amp; Cal'!$A79,Actual!$B:$B,'3)Target &amp; Cal'!$B79)</f>
        <v>0</v>
      </c>
      <c r="Z79" s="117">
        <f>SUMIFS(Actual!M:M,Actual!$A:$A,'3)Target &amp; Cal'!$A79,Actual!$B:$B,'3)Target &amp; Cal'!$B79)</f>
        <v>0</v>
      </c>
      <c r="AA79" s="117">
        <f>SUMIFS(Actual!N:N,Actual!$A:$A,'3)Target &amp; Cal'!$A79,Actual!$B:$B,'3)Target &amp; Cal'!$B79)</f>
        <v>0</v>
      </c>
      <c r="AB79" s="123">
        <f>IFERROR(IF(VLOOKUP($B79,Shortage!$A:$M,AB$2,FALSE)="Shortage",1,IFERROR(ROUND(P79/D79,4),0)),IFERROR(ROUND(P79/D79,4),0))</f>
        <v>7.5</v>
      </c>
      <c r="AC79" s="123">
        <f>IFERROR(IF(VLOOKUP($B79,Shortage!$A:$M,AC$2,FALSE)="Shortage",1,IFERROR(ROUND(Q79/E79,4),0)),IFERROR(ROUND(Q79/E79,4),0))</f>
        <v>0</v>
      </c>
      <c r="AD79" s="123">
        <f>IFERROR(IF(VLOOKUP($B79,Shortage!$A:$M,AD$2,FALSE)="Shortage",1,IFERROR(ROUND(R79/F79,4),0)),IFERROR(ROUND(R79/F79,4),0))</f>
        <v>0</v>
      </c>
      <c r="AE79" s="123">
        <f>IFERROR(IF(VLOOKUP($B79,Shortage!$A:$M,AE$2,FALSE)="Shortage",1,IFERROR(ROUND(S79/G79,4),0)),IFERROR(ROUND(S79/G79,4),0))</f>
        <v>0</v>
      </c>
      <c r="AF79" s="123">
        <f>IFERROR(IF(VLOOKUP($B79,Shortage!$A:$M,AF$2,FALSE)="Shortage",1,IFERROR(ROUND(T79/H79,4),0)),IFERROR(ROUND(T79/H79,4),0))</f>
        <v>0</v>
      </c>
      <c r="AG79" s="123">
        <f>IFERROR(IF(VLOOKUP($B79,Shortage!$A:$M,AG$2,FALSE)="Shortage",1,IFERROR(ROUND(U79/I79,4),0)),IFERROR(ROUND(U79/I79,4),0))</f>
        <v>0</v>
      </c>
      <c r="AH79" s="123">
        <f>IFERROR(IF(VLOOKUP($B79,Shortage!$A:$M,AH$2,FALSE)="Shortage",1,IFERROR(ROUND(V79/J79,4),0)),IFERROR(ROUND(V79/J79,4),0))</f>
        <v>0</v>
      </c>
      <c r="AI79" s="123">
        <f>IFERROR(IF(VLOOKUP($B79,Shortage!$A:$M,AI$2,FALSE)="Shortage",1,IFERROR(ROUND(W79/K79,4),0)),IFERROR(ROUND(W79/K79,4),0))</f>
        <v>0</v>
      </c>
      <c r="AJ79" s="123">
        <f>IFERROR(IF(VLOOKUP($B79,Shortage!$A:$M,AP$2,FALSE)="Shortage",1,IFERROR(ROUND(X79/L79,4),0)),IFERROR(ROUND(X79/L79,4),0))</f>
        <v>0</v>
      </c>
      <c r="AK79" s="123">
        <f>IFERROR(IF(VLOOKUP($B79,Shortage!$A:$M,AK$2,FALSE)="Shortage",1,IFERROR(ROUND(Y79/M79,4),0)),IFERROR(ROUND(Y79/M79,4),0))</f>
        <v>0</v>
      </c>
      <c r="AL79" s="123">
        <f>IFERROR(IF(VLOOKUP($B79,Shortage!$A:$M,AL$2,FALSE)="Shortage",1,IFERROR(ROUND(Z79/N79,4),0)),IFERROR(ROUND(Z79/N79,4),0))</f>
        <v>0</v>
      </c>
      <c r="AM79" s="123">
        <f>IFERROR(IF(VLOOKUP($B79,Shortage!$A:$M,AM$2,FALSE)="Shortage",1,IFERROR(ROUND(AA79/O79,4),0)),IFERROR(ROUND(AA79/O79,4),0))</f>
        <v>0</v>
      </c>
      <c r="AN79" s="232">
        <f>IFERROR(IF($C79="Top WS",VLOOKUP("GOAL",'2) หลักการคำนวน Table'!$D$4:$M$4,HLOOKUP(AB79,'2) หลักการคำนวน Table'!$D$1:$M$5,5,TRUE),0),
IF($C79="WS SF",VLOOKUP("GOAL",'2) หลักการคำนวน Table'!$D$32:$M$32,HLOOKUP(AB79,'2) หลักการคำนวน Table'!$D$1:$M$5,5,TRUE),0),
IF($C79="WS WH",VLOOKUP("GOAL",'2) หลักการคำนวน Table'!$D$62:$M$62,HLOOKUP(AB79,'2) หลักการคำนวน Table'!$D$1:$M$5,5,TRUE),0),
IF($C79="SF WH",VLOOKUP("GOAL",'2) หลักการคำนวน Table'!$D$92:$M$92,HLOOKUP(AB79,'2) หลักการคำนวน Table'!$D$1:$M$5,5,TRUE),0))))),0)</f>
        <v>1.3</v>
      </c>
      <c r="AO79" s="232">
        <f>IFERROR(IF($C79="Top WS",VLOOKUP("GOAL",'2) หลักการคำนวน Table'!$D$4:$M$4,HLOOKUP(AC79,'2) หลักการคำนวน Table'!$D$1:$M$5,5,TRUE),0),
IF($C79="WS SF",VLOOKUP("GOAL",'2) หลักการคำนวน Table'!$D$32:$M$32,HLOOKUP(AC79,'2) หลักการคำนวน Table'!$D$1:$M$5,5,TRUE),0),
IF($C79="WS WH",VLOOKUP("GOAL",'2) หลักการคำนวน Table'!$D$62:$M$62,HLOOKUP(AC79,'2) หลักการคำนวน Table'!$D$1:$M$5,5,TRUE),0),
IF($C79="SF WH",VLOOKUP("GOAL",'2) หลักการคำนวน Table'!$D$92:$M$92,HLOOKUP(AC79,'2) หลักการคำนวน Table'!$D$1:$M$5,5,TRUE),0))))),0)</f>
        <v>0.9</v>
      </c>
      <c r="AP79" s="232">
        <f>IFERROR(IF($C79="Top WS",VLOOKUP("GOAL",'2) หลักการคำนวน Table'!$D$4:$M$4,HLOOKUP(AD79,'2) หลักการคำนวน Table'!$D$1:$M$5,5,TRUE),0),
IF($C79="WS SF",VLOOKUP("GOAL",'2) หลักการคำนวน Table'!$D$32:$M$32,HLOOKUP(AD79,'2) หลักการคำนวน Table'!$D$1:$M$5,5,TRUE),0),
IF($C79="WS WH",VLOOKUP("GOAL",'2) หลักการคำนวน Table'!$D$62:$M$62,HLOOKUP(AD79,'2) หลักการคำนวน Table'!$D$1:$M$5,5,TRUE),0),
IF($C79="SF WH",VLOOKUP("GOAL",'2) หลักการคำนวน Table'!$D$92:$M$92,HLOOKUP(AD79,'2) หลักการคำนวน Table'!$D$1:$M$5,5,TRUE),0))))),0)</f>
        <v>0.9</v>
      </c>
      <c r="AQ79" s="232">
        <f>IFERROR(IF($C79="Top WS",VLOOKUP("GOAL",'2) หลักการคำนวน Table'!$D$4:$M$4,HLOOKUP(AE79,'2) หลักการคำนวน Table'!$D$1:$M$5,5,TRUE),0),
IF($C79="WS SF",VLOOKUP("GOAL",'2) หลักการคำนวน Table'!$D$32:$M$32,HLOOKUP(AE79,'2) หลักการคำนวน Table'!$D$1:$M$5,5,TRUE),0),
IF($C79="WS WH",VLOOKUP("GOAL",'2) หลักการคำนวน Table'!$D$62:$M$62,HLOOKUP(AE79,'2) หลักการคำนวน Table'!$D$1:$M$5,5,TRUE),0),
IF($C79="SF WH",VLOOKUP("GOAL",'2) หลักการคำนวน Table'!$D$92:$M$92,HLOOKUP(AE79,'2) หลักการคำนวน Table'!$D$1:$M$5,5,TRUE),0))))),0)</f>
        <v>0.9</v>
      </c>
      <c r="AR79" s="232">
        <f>IFERROR(IF($C79="Top WS",VLOOKUP("GOAL",'2) หลักการคำนวน Table'!$D$4:$M$4,HLOOKUP(AF79,'2) หลักการคำนวน Table'!$D$1:$M$5,5,TRUE),0),
IF($C79="WS SF",VLOOKUP("GOAL",'2) หลักการคำนวน Table'!$D$32:$M$32,HLOOKUP(AF79,'2) หลักการคำนวน Table'!$D$1:$M$5,5,TRUE),0),
IF($C79="WS WH",VLOOKUP("GOAL",'2) หลักการคำนวน Table'!$D$62:$M$62,HLOOKUP(AF79,'2) หลักการคำนวน Table'!$D$1:$M$5,5,TRUE),0),
IF($C79="SF WH",VLOOKUP("GOAL",'2) หลักการคำนวน Table'!$D$92:$M$92,HLOOKUP(AF79,'2) หลักการคำนวน Table'!$D$1:$M$5,5,TRUE),0))))),0)</f>
        <v>0.9</v>
      </c>
      <c r="AS79" s="232">
        <f>IFERROR(IF($C79="Top WS",VLOOKUP("GOAL",'2) หลักการคำนวน Table'!$D$4:$M$4,HLOOKUP(AG79,'2) หลักการคำนวน Table'!$D$1:$M$5,5,TRUE),0),
IF($C79="WS SF",VLOOKUP("GOAL",'2) หลักการคำนวน Table'!$D$32:$M$32,HLOOKUP(AG79,'2) หลักการคำนวน Table'!$D$1:$M$5,5,TRUE),0),
IF($C79="WS WH",VLOOKUP("GOAL",'2) หลักการคำนวน Table'!$D$62:$M$62,HLOOKUP(AG79,'2) หลักการคำนวน Table'!$D$1:$M$5,5,TRUE),0),
IF($C79="SF WH",VLOOKUP("GOAL",'2) หลักการคำนวน Table'!$D$92:$M$92,HLOOKUP(AG79,'2) หลักการคำนวน Table'!$D$1:$M$5,5,TRUE),0))))),0)</f>
        <v>0.9</v>
      </c>
      <c r="AT79" s="232">
        <f>IFERROR(IF($C79="Top WS",VLOOKUP("GOAL",'2) หลักการคำนวน Table'!$D$4:$M$4,HLOOKUP(AH79,'2) หลักการคำนวน Table'!$D$1:$M$5,5,TRUE),0),
IF($C79="WS SF",VLOOKUP("GOAL",'2) หลักการคำนวน Table'!$D$32:$M$32,HLOOKUP(AH79,'2) หลักการคำนวน Table'!$D$1:$M$5,5,TRUE),0),
IF($C79="WS WH",VLOOKUP("GOAL",'2) หลักการคำนวน Table'!$D$62:$M$62,HLOOKUP(AH79,'2) หลักการคำนวน Table'!$D$1:$M$5,5,TRUE),0),
IF($C79="SF WH",VLOOKUP("GOAL",'2) หลักการคำนวน Table'!$D$92:$M$92,HLOOKUP(AH79,'2) หลักการคำนวน Table'!$D$1:$M$5,5,TRUE),0))))),0)</f>
        <v>0.9</v>
      </c>
      <c r="AU79" s="232">
        <f>IFERROR(IF($C79="Top WS",VLOOKUP("GOAL",'2) หลักการคำนวน Table'!$D$4:$M$4,HLOOKUP(AI79,'2) หลักการคำนวน Table'!$D$1:$M$5,5,TRUE),0),
IF($C79="WS SF",VLOOKUP("GOAL",'2) หลักการคำนวน Table'!$D$32:$M$32,HLOOKUP(AI79,'2) หลักการคำนวน Table'!$D$1:$M$5,5,TRUE),0),
IF($C79="WS WH",VLOOKUP("GOAL",'2) หลักการคำนวน Table'!$D$62:$M$62,HLOOKUP(AI79,'2) หลักการคำนวน Table'!$D$1:$M$5,5,TRUE),0),
IF($C79="SF WH",VLOOKUP("GOAL",'2) หลักการคำนวน Table'!$D$92:$M$92,HLOOKUP(AI79,'2) หลักการคำนวน Table'!$D$1:$M$5,5,TRUE),0))))),0)</f>
        <v>0.9</v>
      </c>
      <c r="AV79" s="232">
        <f>IFERROR(IF($C79="Top WS",VLOOKUP("GOAL",'2) หลักการคำนวน Table'!$D$4:$M$4,HLOOKUP(AP79,'2) หลักการคำนวน Table'!$D$1:$M$5,5,TRUE),0),
IF($C79="WS SF",VLOOKUP("GOAL",'2) หลักการคำนวน Table'!$D$32:$M$32,HLOOKUP(AP79,'2) หลักการคำนวน Table'!$D$1:$M$5,5,TRUE),0),
IF($C79="WS WH",VLOOKUP("GOAL",'2) หลักการคำนวน Table'!$D$62:$M$62,HLOOKUP(AP79,'2) หลักการคำนวน Table'!$D$1:$M$5,5,TRUE),0),
IF($C79="SF WH",VLOOKUP("GOAL",'2) หลักการคำนวน Table'!$D$92:$M$92,HLOOKUP(AP79,'2) หลักการคำนวน Table'!$D$1:$M$5,5,TRUE),0))))),0)</f>
        <v>0.9</v>
      </c>
      <c r="AW79" s="232">
        <f>IFERROR(IF($C79="Top WS",VLOOKUP("GOAL",'2) หลักการคำนวน Table'!$D$4:$M$4,HLOOKUP(AK79,'2) หลักการคำนวน Table'!$D$1:$M$5,5,TRUE),0),
IF($C79="WS SF",VLOOKUP("GOAL",'2) หลักการคำนวน Table'!$D$32:$M$32,HLOOKUP(AK79,'2) หลักการคำนวน Table'!$D$1:$M$5,5,TRUE),0),
IF($C79="WS WH",VLOOKUP("GOAL",'2) หลักการคำนวน Table'!$D$62:$M$62,HLOOKUP(AK79,'2) หลักการคำนวน Table'!$D$1:$M$5,5,TRUE),0),
IF($C79="SF WH",VLOOKUP("GOAL",'2) หลักการคำนวน Table'!$D$92:$M$92,HLOOKUP(AK79,'2) หลักการคำนวน Table'!$D$1:$M$5,5,TRUE),0))))),0)</f>
        <v>0.9</v>
      </c>
      <c r="AX79" s="232">
        <f>IFERROR(IF($C79="Top WS",VLOOKUP("GOAL",'2) หลักการคำนวน Table'!$D$4:$M$4,HLOOKUP(AL79,'2) หลักการคำนวน Table'!$D$1:$M$5,5,TRUE),0),
IF($C79="WS SF",VLOOKUP("GOAL",'2) หลักการคำนวน Table'!$D$32:$M$32,HLOOKUP(AL79,'2) หลักการคำนวน Table'!$D$1:$M$5,5,TRUE),0),
IF($C79="WS WH",VLOOKUP("GOAL",'2) หลักการคำนวน Table'!$D$62:$M$62,HLOOKUP(AL79,'2) หลักการคำนวน Table'!$D$1:$M$5,5,TRUE),0),
IF($C79="SF WH",VLOOKUP("GOAL",'2) หลักการคำนวน Table'!$D$92:$M$92,HLOOKUP(AL79,'2) หลักการคำนวน Table'!$D$1:$M$5,5,TRUE),0))))),0)</f>
        <v>0.9</v>
      </c>
      <c r="AY79" s="232">
        <f>IFERROR(IF($C79="Top WS",VLOOKUP("GOAL",'2) หลักการคำนวน Table'!$D$4:$M$4,HLOOKUP(AM79,'2) หลักการคำนวน Table'!$D$1:$M$5,5,TRUE),0),
IF($C79="WS SF",VLOOKUP("GOAL",'2) หลักการคำนวน Table'!$D$32:$M$32,HLOOKUP(AM79,'2) หลักการคำนวน Table'!$D$1:$M$5,5,TRUE),0),
IF($C79="WS WH",VLOOKUP("GOAL",'2) หลักการคำนวน Table'!$D$62:$M$62,HLOOKUP(AM79,'2) หลักการคำนวน Table'!$D$1:$M$5,5,TRUE),0),
IF($C79="SF WH",VLOOKUP("GOAL",'2) หลักการคำนวน Table'!$D$92:$M$92,HLOOKUP(AM79,'2) หลักการคำนวน Table'!$D$1:$M$5,5,TRUE),0))))),0)</f>
        <v>0.9</v>
      </c>
      <c r="AZ79" s="167">
        <f>IFERROR(IF($C79="Top WS",VLOOKUP($B79,'2) หลักการคำนวน Table'!$D$5:$M$20,HLOOKUP(AB79,'2) หลักการคำนวน Table'!$D$1:$M$5,5,TRUE),0),
IF($C79="WS SF",VLOOKUP($B79,'2) หลักการคำนวน Table'!$D$33:$M$48,HLOOKUP(AB79,'2) หลักการคำนวน Table'!$D$1:$M$5,5,TRUE),0),
IF($C79="WS WH",VLOOKUP($B79,'2) หลักการคำนวน Table'!$D$63:$M$78,HLOOKUP(AB79,'2) หลักการคำนวน Table'!$D$1:$M$5,5,TRUE),0),
IF($C79="SF WH",VLOOKUP($B79,'2) หลักการคำนวน Table'!$D$93:$M$108,HLOOKUP(AB79,'2) หลักการคำนวน Table'!$D$1:$M$5,5,TRUE),0))))),0)</f>
        <v>227.5</v>
      </c>
      <c r="BA79" s="167">
        <f>IFERROR(IF($C79="Top WS",VLOOKUP($B79,'2) หลักการคำนวน Table'!$D$5:$M$20,HLOOKUP(AC79,'2) หลักการคำนวน Table'!$D$1:$M$5,5,TRUE),0),
IF($C79="WS SF",VLOOKUP($B79,'2) หลักการคำนวน Table'!$D$33:$M$48,HLOOKUP(AC79,'2) หลักการคำนวน Table'!$D$1:$M$5,5,TRUE),0),
IF($C79="WS WH",VLOOKUP($B79,'2) หลักการคำนวน Table'!$D$63:$M$78,HLOOKUP(AC79,'2) หลักการคำนวน Table'!$D$1:$M$5,5,TRUE),0),
IF($C79="SF WH",VLOOKUP($B79,'2) หลักการคำนวน Table'!$D$93:$M$108,HLOOKUP(AC79,'2) หลักการคำนวน Table'!$D$1:$M$5,5,TRUE),0))))),0)</f>
        <v>157.5</v>
      </c>
      <c r="BB79" s="167">
        <f>IFERROR(IF($C79="Top WS",VLOOKUP($B79,'2) หลักการคำนวน Table'!$D$5:$M$20,HLOOKUP(AD79,'2) หลักการคำนวน Table'!$D$1:$M$5,5,TRUE),0),
IF($C79="WS SF",VLOOKUP($B79,'2) หลักการคำนวน Table'!$D$33:$M$48,HLOOKUP(AD79,'2) หลักการคำนวน Table'!$D$1:$M$5,5,TRUE),0),
IF($C79="WS WH",VLOOKUP($B79,'2) หลักการคำนวน Table'!$D$63:$M$78,HLOOKUP(AD79,'2) หลักการคำนวน Table'!$D$1:$M$5,5,TRUE),0),
IF($C79="SF WH",VLOOKUP($B79,'2) หลักการคำนวน Table'!$D$93:$M$108,HLOOKUP(AD79,'2) หลักการคำนวน Table'!$D$1:$M$5,5,TRUE),0))))),0)</f>
        <v>157.5</v>
      </c>
      <c r="BC79" s="167">
        <f>IFERROR(IF($C79="Top WS",VLOOKUP($B79,'2) หลักการคำนวน Table'!$D$5:$M$20,HLOOKUP(AE79,'2) หลักการคำนวน Table'!$D$1:$M$5,5,TRUE),0),
IF($C79="WS SF",VLOOKUP($B79,'2) หลักการคำนวน Table'!$D$33:$M$48,HLOOKUP(AE79,'2) หลักการคำนวน Table'!$D$1:$M$5,5,TRUE),0),
IF($C79="WS WH",VLOOKUP($B79,'2) หลักการคำนวน Table'!$D$63:$M$78,HLOOKUP(AE79,'2) หลักการคำนวน Table'!$D$1:$M$5,5,TRUE),0),
IF($C79="SF WH",VLOOKUP($B79,'2) หลักการคำนวน Table'!$D$93:$M$108,HLOOKUP(AE79,'2) หลักการคำนวน Table'!$D$1:$M$5,5,TRUE),0))))),0)</f>
        <v>157.5</v>
      </c>
      <c r="BD79" s="167">
        <f>IFERROR(IF($C79="Top WS",VLOOKUP($B79,'2) หลักการคำนวน Table'!$D$5:$M$20,HLOOKUP(AF79,'2) หลักการคำนวน Table'!$D$1:$M$5,5,TRUE),0),
IF($C79="WS SF",VLOOKUP($B79,'2) หลักการคำนวน Table'!$D$33:$M$48,HLOOKUP(AF79,'2) หลักการคำนวน Table'!$D$1:$M$5,5,TRUE),0),
IF($C79="WS WH",VLOOKUP($B79,'2) หลักการคำนวน Table'!$D$63:$M$78,HLOOKUP(AF79,'2) หลักการคำนวน Table'!$D$1:$M$5,5,TRUE),0),
IF($C79="SF WH",VLOOKUP($B79,'2) หลักการคำนวน Table'!$D$93:$M$108,HLOOKUP(AF79,'2) หลักการคำนวน Table'!$D$1:$M$5,5,TRUE),0))))),0)</f>
        <v>157.5</v>
      </c>
      <c r="BE79" s="167">
        <f>IFERROR(IF($C79="Top WS",VLOOKUP($B79,'2) หลักการคำนวน Table'!$D$5:$M$20,HLOOKUP(AG79,'2) หลักการคำนวน Table'!$D$1:$M$5,5,TRUE),0),
IF($C79="WS SF",VLOOKUP($B79,'2) หลักการคำนวน Table'!$D$33:$M$48,HLOOKUP(AG79,'2) หลักการคำนวน Table'!$D$1:$M$5,5,TRUE),0),
IF($C79="WS WH",VLOOKUP($B79,'2) หลักการคำนวน Table'!$D$63:$M$78,HLOOKUP(AG79,'2) หลักการคำนวน Table'!$D$1:$M$5,5,TRUE),0),
IF($C79="SF WH",VLOOKUP($B79,'2) หลักการคำนวน Table'!$D$93:$M$108,HLOOKUP(AG79,'2) หลักการคำนวน Table'!$D$1:$M$5,5,TRUE),0))))),0)</f>
        <v>157.5</v>
      </c>
      <c r="BF79" s="167">
        <f>IFERROR(IF($C79="Top WS",VLOOKUP($B79,'2) หลักการคำนวน Table'!$D$5:$M$20,HLOOKUP(AH79,'2) หลักการคำนวน Table'!$D$1:$M$5,5,TRUE),0),
IF($C79="WS SF",VLOOKUP($B79,'2) หลักการคำนวน Table'!$D$33:$M$48,HLOOKUP(AH79,'2) หลักการคำนวน Table'!$D$1:$M$5,5,TRUE),0),
IF($C79="WS WH",VLOOKUP($B79,'2) หลักการคำนวน Table'!$D$63:$M$78,HLOOKUP(AH79,'2) หลักการคำนวน Table'!$D$1:$M$5,5,TRUE),0),
IF($C79="SF WH",VLOOKUP($B79,'2) หลักการคำนวน Table'!$D$93:$M$108,HLOOKUP(AH79,'2) หลักการคำนวน Table'!$D$1:$M$5,5,TRUE),0))))),0)</f>
        <v>157.5</v>
      </c>
      <c r="BG79" s="167">
        <f>IFERROR(IF($C79="Top WS",VLOOKUP($B79,'2) หลักการคำนวน Table'!$D$5:$M$20,HLOOKUP(AI79,'2) หลักการคำนวน Table'!$D$1:$M$5,5,TRUE),0),
IF($C79="WS SF",VLOOKUP($B79,'2) หลักการคำนวน Table'!$D$33:$M$48,HLOOKUP(AI79,'2) หลักการคำนวน Table'!$D$1:$M$5,5,TRUE),0),
IF($C79="WS WH",VLOOKUP($B79,'2) หลักการคำนวน Table'!$D$63:$M$78,HLOOKUP(AI79,'2) หลักการคำนวน Table'!$D$1:$M$5,5,TRUE),0),
IF($C79="SF WH",VLOOKUP($B79,'2) หลักการคำนวน Table'!$D$93:$M$108,HLOOKUP(AI79,'2) หลักการคำนวน Table'!$D$1:$M$5,5,TRUE),0))))),0)</f>
        <v>157.5</v>
      </c>
      <c r="BH79" s="167">
        <f>IFERROR(IF($C79="Top WS",VLOOKUP($B79,'2) หลักการคำนวน Table'!$D$5:$M$20,HLOOKUP(AP79,'2) หลักการคำนวน Table'!$D$1:$M$5,5,TRUE),0),
IF($C79="WS SF",VLOOKUP($B79,'2) หลักการคำนวน Table'!$D$33:$M$48,HLOOKUP(AP79,'2) หลักการคำนวน Table'!$D$1:$M$5,5,TRUE),0),
IF($C79="WS WH",VLOOKUP($B79,'2) หลักการคำนวน Table'!$D$63:$M$78,HLOOKUP(AP79,'2) หลักการคำนวน Table'!$D$1:$M$5,5,TRUE),0),
IF($C79="SF WH",VLOOKUP($B79,'2) หลักการคำนวน Table'!$D$93:$M$108,HLOOKUP(AP79,'2) หลักการคำนวน Table'!$D$1:$M$5,5,TRUE),0))))),0)</f>
        <v>157.5</v>
      </c>
      <c r="BI79" s="167">
        <f>IFERROR(IF($C79="Top WS",VLOOKUP($B79,'2) หลักการคำนวน Table'!$D$5:$M$20,HLOOKUP(AK79,'2) หลักการคำนวน Table'!$D$1:$M$5,5,TRUE),0),
IF($C79="WS SF",VLOOKUP($B79,'2) หลักการคำนวน Table'!$D$33:$M$48,HLOOKUP(AK79,'2) หลักการคำนวน Table'!$D$1:$M$5,5,TRUE),0),
IF($C79="WS WH",VLOOKUP($B79,'2) หลักการคำนวน Table'!$D$63:$M$78,HLOOKUP(AK79,'2) หลักการคำนวน Table'!$D$1:$M$5,5,TRUE),0),
IF($C79="SF WH",VLOOKUP($B79,'2) หลักการคำนวน Table'!$D$93:$M$108,HLOOKUP(AK79,'2) หลักการคำนวน Table'!$D$1:$M$5,5,TRUE),0))))),0)</f>
        <v>157.5</v>
      </c>
      <c r="BJ79" s="167">
        <f>IFERROR(IF($C79="Top WS",VLOOKUP($B79,'2) หลักการคำนวน Table'!$D$5:$M$20,HLOOKUP(AL79,'2) หลักการคำนวน Table'!$D$1:$M$5,5,TRUE),0),
IF($C79="WS SF",VLOOKUP($B79,'2) หลักการคำนวน Table'!$D$33:$M$48,HLOOKUP(AL79,'2) หลักการคำนวน Table'!$D$1:$M$5,5,TRUE),0),
IF($C79="WS WH",VLOOKUP($B79,'2) หลักการคำนวน Table'!$D$63:$M$78,HLOOKUP(AL79,'2) หลักการคำนวน Table'!$D$1:$M$5,5,TRUE),0),
IF($C79="SF WH",VLOOKUP($B79,'2) หลักการคำนวน Table'!$D$93:$M$108,HLOOKUP(AL79,'2) หลักการคำนวน Table'!$D$1:$M$5,5,TRUE),0))))),0)</f>
        <v>157.5</v>
      </c>
      <c r="BK79" s="167">
        <f>IFERROR(IF($C79="Top WS",VLOOKUP($B79,'2) หลักการคำนวน Table'!$D$5:$M$20,HLOOKUP(AM79,'2) หลักการคำนวน Table'!$D$1:$M$5,5,TRUE),0),
IF($C79="WS SF",VLOOKUP($B79,'2) หลักการคำนวน Table'!$D$33:$M$48,HLOOKUP(AM79,'2) หลักการคำนวน Table'!$D$1:$M$5,5,TRUE),0),
IF($C79="WS WH",VLOOKUP($B79,'2) หลักการคำนวน Table'!$D$63:$M$78,HLOOKUP(AM79,'2) หลักการคำนวน Table'!$D$1:$M$5,5,TRUE),0),
IF($C79="SF WH",VLOOKUP($B79,'2) หลักการคำนวน Table'!$D$93:$M$108,HLOOKUP(AM79,'2) หลักการคำนวน Table'!$D$1:$M$5,5,TRUE),0))))),0)</f>
        <v>157.5</v>
      </c>
      <c r="BM79" s="119">
        <f>VLOOKUP(VLOOKUP(A79,ASTBase!E:S,13,FALSE),ASTBase!F:P,11,FALSE)</f>
        <v>140000</v>
      </c>
      <c r="BN79" s="196" cm="1">
        <f t="array" ref="BN79">INDEX(AN79:AY79,,Period!$D$2)</f>
        <v>0.9</v>
      </c>
    </row>
    <row r="80" spans="1:66" x14ac:dyDescent="0.25">
      <c r="A80" s="388">
        <v>110001</v>
      </c>
      <c r="B80" s="388" t="s">
        <v>388</v>
      </c>
      <c r="C80" s="388" t="s">
        <v>178</v>
      </c>
      <c r="D80" s="118">
        <v>103090</v>
      </c>
      <c r="E80" s="118">
        <v>119179</v>
      </c>
      <c r="F80" s="118">
        <v>129021</v>
      </c>
      <c r="G80" s="118">
        <v>145212</v>
      </c>
      <c r="H80" s="118">
        <v>133918</v>
      </c>
      <c r="I80" s="118">
        <v>132187</v>
      </c>
      <c r="J80" s="118">
        <v>147280</v>
      </c>
      <c r="K80" s="118">
        <v>152606</v>
      </c>
      <c r="L80" s="118">
        <v>174945</v>
      </c>
      <c r="M80" s="118">
        <v>130899</v>
      </c>
      <c r="N80" s="118">
        <v>110131</v>
      </c>
      <c r="O80" s="118">
        <v>109948</v>
      </c>
      <c r="P80" s="117">
        <f>SUMIFS(Actual!C:C,Actual!$A:$A,'3)Target &amp; Cal'!$A80,Actual!$B:$B,'3)Target &amp; Cal'!$B80)</f>
        <v>97380.6</v>
      </c>
      <c r="Q80" s="117">
        <f>SUMIFS(Actual!D:D,Actual!$A:$A,'3)Target &amp; Cal'!$A80,Actual!$B:$B,'3)Target &amp; Cal'!$B80)</f>
        <v>105917.6</v>
      </c>
      <c r="R80" s="117">
        <f>SUMIFS(Actual!E:E,Actual!$A:$A,'3)Target &amp; Cal'!$A80,Actual!$B:$B,'3)Target &amp; Cal'!$B80)</f>
        <v>0</v>
      </c>
      <c r="S80" s="117">
        <f>SUMIFS(Actual!F:F,Actual!$A:$A,'3)Target &amp; Cal'!$A80,Actual!$B:$B,'3)Target &amp; Cal'!$B80)</f>
        <v>0</v>
      </c>
      <c r="T80" s="117">
        <f>SUMIFS(Actual!G:G,Actual!$A:$A,'3)Target &amp; Cal'!$A80,Actual!$B:$B,'3)Target &amp; Cal'!$B80)</f>
        <v>0</v>
      </c>
      <c r="U80" s="117">
        <f>SUMIFS(Actual!H:H,Actual!$A:$A,'3)Target &amp; Cal'!$A80,Actual!$B:$B,'3)Target &amp; Cal'!$B80)</f>
        <v>0</v>
      </c>
      <c r="V80" s="117">
        <f>SUMIFS(Actual!I:I,Actual!$A:$A,'3)Target &amp; Cal'!$A80,Actual!$B:$B,'3)Target &amp; Cal'!$B80)</f>
        <v>0</v>
      </c>
      <c r="W80" s="117">
        <f>SUMIFS(Actual!J:J,Actual!$A:$A,'3)Target &amp; Cal'!$A80,Actual!$B:$B,'3)Target &amp; Cal'!$B80)</f>
        <v>0</v>
      </c>
      <c r="X80" s="117">
        <f>SUMIFS(Actual!K:K,Actual!$A:$A,'3)Target &amp; Cal'!$A80,Actual!$B:$B,'3)Target &amp; Cal'!$B80)</f>
        <v>0</v>
      </c>
      <c r="Y80" s="117">
        <f>SUMIFS(Actual!L:L,Actual!$A:$A,'3)Target &amp; Cal'!$A80,Actual!$B:$B,'3)Target &amp; Cal'!$B80)</f>
        <v>0</v>
      </c>
      <c r="Z80" s="117">
        <f>SUMIFS(Actual!M:M,Actual!$A:$A,'3)Target &amp; Cal'!$A80,Actual!$B:$B,'3)Target &amp; Cal'!$B80)</f>
        <v>0</v>
      </c>
      <c r="AA80" s="117">
        <f>SUMIFS(Actual!N:N,Actual!$A:$A,'3)Target &amp; Cal'!$A80,Actual!$B:$B,'3)Target &amp; Cal'!$B80)</f>
        <v>0</v>
      </c>
      <c r="AB80" s="123">
        <f>IFERROR(IF(VLOOKUP($B80,Shortage!$A:$M,AB$2,FALSE)="Shortage",1,IFERROR(ROUND(P80/D80,4),0)),IFERROR(ROUND(P80/D80,4),0))</f>
        <v>1</v>
      </c>
      <c r="AC80" s="123">
        <f>IFERROR(IF(VLOOKUP($B80,Shortage!$A:$M,AC$2,FALSE)="Shortage",1,IFERROR(ROUND(Q80/E80,4),0)),IFERROR(ROUND(Q80/E80,4),0))</f>
        <v>0.88870000000000005</v>
      </c>
      <c r="AD80" s="123">
        <f>IFERROR(IF(VLOOKUP($B80,Shortage!$A:$M,AD$2,FALSE)="Shortage",1,IFERROR(ROUND(R80/F80,4),0)),IFERROR(ROUND(R80/F80,4),0))</f>
        <v>0</v>
      </c>
      <c r="AE80" s="123">
        <f>IFERROR(IF(VLOOKUP($B80,Shortage!$A:$M,AE$2,FALSE)="Shortage",1,IFERROR(ROUND(S80/G80,4),0)),IFERROR(ROUND(S80/G80,4),0))</f>
        <v>0</v>
      </c>
      <c r="AF80" s="123">
        <f>IFERROR(IF(VLOOKUP($B80,Shortage!$A:$M,AF$2,FALSE)="Shortage",1,IFERROR(ROUND(T80/H80,4),0)),IFERROR(ROUND(T80/H80,4),0))</f>
        <v>0</v>
      </c>
      <c r="AG80" s="123">
        <f>IFERROR(IF(VLOOKUP($B80,Shortage!$A:$M,AG$2,FALSE)="Shortage",1,IFERROR(ROUND(U80/I80,4),0)),IFERROR(ROUND(U80/I80,4),0))</f>
        <v>0</v>
      </c>
      <c r="AH80" s="123">
        <f>IFERROR(IF(VLOOKUP($B80,Shortage!$A:$M,AH$2,FALSE)="Shortage",1,IFERROR(ROUND(V80/J80,4),0)),IFERROR(ROUND(V80/J80,4),0))</f>
        <v>0</v>
      </c>
      <c r="AI80" s="123">
        <f>IFERROR(IF(VLOOKUP($B80,Shortage!$A:$M,AI$2,FALSE)="Shortage",1,IFERROR(ROUND(W80/K80,4),0)),IFERROR(ROUND(W80/K80,4),0))</f>
        <v>0</v>
      </c>
      <c r="AJ80" s="123">
        <f>IFERROR(IF(VLOOKUP($B80,Shortage!$A:$M,AP$2,FALSE)="Shortage",1,IFERROR(ROUND(X80/L80,4),0)),IFERROR(ROUND(X80/L80,4),0))</f>
        <v>0</v>
      </c>
      <c r="AK80" s="123">
        <f>IFERROR(IF(VLOOKUP($B80,Shortage!$A:$M,AK$2,FALSE)="Shortage",1,IFERROR(ROUND(Y80/M80,4),0)),IFERROR(ROUND(Y80/M80,4),0))</f>
        <v>0</v>
      </c>
      <c r="AL80" s="123">
        <f>IFERROR(IF(VLOOKUP($B80,Shortage!$A:$M,AL$2,FALSE)="Shortage",1,IFERROR(ROUND(Z80/N80,4),0)),IFERROR(ROUND(Z80/N80,4),0))</f>
        <v>0</v>
      </c>
      <c r="AM80" s="123">
        <f>IFERROR(IF(VLOOKUP($B80,Shortage!$A:$M,AM$2,FALSE)="Shortage",1,IFERROR(ROUND(AA80/O80,4),0)),IFERROR(ROUND(AA80/O80,4),0))</f>
        <v>0</v>
      </c>
      <c r="AN80" s="232">
        <f>IFERROR(IF($C80="Top WS",VLOOKUP("GOAL",'2) หลักการคำนวน Table'!$D$4:$M$4,HLOOKUP(AB80,'2) หลักการคำนวน Table'!$D$1:$M$5,5,TRUE),0),
IF($C80="WS SF",VLOOKUP("GOAL",'2) หลักการคำนวน Table'!$D$32:$M$32,HLOOKUP(AB80,'2) หลักการคำนวน Table'!$D$1:$M$5,5,TRUE),0),
IF($C80="WS WH",VLOOKUP("GOAL",'2) หลักการคำนวน Table'!$D$62:$M$62,HLOOKUP(AB80,'2) หลักการคำนวน Table'!$D$1:$M$5,5,TRUE),0),
IF($C80="SF WH",VLOOKUP("GOAL",'2) หลักการคำนวน Table'!$D$92:$M$92,HLOOKUP(AB80,'2) หลักการคำนวน Table'!$D$1:$M$5,5,TRUE),0))))),0)</f>
        <v>1</v>
      </c>
      <c r="AO80" s="232">
        <f>IFERROR(IF($C80="Top WS",VLOOKUP("GOAL",'2) หลักการคำนวน Table'!$D$4:$M$4,HLOOKUP(AC80,'2) หลักการคำนวน Table'!$D$1:$M$5,5,TRUE),0),
IF($C80="WS SF",VLOOKUP("GOAL",'2) หลักการคำนวน Table'!$D$32:$M$32,HLOOKUP(AC80,'2) หลักการคำนวน Table'!$D$1:$M$5,5,TRUE),0),
IF($C80="WS WH",VLOOKUP("GOAL",'2) หลักการคำนวน Table'!$D$62:$M$62,HLOOKUP(AC80,'2) หลักการคำนวน Table'!$D$1:$M$5,5,TRUE),0),
IF($C80="SF WH",VLOOKUP("GOAL",'2) หลักการคำนวน Table'!$D$92:$M$92,HLOOKUP(AC80,'2) หลักการคำนวน Table'!$D$1:$M$5,5,TRUE),0))))),0)</f>
        <v>0.9</v>
      </c>
      <c r="AP80" s="232">
        <f>IFERROR(IF($C80="Top WS",VLOOKUP("GOAL",'2) หลักการคำนวน Table'!$D$4:$M$4,HLOOKUP(AD80,'2) หลักการคำนวน Table'!$D$1:$M$5,5,TRUE),0),
IF($C80="WS SF",VLOOKUP("GOAL",'2) หลักการคำนวน Table'!$D$32:$M$32,HLOOKUP(AD80,'2) หลักการคำนวน Table'!$D$1:$M$5,5,TRUE),0),
IF($C80="WS WH",VLOOKUP("GOAL",'2) หลักการคำนวน Table'!$D$62:$M$62,HLOOKUP(AD80,'2) หลักการคำนวน Table'!$D$1:$M$5,5,TRUE),0),
IF($C80="SF WH",VLOOKUP("GOAL",'2) หลักการคำนวน Table'!$D$92:$M$92,HLOOKUP(AD80,'2) หลักการคำนวน Table'!$D$1:$M$5,5,TRUE),0))))),0)</f>
        <v>0.9</v>
      </c>
      <c r="AQ80" s="232">
        <f>IFERROR(IF($C80="Top WS",VLOOKUP("GOAL",'2) หลักการคำนวน Table'!$D$4:$M$4,HLOOKUP(AE80,'2) หลักการคำนวน Table'!$D$1:$M$5,5,TRUE),0),
IF($C80="WS SF",VLOOKUP("GOAL",'2) หลักการคำนวน Table'!$D$32:$M$32,HLOOKUP(AE80,'2) หลักการคำนวน Table'!$D$1:$M$5,5,TRUE),0),
IF($C80="WS WH",VLOOKUP("GOAL",'2) หลักการคำนวน Table'!$D$62:$M$62,HLOOKUP(AE80,'2) หลักการคำนวน Table'!$D$1:$M$5,5,TRUE),0),
IF($C80="SF WH",VLOOKUP("GOAL",'2) หลักการคำนวน Table'!$D$92:$M$92,HLOOKUP(AE80,'2) หลักการคำนวน Table'!$D$1:$M$5,5,TRUE),0))))),0)</f>
        <v>0.9</v>
      </c>
      <c r="AR80" s="232">
        <f>IFERROR(IF($C80="Top WS",VLOOKUP("GOAL",'2) หลักการคำนวน Table'!$D$4:$M$4,HLOOKUP(AF80,'2) หลักการคำนวน Table'!$D$1:$M$5,5,TRUE),0),
IF($C80="WS SF",VLOOKUP("GOAL",'2) หลักการคำนวน Table'!$D$32:$M$32,HLOOKUP(AF80,'2) หลักการคำนวน Table'!$D$1:$M$5,5,TRUE),0),
IF($C80="WS WH",VLOOKUP("GOAL",'2) หลักการคำนวน Table'!$D$62:$M$62,HLOOKUP(AF80,'2) หลักการคำนวน Table'!$D$1:$M$5,5,TRUE),0),
IF($C80="SF WH",VLOOKUP("GOAL",'2) หลักการคำนวน Table'!$D$92:$M$92,HLOOKUP(AF80,'2) หลักการคำนวน Table'!$D$1:$M$5,5,TRUE),0))))),0)</f>
        <v>0.9</v>
      </c>
      <c r="AS80" s="232">
        <f>IFERROR(IF($C80="Top WS",VLOOKUP("GOAL",'2) หลักการคำนวน Table'!$D$4:$M$4,HLOOKUP(AG80,'2) หลักการคำนวน Table'!$D$1:$M$5,5,TRUE),0),
IF($C80="WS SF",VLOOKUP("GOAL",'2) หลักการคำนวน Table'!$D$32:$M$32,HLOOKUP(AG80,'2) หลักการคำนวน Table'!$D$1:$M$5,5,TRUE),0),
IF($C80="WS WH",VLOOKUP("GOAL",'2) หลักการคำนวน Table'!$D$62:$M$62,HLOOKUP(AG80,'2) หลักการคำนวน Table'!$D$1:$M$5,5,TRUE),0),
IF($C80="SF WH",VLOOKUP("GOAL",'2) หลักการคำนวน Table'!$D$92:$M$92,HLOOKUP(AG80,'2) หลักการคำนวน Table'!$D$1:$M$5,5,TRUE),0))))),0)</f>
        <v>0.9</v>
      </c>
      <c r="AT80" s="232">
        <f>IFERROR(IF($C80="Top WS",VLOOKUP("GOAL",'2) หลักการคำนวน Table'!$D$4:$M$4,HLOOKUP(AH80,'2) หลักการคำนวน Table'!$D$1:$M$5,5,TRUE),0),
IF($C80="WS SF",VLOOKUP("GOAL",'2) หลักการคำนวน Table'!$D$32:$M$32,HLOOKUP(AH80,'2) หลักการคำนวน Table'!$D$1:$M$5,5,TRUE),0),
IF($C80="WS WH",VLOOKUP("GOAL",'2) หลักการคำนวน Table'!$D$62:$M$62,HLOOKUP(AH80,'2) หลักการคำนวน Table'!$D$1:$M$5,5,TRUE),0),
IF($C80="SF WH",VLOOKUP("GOAL",'2) หลักการคำนวน Table'!$D$92:$M$92,HLOOKUP(AH80,'2) หลักการคำนวน Table'!$D$1:$M$5,5,TRUE),0))))),0)</f>
        <v>0.9</v>
      </c>
      <c r="AU80" s="232">
        <f>IFERROR(IF($C80="Top WS",VLOOKUP("GOAL",'2) หลักการคำนวน Table'!$D$4:$M$4,HLOOKUP(AI80,'2) หลักการคำนวน Table'!$D$1:$M$5,5,TRUE),0),
IF($C80="WS SF",VLOOKUP("GOAL",'2) หลักการคำนวน Table'!$D$32:$M$32,HLOOKUP(AI80,'2) หลักการคำนวน Table'!$D$1:$M$5,5,TRUE),0),
IF($C80="WS WH",VLOOKUP("GOAL",'2) หลักการคำนวน Table'!$D$62:$M$62,HLOOKUP(AI80,'2) หลักการคำนวน Table'!$D$1:$M$5,5,TRUE),0),
IF($C80="SF WH",VLOOKUP("GOAL",'2) หลักการคำนวน Table'!$D$92:$M$92,HLOOKUP(AI80,'2) หลักการคำนวน Table'!$D$1:$M$5,5,TRUE),0))))),0)</f>
        <v>0.9</v>
      </c>
      <c r="AV80" s="232">
        <f>IFERROR(IF($C80="Top WS",VLOOKUP("GOAL",'2) หลักการคำนวน Table'!$D$4:$M$4,HLOOKUP(AP80,'2) หลักการคำนวน Table'!$D$1:$M$5,5,TRUE),0),
IF($C80="WS SF",VLOOKUP("GOAL",'2) หลักการคำนวน Table'!$D$32:$M$32,HLOOKUP(AP80,'2) หลักการคำนวน Table'!$D$1:$M$5,5,TRUE),0),
IF($C80="WS WH",VLOOKUP("GOAL",'2) หลักการคำนวน Table'!$D$62:$M$62,HLOOKUP(AP80,'2) หลักการคำนวน Table'!$D$1:$M$5,5,TRUE),0),
IF($C80="SF WH",VLOOKUP("GOAL",'2) หลักการคำนวน Table'!$D$92:$M$92,HLOOKUP(AP80,'2) หลักการคำนวน Table'!$D$1:$M$5,5,TRUE),0))))),0)</f>
        <v>0.9</v>
      </c>
      <c r="AW80" s="232">
        <f>IFERROR(IF($C80="Top WS",VLOOKUP("GOAL",'2) หลักการคำนวน Table'!$D$4:$M$4,HLOOKUP(AK80,'2) หลักการคำนวน Table'!$D$1:$M$5,5,TRUE),0),
IF($C80="WS SF",VLOOKUP("GOAL",'2) หลักการคำนวน Table'!$D$32:$M$32,HLOOKUP(AK80,'2) หลักการคำนวน Table'!$D$1:$M$5,5,TRUE),0),
IF($C80="WS WH",VLOOKUP("GOAL",'2) หลักการคำนวน Table'!$D$62:$M$62,HLOOKUP(AK80,'2) หลักการคำนวน Table'!$D$1:$M$5,5,TRUE),0),
IF($C80="SF WH",VLOOKUP("GOAL",'2) หลักการคำนวน Table'!$D$92:$M$92,HLOOKUP(AK80,'2) หลักการคำนวน Table'!$D$1:$M$5,5,TRUE),0))))),0)</f>
        <v>0.9</v>
      </c>
      <c r="AX80" s="232">
        <f>IFERROR(IF($C80="Top WS",VLOOKUP("GOAL",'2) หลักการคำนวน Table'!$D$4:$M$4,HLOOKUP(AL80,'2) หลักการคำนวน Table'!$D$1:$M$5,5,TRUE),0),
IF($C80="WS SF",VLOOKUP("GOAL",'2) หลักการคำนวน Table'!$D$32:$M$32,HLOOKUP(AL80,'2) หลักการคำนวน Table'!$D$1:$M$5,5,TRUE),0),
IF($C80="WS WH",VLOOKUP("GOAL",'2) หลักการคำนวน Table'!$D$62:$M$62,HLOOKUP(AL80,'2) หลักการคำนวน Table'!$D$1:$M$5,5,TRUE),0),
IF($C80="SF WH",VLOOKUP("GOAL",'2) หลักการคำนวน Table'!$D$92:$M$92,HLOOKUP(AL80,'2) หลักการคำนวน Table'!$D$1:$M$5,5,TRUE),0))))),0)</f>
        <v>0.9</v>
      </c>
      <c r="AY80" s="232">
        <f>IFERROR(IF($C80="Top WS",VLOOKUP("GOAL",'2) หลักการคำนวน Table'!$D$4:$M$4,HLOOKUP(AM80,'2) หลักการคำนวน Table'!$D$1:$M$5,5,TRUE),0),
IF($C80="WS SF",VLOOKUP("GOAL",'2) หลักการคำนวน Table'!$D$32:$M$32,HLOOKUP(AM80,'2) หลักการคำนวน Table'!$D$1:$M$5,5,TRUE),0),
IF($C80="WS WH",VLOOKUP("GOAL",'2) หลักการคำนวน Table'!$D$62:$M$62,HLOOKUP(AM80,'2) หลักการคำนวน Table'!$D$1:$M$5,5,TRUE),0),
IF($C80="SF WH",VLOOKUP("GOAL",'2) หลักการคำนวน Table'!$D$92:$M$92,HLOOKUP(AM80,'2) หลักการคำนวน Table'!$D$1:$M$5,5,TRUE),0))))),0)</f>
        <v>0.9</v>
      </c>
      <c r="AZ80" s="167">
        <f>IFERROR(IF($C80="Top WS",VLOOKUP($B80,'2) หลักการคำนวน Table'!$D$5:$M$20,HLOOKUP(AB80,'2) หลักการคำนวน Table'!$D$1:$M$5,5,TRUE),0),
IF($C80="WS SF",VLOOKUP($B80,'2) หลักการคำนวน Table'!$D$33:$M$48,HLOOKUP(AB80,'2) หลักการคำนวน Table'!$D$1:$M$5,5,TRUE),0),
IF($C80="WS WH",VLOOKUP($B80,'2) หลักการคำนวน Table'!$D$63:$M$78,HLOOKUP(AB80,'2) หลักการคำนวน Table'!$D$1:$M$5,5,TRUE),0),
IF($C80="SF WH",VLOOKUP($B80,'2) หลักการคำนวน Table'!$D$93:$M$108,HLOOKUP(AB80,'2) หลักการคำนวน Table'!$D$1:$M$5,5,TRUE),0))))),0)</f>
        <v>200</v>
      </c>
      <c r="BA80" s="167">
        <f>IFERROR(IF($C80="Top WS",VLOOKUP($B80,'2) หลักการคำนวน Table'!$D$5:$M$20,HLOOKUP(AC80,'2) หลักการคำนวน Table'!$D$1:$M$5,5,TRUE),0),
IF($C80="WS SF",VLOOKUP($B80,'2) หลักการคำนวน Table'!$D$33:$M$48,HLOOKUP(AC80,'2) หลักการคำนวน Table'!$D$1:$M$5,5,TRUE),0),
IF($C80="WS WH",VLOOKUP($B80,'2) หลักการคำนวน Table'!$D$63:$M$78,HLOOKUP(AC80,'2) หลักการคำนวน Table'!$D$1:$M$5,5,TRUE),0),
IF($C80="SF WH",VLOOKUP($B80,'2) หลักการคำนวน Table'!$D$93:$M$108,HLOOKUP(AC80,'2) หลักการคำนวน Table'!$D$1:$M$5,5,TRUE),0))))),0)</f>
        <v>180</v>
      </c>
      <c r="BB80" s="167">
        <f>IFERROR(IF($C80="Top WS",VLOOKUP($B80,'2) หลักการคำนวน Table'!$D$5:$M$20,HLOOKUP(AD80,'2) หลักการคำนวน Table'!$D$1:$M$5,5,TRUE),0),
IF($C80="WS SF",VLOOKUP($B80,'2) หลักการคำนวน Table'!$D$33:$M$48,HLOOKUP(AD80,'2) หลักการคำนวน Table'!$D$1:$M$5,5,TRUE),0),
IF($C80="WS WH",VLOOKUP($B80,'2) หลักการคำนวน Table'!$D$63:$M$78,HLOOKUP(AD80,'2) หลักการคำนวน Table'!$D$1:$M$5,5,TRUE),0),
IF($C80="SF WH",VLOOKUP($B80,'2) หลักการคำนวน Table'!$D$93:$M$108,HLOOKUP(AD80,'2) หลักการคำนวน Table'!$D$1:$M$5,5,TRUE),0))))),0)</f>
        <v>180</v>
      </c>
      <c r="BC80" s="167">
        <f>IFERROR(IF($C80="Top WS",VLOOKUP($B80,'2) หลักการคำนวน Table'!$D$5:$M$20,HLOOKUP(AE80,'2) หลักการคำนวน Table'!$D$1:$M$5,5,TRUE),0),
IF($C80="WS SF",VLOOKUP($B80,'2) หลักการคำนวน Table'!$D$33:$M$48,HLOOKUP(AE80,'2) หลักการคำนวน Table'!$D$1:$M$5,5,TRUE),0),
IF($C80="WS WH",VLOOKUP($B80,'2) หลักการคำนวน Table'!$D$63:$M$78,HLOOKUP(AE80,'2) หลักการคำนวน Table'!$D$1:$M$5,5,TRUE),0),
IF($C80="SF WH",VLOOKUP($B80,'2) หลักการคำนวน Table'!$D$93:$M$108,HLOOKUP(AE80,'2) หลักการคำนวน Table'!$D$1:$M$5,5,TRUE),0))))),0)</f>
        <v>180</v>
      </c>
      <c r="BD80" s="167">
        <f>IFERROR(IF($C80="Top WS",VLOOKUP($B80,'2) หลักการคำนวน Table'!$D$5:$M$20,HLOOKUP(AF80,'2) หลักการคำนวน Table'!$D$1:$M$5,5,TRUE),0),
IF($C80="WS SF",VLOOKUP($B80,'2) หลักการคำนวน Table'!$D$33:$M$48,HLOOKUP(AF80,'2) หลักการคำนวน Table'!$D$1:$M$5,5,TRUE),0),
IF($C80="WS WH",VLOOKUP($B80,'2) หลักการคำนวน Table'!$D$63:$M$78,HLOOKUP(AF80,'2) หลักการคำนวน Table'!$D$1:$M$5,5,TRUE),0),
IF($C80="SF WH",VLOOKUP($B80,'2) หลักการคำนวน Table'!$D$93:$M$108,HLOOKUP(AF80,'2) หลักการคำนวน Table'!$D$1:$M$5,5,TRUE),0))))),0)</f>
        <v>180</v>
      </c>
      <c r="BE80" s="167">
        <f>IFERROR(IF($C80="Top WS",VLOOKUP($B80,'2) หลักการคำนวน Table'!$D$5:$M$20,HLOOKUP(AG80,'2) หลักการคำนวน Table'!$D$1:$M$5,5,TRUE),0),
IF($C80="WS SF",VLOOKUP($B80,'2) หลักการคำนวน Table'!$D$33:$M$48,HLOOKUP(AG80,'2) หลักการคำนวน Table'!$D$1:$M$5,5,TRUE),0),
IF($C80="WS WH",VLOOKUP($B80,'2) หลักการคำนวน Table'!$D$63:$M$78,HLOOKUP(AG80,'2) หลักการคำนวน Table'!$D$1:$M$5,5,TRUE),0),
IF($C80="SF WH",VLOOKUP($B80,'2) หลักการคำนวน Table'!$D$93:$M$108,HLOOKUP(AG80,'2) หลักการคำนวน Table'!$D$1:$M$5,5,TRUE),0))))),0)</f>
        <v>180</v>
      </c>
      <c r="BF80" s="167">
        <f>IFERROR(IF($C80="Top WS",VLOOKUP($B80,'2) หลักการคำนวน Table'!$D$5:$M$20,HLOOKUP(AH80,'2) หลักการคำนวน Table'!$D$1:$M$5,5,TRUE),0),
IF($C80="WS SF",VLOOKUP($B80,'2) หลักการคำนวน Table'!$D$33:$M$48,HLOOKUP(AH80,'2) หลักการคำนวน Table'!$D$1:$M$5,5,TRUE),0),
IF($C80="WS WH",VLOOKUP($B80,'2) หลักการคำนวน Table'!$D$63:$M$78,HLOOKUP(AH80,'2) หลักการคำนวน Table'!$D$1:$M$5,5,TRUE),0),
IF($C80="SF WH",VLOOKUP($B80,'2) หลักการคำนวน Table'!$D$93:$M$108,HLOOKUP(AH80,'2) หลักการคำนวน Table'!$D$1:$M$5,5,TRUE),0))))),0)</f>
        <v>180</v>
      </c>
      <c r="BG80" s="167">
        <f>IFERROR(IF($C80="Top WS",VLOOKUP($B80,'2) หลักการคำนวน Table'!$D$5:$M$20,HLOOKUP(AI80,'2) หลักการคำนวน Table'!$D$1:$M$5,5,TRUE),0),
IF($C80="WS SF",VLOOKUP($B80,'2) หลักการคำนวน Table'!$D$33:$M$48,HLOOKUP(AI80,'2) หลักการคำนวน Table'!$D$1:$M$5,5,TRUE),0),
IF($C80="WS WH",VLOOKUP($B80,'2) หลักการคำนวน Table'!$D$63:$M$78,HLOOKUP(AI80,'2) หลักการคำนวน Table'!$D$1:$M$5,5,TRUE),0),
IF($C80="SF WH",VLOOKUP($B80,'2) หลักการคำนวน Table'!$D$93:$M$108,HLOOKUP(AI80,'2) หลักการคำนวน Table'!$D$1:$M$5,5,TRUE),0))))),0)</f>
        <v>180</v>
      </c>
      <c r="BH80" s="167">
        <f>IFERROR(IF($C80="Top WS",VLOOKUP($B80,'2) หลักการคำนวน Table'!$D$5:$M$20,HLOOKUP(AP80,'2) หลักการคำนวน Table'!$D$1:$M$5,5,TRUE),0),
IF($C80="WS SF",VLOOKUP($B80,'2) หลักการคำนวน Table'!$D$33:$M$48,HLOOKUP(AP80,'2) หลักการคำนวน Table'!$D$1:$M$5,5,TRUE),0),
IF($C80="WS WH",VLOOKUP($B80,'2) หลักการคำนวน Table'!$D$63:$M$78,HLOOKUP(AP80,'2) หลักการคำนวน Table'!$D$1:$M$5,5,TRUE),0),
IF($C80="SF WH",VLOOKUP($B80,'2) หลักการคำนวน Table'!$D$93:$M$108,HLOOKUP(AP80,'2) หลักการคำนวน Table'!$D$1:$M$5,5,TRUE),0))))),0)</f>
        <v>180</v>
      </c>
      <c r="BI80" s="167">
        <f>IFERROR(IF($C80="Top WS",VLOOKUP($B80,'2) หลักการคำนวน Table'!$D$5:$M$20,HLOOKUP(AK80,'2) หลักการคำนวน Table'!$D$1:$M$5,5,TRUE),0),
IF($C80="WS SF",VLOOKUP($B80,'2) หลักการคำนวน Table'!$D$33:$M$48,HLOOKUP(AK80,'2) หลักการคำนวน Table'!$D$1:$M$5,5,TRUE),0),
IF($C80="WS WH",VLOOKUP($B80,'2) หลักการคำนวน Table'!$D$63:$M$78,HLOOKUP(AK80,'2) หลักการคำนวน Table'!$D$1:$M$5,5,TRUE),0),
IF($C80="SF WH",VLOOKUP($B80,'2) หลักการคำนวน Table'!$D$93:$M$108,HLOOKUP(AK80,'2) หลักการคำนวน Table'!$D$1:$M$5,5,TRUE),0))))),0)</f>
        <v>180</v>
      </c>
      <c r="BJ80" s="167">
        <f>IFERROR(IF($C80="Top WS",VLOOKUP($B80,'2) หลักการคำนวน Table'!$D$5:$M$20,HLOOKUP(AL80,'2) หลักการคำนวน Table'!$D$1:$M$5,5,TRUE),0),
IF($C80="WS SF",VLOOKUP($B80,'2) หลักการคำนวน Table'!$D$33:$M$48,HLOOKUP(AL80,'2) หลักการคำนวน Table'!$D$1:$M$5,5,TRUE),0),
IF($C80="WS WH",VLOOKUP($B80,'2) หลักการคำนวน Table'!$D$63:$M$78,HLOOKUP(AL80,'2) หลักการคำนวน Table'!$D$1:$M$5,5,TRUE),0),
IF($C80="SF WH",VLOOKUP($B80,'2) หลักการคำนวน Table'!$D$93:$M$108,HLOOKUP(AL80,'2) หลักการคำนวน Table'!$D$1:$M$5,5,TRUE),0))))),0)</f>
        <v>180</v>
      </c>
      <c r="BK80" s="167">
        <f>IFERROR(IF($C80="Top WS",VLOOKUP($B80,'2) หลักการคำนวน Table'!$D$5:$M$20,HLOOKUP(AM80,'2) หลักการคำนวน Table'!$D$1:$M$5,5,TRUE),0),
IF($C80="WS SF",VLOOKUP($B80,'2) หลักการคำนวน Table'!$D$33:$M$48,HLOOKUP(AM80,'2) หลักการคำนวน Table'!$D$1:$M$5,5,TRUE),0),
IF($C80="WS WH",VLOOKUP($B80,'2) หลักการคำนวน Table'!$D$63:$M$78,HLOOKUP(AM80,'2) หลักการคำนวน Table'!$D$1:$M$5,5,TRUE),0),
IF($C80="SF WH",VLOOKUP($B80,'2) หลักการคำนวน Table'!$D$93:$M$108,HLOOKUP(AM80,'2) หลักการคำนวน Table'!$D$1:$M$5,5,TRUE),0))))),0)</f>
        <v>180</v>
      </c>
      <c r="BM80" s="119">
        <f>VLOOKUP(VLOOKUP(A80,ASTBase!E:S,13,FALSE),ASTBase!F:P,11,FALSE)</f>
        <v>110000</v>
      </c>
      <c r="BN80" s="196" cm="1">
        <f t="array" ref="BN80">INDEX(AN80:AY80,,Period!$D$2)</f>
        <v>0.9</v>
      </c>
    </row>
    <row r="81" spans="1:66" x14ac:dyDescent="0.25">
      <c r="A81" s="388">
        <v>110001</v>
      </c>
      <c r="B81" s="388" t="s">
        <v>389</v>
      </c>
      <c r="C81" s="388" t="s">
        <v>178</v>
      </c>
      <c r="D81" s="118">
        <v>50646</v>
      </c>
      <c r="E81" s="118">
        <v>47764</v>
      </c>
      <c r="F81" s="118">
        <v>55248</v>
      </c>
      <c r="G81" s="118">
        <v>45295</v>
      </c>
      <c r="H81" s="118">
        <v>37897</v>
      </c>
      <c r="I81" s="118">
        <v>48080</v>
      </c>
      <c r="J81" s="118">
        <v>44132</v>
      </c>
      <c r="K81" s="118">
        <v>50148</v>
      </c>
      <c r="L81" s="118">
        <v>50294</v>
      </c>
      <c r="M81" s="118">
        <v>55984</v>
      </c>
      <c r="N81" s="118">
        <v>45282</v>
      </c>
      <c r="O81" s="118">
        <v>45282</v>
      </c>
      <c r="P81" s="117">
        <f>SUMIFS(Actual!C:C,Actual!$A:$A,'3)Target &amp; Cal'!$A81,Actual!$B:$B,'3)Target &amp; Cal'!$B81)</f>
        <v>32733.5</v>
      </c>
      <c r="Q81" s="117">
        <f>SUMIFS(Actual!D:D,Actual!$A:$A,'3)Target &amp; Cal'!$A81,Actual!$B:$B,'3)Target &amp; Cal'!$B81)</f>
        <v>34763</v>
      </c>
      <c r="R81" s="117">
        <f>SUMIFS(Actual!E:E,Actual!$A:$A,'3)Target &amp; Cal'!$A81,Actual!$B:$B,'3)Target &amp; Cal'!$B81)</f>
        <v>0</v>
      </c>
      <c r="S81" s="117">
        <f>SUMIFS(Actual!F:F,Actual!$A:$A,'3)Target &amp; Cal'!$A81,Actual!$B:$B,'3)Target &amp; Cal'!$B81)</f>
        <v>0</v>
      </c>
      <c r="T81" s="117">
        <f>SUMIFS(Actual!G:G,Actual!$A:$A,'3)Target &amp; Cal'!$A81,Actual!$B:$B,'3)Target &amp; Cal'!$B81)</f>
        <v>0</v>
      </c>
      <c r="U81" s="117">
        <f>SUMIFS(Actual!H:H,Actual!$A:$A,'3)Target &amp; Cal'!$A81,Actual!$B:$B,'3)Target &amp; Cal'!$B81)</f>
        <v>0</v>
      </c>
      <c r="V81" s="117">
        <f>SUMIFS(Actual!I:I,Actual!$A:$A,'3)Target &amp; Cal'!$A81,Actual!$B:$B,'3)Target &amp; Cal'!$B81)</f>
        <v>0</v>
      </c>
      <c r="W81" s="117">
        <f>SUMIFS(Actual!J:J,Actual!$A:$A,'3)Target &amp; Cal'!$A81,Actual!$B:$B,'3)Target &amp; Cal'!$B81)</f>
        <v>0</v>
      </c>
      <c r="X81" s="117">
        <f>SUMIFS(Actual!K:K,Actual!$A:$A,'3)Target &amp; Cal'!$A81,Actual!$B:$B,'3)Target &amp; Cal'!$B81)</f>
        <v>0</v>
      </c>
      <c r="Y81" s="117">
        <f>SUMIFS(Actual!L:L,Actual!$A:$A,'3)Target &amp; Cal'!$A81,Actual!$B:$B,'3)Target &amp; Cal'!$B81)</f>
        <v>0</v>
      </c>
      <c r="Z81" s="117">
        <f>SUMIFS(Actual!M:M,Actual!$A:$A,'3)Target &amp; Cal'!$A81,Actual!$B:$B,'3)Target &amp; Cal'!$B81)</f>
        <v>0</v>
      </c>
      <c r="AA81" s="117">
        <f>SUMIFS(Actual!N:N,Actual!$A:$A,'3)Target &amp; Cal'!$A81,Actual!$B:$B,'3)Target &amp; Cal'!$B81)</f>
        <v>0</v>
      </c>
      <c r="AB81" s="123">
        <f>IFERROR(IF(VLOOKUP($B81,Shortage!$A:$M,AB$2,FALSE)="Shortage",1,IFERROR(ROUND(P81/D81,4),0)),IFERROR(ROUND(P81/D81,4),0))</f>
        <v>1</v>
      </c>
      <c r="AC81" s="123">
        <f>IFERROR(IF(VLOOKUP($B81,Shortage!$A:$M,AC$2,FALSE)="Shortage",1,IFERROR(ROUND(Q81/E81,4),0)),IFERROR(ROUND(Q81/E81,4),0))</f>
        <v>1</v>
      </c>
      <c r="AD81" s="123">
        <f>IFERROR(IF(VLOOKUP($B81,Shortage!$A:$M,AD$2,FALSE)="Shortage",1,IFERROR(ROUND(R81/F81,4),0)),IFERROR(ROUND(R81/F81,4),0))</f>
        <v>0</v>
      </c>
      <c r="AE81" s="123">
        <f>IFERROR(IF(VLOOKUP($B81,Shortage!$A:$M,AE$2,FALSE)="Shortage",1,IFERROR(ROUND(S81/G81,4),0)),IFERROR(ROUND(S81/G81,4),0))</f>
        <v>0</v>
      </c>
      <c r="AF81" s="123">
        <f>IFERROR(IF(VLOOKUP($B81,Shortage!$A:$M,AF$2,FALSE)="Shortage",1,IFERROR(ROUND(T81/H81,4),0)),IFERROR(ROUND(T81/H81,4),0))</f>
        <v>0</v>
      </c>
      <c r="AG81" s="123">
        <f>IFERROR(IF(VLOOKUP($B81,Shortage!$A:$M,AG$2,FALSE)="Shortage",1,IFERROR(ROUND(U81/I81,4),0)),IFERROR(ROUND(U81/I81,4),0))</f>
        <v>0</v>
      </c>
      <c r="AH81" s="123">
        <f>IFERROR(IF(VLOOKUP($B81,Shortage!$A:$M,AH$2,FALSE)="Shortage",1,IFERROR(ROUND(V81/J81,4),0)),IFERROR(ROUND(V81/J81,4),0))</f>
        <v>0</v>
      </c>
      <c r="AI81" s="123">
        <f>IFERROR(IF(VLOOKUP($B81,Shortage!$A:$M,AI$2,FALSE)="Shortage",1,IFERROR(ROUND(W81/K81,4),0)),IFERROR(ROUND(W81/K81,4),0))</f>
        <v>0</v>
      </c>
      <c r="AJ81" s="123">
        <f>IFERROR(IF(VLOOKUP($B81,Shortage!$A:$M,AP$2,FALSE)="Shortage",1,IFERROR(ROUND(X81/L81,4),0)),IFERROR(ROUND(X81/L81,4),0))</f>
        <v>0</v>
      </c>
      <c r="AK81" s="123">
        <f>IFERROR(IF(VLOOKUP($B81,Shortage!$A:$M,AK$2,FALSE)="Shortage",1,IFERROR(ROUND(Y81/M81,4),0)),IFERROR(ROUND(Y81/M81,4),0))</f>
        <v>0</v>
      </c>
      <c r="AL81" s="123">
        <f>IFERROR(IF(VLOOKUP($B81,Shortage!$A:$M,AL$2,FALSE)="Shortage",1,IFERROR(ROUND(Z81/N81,4),0)),IFERROR(ROUND(Z81/N81,4),0))</f>
        <v>0</v>
      </c>
      <c r="AM81" s="123">
        <f>IFERROR(IF(VLOOKUP($B81,Shortage!$A:$M,AM$2,FALSE)="Shortage",1,IFERROR(ROUND(AA81/O81,4),0)),IFERROR(ROUND(AA81/O81,4),0))</f>
        <v>0</v>
      </c>
      <c r="AN81" s="232">
        <f>IFERROR(IF($C81="Top WS",VLOOKUP("GOAL",'2) หลักการคำนวน Table'!$D$4:$M$4,HLOOKUP(AB81,'2) หลักการคำนวน Table'!$D$1:$M$5,5,TRUE),0),
IF($C81="WS SF",VLOOKUP("GOAL",'2) หลักการคำนวน Table'!$D$32:$M$32,HLOOKUP(AB81,'2) หลักการคำนวน Table'!$D$1:$M$5,5,TRUE),0),
IF($C81="WS WH",VLOOKUP("GOAL",'2) หลักการคำนวน Table'!$D$62:$M$62,HLOOKUP(AB81,'2) หลักการคำนวน Table'!$D$1:$M$5,5,TRUE),0),
IF($C81="SF WH",VLOOKUP("GOAL",'2) หลักการคำนวน Table'!$D$92:$M$92,HLOOKUP(AB81,'2) หลักการคำนวน Table'!$D$1:$M$5,5,TRUE),0))))),0)</f>
        <v>1</v>
      </c>
      <c r="AO81" s="232">
        <f>IFERROR(IF($C81="Top WS",VLOOKUP("GOAL",'2) หลักการคำนวน Table'!$D$4:$M$4,HLOOKUP(AC81,'2) หลักการคำนวน Table'!$D$1:$M$5,5,TRUE),0),
IF($C81="WS SF",VLOOKUP("GOAL",'2) หลักการคำนวน Table'!$D$32:$M$32,HLOOKUP(AC81,'2) หลักการคำนวน Table'!$D$1:$M$5,5,TRUE),0),
IF($C81="WS WH",VLOOKUP("GOAL",'2) หลักการคำนวน Table'!$D$62:$M$62,HLOOKUP(AC81,'2) หลักการคำนวน Table'!$D$1:$M$5,5,TRUE),0),
IF($C81="SF WH",VLOOKUP("GOAL",'2) หลักการคำนวน Table'!$D$92:$M$92,HLOOKUP(AC81,'2) หลักการคำนวน Table'!$D$1:$M$5,5,TRUE),0))))),0)</f>
        <v>1</v>
      </c>
      <c r="AP81" s="232">
        <f>IFERROR(IF($C81="Top WS",VLOOKUP("GOAL",'2) หลักการคำนวน Table'!$D$4:$M$4,HLOOKUP(AD81,'2) หลักการคำนวน Table'!$D$1:$M$5,5,TRUE),0),
IF($C81="WS SF",VLOOKUP("GOAL",'2) หลักการคำนวน Table'!$D$32:$M$32,HLOOKUP(AD81,'2) หลักการคำนวน Table'!$D$1:$M$5,5,TRUE),0),
IF($C81="WS WH",VLOOKUP("GOAL",'2) หลักการคำนวน Table'!$D$62:$M$62,HLOOKUP(AD81,'2) หลักการคำนวน Table'!$D$1:$M$5,5,TRUE),0),
IF($C81="SF WH",VLOOKUP("GOAL",'2) หลักการคำนวน Table'!$D$92:$M$92,HLOOKUP(AD81,'2) หลักการคำนวน Table'!$D$1:$M$5,5,TRUE),0))))),0)</f>
        <v>0.9</v>
      </c>
      <c r="AQ81" s="232">
        <f>IFERROR(IF($C81="Top WS",VLOOKUP("GOAL",'2) หลักการคำนวน Table'!$D$4:$M$4,HLOOKUP(AE81,'2) หลักการคำนวน Table'!$D$1:$M$5,5,TRUE),0),
IF($C81="WS SF",VLOOKUP("GOAL",'2) หลักการคำนวน Table'!$D$32:$M$32,HLOOKUP(AE81,'2) หลักการคำนวน Table'!$D$1:$M$5,5,TRUE),0),
IF($C81="WS WH",VLOOKUP("GOAL",'2) หลักการคำนวน Table'!$D$62:$M$62,HLOOKUP(AE81,'2) หลักการคำนวน Table'!$D$1:$M$5,5,TRUE),0),
IF($C81="SF WH",VLOOKUP("GOAL",'2) หลักการคำนวน Table'!$D$92:$M$92,HLOOKUP(AE81,'2) หลักการคำนวน Table'!$D$1:$M$5,5,TRUE),0))))),0)</f>
        <v>0.9</v>
      </c>
      <c r="AR81" s="232">
        <f>IFERROR(IF($C81="Top WS",VLOOKUP("GOAL",'2) หลักการคำนวน Table'!$D$4:$M$4,HLOOKUP(AF81,'2) หลักการคำนวน Table'!$D$1:$M$5,5,TRUE),0),
IF($C81="WS SF",VLOOKUP("GOAL",'2) หลักการคำนวน Table'!$D$32:$M$32,HLOOKUP(AF81,'2) หลักการคำนวน Table'!$D$1:$M$5,5,TRUE),0),
IF($C81="WS WH",VLOOKUP("GOAL",'2) หลักการคำนวน Table'!$D$62:$M$62,HLOOKUP(AF81,'2) หลักการคำนวน Table'!$D$1:$M$5,5,TRUE),0),
IF($C81="SF WH",VLOOKUP("GOAL",'2) หลักการคำนวน Table'!$D$92:$M$92,HLOOKUP(AF81,'2) หลักการคำนวน Table'!$D$1:$M$5,5,TRUE),0))))),0)</f>
        <v>0.9</v>
      </c>
      <c r="AS81" s="232">
        <f>IFERROR(IF($C81="Top WS",VLOOKUP("GOAL",'2) หลักการคำนวน Table'!$D$4:$M$4,HLOOKUP(AG81,'2) หลักการคำนวน Table'!$D$1:$M$5,5,TRUE),0),
IF($C81="WS SF",VLOOKUP("GOAL",'2) หลักการคำนวน Table'!$D$32:$M$32,HLOOKUP(AG81,'2) หลักการคำนวน Table'!$D$1:$M$5,5,TRUE),0),
IF($C81="WS WH",VLOOKUP("GOAL",'2) หลักการคำนวน Table'!$D$62:$M$62,HLOOKUP(AG81,'2) หลักการคำนวน Table'!$D$1:$M$5,5,TRUE),0),
IF($C81="SF WH",VLOOKUP("GOAL",'2) หลักการคำนวน Table'!$D$92:$M$92,HLOOKUP(AG81,'2) หลักการคำนวน Table'!$D$1:$M$5,5,TRUE),0))))),0)</f>
        <v>0.9</v>
      </c>
      <c r="AT81" s="232">
        <f>IFERROR(IF($C81="Top WS",VLOOKUP("GOAL",'2) หลักการคำนวน Table'!$D$4:$M$4,HLOOKUP(AH81,'2) หลักการคำนวน Table'!$D$1:$M$5,5,TRUE),0),
IF($C81="WS SF",VLOOKUP("GOAL",'2) หลักการคำนวน Table'!$D$32:$M$32,HLOOKUP(AH81,'2) หลักการคำนวน Table'!$D$1:$M$5,5,TRUE),0),
IF($C81="WS WH",VLOOKUP("GOAL",'2) หลักการคำนวน Table'!$D$62:$M$62,HLOOKUP(AH81,'2) หลักการคำนวน Table'!$D$1:$M$5,5,TRUE),0),
IF($C81="SF WH",VLOOKUP("GOAL",'2) หลักการคำนวน Table'!$D$92:$M$92,HLOOKUP(AH81,'2) หลักการคำนวน Table'!$D$1:$M$5,5,TRUE),0))))),0)</f>
        <v>0.9</v>
      </c>
      <c r="AU81" s="232">
        <f>IFERROR(IF($C81="Top WS",VLOOKUP("GOAL",'2) หลักการคำนวน Table'!$D$4:$M$4,HLOOKUP(AI81,'2) หลักการคำนวน Table'!$D$1:$M$5,5,TRUE),0),
IF($C81="WS SF",VLOOKUP("GOAL",'2) หลักการคำนวน Table'!$D$32:$M$32,HLOOKUP(AI81,'2) หลักการคำนวน Table'!$D$1:$M$5,5,TRUE),0),
IF($C81="WS WH",VLOOKUP("GOAL",'2) หลักการคำนวน Table'!$D$62:$M$62,HLOOKUP(AI81,'2) หลักการคำนวน Table'!$D$1:$M$5,5,TRUE),0),
IF($C81="SF WH",VLOOKUP("GOAL",'2) หลักการคำนวน Table'!$D$92:$M$92,HLOOKUP(AI81,'2) หลักการคำนวน Table'!$D$1:$M$5,5,TRUE),0))))),0)</f>
        <v>0.9</v>
      </c>
      <c r="AV81" s="232">
        <f>IFERROR(IF($C81="Top WS",VLOOKUP("GOAL",'2) หลักการคำนวน Table'!$D$4:$M$4,HLOOKUP(AP81,'2) หลักการคำนวน Table'!$D$1:$M$5,5,TRUE),0),
IF($C81="WS SF",VLOOKUP("GOAL",'2) หลักการคำนวน Table'!$D$32:$M$32,HLOOKUP(AP81,'2) หลักการคำนวน Table'!$D$1:$M$5,5,TRUE),0),
IF($C81="WS WH",VLOOKUP("GOAL",'2) หลักการคำนวน Table'!$D$62:$M$62,HLOOKUP(AP81,'2) หลักการคำนวน Table'!$D$1:$M$5,5,TRUE),0),
IF($C81="SF WH",VLOOKUP("GOAL",'2) หลักการคำนวน Table'!$D$92:$M$92,HLOOKUP(AP81,'2) หลักการคำนวน Table'!$D$1:$M$5,5,TRUE),0))))),0)</f>
        <v>0.9</v>
      </c>
      <c r="AW81" s="232">
        <f>IFERROR(IF($C81="Top WS",VLOOKUP("GOAL",'2) หลักการคำนวน Table'!$D$4:$M$4,HLOOKUP(AK81,'2) หลักการคำนวน Table'!$D$1:$M$5,5,TRUE),0),
IF($C81="WS SF",VLOOKUP("GOAL",'2) หลักการคำนวน Table'!$D$32:$M$32,HLOOKUP(AK81,'2) หลักการคำนวน Table'!$D$1:$M$5,5,TRUE),0),
IF($C81="WS WH",VLOOKUP("GOAL",'2) หลักการคำนวน Table'!$D$62:$M$62,HLOOKUP(AK81,'2) หลักการคำนวน Table'!$D$1:$M$5,5,TRUE),0),
IF($C81="SF WH",VLOOKUP("GOAL",'2) หลักการคำนวน Table'!$D$92:$M$92,HLOOKUP(AK81,'2) หลักการคำนวน Table'!$D$1:$M$5,5,TRUE),0))))),0)</f>
        <v>0.9</v>
      </c>
      <c r="AX81" s="232">
        <f>IFERROR(IF($C81="Top WS",VLOOKUP("GOAL",'2) หลักการคำนวน Table'!$D$4:$M$4,HLOOKUP(AL81,'2) หลักการคำนวน Table'!$D$1:$M$5,5,TRUE),0),
IF($C81="WS SF",VLOOKUP("GOAL",'2) หลักการคำนวน Table'!$D$32:$M$32,HLOOKUP(AL81,'2) หลักการคำนวน Table'!$D$1:$M$5,5,TRUE),0),
IF($C81="WS WH",VLOOKUP("GOAL",'2) หลักการคำนวน Table'!$D$62:$M$62,HLOOKUP(AL81,'2) หลักการคำนวน Table'!$D$1:$M$5,5,TRUE),0),
IF($C81="SF WH",VLOOKUP("GOAL",'2) หลักการคำนวน Table'!$D$92:$M$92,HLOOKUP(AL81,'2) หลักการคำนวน Table'!$D$1:$M$5,5,TRUE),0))))),0)</f>
        <v>0.9</v>
      </c>
      <c r="AY81" s="232">
        <f>IFERROR(IF($C81="Top WS",VLOOKUP("GOAL",'2) หลักการคำนวน Table'!$D$4:$M$4,HLOOKUP(AM81,'2) หลักการคำนวน Table'!$D$1:$M$5,5,TRUE),0),
IF($C81="WS SF",VLOOKUP("GOAL",'2) หลักการคำนวน Table'!$D$32:$M$32,HLOOKUP(AM81,'2) หลักการคำนวน Table'!$D$1:$M$5,5,TRUE),0),
IF($C81="WS WH",VLOOKUP("GOAL",'2) หลักการคำนวน Table'!$D$62:$M$62,HLOOKUP(AM81,'2) หลักการคำนวน Table'!$D$1:$M$5,5,TRUE),0),
IF($C81="SF WH",VLOOKUP("GOAL",'2) หลักการคำนวน Table'!$D$92:$M$92,HLOOKUP(AM81,'2) หลักการคำนวน Table'!$D$1:$M$5,5,TRUE),0))))),0)</f>
        <v>0.9</v>
      </c>
      <c r="AZ81" s="167">
        <f>IFERROR(IF($C81="Top WS",VLOOKUP($B81,'2) หลักการคำนวน Table'!$D$5:$M$20,HLOOKUP(AB81,'2) หลักการคำนวน Table'!$D$1:$M$5,5,TRUE),0),
IF($C81="WS SF",VLOOKUP($B81,'2) หลักการคำนวน Table'!$D$33:$M$48,HLOOKUP(AB81,'2) หลักการคำนวน Table'!$D$1:$M$5,5,TRUE),0),
IF($C81="WS WH",VLOOKUP($B81,'2) หลักการคำนวน Table'!$D$63:$M$78,HLOOKUP(AB81,'2) หลักการคำนวน Table'!$D$1:$M$5,5,TRUE),0),
IF($C81="SF WH",VLOOKUP($B81,'2) หลักการคำนวน Table'!$D$93:$M$108,HLOOKUP(AB81,'2) หลักการคำนวน Table'!$D$1:$M$5,5,TRUE),0))))),0)</f>
        <v>400</v>
      </c>
      <c r="BA81" s="167">
        <f>IFERROR(IF($C81="Top WS",VLOOKUP($B81,'2) หลักการคำนวน Table'!$D$5:$M$20,HLOOKUP(AC81,'2) หลักการคำนวน Table'!$D$1:$M$5,5,TRUE),0),
IF($C81="WS SF",VLOOKUP($B81,'2) หลักการคำนวน Table'!$D$33:$M$48,HLOOKUP(AC81,'2) หลักการคำนวน Table'!$D$1:$M$5,5,TRUE),0),
IF($C81="WS WH",VLOOKUP($B81,'2) หลักการคำนวน Table'!$D$63:$M$78,HLOOKUP(AC81,'2) หลักการคำนวน Table'!$D$1:$M$5,5,TRUE),0),
IF($C81="SF WH",VLOOKUP($B81,'2) หลักการคำนวน Table'!$D$93:$M$108,HLOOKUP(AC81,'2) หลักการคำนวน Table'!$D$1:$M$5,5,TRUE),0))))),0)</f>
        <v>400</v>
      </c>
      <c r="BB81" s="167">
        <f>IFERROR(IF($C81="Top WS",VLOOKUP($B81,'2) หลักการคำนวน Table'!$D$5:$M$20,HLOOKUP(AD81,'2) หลักการคำนวน Table'!$D$1:$M$5,5,TRUE),0),
IF($C81="WS SF",VLOOKUP($B81,'2) หลักการคำนวน Table'!$D$33:$M$48,HLOOKUP(AD81,'2) หลักการคำนวน Table'!$D$1:$M$5,5,TRUE),0),
IF($C81="WS WH",VLOOKUP($B81,'2) หลักการคำนวน Table'!$D$63:$M$78,HLOOKUP(AD81,'2) หลักการคำนวน Table'!$D$1:$M$5,5,TRUE),0),
IF($C81="SF WH",VLOOKUP($B81,'2) หลักการคำนวน Table'!$D$93:$M$108,HLOOKUP(AD81,'2) หลักการคำนวน Table'!$D$1:$M$5,5,TRUE),0))))),0)</f>
        <v>360</v>
      </c>
      <c r="BC81" s="167">
        <f>IFERROR(IF($C81="Top WS",VLOOKUP($B81,'2) หลักการคำนวน Table'!$D$5:$M$20,HLOOKUP(AE81,'2) หลักการคำนวน Table'!$D$1:$M$5,5,TRUE),0),
IF($C81="WS SF",VLOOKUP($B81,'2) หลักการคำนวน Table'!$D$33:$M$48,HLOOKUP(AE81,'2) หลักการคำนวน Table'!$D$1:$M$5,5,TRUE),0),
IF($C81="WS WH",VLOOKUP($B81,'2) หลักการคำนวน Table'!$D$63:$M$78,HLOOKUP(AE81,'2) หลักการคำนวน Table'!$D$1:$M$5,5,TRUE),0),
IF($C81="SF WH",VLOOKUP($B81,'2) หลักการคำนวน Table'!$D$93:$M$108,HLOOKUP(AE81,'2) หลักการคำนวน Table'!$D$1:$M$5,5,TRUE),0))))),0)</f>
        <v>360</v>
      </c>
      <c r="BD81" s="167">
        <f>IFERROR(IF($C81="Top WS",VLOOKUP($B81,'2) หลักการคำนวน Table'!$D$5:$M$20,HLOOKUP(AF81,'2) หลักการคำนวน Table'!$D$1:$M$5,5,TRUE),0),
IF($C81="WS SF",VLOOKUP($B81,'2) หลักการคำนวน Table'!$D$33:$M$48,HLOOKUP(AF81,'2) หลักการคำนวน Table'!$D$1:$M$5,5,TRUE),0),
IF($C81="WS WH",VLOOKUP($B81,'2) หลักการคำนวน Table'!$D$63:$M$78,HLOOKUP(AF81,'2) หลักการคำนวน Table'!$D$1:$M$5,5,TRUE),0),
IF($C81="SF WH",VLOOKUP($B81,'2) หลักการคำนวน Table'!$D$93:$M$108,HLOOKUP(AF81,'2) หลักการคำนวน Table'!$D$1:$M$5,5,TRUE),0))))),0)</f>
        <v>360</v>
      </c>
      <c r="BE81" s="167">
        <f>IFERROR(IF($C81="Top WS",VLOOKUP($B81,'2) หลักการคำนวน Table'!$D$5:$M$20,HLOOKUP(AG81,'2) หลักการคำนวน Table'!$D$1:$M$5,5,TRUE),0),
IF($C81="WS SF",VLOOKUP($B81,'2) หลักการคำนวน Table'!$D$33:$M$48,HLOOKUP(AG81,'2) หลักการคำนวน Table'!$D$1:$M$5,5,TRUE),0),
IF($C81="WS WH",VLOOKUP($B81,'2) หลักการคำนวน Table'!$D$63:$M$78,HLOOKUP(AG81,'2) หลักการคำนวน Table'!$D$1:$M$5,5,TRUE),0),
IF($C81="SF WH",VLOOKUP($B81,'2) หลักการคำนวน Table'!$D$93:$M$108,HLOOKUP(AG81,'2) หลักการคำนวน Table'!$D$1:$M$5,5,TRUE),0))))),0)</f>
        <v>360</v>
      </c>
      <c r="BF81" s="167">
        <f>IFERROR(IF($C81="Top WS",VLOOKUP($B81,'2) หลักการคำนวน Table'!$D$5:$M$20,HLOOKUP(AH81,'2) หลักการคำนวน Table'!$D$1:$M$5,5,TRUE),0),
IF($C81="WS SF",VLOOKUP($B81,'2) หลักการคำนวน Table'!$D$33:$M$48,HLOOKUP(AH81,'2) หลักการคำนวน Table'!$D$1:$M$5,5,TRUE),0),
IF($C81="WS WH",VLOOKUP($B81,'2) หลักการคำนวน Table'!$D$63:$M$78,HLOOKUP(AH81,'2) หลักการคำนวน Table'!$D$1:$M$5,5,TRUE),0),
IF($C81="SF WH",VLOOKUP($B81,'2) หลักการคำนวน Table'!$D$93:$M$108,HLOOKUP(AH81,'2) หลักการคำนวน Table'!$D$1:$M$5,5,TRUE),0))))),0)</f>
        <v>360</v>
      </c>
      <c r="BG81" s="167">
        <f>IFERROR(IF($C81="Top WS",VLOOKUP($B81,'2) หลักการคำนวน Table'!$D$5:$M$20,HLOOKUP(AI81,'2) หลักการคำนวน Table'!$D$1:$M$5,5,TRUE),0),
IF($C81="WS SF",VLOOKUP($B81,'2) หลักการคำนวน Table'!$D$33:$M$48,HLOOKUP(AI81,'2) หลักการคำนวน Table'!$D$1:$M$5,5,TRUE),0),
IF($C81="WS WH",VLOOKUP($B81,'2) หลักการคำนวน Table'!$D$63:$M$78,HLOOKUP(AI81,'2) หลักการคำนวน Table'!$D$1:$M$5,5,TRUE),0),
IF($C81="SF WH",VLOOKUP($B81,'2) หลักการคำนวน Table'!$D$93:$M$108,HLOOKUP(AI81,'2) หลักการคำนวน Table'!$D$1:$M$5,5,TRUE),0))))),0)</f>
        <v>360</v>
      </c>
      <c r="BH81" s="167">
        <f>IFERROR(IF($C81="Top WS",VLOOKUP($B81,'2) หลักการคำนวน Table'!$D$5:$M$20,HLOOKUP(AP81,'2) หลักการคำนวน Table'!$D$1:$M$5,5,TRUE),0),
IF($C81="WS SF",VLOOKUP($B81,'2) หลักการคำนวน Table'!$D$33:$M$48,HLOOKUP(AP81,'2) หลักการคำนวน Table'!$D$1:$M$5,5,TRUE),0),
IF($C81="WS WH",VLOOKUP($B81,'2) หลักการคำนวน Table'!$D$63:$M$78,HLOOKUP(AP81,'2) หลักการคำนวน Table'!$D$1:$M$5,5,TRUE),0),
IF($C81="SF WH",VLOOKUP($B81,'2) หลักการคำนวน Table'!$D$93:$M$108,HLOOKUP(AP81,'2) หลักการคำนวน Table'!$D$1:$M$5,5,TRUE),0))))),0)</f>
        <v>360</v>
      </c>
      <c r="BI81" s="167">
        <f>IFERROR(IF($C81="Top WS",VLOOKUP($B81,'2) หลักการคำนวน Table'!$D$5:$M$20,HLOOKUP(AK81,'2) หลักการคำนวน Table'!$D$1:$M$5,5,TRUE),0),
IF($C81="WS SF",VLOOKUP($B81,'2) หลักการคำนวน Table'!$D$33:$M$48,HLOOKUP(AK81,'2) หลักการคำนวน Table'!$D$1:$M$5,5,TRUE),0),
IF($C81="WS WH",VLOOKUP($B81,'2) หลักการคำนวน Table'!$D$63:$M$78,HLOOKUP(AK81,'2) หลักการคำนวน Table'!$D$1:$M$5,5,TRUE),0),
IF($C81="SF WH",VLOOKUP($B81,'2) หลักการคำนวน Table'!$D$93:$M$108,HLOOKUP(AK81,'2) หลักการคำนวน Table'!$D$1:$M$5,5,TRUE),0))))),0)</f>
        <v>360</v>
      </c>
      <c r="BJ81" s="167">
        <f>IFERROR(IF($C81="Top WS",VLOOKUP($B81,'2) หลักการคำนวน Table'!$D$5:$M$20,HLOOKUP(AL81,'2) หลักการคำนวน Table'!$D$1:$M$5,5,TRUE),0),
IF($C81="WS SF",VLOOKUP($B81,'2) หลักการคำนวน Table'!$D$33:$M$48,HLOOKUP(AL81,'2) หลักการคำนวน Table'!$D$1:$M$5,5,TRUE),0),
IF($C81="WS WH",VLOOKUP($B81,'2) หลักการคำนวน Table'!$D$63:$M$78,HLOOKUP(AL81,'2) หลักการคำนวน Table'!$D$1:$M$5,5,TRUE),0),
IF($C81="SF WH",VLOOKUP($B81,'2) หลักการคำนวน Table'!$D$93:$M$108,HLOOKUP(AL81,'2) หลักการคำนวน Table'!$D$1:$M$5,5,TRUE),0))))),0)</f>
        <v>360</v>
      </c>
      <c r="BK81" s="167">
        <f>IFERROR(IF($C81="Top WS",VLOOKUP($B81,'2) หลักการคำนวน Table'!$D$5:$M$20,HLOOKUP(AM81,'2) หลักการคำนวน Table'!$D$1:$M$5,5,TRUE),0),
IF($C81="WS SF",VLOOKUP($B81,'2) หลักการคำนวน Table'!$D$33:$M$48,HLOOKUP(AM81,'2) หลักการคำนวน Table'!$D$1:$M$5,5,TRUE),0),
IF($C81="WS WH",VLOOKUP($B81,'2) หลักการคำนวน Table'!$D$63:$M$78,HLOOKUP(AM81,'2) หลักการคำนวน Table'!$D$1:$M$5,5,TRUE),0),
IF($C81="SF WH",VLOOKUP($B81,'2) หลักการคำนวน Table'!$D$93:$M$108,HLOOKUP(AM81,'2) หลักการคำนวน Table'!$D$1:$M$5,5,TRUE),0))))),0)</f>
        <v>360</v>
      </c>
      <c r="BM81" s="119">
        <f>VLOOKUP(VLOOKUP(A81,ASTBase!E:S,13,FALSE),ASTBase!F:P,11,FALSE)</f>
        <v>110000</v>
      </c>
      <c r="BN81" s="196" cm="1">
        <f t="array" ref="BN81">INDEX(AN81:AY81,,Period!$D$2)</f>
        <v>1</v>
      </c>
    </row>
    <row r="82" spans="1:66" x14ac:dyDescent="0.25">
      <c r="A82" s="388">
        <v>110001</v>
      </c>
      <c r="B82" s="388" t="s">
        <v>390</v>
      </c>
      <c r="C82" s="388" t="s">
        <v>178</v>
      </c>
      <c r="D82" s="118">
        <v>1249</v>
      </c>
      <c r="E82" s="118">
        <v>701</v>
      </c>
      <c r="F82" s="118">
        <v>785</v>
      </c>
      <c r="G82" s="118">
        <v>1152</v>
      </c>
      <c r="H82" s="118">
        <v>1068</v>
      </c>
      <c r="I82" s="118">
        <v>1245</v>
      </c>
      <c r="J82" s="118">
        <v>1142</v>
      </c>
      <c r="K82" s="118">
        <v>1189</v>
      </c>
      <c r="L82" s="118">
        <v>1124</v>
      </c>
      <c r="M82" s="118">
        <v>1101</v>
      </c>
      <c r="N82" s="118">
        <v>1124</v>
      </c>
      <c r="O82" s="118">
        <v>1142</v>
      </c>
      <c r="P82" s="117">
        <f>SUMIFS(Actual!C:C,Actual!$A:$A,'3)Target &amp; Cal'!$A82,Actual!$B:$B,'3)Target &amp; Cal'!$B82)</f>
        <v>49.999999999500005</v>
      </c>
      <c r="Q82" s="117">
        <f>SUMIFS(Actual!D:D,Actual!$A:$A,'3)Target &amp; Cal'!$A82,Actual!$B:$B,'3)Target &amp; Cal'!$B82)</f>
        <v>1009.9999999899001</v>
      </c>
      <c r="R82" s="117">
        <f>SUMIFS(Actual!E:E,Actual!$A:$A,'3)Target &amp; Cal'!$A82,Actual!$B:$B,'3)Target &amp; Cal'!$B82)</f>
        <v>0</v>
      </c>
      <c r="S82" s="117">
        <f>SUMIFS(Actual!F:F,Actual!$A:$A,'3)Target &amp; Cal'!$A82,Actual!$B:$B,'3)Target &amp; Cal'!$B82)</f>
        <v>0</v>
      </c>
      <c r="T82" s="117">
        <f>SUMIFS(Actual!G:G,Actual!$A:$A,'3)Target &amp; Cal'!$A82,Actual!$B:$B,'3)Target &amp; Cal'!$B82)</f>
        <v>0</v>
      </c>
      <c r="U82" s="117">
        <f>SUMIFS(Actual!H:H,Actual!$A:$A,'3)Target &amp; Cal'!$A82,Actual!$B:$B,'3)Target &amp; Cal'!$B82)</f>
        <v>0</v>
      </c>
      <c r="V82" s="117">
        <f>SUMIFS(Actual!I:I,Actual!$A:$A,'3)Target &amp; Cal'!$A82,Actual!$B:$B,'3)Target &amp; Cal'!$B82)</f>
        <v>0</v>
      </c>
      <c r="W82" s="117">
        <f>SUMIFS(Actual!J:J,Actual!$A:$A,'3)Target &amp; Cal'!$A82,Actual!$B:$B,'3)Target &amp; Cal'!$B82)</f>
        <v>0</v>
      </c>
      <c r="X82" s="117">
        <f>SUMIFS(Actual!K:K,Actual!$A:$A,'3)Target &amp; Cal'!$A82,Actual!$B:$B,'3)Target &amp; Cal'!$B82)</f>
        <v>0</v>
      </c>
      <c r="Y82" s="117">
        <f>SUMIFS(Actual!L:L,Actual!$A:$A,'3)Target &amp; Cal'!$A82,Actual!$B:$B,'3)Target &amp; Cal'!$B82)</f>
        <v>0</v>
      </c>
      <c r="Z82" s="117">
        <f>SUMIFS(Actual!M:M,Actual!$A:$A,'3)Target &amp; Cal'!$A82,Actual!$B:$B,'3)Target &amp; Cal'!$B82)</f>
        <v>0</v>
      </c>
      <c r="AA82" s="117">
        <f>SUMIFS(Actual!N:N,Actual!$A:$A,'3)Target &amp; Cal'!$A82,Actual!$B:$B,'3)Target &amp; Cal'!$B82)</f>
        <v>0</v>
      </c>
      <c r="AB82" s="123">
        <f>IFERROR(IF(VLOOKUP($B82,Shortage!$A:$M,AB$2,FALSE)="Shortage",1,IFERROR(ROUND(P82/D82,4),0)),IFERROR(ROUND(P82/D82,4),0))</f>
        <v>0.04</v>
      </c>
      <c r="AC82" s="123">
        <f>IFERROR(IF(VLOOKUP($B82,Shortage!$A:$M,AC$2,FALSE)="Shortage",1,IFERROR(ROUND(Q82/E82,4),0)),IFERROR(ROUND(Q82/E82,4),0))</f>
        <v>1.4408000000000001</v>
      </c>
      <c r="AD82" s="123">
        <f>IFERROR(IF(VLOOKUP($B82,Shortage!$A:$M,AD$2,FALSE)="Shortage",1,IFERROR(ROUND(R82/F82,4),0)),IFERROR(ROUND(R82/F82,4),0))</f>
        <v>0</v>
      </c>
      <c r="AE82" s="123">
        <f>IFERROR(IF(VLOOKUP($B82,Shortage!$A:$M,AE$2,FALSE)="Shortage",1,IFERROR(ROUND(S82/G82,4),0)),IFERROR(ROUND(S82/G82,4),0))</f>
        <v>0</v>
      </c>
      <c r="AF82" s="123">
        <f>IFERROR(IF(VLOOKUP($B82,Shortage!$A:$M,AF$2,FALSE)="Shortage",1,IFERROR(ROUND(T82/H82,4),0)),IFERROR(ROUND(T82/H82,4),0))</f>
        <v>0</v>
      </c>
      <c r="AG82" s="123">
        <f>IFERROR(IF(VLOOKUP($B82,Shortage!$A:$M,AG$2,FALSE)="Shortage",1,IFERROR(ROUND(U82/I82,4),0)),IFERROR(ROUND(U82/I82,4),0))</f>
        <v>0</v>
      </c>
      <c r="AH82" s="123">
        <f>IFERROR(IF(VLOOKUP($B82,Shortage!$A:$M,AH$2,FALSE)="Shortage",1,IFERROR(ROUND(V82/J82,4),0)),IFERROR(ROUND(V82/J82,4),0))</f>
        <v>0</v>
      </c>
      <c r="AI82" s="123">
        <f>IFERROR(IF(VLOOKUP($B82,Shortage!$A:$M,AI$2,FALSE)="Shortage",1,IFERROR(ROUND(W82/K82,4),0)),IFERROR(ROUND(W82/K82,4),0))</f>
        <v>0</v>
      </c>
      <c r="AJ82" s="123">
        <f>IFERROR(IF(VLOOKUP($B82,Shortage!$A:$M,AP$2,FALSE)="Shortage",1,IFERROR(ROUND(X82/L82,4),0)),IFERROR(ROUND(X82/L82,4),0))</f>
        <v>0</v>
      </c>
      <c r="AK82" s="123">
        <f>IFERROR(IF(VLOOKUP($B82,Shortage!$A:$M,AK$2,FALSE)="Shortage",1,IFERROR(ROUND(Y82/M82,4),0)),IFERROR(ROUND(Y82/M82,4),0))</f>
        <v>0</v>
      </c>
      <c r="AL82" s="123">
        <f>IFERROR(IF(VLOOKUP($B82,Shortage!$A:$M,AL$2,FALSE)="Shortage",1,IFERROR(ROUND(Z82/N82,4),0)),IFERROR(ROUND(Z82/N82,4),0))</f>
        <v>0</v>
      </c>
      <c r="AM82" s="123">
        <f>IFERROR(IF(VLOOKUP($B82,Shortage!$A:$M,AM$2,FALSE)="Shortage",1,IFERROR(ROUND(AA82/O82,4),0)),IFERROR(ROUND(AA82/O82,4),0))</f>
        <v>0</v>
      </c>
      <c r="AN82" s="232">
        <f>IFERROR(IF($C82="Top WS",VLOOKUP("GOAL",'2) หลักการคำนวน Table'!$D$4:$M$4,HLOOKUP(AB82,'2) หลักการคำนวน Table'!$D$1:$M$5,5,TRUE),0),
IF($C82="WS SF",VLOOKUP("GOAL",'2) หลักการคำนวน Table'!$D$32:$M$32,HLOOKUP(AB82,'2) หลักการคำนวน Table'!$D$1:$M$5,5,TRUE),0),
IF($C82="WS WH",VLOOKUP("GOAL",'2) หลักการคำนวน Table'!$D$62:$M$62,HLOOKUP(AB82,'2) หลักการคำนวน Table'!$D$1:$M$5,5,TRUE),0),
IF($C82="SF WH",VLOOKUP("GOAL",'2) หลักการคำนวน Table'!$D$92:$M$92,HLOOKUP(AB82,'2) หลักการคำนวน Table'!$D$1:$M$5,5,TRUE),0))))),0)</f>
        <v>0.9</v>
      </c>
      <c r="AO82" s="232">
        <f>IFERROR(IF($C82="Top WS",VLOOKUP("GOAL",'2) หลักการคำนวน Table'!$D$4:$M$4,HLOOKUP(AC82,'2) หลักการคำนวน Table'!$D$1:$M$5,5,TRUE),0),
IF($C82="WS SF",VLOOKUP("GOAL",'2) หลักการคำนวน Table'!$D$32:$M$32,HLOOKUP(AC82,'2) หลักการคำนวน Table'!$D$1:$M$5,5,TRUE),0),
IF($C82="WS WH",VLOOKUP("GOAL",'2) หลักการคำนวน Table'!$D$62:$M$62,HLOOKUP(AC82,'2) หลักการคำนวน Table'!$D$1:$M$5,5,TRUE),0),
IF($C82="SF WH",VLOOKUP("GOAL",'2) หลักการคำนวน Table'!$D$92:$M$92,HLOOKUP(AC82,'2) หลักการคำนวน Table'!$D$1:$M$5,5,TRUE),0))))),0)</f>
        <v>1.3</v>
      </c>
      <c r="AP82" s="232">
        <f>IFERROR(IF($C82="Top WS",VLOOKUP("GOAL",'2) หลักการคำนวน Table'!$D$4:$M$4,HLOOKUP(AD82,'2) หลักการคำนวน Table'!$D$1:$M$5,5,TRUE),0),
IF($C82="WS SF",VLOOKUP("GOAL",'2) หลักการคำนวน Table'!$D$32:$M$32,HLOOKUP(AD82,'2) หลักการคำนวน Table'!$D$1:$M$5,5,TRUE),0),
IF($C82="WS WH",VLOOKUP("GOAL",'2) หลักการคำนวน Table'!$D$62:$M$62,HLOOKUP(AD82,'2) หลักการคำนวน Table'!$D$1:$M$5,5,TRUE),0),
IF($C82="SF WH",VLOOKUP("GOAL",'2) หลักการคำนวน Table'!$D$92:$M$92,HLOOKUP(AD82,'2) หลักการคำนวน Table'!$D$1:$M$5,5,TRUE),0))))),0)</f>
        <v>0.9</v>
      </c>
      <c r="AQ82" s="232">
        <f>IFERROR(IF($C82="Top WS",VLOOKUP("GOAL",'2) หลักการคำนวน Table'!$D$4:$M$4,HLOOKUP(AE82,'2) หลักการคำนวน Table'!$D$1:$M$5,5,TRUE),0),
IF($C82="WS SF",VLOOKUP("GOAL",'2) หลักการคำนวน Table'!$D$32:$M$32,HLOOKUP(AE82,'2) หลักการคำนวน Table'!$D$1:$M$5,5,TRUE),0),
IF($C82="WS WH",VLOOKUP("GOAL",'2) หลักการคำนวน Table'!$D$62:$M$62,HLOOKUP(AE82,'2) หลักการคำนวน Table'!$D$1:$M$5,5,TRUE),0),
IF($C82="SF WH",VLOOKUP("GOAL",'2) หลักการคำนวน Table'!$D$92:$M$92,HLOOKUP(AE82,'2) หลักการคำนวน Table'!$D$1:$M$5,5,TRUE),0))))),0)</f>
        <v>0.9</v>
      </c>
      <c r="AR82" s="232">
        <f>IFERROR(IF($C82="Top WS",VLOOKUP("GOAL",'2) หลักการคำนวน Table'!$D$4:$M$4,HLOOKUP(AF82,'2) หลักการคำนวน Table'!$D$1:$M$5,5,TRUE),0),
IF($C82="WS SF",VLOOKUP("GOAL",'2) หลักการคำนวน Table'!$D$32:$M$32,HLOOKUP(AF82,'2) หลักการคำนวน Table'!$D$1:$M$5,5,TRUE),0),
IF($C82="WS WH",VLOOKUP("GOAL",'2) หลักการคำนวน Table'!$D$62:$M$62,HLOOKUP(AF82,'2) หลักการคำนวน Table'!$D$1:$M$5,5,TRUE),0),
IF($C82="SF WH",VLOOKUP("GOAL",'2) หลักการคำนวน Table'!$D$92:$M$92,HLOOKUP(AF82,'2) หลักการคำนวน Table'!$D$1:$M$5,5,TRUE),0))))),0)</f>
        <v>0.9</v>
      </c>
      <c r="AS82" s="232">
        <f>IFERROR(IF($C82="Top WS",VLOOKUP("GOAL",'2) หลักการคำนวน Table'!$D$4:$M$4,HLOOKUP(AG82,'2) หลักการคำนวน Table'!$D$1:$M$5,5,TRUE),0),
IF($C82="WS SF",VLOOKUP("GOAL",'2) หลักการคำนวน Table'!$D$32:$M$32,HLOOKUP(AG82,'2) หลักการคำนวน Table'!$D$1:$M$5,5,TRUE),0),
IF($C82="WS WH",VLOOKUP("GOAL",'2) หลักการคำนวน Table'!$D$62:$M$62,HLOOKUP(AG82,'2) หลักการคำนวน Table'!$D$1:$M$5,5,TRUE),0),
IF($C82="SF WH",VLOOKUP("GOAL",'2) หลักการคำนวน Table'!$D$92:$M$92,HLOOKUP(AG82,'2) หลักการคำนวน Table'!$D$1:$M$5,5,TRUE),0))))),0)</f>
        <v>0.9</v>
      </c>
      <c r="AT82" s="232">
        <f>IFERROR(IF($C82="Top WS",VLOOKUP("GOAL",'2) หลักการคำนวน Table'!$D$4:$M$4,HLOOKUP(AH82,'2) หลักการคำนวน Table'!$D$1:$M$5,5,TRUE),0),
IF($C82="WS SF",VLOOKUP("GOAL",'2) หลักการคำนวน Table'!$D$32:$M$32,HLOOKUP(AH82,'2) หลักการคำนวน Table'!$D$1:$M$5,5,TRUE),0),
IF($C82="WS WH",VLOOKUP("GOAL",'2) หลักการคำนวน Table'!$D$62:$M$62,HLOOKUP(AH82,'2) หลักการคำนวน Table'!$D$1:$M$5,5,TRUE),0),
IF($C82="SF WH",VLOOKUP("GOAL",'2) หลักการคำนวน Table'!$D$92:$M$92,HLOOKUP(AH82,'2) หลักการคำนวน Table'!$D$1:$M$5,5,TRUE),0))))),0)</f>
        <v>0.9</v>
      </c>
      <c r="AU82" s="232">
        <f>IFERROR(IF($C82="Top WS",VLOOKUP("GOAL",'2) หลักการคำนวน Table'!$D$4:$M$4,HLOOKUP(AI82,'2) หลักการคำนวน Table'!$D$1:$M$5,5,TRUE),0),
IF($C82="WS SF",VLOOKUP("GOAL",'2) หลักการคำนวน Table'!$D$32:$M$32,HLOOKUP(AI82,'2) หลักการคำนวน Table'!$D$1:$M$5,5,TRUE),0),
IF($C82="WS WH",VLOOKUP("GOAL",'2) หลักการคำนวน Table'!$D$62:$M$62,HLOOKUP(AI82,'2) หลักการคำนวน Table'!$D$1:$M$5,5,TRUE),0),
IF($C82="SF WH",VLOOKUP("GOAL",'2) หลักการคำนวน Table'!$D$92:$M$92,HLOOKUP(AI82,'2) หลักการคำนวน Table'!$D$1:$M$5,5,TRUE),0))))),0)</f>
        <v>0.9</v>
      </c>
      <c r="AV82" s="232">
        <f>IFERROR(IF($C82="Top WS",VLOOKUP("GOAL",'2) หลักการคำนวน Table'!$D$4:$M$4,HLOOKUP(AP82,'2) หลักการคำนวน Table'!$D$1:$M$5,5,TRUE),0),
IF($C82="WS SF",VLOOKUP("GOAL",'2) หลักการคำนวน Table'!$D$32:$M$32,HLOOKUP(AP82,'2) หลักการคำนวน Table'!$D$1:$M$5,5,TRUE),0),
IF($C82="WS WH",VLOOKUP("GOAL",'2) หลักการคำนวน Table'!$D$62:$M$62,HLOOKUP(AP82,'2) หลักการคำนวน Table'!$D$1:$M$5,5,TRUE),0),
IF($C82="SF WH",VLOOKUP("GOAL",'2) หลักการคำนวน Table'!$D$92:$M$92,HLOOKUP(AP82,'2) หลักการคำนวน Table'!$D$1:$M$5,5,TRUE),0))))),0)</f>
        <v>0.9</v>
      </c>
      <c r="AW82" s="232">
        <f>IFERROR(IF($C82="Top WS",VLOOKUP("GOAL",'2) หลักการคำนวน Table'!$D$4:$M$4,HLOOKUP(AK82,'2) หลักการคำนวน Table'!$D$1:$M$5,5,TRUE),0),
IF($C82="WS SF",VLOOKUP("GOAL",'2) หลักการคำนวน Table'!$D$32:$M$32,HLOOKUP(AK82,'2) หลักการคำนวน Table'!$D$1:$M$5,5,TRUE),0),
IF($C82="WS WH",VLOOKUP("GOAL",'2) หลักการคำนวน Table'!$D$62:$M$62,HLOOKUP(AK82,'2) หลักการคำนวน Table'!$D$1:$M$5,5,TRUE),0),
IF($C82="SF WH",VLOOKUP("GOAL",'2) หลักการคำนวน Table'!$D$92:$M$92,HLOOKUP(AK82,'2) หลักการคำนวน Table'!$D$1:$M$5,5,TRUE),0))))),0)</f>
        <v>0.9</v>
      </c>
      <c r="AX82" s="232">
        <f>IFERROR(IF($C82="Top WS",VLOOKUP("GOAL",'2) หลักการคำนวน Table'!$D$4:$M$4,HLOOKUP(AL82,'2) หลักการคำนวน Table'!$D$1:$M$5,5,TRUE),0),
IF($C82="WS SF",VLOOKUP("GOAL",'2) หลักการคำนวน Table'!$D$32:$M$32,HLOOKUP(AL82,'2) หลักการคำนวน Table'!$D$1:$M$5,5,TRUE),0),
IF($C82="WS WH",VLOOKUP("GOAL",'2) หลักการคำนวน Table'!$D$62:$M$62,HLOOKUP(AL82,'2) หลักการคำนวน Table'!$D$1:$M$5,5,TRUE),0),
IF($C82="SF WH",VLOOKUP("GOAL",'2) หลักการคำนวน Table'!$D$92:$M$92,HLOOKUP(AL82,'2) หลักการคำนวน Table'!$D$1:$M$5,5,TRUE),0))))),0)</f>
        <v>0.9</v>
      </c>
      <c r="AY82" s="232">
        <f>IFERROR(IF($C82="Top WS",VLOOKUP("GOAL",'2) หลักการคำนวน Table'!$D$4:$M$4,HLOOKUP(AM82,'2) หลักการคำนวน Table'!$D$1:$M$5,5,TRUE),0),
IF($C82="WS SF",VLOOKUP("GOAL",'2) หลักการคำนวน Table'!$D$32:$M$32,HLOOKUP(AM82,'2) หลักการคำนวน Table'!$D$1:$M$5,5,TRUE),0),
IF($C82="WS WH",VLOOKUP("GOAL",'2) หลักการคำนวน Table'!$D$62:$M$62,HLOOKUP(AM82,'2) หลักการคำนวน Table'!$D$1:$M$5,5,TRUE),0),
IF($C82="SF WH",VLOOKUP("GOAL",'2) หลักการคำนวน Table'!$D$92:$M$92,HLOOKUP(AM82,'2) หลักการคำนวน Table'!$D$1:$M$5,5,TRUE),0))))),0)</f>
        <v>0.9</v>
      </c>
      <c r="AZ82" s="167">
        <f>IFERROR(IF($C82="Top WS",VLOOKUP($B82,'2) หลักการคำนวน Table'!$D$5:$M$20,HLOOKUP(AB82,'2) หลักการคำนวน Table'!$D$1:$M$5,5,TRUE),0),
IF($C82="WS SF",VLOOKUP($B82,'2) หลักการคำนวน Table'!$D$33:$M$48,HLOOKUP(AB82,'2) หลักการคำนวน Table'!$D$1:$M$5,5,TRUE),0),
IF($C82="WS WH",VLOOKUP($B82,'2) หลักการคำนวน Table'!$D$63:$M$78,HLOOKUP(AB82,'2) หลักการคำนวน Table'!$D$1:$M$5,5,TRUE),0),
IF($C82="SF WH",VLOOKUP($B82,'2) หลักการคำนวน Table'!$D$93:$M$108,HLOOKUP(AB82,'2) หลักการคำนวน Table'!$D$1:$M$5,5,TRUE),0))))),0)</f>
        <v>720</v>
      </c>
      <c r="BA82" s="167">
        <f>IFERROR(IF($C82="Top WS",VLOOKUP($B82,'2) หลักการคำนวน Table'!$D$5:$M$20,HLOOKUP(AC82,'2) หลักการคำนวน Table'!$D$1:$M$5,5,TRUE),0),
IF($C82="WS SF",VLOOKUP($B82,'2) หลักการคำนวน Table'!$D$33:$M$48,HLOOKUP(AC82,'2) หลักการคำนวน Table'!$D$1:$M$5,5,TRUE),0),
IF($C82="WS WH",VLOOKUP($B82,'2) หลักการคำนวน Table'!$D$63:$M$78,HLOOKUP(AC82,'2) หลักการคำนวน Table'!$D$1:$M$5,5,TRUE),0),
IF($C82="SF WH",VLOOKUP($B82,'2) หลักการคำนวน Table'!$D$93:$M$108,HLOOKUP(AC82,'2) หลักการคำนวน Table'!$D$1:$M$5,5,TRUE),0))))),0)</f>
        <v>1040</v>
      </c>
      <c r="BB82" s="167">
        <f>IFERROR(IF($C82="Top WS",VLOOKUP($B82,'2) หลักการคำนวน Table'!$D$5:$M$20,HLOOKUP(AD82,'2) หลักการคำนวน Table'!$D$1:$M$5,5,TRUE),0),
IF($C82="WS SF",VLOOKUP($B82,'2) หลักการคำนวน Table'!$D$33:$M$48,HLOOKUP(AD82,'2) หลักการคำนวน Table'!$D$1:$M$5,5,TRUE),0),
IF($C82="WS WH",VLOOKUP($B82,'2) หลักการคำนวน Table'!$D$63:$M$78,HLOOKUP(AD82,'2) หลักการคำนวน Table'!$D$1:$M$5,5,TRUE),0),
IF($C82="SF WH",VLOOKUP($B82,'2) หลักการคำนวน Table'!$D$93:$M$108,HLOOKUP(AD82,'2) หลักการคำนวน Table'!$D$1:$M$5,5,TRUE),0))))),0)</f>
        <v>720</v>
      </c>
      <c r="BC82" s="167">
        <f>IFERROR(IF($C82="Top WS",VLOOKUP($B82,'2) หลักการคำนวน Table'!$D$5:$M$20,HLOOKUP(AE82,'2) หลักการคำนวน Table'!$D$1:$M$5,5,TRUE),0),
IF($C82="WS SF",VLOOKUP($B82,'2) หลักการคำนวน Table'!$D$33:$M$48,HLOOKUP(AE82,'2) หลักการคำนวน Table'!$D$1:$M$5,5,TRUE),0),
IF($C82="WS WH",VLOOKUP($B82,'2) หลักการคำนวน Table'!$D$63:$M$78,HLOOKUP(AE82,'2) หลักการคำนวน Table'!$D$1:$M$5,5,TRUE),0),
IF($C82="SF WH",VLOOKUP($B82,'2) หลักการคำนวน Table'!$D$93:$M$108,HLOOKUP(AE82,'2) หลักการคำนวน Table'!$D$1:$M$5,5,TRUE),0))))),0)</f>
        <v>720</v>
      </c>
      <c r="BD82" s="167">
        <f>IFERROR(IF($C82="Top WS",VLOOKUP($B82,'2) หลักการคำนวน Table'!$D$5:$M$20,HLOOKUP(AF82,'2) หลักการคำนวน Table'!$D$1:$M$5,5,TRUE),0),
IF($C82="WS SF",VLOOKUP($B82,'2) หลักการคำนวน Table'!$D$33:$M$48,HLOOKUP(AF82,'2) หลักการคำนวน Table'!$D$1:$M$5,5,TRUE),0),
IF($C82="WS WH",VLOOKUP($B82,'2) หลักการคำนวน Table'!$D$63:$M$78,HLOOKUP(AF82,'2) หลักการคำนวน Table'!$D$1:$M$5,5,TRUE),0),
IF($C82="SF WH",VLOOKUP($B82,'2) หลักการคำนวน Table'!$D$93:$M$108,HLOOKUP(AF82,'2) หลักการคำนวน Table'!$D$1:$M$5,5,TRUE),0))))),0)</f>
        <v>720</v>
      </c>
      <c r="BE82" s="167">
        <f>IFERROR(IF($C82="Top WS",VLOOKUP($B82,'2) หลักการคำนวน Table'!$D$5:$M$20,HLOOKUP(AG82,'2) หลักการคำนวน Table'!$D$1:$M$5,5,TRUE),0),
IF($C82="WS SF",VLOOKUP($B82,'2) หลักการคำนวน Table'!$D$33:$M$48,HLOOKUP(AG82,'2) หลักการคำนวน Table'!$D$1:$M$5,5,TRUE),0),
IF($C82="WS WH",VLOOKUP($B82,'2) หลักการคำนวน Table'!$D$63:$M$78,HLOOKUP(AG82,'2) หลักการคำนวน Table'!$D$1:$M$5,5,TRUE),0),
IF($C82="SF WH",VLOOKUP($B82,'2) หลักการคำนวน Table'!$D$93:$M$108,HLOOKUP(AG82,'2) หลักการคำนวน Table'!$D$1:$M$5,5,TRUE),0))))),0)</f>
        <v>720</v>
      </c>
      <c r="BF82" s="167">
        <f>IFERROR(IF($C82="Top WS",VLOOKUP($B82,'2) หลักการคำนวน Table'!$D$5:$M$20,HLOOKUP(AH82,'2) หลักการคำนวน Table'!$D$1:$M$5,5,TRUE),0),
IF($C82="WS SF",VLOOKUP($B82,'2) หลักการคำนวน Table'!$D$33:$M$48,HLOOKUP(AH82,'2) หลักการคำนวน Table'!$D$1:$M$5,5,TRUE),0),
IF($C82="WS WH",VLOOKUP($B82,'2) หลักการคำนวน Table'!$D$63:$M$78,HLOOKUP(AH82,'2) หลักการคำนวน Table'!$D$1:$M$5,5,TRUE),0),
IF($C82="SF WH",VLOOKUP($B82,'2) หลักการคำนวน Table'!$D$93:$M$108,HLOOKUP(AH82,'2) หลักการคำนวน Table'!$D$1:$M$5,5,TRUE),0))))),0)</f>
        <v>720</v>
      </c>
      <c r="BG82" s="167">
        <f>IFERROR(IF($C82="Top WS",VLOOKUP($B82,'2) หลักการคำนวน Table'!$D$5:$M$20,HLOOKUP(AI82,'2) หลักการคำนวน Table'!$D$1:$M$5,5,TRUE),0),
IF($C82="WS SF",VLOOKUP($B82,'2) หลักการคำนวน Table'!$D$33:$M$48,HLOOKUP(AI82,'2) หลักการคำนวน Table'!$D$1:$M$5,5,TRUE),0),
IF($C82="WS WH",VLOOKUP($B82,'2) หลักการคำนวน Table'!$D$63:$M$78,HLOOKUP(AI82,'2) หลักการคำนวน Table'!$D$1:$M$5,5,TRUE),0),
IF($C82="SF WH",VLOOKUP($B82,'2) หลักการคำนวน Table'!$D$93:$M$108,HLOOKUP(AI82,'2) หลักการคำนวน Table'!$D$1:$M$5,5,TRUE),0))))),0)</f>
        <v>720</v>
      </c>
      <c r="BH82" s="167">
        <f>IFERROR(IF($C82="Top WS",VLOOKUP($B82,'2) หลักการคำนวน Table'!$D$5:$M$20,HLOOKUP(AP82,'2) หลักการคำนวน Table'!$D$1:$M$5,5,TRUE),0),
IF($C82="WS SF",VLOOKUP($B82,'2) หลักการคำนวน Table'!$D$33:$M$48,HLOOKUP(AP82,'2) หลักการคำนวน Table'!$D$1:$M$5,5,TRUE),0),
IF($C82="WS WH",VLOOKUP($B82,'2) หลักการคำนวน Table'!$D$63:$M$78,HLOOKUP(AP82,'2) หลักการคำนวน Table'!$D$1:$M$5,5,TRUE),0),
IF($C82="SF WH",VLOOKUP($B82,'2) หลักการคำนวน Table'!$D$93:$M$108,HLOOKUP(AP82,'2) หลักการคำนวน Table'!$D$1:$M$5,5,TRUE),0))))),0)</f>
        <v>720</v>
      </c>
      <c r="BI82" s="167">
        <f>IFERROR(IF($C82="Top WS",VLOOKUP($B82,'2) หลักการคำนวน Table'!$D$5:$M$20,HLOOKUP(AK82,'2) หลักการคำนวน Table'!$D$1:$M$5,5,TRUE),0),
IF($C82="WS SF",VLOOKUP($B82,'2) หลักการคำนวน Table'!$D$33:$M$48,HLOOKUP(AK82,'2) หลักการคำนวน Table'!$D$1:$M$5,5,TRUE),0),
IF($C82="WS WH",VLOOKUP($B82,'2) หลักการคำนวน Table'!$D$63:$M$78,HLOOKUP(AK82,'2) หลักการคำนวน Table'!$D$1:$M$5,5,TRUE),0),
IF($C82="SF WH",VLOOKUP($B82,'2) หลักการคำนวน Table'!$D$93:$M$108,HLOOKUP(AK82,'2) หลักการคำนวน Table'!$D$1:$M$5,5,TRUE),0))))),0)</f>
        <v>720</v>
      </c>
      <c r="BJ82" s="167">
        <f>IFERROR(IF($C82="Top WS",VLOOKUP($B82,'2) หลักการคำนวน Table'!$D$5:$M$20,HLOOKUP(AL82,'2) หลักการคำนวน Table'!$D$1:$M$5,5,TRUE),0),
IF($C82="WS SF",VLOOKUP($B82,'2) หลักการคำนวน Table'!$D$33:$M$48,HLOOKUP(AL82,'2) หลักการคำนวน Table'!$D$1:$M$5,5,TRUE),0),
IF($C82="WS WH",VLOOKUP($B82,'2) หลักการคำนวน Table'!$D$63:$M$78,HLOOKUP(AL82,'2) หลักการคำนวน Table'!$D$1:$M$5,5,TRUE),0),
IF($C82="SF WH",VLOOKUP($B82,'2) หลักการคำนวน Table'!$D$93:$M$108,HLOOKUP(AL82,'2) หลักการคำนวน Table'!$D$1:$M$5,5,TRUE),0))))),0)</f>
        <v>720</v>
      </c>
      <c r="BK82" s="167">
        <f>IFERROR(IF($C82="Top WS",VLOOKUP($B82,'2) หลักการคำนวน Table'!$D$5:$M$20,HLOOKUP(AM82,'2) หลักการคำนวน Table'!$D$1:$M$5,5,TRUE),0),
IF($C82="WS SF",VLOOKUP($B82,'2) หลักการคำนวน Table'!$D$33:$M$48,HLOOKUP(AM82,'2) หลักการคำนวน Table'!$D$1:$M$5,5,TRUE),0),
IF($C82="WS WH",VLOOKUP($B82,'2) หลักการคำนวน Table'!$D$63:$M$78,HLOOKUP(AM82,'2) หลักการคำนวน Table'!$D$1:$M$5,5,TRUE),0),
IF($C82="SF WH",VLOOKUP($B82,'2) หลักการคำนวน Table'!$D$93:$M$108,HLOOKUP(AM82,'2) หลักการคำนวน Table'!$D$1:$M$5,5,TRUE),0))))),0)</f>
        <v>720</v>
      </c>
      <c r="BM82" s="119">
        <f>VLOOKUP(VLOOKUP(A82,ASTBase!E:S,13,FALSE),ASTBase!F:P,11,FALSE)</f>
        <v>110000</v>
      </c>
      <c r="BN82" s="196" cm="1">
        <f t="array" ref="BN82">INDEX(AN82:AY82,,Period!$D$2)</f>
        <v>1.3</v>
      </c>
    </row>
    <row r="83" spans="1:66" x14ac:dyDescent="0.25">
      <c r="A83" s="388">
        <v>110001</v>
      </c>
      <c r="B83" s="388" t="s">
        <v>392</v>
      </c>
      <c r="C83" s="388" t="s">
        <v>178</v>
      </c>
      <c r="D83" s="118">
        <v>29</v>
      </c>
      <c r="E83" s="118">
        <v>14</v>
      </c>
      <c r="F83" s="118">
        <v>14</v>
      </c>
      <c r="G83" s="118">
        <v>22</v>
      </c>
      <c r="H83" s="118">
        <v>19</v>
      </c>
      <c r="I83" s="118">
        <v>11</v>
      </c>
      <c r="J83" s="118">
        <v>29</v>
      </c>
      <c r="K83" s="118">
        <v>16</v>
      </c>
      <c r="L83" s="118">
        <v>19</v>
      </c>
      <c r="M83" s="118">
        <v>25</v>
      </c>
      <c r="N83" s="118">
        <v>26</v>
      </c>
      <c r="O83" s="118">
        <v>26</v>
      </c>
      <c r="P83" s="117">
        <f>SUMIFS(Actual!C:C,Actual!$A:$A,'3)Target &amp; Cal'!$A83,Actual!$B:$B,'3)Target &amp; Cal'!$B83)</f>
        <v>0</v>
      </c>
      <c r="Q83" s="117">
        <f>SUMIFS(Actual!D:D,Actual!$A:$A,'3)Target &amp; Cal'!$A83,Actual!$B:$B,'3)Target &amp; Cal'!$B83)</f>
        <v>0</v>
      </c>
      <c r="R83" s="117">
        <f>SUMIFS(Actual!E:E,Actual!$A:$A,'3)Target &amp; Cal'!$A83,Actual!$B:$B,'3)Target &amp; Cal'!$B83)</f>
        <v>0</v>
      </c>
      <c r="S83" s="117">
        <f>SUMIFS(Actual!F:F,Actual!$A:$A,'3)Target &amp; Cal'!$A83,Actual!$B:$B,'3)Target &amp; Cal'!$B83)</f>
        <v>0</v>
      </c>
      <c r="T83" s="117">
        <f>SUMIFS(Actual!G:G,Actual!$A:$A,'3)Target &amp; Cal'!$A83,Actual!$B:$B,'3)Target &amp; Cal'!$B83)</f>
        <v>0</v>
      </c>
      <c r="U83" s="117">
        <f>SUMIFS(Actual!H:H,Actual!$A:$A,'3)Target &amp; Cal'!$A83,Actual!$B:$B,'3)Target &amp; Cal'!$B83)</f>
        <v>0</v>
      </c>
      <c r="V83" s="117">
        <f>SUMIFS(Actual!I:I,Actual!$A:$A,'3)Target &amp; Cal'!$A83,Actual!$B:$B,'3)Target &amp; Cal'!$B83)</f>
        <v>0</v>
      </c>
      <c r="W83" s="117">
        <f>SUMIFS(Actual!J:J,Actual!$A:$A,'3)Target &amp; Cal'!$A83,Actual!$B:$B,'3)Target &amp; Cal'!$B83)</f>
        <v>0</v>
      </c>
      <c r="X83" s="117">
        <f>SUMIFS(Actual!K:K,Actual!$A:$A,'3)Target &amp; Cal'!$A83,Actual!$B:$B,'3)Target &amp; Cal'!$B83)</f>
        <v>0</v>
      </c>
      <c r="Y83" s="117">
        <f>SUMIFS(Actual!L:L,Actual!$A:$A,'3)Target &amp; Cal'!$A83,Actual!$B:$B,'3)Target &amp; Cal'!$B83)</f>
        <v>0</v>
      </c>
      <c r="Z83" s="117">
        <f>SUMIFS(Actual!M:M,Actual!$A:$A,'3)Target &amp; Cal'!$A83,Actual!$B:$B,'3)Target &amp; Cal'!$B83)</f>
        <v>0</v>
      </c>
      <c r="AA83" s="117">
        <f>SUMIFS(Actual!N:N,Actual!$A:$A,'3)Target &amp; Cal'!$A83,Actual!$B:$B,'3)Target &amp; Cal'!$B83)</f>
        <v>0</v>
      </c>
      <c r="AB83" s="123">
        <f>IFERROR(IF(VLOOKUP($B83,Shortage!$A:$M,AB$2,FALSE)="Shortage",1,IFERROR(ROUND(P83/D83,4),0)),IFERROR(ROUND(P83/D83,4),0))</f>
        <v>0</v>
      </c>
      <c r="AC83" s="123">
        <f>IFERROR(IF(VLOOKUP($B83,Shortage!$A:$M,AC$2,FALSE)="Shortage",1,IFERROR(ROUND(Q83/E83,4),0)),IFERROR(ROUND(Q83/E83,4),0))</f>
        <v>0</v>
      </c>
      <c r="AD83" s="123">
        <f>IFERROR(IF(VLOOKUP($B83,Shortage!$A:$M,AD$2,FALSE)="Shortage",1,IFERROR(ROUND(R83/F83,4),0)),IFERROR(ROUND(R83/F83,4),0))</f>
        <v>0</v>
      </c>
      <c r="AE83" s="123">
        <f>IFERROR(IF(VLOOKUP($B83,Shortage!$A:$M,AE$2,FALSE)="Shortage",1,IFERROR(ROUND(S83/G83,4),0)),IFERROR(ROUND(S83/G83,4),0))</f>
        <v>0</v>
      </c>
      <c r="AF83" s="123">
        <f>IFERROR(IF(VLOOKUP($B83,Shortage!$A:$M,AF$2,FALSE)="Shortage",1,IFERROR(ROUND(T83/H83,4),0)),IFERROR(ROUND(T83/H83,4),0))</f>
        <v>0</v>
      </c>
      <c r="AG83" s="123">
        <f>IFERROR(IF(VLOOKUP($B83,Shortage!$A:$M,AG$2,FALSE)="Shortage",1,IFERROR(ROUND(U83/I83,4),0)),IFERROR(ROUND(U83/I83,4),0))</f>
        <v>0</v>
      </c>
      <c r="AH83" s="123">
        <f>IFERROR(IF(VLOOKUP($B83,Shortage!$A:$M,AH$2,FALSE)="Shortage",1,IFERROR(ROUND(V83/J83,4),0)),IFERROR(ROUND(V83/J83,4),0))</f>
        <v>0</v>
      </c>
      <c r="AI83" s="123">
        <f>IFERROR(IF(VLOOKUP($B83,Shortage!$A:$M,AI$2,FALSE)="Shortage",1,IFERROR(ROUND(W83/K83,4),0)),IFERROR(ROUND(W83/K83,4),0))</f>
        <v>0</v>
      </c>
      <c r="AJ83" s="123">
        <f>IFERROR(IF(VLOOKUP($B83,Shortage!$A:$M,AP$2,FALSE)="Shortage",1,IFERROR(ROUND(X83/L83,4),0)),IFERROR(ROUND(X83/L83,4),0))</f>
        <v>0</v>
      </c>
      <c r="AK83" s="123">
        <f>IFERROR(IF(VLOOKUP($B83,Shortage!$A:$M,AK$2,FALSE)="Shortage",1,IFERROR(ROUND(Y83/M83,4),0)),IFERROR(ROUND(Y83/M83,4),0))</f>
        <v>0</v>
      </c>
      <c r="AL83" s="123">
        <f>IFERROR(IF(VLOOKUP($B83,Shortage!$A:$M,AL$2,FALSE)="Shortage",1,IFERROR(ROUND(Z83/N83,4),0)),IFERROR(ROUND(Z83/N83,4),0))</f>
        <v>0</v>
      </c>
      <c r="AM83" s="123">
        <f>IFERROR(IF(VLOOKUP($B83,Shortage!$A:$M,AM$2,FALSE)="Shortage",1,IFERROR(ROUND(AA83/O83,4),0)),IFERROR(ROUND(AA83/O83,4),0))</f>
        <v>0</v>
      </c>
      <c r="AN83" s="232">
        <f>IFERROR(IF($C83="Top WS",VLOOKUP("GOAL",'2) หลักการคำนวน Table'!$D$4:$M$4,HLOOKUP(AB83,'2) หลักการคำนวน Table'!$D$1:$M$5,5,TRUE),0),
IF($C83="WS SF",VLOOKUP("GOAL",'2) หลักการคำนวน Table'!$D$32:$M$32,HLOOKUP(AB83,'2) หลักการคำนวน Table'!$D$1:$M$5,5,TRUE),0),
IF($C83="WS WH",VLOOKUP("GOAL",'2) หลักการคำนวน Table'!$D$62:$M$62,HLOOKUP(AB83,'2) หลักการคำนวน Table'!$D$1:$M$5,5,TRUE),0),
IF($C83="SF WH",VLOOKUP("GOAL",'2) หลักการคำนวน Table'!$D$92:$M$92,HLOOKUP(AB83,'2) หลักการคำนวน Table'!$D$1:$M$5,5,TRUE),0))))),0)</f>
        <v>0.9</v>
      </c>
      <c r="AO83" s="232">
        <f>IFERROR(IF($C83="Top WS",VLOOKUP("GOAL",'2) หลักการคำนวน Table'!$D$4:$M$4,HLOOKUP(AC83,'2) หลักการคำนวน Table'!$D$1:$M$5,5,TRUE),0),
IF($C83="WS SF",VLOOKUP("GOAL",'2) หลักการคำนวน Table'!$D$32:$M$32,HLOOKUP(AC83,'2) หลักการคำนวน Table'!$D$1:$M$5,5,TRUE),0),
IF($C83="WS WH",VLOOKUP("GOAL",'2) หลักการคำนวน Table'!$D$62:$M$62,HLOOKUP(AC83,'2) หลักการคำนวน Table'!$D$1:$M$5,5,TRUE),0),
IF($C83="SF WH",VLOOKUP("GOAL",'2) หลักการคำนวน Table'!$D$92:$M$92,HLOOKUP(AC83,'2) หลักการคำนวน Table'!$D$1:$M$5,5,TRUE),0))))),0)</f>
        <v>0.9</v>
      </c>
      <c r="AP83" s="232">
        <f>IFERROR(IF($C83="Top WS",VLOOKUP("GOAL",'2) หลักการคำนวน Table'!$D$4:$M$4,HLOOKUP(AD83,'2) หลักการคำนวน Table'!$D$1:$M$5,5,TRUE),0),
IF($C83="WS SF",VLOOKUP("GOAL",'2) หลักการคำนวน Table'!$D$32:$M$32,HLOOKUP(AD83,'2) หลักการคำนวน Table'!$D$1:$M$5,5,TRUE),0),
IF($C83="WS WH",VLOOKUP("GOAL",'2) หลักการคำนวน Table'!$D$62:$M$62,HLOOKUP(AD83,'2) หลักการคำนวน Table'!$D$1:$M$5,5,TRUE),0),
IF($C83="SF WH",VLOOKUP("GOAL",'2) หลักการคำนวน Table'!$D$92:$M$92,HLOOKUP(AD83,'2) หลักการคำนวน Table'!$D$1:$M$5,5,TRUE),0))))),0)</f>
        <v>0.9</v>
      </c>
      <c r="AQ83" s="232">
        <f>IFERROR(IF($C83="Top WS",VLOOKUP("GOAL",'2) หลักการคำนวน Table'!$D$4:$M$4,HLOOKUP(AE83,'2) หลักการคำนวน Table'!$D$1:$M$5,5,TRUE),0),
IF($C83="WS SF",VLOOKUP("GOAL",'2) หลักการคำนวน Table'!$D$32:$M$32,HLOOKUP(AE83,'2) หลักการคำนวน Table'!$D$1:$M$5,5,TRUE),0),
IF($C83="WS WH",VLOOKUP("GOAL",'2) หลักการคำนวน Table'!$D$62:$M$62,HLOOKUP(AE83,'2) หลักการคำนวน Table'!$D$1:$M$5,5,TRUE),0),
IF($C83="SF WH",VLOOKUP("GOAL",'2) หลักการคำนวน Table'!$D$92:$M$92,HLOOKUP(AE83,'2) หลักการคำนวน Table'!$D$1:$M$5,5,TRUE),0))))),0)</f>
        <v>0.9</v>
      </c>
      <c r="AR83" s="232">
        <f>IFERROR(IF($C83="Top WS",VLOOKUP("GOAL",'2) หลักการคำนวน Table'!$D$4:$M$4,HLOOKUP(AF83,'2) หลักการคำนวน Table'!$D$1:$M$5,5,TRUE),0),
IF($C83="WS SF",VLOOKUP("GOAL",'2) หลักการคำนวน Table'!$D$32:$M$32,HLOOKUP(AF83,'2) หลักการคำนวน Table'!$D$1:$M$5,5,TRUE),0),
IF($C83="WS WH",VLOOKUP("GOAL",'2) หลักการคำนวน Table'!$D$62:$M$62,HLOOKUP(AF83,'2) หลักการคำนวน Table'!$D$1:$M$5,5,TRUE),0),
IF($C83="SF WH",VLOOKUP("GOAL",'2) หลักการคำนวน Table'!$D$92:$M$92,HLOOKUP(AF83,'2) หลักการคำนวน Table'!$D$1:$M$5,5,TRUE),0))))),0)</f>
        <v>0.9</v>
      </c>
      <c r="AS83" s="232">
        <f>IFERROR(IF($C83="Top WS",VLOOKUP("GOAL",'2) หลักการคำนวน Table'!$D$4:$M$4,HLOOKUP(AG83,'2) หลักการคำนวน Table'!$D$1:$M$5,5,TRUE),0),
IF($C83="WS SF",VLOOKUP("GOAL",'2) หลักการคำนวน Table'!$D$32:$M$32,HLOOKUP(AG83,'2) หลักการคำนวน Table'!$D$1:$M$5,5,TRUE),0),
IF($C83="WS WH",VLOOKUP("GOAL",'2) หลักการคำนวน Table'!$D$62:$M$62,HLOOKUP(AG83,'2) หลักการคำนวน Table'!$D$1:$M$5,5,TRUE),0),
IF($C83="SF WH",VLOOKUP("GOAL",'2) หลักการคำนวน Table'!$D$92:$M$92,HLOOKUP(AG83,'2) หลักการคำนวน Table'!$D$1:$M$5,5,TRUE),0))))),0)</f>
        <v>0.9</v>
      </c>
      <c r="AT83" s="232">
        <f>IFERROR(IF($C83="Top WS",VLOOKUP("GOAL",'2) หลักการคำนวน Table'!$D$4:$M$4,HLOOKUP(AH83,'2) หลักการคำนวน Table'!$D$1:$M$5,5,TRUE),0),
IF($C83="WS SF",VLOOKUP("GOAL",'2) หลักการคำนวน Table'!$D$32:$M$32,HLOOKUP(AH83,'2) หลักการคำนวน Table'!$D$1:$M$5,5,TRUE),0),
IF($C83="WS WH",VLOOKUP("GOAL",'2) หลักการคำนวน Table'!$D$62:$M$62,HLOOKUP(AH83,'2) หลักการคำนวน Table'!$D$1:$M$5,5,TRUE),0),
IF($C83="SF WH",VLOOKUP("GOAL",'2) หลักการคำนวน Table'!$D$92:$M$92,HLOOKUP(AH83,'2) หลักการคำนวน Table'!$D$1:$M$5,5,TRUE),0))))),0)</f>
        <v>0.9</v>
      </c>
      <c r="AU83" s="232">
        <f>IFERROR(IF($C83="Top WS",VLOOKUP("GOAL",'2) หลักการคำนวน Table'!$D$4:$M$4,HLOOKUP(AI83,'2) หลักการคำนวน Table'!$D$1:$M$5,5,TRUE),0),
IF($C83="WS SF",VLOOKUP("GOAL",'2) หลักการคำนวน Table'!$D$32:$M$32,HLOOKUP(AI83,'2) หลักการคำนวน Table'!$D$1:$M$5,5,TRUE),0),
IF($C83="WS WH",VLOOKUP("GOAL",'2) หลักการคำนวน Table'!$D$62:$M$62,HLOOKUP(AI83,'2) หลักการคำนวน Table'!$D$1:$M$5,5,TRUE),0),
IF($C83="SF WH",VLOOKUP("GOAL",'2) หลักการคำนวน Table'!$D$92:$M$92,HLOOKUP(AI83,'2) หลักการคำนวน Table'!$D$1:$M$5,5,TRUE),0))))),0)</f>
        <v>0.9</v>
      </c>
      <c r="AV83" s="232">
        <f>IFERROR(IF($C83="Top WS",VLOOKUP("GOAL",'2) หลักการคำนวน Table'!$D$4:$M$4,HLOOKUP(AP83,'2) หลักการคำนวน Table'!$D$1:$M$5,5,TRUE),0),
IF($C83="WS SF",VLOOKUP("GOAL",'2) หลักการคำนวน Table'!$D$32:$M$32,HLOOKUP(AP83,'2) หลักการคำนวน Table'!$D$1:$M$5,5,TRUE),0),
IF($C83="WS WH",VLOOKUP("GOAL",'2) หลักการคำนวน Table'!$D$62:$M$62,HLOOKUP(AP83,'2) หลักการคำนวน Table'!$D$1:$M$5,5,TRUE),0),
IF($C83="SF WH",VLOOKUP("GOAL",'2) หลักการคำนวน Table'!$D$92:$M$92,HLOOKUP(AP83,'2) หลักการคำนวน Table'!$D$1:$M$5,5,TRUE),0))))),0)</f>
        <v>0.9</v>
      </c>
      <c r="AW83" s="232">
        <f>IFERROR(IF($C83="Top WS",VLOOKUP("GOAL",'2) หลักการคำนวน Table'!$D$4:$M$4,HLOOKUP(AK83,'2) หลักการคำนวน Table'!$D$1:$M$5,5,TRUE),0),
IF($C83="WS SF",VLOOKUP("GOAL",'2) หลักการคำนวน Table'!$D$32:$M$32,HLOOKUP(AK83,'2) หลักการคำนวน Table'!$D$1:$M$5,5,TRUE),0),
IF($C83="WS WH",VLOOKUP("GOAL",'2) หลักการคำนวน Table'!$D$62:$M$62,HLOOKUP(AK83,'2) หลักการคำนวน Table'!$D$1:$M$5,5,TRUE),0),
IF($C83="SF WH",VLOOKUP("GOAL",'2) หลักการคำนวน Table'!$D$92:$M$92,HLOOKUP(AK83,'2) หลักการคำนวน Table'!$D$1:$M$5,5,TRUE),0))))),0)</f>
        <v>0.9</v>
      </c>
      <c r="AX83" s="232">
        <f>IFERROR(IF($C83="Top WS",VLOOKUP("GOAL",'2) หลักการคำนวน Table'!$D$4:$M$4,HLOOKUP(AL83,'2) หลักการคำนวน Table'!$D$1:$M$5,5,TRUE),0),
IF($C83="WS SF",VLOOKUP("GOAL",'2) หลักการคำนวน Table'!$D$32:$M$32,HLOOKUP(AL83,'2) หลักการคำนวน Table'!$D$1:$M$5,5,TRUE),0),
IF($C83="WS WH",VLOOKUP("GOAL",'2) หลักการคำนวน Table'!$D$62:$M$62,HLOOKUP(AL83,'2) หลักการคำนวน Table'!$D$1:$M$5,5,TRUE),0),
IF($C83="SF WH",VLOOKUP("GOAL",'2) หลักการคำนวน Table'!$D$92:$M$92,HLOOKUP(AL83,'2) หลักการคำนวน Table'!$D$1:$M$5,5,TRUE),0))))),0)</f>
        <v>0.9</v>
      </c>
      <c r="AY83" s="232">
        <f>IFERROR(IF($C83="Top WS",VLOOKUP("GOAL",'2) หลักการคำนวน Table'!$D$4:$M$4,HLOOKUP(AM83,'2) หลักการคำนวน Table'!$D$1:$M$5,5,TRUE),0),
IF($C83="WS SF",VLOOKUP("GOAL",'2) หลักการคำนวน Table'!$D$32:$M$32,HLOOKUP(AM83,'2) หลักการคำนวน Table'!$D$1:$M$5,5,TRUE),0),
IF($C83="WS WH",VLOOKUP("GOAL",'2) หลักการคำนวน Table'!$D$62:$M$62,HLOOKUP(AM83,'2) หลักการคำนวน Table'!$D$1:$M$5,5,TRUE),0),
IF($C83="SF WH",VLOOKUP("GOAL",'2) หลักการคำนวน Table'!$D$92:$M$92,HLOOKUP(AM83,'2) หลักการคำนวน Table'!$D$1:$M$5,5,TRUE),0))))),0)</f>
        <v>0.9</v>
      </c>
      <c r="AZ83" s="167">
        <f>IFERROR(IF($C83="Top WS",VLOOKUP($B83,'2) หลักการคำนวน Table'!$D$5:$M$20,HLOOKUP(AB83,'2) หลักการคำนวน Table'!$D$1:$M$5,5,TRUE),0),
IF($C83="WS SF",VLOOKUP($B83,'2) หลักการคำนวน Table'!$D$33:$M$48,HLOOKUP(AB83,'2) หลักการคำนวน Table'!$D$1:$M$5,5,TRUE),0),
IF($C83="WS WH",VLOOKUP($B83,'2) หลักการคำนวน Table'!$D$63:$M$78,HLOOKUP(AB83,'2) หลักการคำนวน Table'!$D$1:$M$5,5,TRUE),0),
IF($C83="SF WH",VLOOKUP($B83,'2) หลักการคำนวน Table'!$D$93:$M$108,HLOOKUP(AB83,'2) หลักการคำนวน Table'!$D$1:$M$5,5,TRUE),0))))),0)</f>
        <v>360</v>
      </c>
      <c r="BA83" s="167">
        <f>IFERROR(IF($C83="Top WS",VLOOKUP($B83,'2) หลักการคำนวน Table'!$D$5:$M$20,HLOOKUP(AC83,'2) หลักการคำนวน Table'!$D$1:$M$5,5,TRUE),0),
IF($C83="WS SF",VLOOKUP($B83,'2) หลักการคำนวน Table'!$D$33:$M$48,HLOOKUP(AC83,'2) หลักการคำนวน Table'!$D$1:$M$5,5,TRUE),0),
IF($C83="WS WH",VLOOKUP($B83,'2) หลักการคำนวน Table'!$D$63:$M$78,HLOOKUP(AC83,'2) หลักการคำนวน Table'!$D$1:$M$5,5,TRUE),0),
IF($C83="SF WH",VLOOKUP($B83,'2) หลักการคำนวน Table'!$D$93:$M$108,HLOOKUP(AC83,'2) หลักการคำนวน Table'!$D$1:$M$5,5,TRUE),0))))),0)</f>
        <v>360</v>
      </c>
      <c r="BB83" s="167">
        <f>IFERROR(IF($C83="Top WS",VLOOKUP($B83,'2) หลักการคำนวน Table'!$D$5:$M$20,HLOOKUP(AD83,'2) หลักการคำนวน Table'!$D$1:$M$5,5,TRUE),0),
IF($C83="WS SF",VLOOKUP($B83,'2) หลักการคำนวน Table'!$D$33:$M$48,HLOOKUP(AD83,'2) หลักการคำนวน Table'!$D$1:$M$5,5,TRUE),0),
IF($C83="WS WH",VLOOKUP($B83,'2) หลักการคำนวน Table'!$D$63:$M$78,HLOOKUP(AD83,'2) หลักการคำนวน Table'!$D$1:$M$5,5,TRUE),0),
IF($C83="SF WH",VLOOKUP($B83,'2) หลักการคำนวน Table'!$D$93:$M$108,HLOOKUP(AD83,'2) หลักการคำนวน Table'!$D$1:$M$5,5,TRUE),0))))),0)</f>
        <v>360</v>
      </c>
      <c r="BC83" s="167">
        <f>IFERROR(IF($C83="Top WS",VLOOKUP($B83,'2) หลักการคำนวน Table'!$D$5:$M$20,HLOOKUP(AE83,'2) หลักการคำนวน Table'!$D$1:$M$5,5,TRUE),0),
IF($C83="WS SF",VLOOKUP($B83,'2) หลักการคำนวน Table'!$D$33:$M$48,HLOOKUP(AE83,'2) หลักการคำนวน Table'!$D$1:$M$5,5,TRUE),0),
IF($C83="WS WH",VLOOKUP($B83,'2) หลักการคำนวน Table'!$D$63:$M$78,HLOOKUP(AE83,'2) หลักการคำนวน Table'!$D$1:$M$5,5,TRUE),0),
IF($C83="SF WH",VLOOKUP($B83,'2) หลักการคำนวน Table'!$D$93:$M$108,HLOOKUP(AE83,'2) หลักการคำนวน Table'!$D$1:$M$5,5,TRUE),0))))),0)</f>
        <v>360</v>
      </c>
      <c r="BD83" s="167">
        <f>IFERROR(IF($C83="Top WS",VLOOKUP($B83,'2) หลักการคำนวน Table'!$D$5:$M$20,HLOOKUP(AF83,'2) หลักการคำนวน Table'!$D$1:$M$5,5,TRUE),0),
IF($C83="WS SF",VLOOKUP($B83,'2) หลักการคำนวน Table'!$D$33:$M$48,HLOOKUP(AF83,'2) หลักการคำนวน Table'!$D$1:$M$5,5,TRUE),0),
IF($C83="WS WH",VLOOKUP($B83,'2) หลักการคำนวน Table'!$D$63:$M$78,HLOOKUP(AF83,'2) หลักการคำนวน Table'!$D$1:$M$5,5,TRUE),0),
IF($C83="SF WH",VLOOKUP($B83,'2) หลักการคำนวน Table'!$D$93:$M$108,HLOOKUP(AF83,'2) หลักการคำนวน Table'!$D$1:$M$5,5,TRUE),0))))),0)</f>
        <v>360</v>
      </c>
      <c r="BE83" s="167">
        <f>IFERROR(IF($C83="Top WS",VLOOKUP($B83,'2) หลักการคำนวน Table'!$D$5:$M$20,HLOOKUP(AG83,'2) หลักการคำนวน Table'!$D$1:$M$5,5,TRUE),0),
IF($C83="WS SF",VLOOKUP($B83,'2) หลักการคำนวน Table'!$D$33:$M$48,HLOOKUP(AG83,'2) หลักการคำนวน Table'!$D$1:$M$5,5,TRUE),0),
IF($C83="WS WH",VLOOKUP($B83,'2) หลักการคำนวน Table'!$D$63:$M$78,HLOOKUP(AG83,'2) หลักการคำนวน Table'!$D$1:$M$5,5,TRUE),0),
IF($C83="SF WH",VLOOKUP($B83,'2) หลักการคำนวน Table'!$D$93:$M$108,HLOOKUP(AG83,'2) หลักการคำนวน Table'!$D$1:$M$5,5,TRUE),0))))),0)</f>
        <v>360</v>
      </c>
      <c r="BF83" s="167">
        <f>IFERROR(IF($C83="Top WS",VLOOKUP($B83,'2) หลักการคำนวน Table'!$D$5:$M$20,HLOOKUP(AH83,'2) หลักการคำนวน Table'!$D$1:$M$5,5,TRUE),0),
IF($C83="WS SF",VLOOKUP($B83,'2) หลักการคำนวน Table'!$D$33:$M$48,HLOOKUP(AH83,'2) หลักการคำนวน Table'!$D$1:$M$5,5,TRUE),0),
IF($C83="WS WH",VLOOKUP($B83,'2) หลักการคำนวน Table'!$D$63:$M$78,HLOOKUP(AH83,'2) หลักการคำนวน Table'!$D$1:$M$5,5,TRUE),0),
IF($C83="SF WH",VLOOKUP($B83,'2) หลักการคำนวน Table'!$D$93:$M$108,HLOOKUP(AH83,'2) หลักการคำนวน Table'!$D$1:$M$5,5,TRUE),0))))),0)</f>
        <v>360</v>
      </c>
      <c r="BG83" s="167">
        <f>IFERROR(IF($C83="Top WS",VLOOKUP($B83,'2) หลักการคำนวน Table'!$D$5:$M$20,HLOOKUP(AI83,'2) หลักการคำนวน Table'!$D$1:$M$5,5,TRUE),0),
IF($C83="WS SF",VLOOKUP($B83,'2) หลักการคำนวน Table'!$D$33:$M$48,HLOOKUP(AI83,'2) หลักการคำนวน Table'!$D$1:$M$5,5,TRUE),0),
IF($C83="WS WH",VLOOKUP($B83,'2) หลักการคำนวน Table'!$D$63:$M$78,HLOOKUP(AI83,'2) หลักการคำนวน Table'!$D$1:$M$5,5,TRUE),0),
IF($C83="SF WH",VLOOKUP($B83,'2) หลักการคำนวน Table'!$D$93:$M$108,HLOOKUP(AI83,'2) หลักการคำนวน Table'!$D$1:$M$5,5,TRUE),0))))),0)</f>
        <v>360</v>
      </c>
      <c r="BH83" s="167">
        <f>IFERROR(IF($C83="Top WS",VLOOKUP($B83,'2) หลักการคำนวน Table'!$D$5:$M$20,HLOOKUP(AP83,'2) หลักการคำนวน Table'!$D$1:$M$5,5,TRUE),0),
IF($C83="WS SF",VLOOKUP($B83,'2) หลักการคำนวน Table'!$D$33:$M$48,HLOOKUP(AP83,'2) หลักการคำนวน Table'!$D$1:$M$5,5,TRUE),0),
IF($C83="WS WH",VLOOKUP($B83,'2) หลักการคำนวน Table'!$D$63:$M$78,HLOOKUP(AP83,'2) หลักการคำนวน Table'!$D$1:$M$5,5,TRUE),0),
IF($C83="SF WH",VLOOKUP($B83,'2) หลักการคำนวน Table'!$D$93:$M$108,HLOOKUP(AP83,'2) หลักการคำนวน Table'!$D$1:$M$5,5,TRUE),0))))),0)</f>
        <v>360</v>
      </c>
      <c r="BI83" s="167">
        <f>IFERROR(IF($C83="Top WS",VLOOKUP($B83,'2) หลักการคำนวน Table'!$D$5:$M$20,HLOOKUP(AK83,'2) หลักการคำนวน Table'!$D$1:$M$5,5,TRUE),0),
IF($C83="WS SF",VLOOKUP($B83,'2) หลักการคำนวน Table'!$D$33:$M$48,HLOOKUP(AK83,'2) หลักการคำนวน Table'!$D$1:$M$5,5,TRUE),0),
IF($C83="WS WH",VLOOKUP($B83,'2) หลักการคำนวน Table'!$D$63:$M$78,HLOOKUP(AK83,'2) หลักการคำนวน Table'!$D$1:$M$5,5,TRUE),0),
IF($C83="SF WH",VLOOKUP($B83,'2) หลักการคำนวน Table'!$D$93:$M$108,HLOOKUP(AK83,'2) หลักการคำนวน Table'!$D$1:$M$5,5,TRUE),0))))),0)</f>
        <v>360</v>
      </c>
      <c r="BJ83" s="167">
        <f>IFERROR(IF($C83="Top WS",VLOOKUP($B83,'2) หลักการคำนวน Table'!$D$5:$M$20,HLOOKUP(AL83,'2) หลักการคำนวน Table'!$D$1:$M$5,5,TRUE),0),
IF($C83="WS SF",VLOOKUP($B83,'2) หลักการคำนวน Table'!$D$33:$M$48,HLOOKUP(AL83,'2) หลักการคำนวน Table'!$D$1:$M$5,5,TRUE),0),
IF($C83="WS WH",VLOOKUP($B83,'2) หลักการคำนวน Table'!$D$63:$M$78,HLOOKUP(AL83,'2) หลักการคำนวน Table'!$D$1:$M$5,5,TRUE),0),
IF($C83="SF WH",VLOOKUP($B83,'2) หลักการคำนวน Table'!$D$93:$M$108,HLOOKUP(AL83,'2) หลักการคำนวน Table'!$D$1:$M$5,5,TRUE),0))))),0)</f>
        <v>360</v>
      </c>
      <c r="BK83" s="167">
        <f>IFERROR(IF($C83="Top WS",VLOOKUP($B83,'2) หลักการคำนวน Table'!$D$5:$M$20,HLOOKUP(AM83,'2) หลักการคำนวน Table'!$D$1:$M$5,5,TRUE),0),
IF($C83="WS SF",VLOOKUP($B83,'2) หลักการคำนวน Table'!$D$33:$M$48,HLOOKUP(AM83,'2) หลักการคำนวน Table'!$D$1:$M$5,5,TRUE),0),
IF($C83="WS WH",VLOOKUP($B83,'2) หลักการคำนวน Table'!$D$63:$M$78,HLOOKUP(AM83,'2) หลักการคำนวน Table'!$D$1:$M$5,5,TRUE),0),
IF($C83="SF WH",VLOOKUP($B83,'2) หลักการคำนวน Table'!$D$93:$M$108,HLOOKUP(AM83,'2) หลักการคำนวน Table'!$D$1:$M$5,5,TRUE),0))))),0)</f>
        <v>360</v>
      </c>
      <c r="BM83" s="119">
        <f>VLOOKUP(VLOOKUP(A83,ASTBase!E:S,13,FALSE),ASTBase!F:P,11,FALSE)</f>
        <v>110000</v>
      </c>
      <c r="BN83" s="196" cm="1">
        <f t="array" ref="BN83">INDEX(AN83:AY83,,Period!$D$2)</f>
        <v>0.9</v>
      </c>
    </row>
    <row r="84" spans="1:66" x14ac:dyDescent="0.25">
      <c r="A84" s="388">
        <v>110001</v>
      </c>
      <c r="B84" s="388" t="s">
        <v>391</v>
      </c>
      <c r="C84" s="388" t="s">
        <v>178</v>
      </c>
      <c r="D84" s="118">
        <v>1233</v>
      </c>
      <c r="E84" s="118">
        <v>1073</v>
      </c>
      <c r="F84" s="118">
        <v>1051</v>
      </c>
      <c r="G84" s="118">
        <v>1181</v>
      </c>
      <c r="H84" s="118">
        <v>1088</v>
      </c>
      <c r="I84" s="118">
        <v>1074</v>
      </c>
      <c r="J84" s="118">
        <v>1197</v>
      </c>
      <c r="K84" s="118">
        <v>1240</v>
      </c>
      <c r="L84" s="118">
        <v>1422</v>
      </c>
      <c r="M84" s="118">
        <v>1064</v>
      </c>
      <c r="N84" s="118">
        <v>894</v>
      </c>
      <c r="O84" s="118">
        <v>894</v>
      </c>
      <c r="P84" s="117">
        <f>SUMIFS(Actual!C:C,Actual!$A:$A,'3)Target &amp; Cal'!$A84,Actual!$B:$B,'3)Target &amp; Cal'!$B84)</f>
        <v>1199.9999999879999</v>
      </c>
      <c r="Q84" s="117">
        <f>SUMIFS(Actual!D:D,Actual!$A:$A,'3)Target &amp; Cal'!$A84,Actual!$B:$B,'3)Target &amp; Cal'!$B84)</f>
        <v>49.9999999992</v>
      </c>
      <c r="R84" s="117">
        <f>SUMIFS(Actual!E:E,Actual!$A:$A,'3)Target &amp; Cal'!$A84,Actual!$B:$B,'3)Target &amp; Cal'!$B84)</f>
        <v>0</v>
      </c>
      <c r="S84" s="117">
        <f>SUMIFS(Actual!F:F,Actual!$A:$A,'3)Target &amp; Cal'!$A84,Actual!$B:$B,'3)Target &amp; Cal'!$B84)</f>
        <v>0</v>
      </c>
      <c r="T84" s="117">
        <f>SUMIFS(Actual!G:G,Actual!$A:$A,'3)Target &amp; Cal'!$A84,Actual!$B:$B,'3)Target &amp; Cal'!$B84)</f>
        <v>0</v>
      </c>
      <c r="U84" s="117">
        <f>SUMIFS(Actual!H:H,Actual!$A:$A,'3)Target &amp; Cal'!$A84,Actual!$B:$B,'3)Target &amp; Cal'!$B84)</f>
        <v>0</v>
      </c>
      <c r="V84" s="117">
        <f>SUMIFS(Actual!I:I,Actual!$A:$A,'3)Target &amp; Cal'!$A84,Actual!$B:$B,'3)Target &amp; Cal'!$B84)</f>
        <v>0</v>
      </c>
      <c r="W84" s="117">
        <f>SUMIFS(Actual!J:J,Actual!$A:$A,'3)Target &amp; Cal'!$A84,Actual!$B:$B,'3)Target &amp; Cal'!$B84)</f>
        <v>0</v>
      </c>
      <c r="X84" s="117">
        <f>SUMIFS(Actual!K:K,Actual!$A:$A,'3)Target &amp; Cal'!$A84,Actual!$B:$B,'3)Target &amp; Cal'!$B84)</f>
        <v>0</v>
      </c>
      <c r="Y84" s="117">
        <f>SUMIFS(Actual!L:L,Actual!$A:$A,'3)Target &amp; Cal'!$A84,Actual!$B:$B,'3)Target &amp; Cal'!$B84)</f>
        <v>0</v>
      </c>
      <c r="Z84" s="117">
        <f>SUMIFS(Actual!M:M,Actual!$A:$A,'3)Target &amp; Cal'!$A84,Actual!$B:$B,'3)Target &amp; Cal'!$B84)</f>
        <v>0</v>
      </c>
      <c r="AA84" s="117">
        <f>SUMIFS(Actual!N:N,Actual!$A:$A,'3)Target &amp; Cal'!$A84,Actual!$B:$B,'3)Target &amp; Cal'!$B84)</f>
        <v>0</v>
      </c>
      <c r="AB84" s="123">
        <f>IFERROR(IF(VLOOKUP($B84,Shortage!$A:$M,AB$2,FALSE)="Shortage",1,IFERROR(ROUND(P84/D84,4),0)),IFERROR(ROUND(P84/D84,4),0))</f>
        <v>1</v>
      </c>
      <c r="AC84" s="123">
        <f>IFERROR(IF(VLOOKUP($B84,Shortage!$A:$M,AC$2,FALSE)="Shortage",1,IFERROR(ROUND(Q84/E84,4),0)),IFERROR(ROUND(Q84/E84,4),0))</f>
        <v>1</v>
      </c>
      <c r="AD84" s="123">
        <f>IFERROR(IF(VLOOKUP($B84,Shortage!$A:$M,AD$2,FALSE)="Shortage",1,IFERROR(ROUND(R84/F84,4),0)),IFERROR(ROUND(R84/F84,4),0))</f>
        <v>0</v>
      </c>
      <c r="AE84" s="123">
        <f>IFERROR(IF(VLOOKUP($B84,Shortage!$A:$M,AE$2,FALSE)="Shortage",1,IFERROR(ROUND(S84/G84,4),0)),IFERROR(ROUND(S84/G84,4),0))</f>
        <v>0</v>
      </c>
      <c r="AF84" s="123">
        <f>IFERROR(IF(VLOOKUP($B84,Shortage!$A:$M,AF$2,FALSE)="Shortage",1,IFERROR(ROUND(T84/H84,4),0)),IFERROR(ROUND(T84/H84,4),0))</f>
        <v>0</v>
      </c>
      <c r="AG84" s="123">
        <f>IFERROR(IF(VLOOKUP($B84,Shortage!$A:$M,AG$2,FALSE)="Shortage",1,IFERROR(ROUND(U84/I84,4),0)),IFERROR(ROUND(U84/I84,4),0))</f>
        <v>0</v>
      </c>
      <c r="AH84" s="123">
        <f>IFERROR(IF(VLOOKUP($B84,Shortage!$A:$M,AH$2,FALSE)="Shortage",1,IFERROR(ROUND(V84/J84,4),0)),IFERROR(ROUND(V84/J84,4),0))</f>
        <v>0</v>
      </c>
      <c r="AI84" s="123">
        <f>IFERROR(IF(VLOOKUP($B84,Shortage!$A:$M,AI$2,FALSE)="Shortage",1,IFERROR(ROUND(W84/K84,4),0)),IFERROR(ROUND(W84/K84,4),0))</f>
        <v>0</v>
      </c>
      <c r="AJ84" s="123">
        <f>IFERROR(IF(VLOOKUP($B84,Shortage!$A:$M,AP$2,FALSE)="Shortage",1,IFERROR(ROUND(X84/L84,4),0)),IFERROR(ROUND(X84/L84,4),0))</f>
        <v>0</v>
      </c>
      <c r="AK84" s="123">
        <f>IFERROR(IF(VLOOKUP($B84,Shortage!$A:$M,AK$2,FALSE)="Shortage",1,IFERROR(ROUND(Y84/M84,4),0)),IFERROR(ROUND(Y84/M84,4),0))</f>
        <v>0</v>
      </c>
      <c r="AL84" s="123">
        <f>IFERROR(IF(VLOOKUP($B84,Shortage!$A:$M,AL$2,FALSE)="Shortage",1,IFERROR(ROUND(Z84/N84,4),0)),IFERROR(ROUND(Z84/N84,4),0))</f>
        <v>0</v>
      </c>
      <c r="AM84" s="123">
        <f>IFERROR(IF(VLOOKUP($B84,Shortage!$A:$M,AM$2,FALSE)="Shortage",1,IFERROR(ROUND(AA84/O84,4),0)),IFERROR(ROUND(AA84/O84,4),0))</f>
        <v>0</v>
      </c>
      <c r="AN84" s="232">
        <f>IFERROR(IF($C84="Top WS",VLOOKUP("GOAL",'2) หลักการคำนวน Table'!$D$4:$M$4,HLOOKUP(AB84,'2) หลักการคำนวน Table'!$D$1:$M$5,5,TRUE),0),
IF($C84="WS SF",VLOOKUP("GOAL",'2) หลักการคำนวน Table'!$D$32:$M$32,HLOOKUP(AB84,'2) หลักการคำนวน Table'!$D$1:$M$5,5,TRUE),0),
IF($C84="WS WH",VLOOKUP("GOAL",'2) หลักการคำนวน Table'!$D$62:$M$62,HLOOKUP(AB84,'2) หลักการคำนวน Table'!$D$1:$M$5,5,TRUE),0),
IF($C84="SF WH",VLOOKUP("GOAL",'2) หลักการคำนวน Table'!$D$92:$M$92,HLOOKUP(AB84,'2) หลักการคำนวน Table'!$D$1:$M$5,5,TRUE),0))))),0)</f>
        <v>1</v>
      </c>
      <c r="AO84" s="232">
        <f>IFERROR(IF($C84="Top WS",VLOOKUP("GOAL",'2) หลักการคำนวน Table'!$D$4:$M$4,HLOOKUP(AC84,'2) หลักการคำนวน Table'!$D$1:$M$5,5,TRUE),0),
IF($C84="WS SF",VLOOKUP("GOAL",'2) หลักการคำนวน Table'!$D$32:$M$32,HLOOKUP(AC84,'2) หลักการคำนวน Table'!$D$1:$M$5,5,TRUE),0),
IF($C84="WS WH",VLOOKUP("GOAL",'2) หลักการคำนวน Table'!$D$62:$M$62,HLOOKUP(AC84,'2) หลักการคำนวน Table'!$D$1:$M$5,5,TRUE),0),
IF($C84="SF WH",VLOOKUP("GOAL",'2) หลักการคำนวน Table'!$D$92:$M$92,HLOOKUP(AC84,'2) หลักการคำนวน Table'!$D$1:$M$5,5,TRUE),0))))),0)</f>
        <v>1</v>
      </c>
      <c r="AP84" s="232">
        <f>IFERROR(IF($C84="Top WS",VLOOKUP("GOAL",'2) หลักการคำนวน Table'!$D$4:$M$4,HLOOKUP(AD84,'2) หลักการคำนวน Table'!$D$1:$M$5,5,TRUE),0),
IF($C84="WS SF",VLOOKUP("GOAL",'2) หลักการคำนวน Table'!$D$32:$M$32,HLOOKUP(AD84,'2) หลักการคำนวน Table'!$D$1:$M$5,5,TRUE),0),
IF($C84="WS WH",VLOOKUP("GOAL",'2) หลักการคำนวน Table'!$D$62:$M$62,HLOOKUP(AD84,'2) หลักการคำนวน Table'!$D$1:$M$5,5,TRUE),0),
IF($C84="SF WH",VLOOKUP("GOAL",'2) หลักการคำนวน Table'!$D$92:$M$92,HLOOKUP(AD84,'2) หลักการคำนวน Table'!$D$1:$M$5,5,TRUE),0))))),0)</f>
        <v>0.9</v>
      </c>
      <c r="AQ84" s="232">
        <f>IFERROR(IF($C84="Top WS",VLOOKUP("GOAL",'2) หลักการคำนวน Table'!$D$4:$M$4,HLOOKUP(AE84,'2) หลักการคำนวน Table'!$D$1:$M$5,5,TRUE),0),
IF($C84="WS SF",VLOOKUP("GOAL",'2) หลักการคำนวน Table'!$D$32:$M$32,HLOOKUP(AE84,'2) หลักการคำนวน Table'!$D$1:$M$5,5,TRUE),0),
IF($C84="WS WH",VLOOKUP("GOAL",'2) หลักการคำนวน Table'!$D$62:$M$62,HLOOKUP(AE84,'2) หลักการคำนวน Table'!$D$1:$M$5,5,TRUE),0),
IF($C84="SF WH",VLOOKUP("GOAL",'2) หลักการคำนวน Table'!$D$92:$M$92,HLOOKUP(AE84,'2) หลักการคำนวน Table'!$D$1:$M$5,5,TRUE),0))))),0)</f>
        <v>0.9</v>
      </c>
      <c r="AR84" s="232">
        <f>IFERROR(IF($C84="Top WS",VLOOKUP("GOAL",'2) หลักการคำนวน Table'!$D$4:$M$4,HLOOKUP(AF84,'2) หลักการคำนวน Table'!$D$1:$M$5,5,TRUE),0),
IF($C84="WS SF",VLOOKUP("GOAL",'2) หลักการคำนวน Table'!$D$32:$M$32,HLOOKUP(AF84,'2) หลักการคำนวน Table'!$D$1:$M$5,5,TRUE),0),
IF($C84="WS WH",VLOOKUP("GOAL",'2) หลักการคำนวน Table'!$D$62:$M$62,HLOOKUP(AF84,'2) หลักการคำนวน Table'!$D$1:$M$5,5,TRUE),0),
IF($C84="SF WH",VLOOKUP("GOAL",'2) หลักการคำนวน Table'!$D$92:$M$92,HLOOKUP(AF84,'2) หลักการคำนวน Table'!$D$1:$M$5,5,TRUE),0))))),0)</f>
        <v>0.9</v>
      </c>
      <c r="AS84" s="232">
        <f>IFERROR(IF($C84="Top WS",VLOOKUP("GOAL",'2) หลักการคำนวน Table'!$D$4:$M$4,HLOOKUP(AG84,'2) หลักการคำนวน Table'!$D$1:$M$5,5,TRUE),0),
IF($C84="WS SF",VLOOKUP("GOAL",'2) หลักการคำนวน Table'!$D$32:$M$32,HLOOKUP(AG84,'2) หลักการคำนวน Table'!$D$1:$M$5,5,TRUE),0),
IF($C84="WS WH",VLOOKUP("GOAL",'2) หลักการคำนวน Table'!$D$62:$M$62,HLOOKUP(AG84,'2) หลักการคำนวน Table'!$D$1:$M$5,5,TRUE),0),
IF($C84="SF WH",VLOOKUP("GOAL",'2) หลักการคำนวน Table'!$D$92:$M$92,HLOOKUP(AG84,'2) หลักการคำนวน Table'!$D$1:$M$5,5,TRUE),0))))),0)</f>
        <v>0.9</v>
      </c>
      <c r="AT84" s="232">
        <f>IFERROR(IF($C84="Top WS",VLOOKUP("GOAL",'2) หลักการคำนวน Table'!$D$4:$M$4,HLOOKUP(AH84,'2) หลักการคำนวน Table'!$D$1:$M$5,5,TRUE),0),
IF($C84="WS SF",VLOOKUP("GOAL",'2) หลักการคำนวน Table'!$D$32:$M$32,HLOOKUP(AH84,'2) หลักการคำนวน Table'!$D$1:$M$5,5,TRUE),0),
IF($C84="WS WH",VLOOKUP("GOAL",'2) หลักการคำนวน Table'!$D$62:$M$62,HLOOKUP(AH84,'2) หลักการคำนวน Table'!$D$1:$M$5,5,TRUE),0),
IF($C84="SF WH",VLOOKUP("GOAL",'2) หลักการคำนวน Table'!$D$92:$M$92,HLOOKUP(AH84,'2) หลักการคำนวน Table'!$D$1:$M$5,5,TRUE),0))))),0)</f>
        <v>0.9</v>
      </c>
      <c r="AU84" s="232">
        <f>IFERROR(IF($C84="Top WS",VLOOKUP("GOAL",'2) หลักการคำนวน Table'!$D$4:$M$4,HLOOKUP(AI84,'2) หลักการคำนวน Table'!$D$1:$M$5,5,TRUE),0),
IF($C84="WS SF",VLOOKUP("GOAL",'2) หลักการคำนวน Table'!$D$32:$M$32,HLOOKUP(AI84,'2) หลักการคำนวน Table'!$D$1:$M$5,5,TRUE),0),
IF($C84="WS WH",VLOOKUP("GOAL",'2) หลักการคำนวน Table'!$D$62:$M$62,HLOOKUP(AI84,'2) หลักการคำนวน Table'!$D$1:$M$5,5,TRUE),0),
IF($C84="SF WH",VLOOKUP("GOAL",'2) หลักการคำนวน Table'!$D$92:$M$92,HLOOKUP(AI84,'2) หลักการคำนวน Table'!$D$1:$M$5,5,TRUE),0))))),0)</f>
        <v>0.9</v>
      </c>
      <c r="AV84" s="232">
        <f>IFERROR(IF($C84="Top WS",VLOOKUP("GOAL",'2) หลักการคำนวน Table'!$D$4:$M$4,HLOOKUP(AP84,'2) หลักการคำนวน Table'!$D$1:$M$5,5,TRUE),0),
IF($C84="WS SF",VLOOKUP("GOAL",'2) หลักการคำนวน Table'!$D$32:$M$32,HLOOKUP(AP84,'2) หลักการคำนวน Table'!$D$1:$M$5,5,TRUE),0),
IF($C84="WS WH",VLOOKUP("GOAL",'2) หลักการคำนวน Table'!$D$62:$M$62,HLOOKUP(AP84,'2) หลักการคำนวน Table'!$D$1:$M$5,5,TRUE),0),
IF($C84="SF WH",VLOOKUP("GOAL",'2) หลักการคำนวน Table'!$D$92:$M$92,HLOOKUP(AP84,'2) หลักการคำนวน Table'!$D$1:$M$5,5,TRUE),0))))),0)</f>
        <v>0.9</v>
      </c>
      <c r="AW84" s="232">
        <f>IFERROR(IF($C84="Top WS",VLOOKUP("GOAL",'2) หลักการคำนวน Table'!$D$4:$M$4,HLOOKUP(AK84,'2) หลักการคำนวน Table'!$D$1:$M$5,5,TRUE),0),
IF($C84="WS SF",VLOOKUP("GOAL",'2) หลักการคำนวน Table'!$D$32:$M$32,HLOOKUP(AK84,'2) หลักการคำนวน Table'!$D$1:$M$5,5,TRUE),0),
IF($C84="WS WH",VLOOKUP("GOAL",'2) หลักการคำนวน Table'!$D$62:$M$62,HLOOKUP(AK84,'2) หลักการคำนวน Table'!$D$1:$M$5,5,TRUE),0),
IF($C84="SF WH",VLOOKUP("GOAL",'2) หลักการคำนวน Table'!$D$92:$M$92,HLOOKUP(AK84,'2) หลักการคำนวน Table'!$D$1:$M$5,5,TRUE),0))))),0)</f>
        <v>0.9</v>
      </c>
      <c r="AX84" s="232">
        <f>IFERROR(IF($C84="Top WS",VLOOKUP("GOAL",'2) หลักการคำนวน Table'!$D$4:$M$4,HLOOKUP(AL84,'2) หลักการคำนวน Table'!$D$1:$M$5,5,TRUE),0),
IF($C84="WS SF",VLOOKUP("GOAL",'2) หลักการคำนวน Table'!$D$32:$M$32,HLOOKUP(AL84,'2) หลักการคำนวน Table'!$D$1:$M$5,5,TRUE),0),
IF($C84="WS WH",VLOOKUP("GOAL",'2) หลักการคำนวน Table'!$D$62:$M$62,HLOOKUP(AL84,'2) หลักการคำนวน Table'!$D$1:$M$5,5,TRUE),0),
IF($C84="SF WH",VLOOKUP("GOAL",'2) หลักการคำนวน Table'!$D$92:$M$92,HLOOKUP(AL84,'2) หลักการคำนวน Table'!$D$1:$M$5,5,TRUE),0))))),0)</f>
        <v>0.9</v>
      </c>
      <c r="AY84" s="232">
        <f>IFERROR(IF($C84="Top WS",VLOOKUP("GOAL",'2) หลักการคำนวน Table'!$D$4:$M$4,HLOOKUP(AM84,'2) หลักการคำนวน Table'!$D$1:$M$5,5,TRUE),0),
IF($C84="WS SF",VLOOKUP("GOAL",'2) หลักการคำนวน Table'!$D$32:$M$32,HLOOKUP(AM84,'2) หลักการคำนวน Table'!$D$1:$M$5,5,TRUE),0),
IF($C84="WS WH",VLOOKUP("GOAL",'2) หลักการคำนวน Table'!$D$62:$M$62,HLOOKUP(AM84,'2) หลักการคำนวน Table'!$D$1:$M$5,5,TRUE),0),
IF($C84="SF WH",VLOOKUP("GOAL",'2) หลักการคำนวน Table'!$D$92:$M$92,HLOOKUP(AM84,'2) หลักการคำนวน Table'!$D$1:$M$5,5,TRUE),0))))),0)</f>
        <v>0.9</v>
      </c>
      <c r="AZ84" s="167">
        <f>IFERROR(IF($C84="Top WS",VLOOKUP($B84,'2) หลักการคำนวน Table'!$D$5:$M$20,HLOOKUP(AB84,'2) หลักการคำนวน Table'!$D$1:$M$5,5,TRUE),0),
IF($C84="WS SF",VLOOKUP($B84,'2) หลักการคำนวน Table'!$D$33:$M$48,HLOOKUP(AB84,'2) หลักการคำนวน Table'!$D$1:$M$5,5,TRUE),0),
IF($C84="WS WH",VLOOKUP($B84,'2) หลักการคำนวน Table'!$D$63:$M$78,HLOOKUP(AB84,'2) หลักการคำนวน Table'!$D$1:$M$5,5,TRUE),0),
IF($C84="SF WH",VLOOKUP($B84,'2) หลักการคำนวน Table'!$D$93:$M$108,HLOOKUP(AB84,'2) หลักการคำนวน Table'!$D$1:$M$5,5,TRUE),0))))),0)</f>
        <v>600</v>
      </c>
      <c r="BA84" s="167">
        <f>IFERROR(IF($C84="Top WS",VLOOKUP($B84,'2) หลักการคำนวน Table'!$D$5:$M$20,HLOOKUP(AC84,'2) หลักการคำนวน Table'!$D$1:$M$5,5,TRUE),0),
IF($C84="WS SF",VLOOKUP($B84,'2) หลักการคำนวน Table'!$D$33:$M$48,HLOOKUP(AC84,'2) หลักการคำนวน Table'!$D$1:$M$5,5,TRUE),0),
IF($C84="WS WH",VLOOKUP($B84,'2) หลักการคำนวน Table'!$D$63:$M$78,HLOOKUP(AC84,'2) หลักการคำนวน Table'!$D$1:$M$5,5,TRUE),0),
IF($C84="SF WH",VLOOKUP($B84,'2) หลักการคำนวน Table'!$D$93:$M$108,HLOOKUP(AC84,'2) หลักการคำนวน Table'!$D$1:$M$5,5,TRUE),0))))),0)</f>
        <v>600</v>
      </c>
      <c r="BB84" s="167">
        <f>IFERROR(IF($C84="Top WS",VLOOKUP($B84,'2) หลักการคำนวน Table'!$D$5:$M$20,HLOOKUP(AD84,'2) หลักการคำนวน Table'!$D$1:$M$5,5,TRUE),0),
IF($C84="WS SF",VLOOKUP($B84,'2) หลักการคำนวน Table'!$D$33:$M$48,HLOOKUP(AD84,'2) หลักการคำนวน Table'!$D$1:$M$5,5,TRUE),0),
IF($C84="WS WH",VLOOKUP($B84,'2) หลักการคำนวน Table'!$D$63:$M$78,HLOOKUP(AD84,'2) หลักการคำนวน Table'!$D$1:$M$5,5,TRUE),0),
IF($C84="SF WH",VLOOKUP($B84,'2) หลักการคำนวน Table'!$D$93:$M$108,HLOOKUP(AD84,'2) หลักการคำนวน Table'!$D$1:$M$5,5,TRUE),0))))),0)</f>
        <v>540</v>
      </c>
      <c r="BC84" s="167">
        <f>IFERROR(IF($C84="Top WS",VLOOKUP($B84,'2) หลักการคำนวน Table'!$D$5:$M$20,HLOOKUP(AE84,'2) หลักการคำนวน Table'!$D$1:$M$5,5,TRUE),0),
IF($C84="WS SF",VLOOKUP($B84,'2) หลักการคำนวน Table'!$D$33:$M$48,HLOOKUP(AE84,'2) หลักการคำนวน Table'!$D$1:$M$5,5,TRUE),0),
IF($C84="WS WH",VLOOKUP($B84,'2) หลักการคำนวน Table'!$D$63:$M$78,HLOOKUP(AE84,'2) หลักการคำนวน Table'!$D$1:$M$5,5,TRUE),0),
IF($C84="SF WH",VLOOKUP($B84,'2) หลักการคำนวน Table'!$D$93:$M$108,HLOOKUP(AE84,'2) หลักการคำนวน Table'!$D$1:$M$5,5,TRUE),0))))),0)</f>
        <v>540</v>
      </c>
      <c r="BD84" s="167">
        <f>IFERROR(IF($C84="Top WS",VLOOKUP($B84,'2) หลักการคำนวน Table'!$D$5:$M$20,HLOOKUP(AF84,'2) หลักการคำนวน Table'!$D$1:$M$5,5,TRUE),0),
IF($C84="WS SF",VLOOKUP($B84,'2) หลักการคำนวน Table'!$D$33:$M$48,HLOOKUP(AF84,'2) หลักการคำนวน Table'!$D$1:$M$5,5,TRUE),0),
IF($C84="WS WH",VLOOKUP($B84,'2) หลักการคำนวน Table'!$D$63:$M$78,HLOOKUP(AF84,'2) หลักการคำนวน Table'!$D$1:$M$5,5,TRUE),0),
IF($C84="SF WH",VLOOKUP($B84,'2) หลักการคำนวน Table'!$D$93:$M$108,HLOOKUP(AF84,'2) หลักการคำนวน Table'!$D$1:$M$5,5,TRUE),0))))),0)</f>
        <v>540</v>
      </c>
      <c r="BE84" s="167">
        <f>IFERROR(IF($C84="Top WS",VLOOKUP($B84,'2) หลักการคำนวน Table'!$D$5:$M$20,HLOOKUP(AG84,'2) หลักการคำนวน Table'!$D$1:$M$5,5,TRUE),0),
IF($C84="WS SF",VLOOKUP($B84,'2) หลักการคำนวน Table'!$D$33:$M$48,HLOOKUP(AG84,'2) หลักการคำนวน Table'!$D$1:$M$5,5,TRUE),0),
IF($C84="WS WH",VLOOKUP($B84,'2) หลักการคำนวน Table'!$D$63:$M$78,HLOOKUP(AG84,'2) หลักการคำนวน Table'!$D$1:$M$5,5,TRUE),0),
IF($C84="SF WH",VLOOKUP($B84,'2) หลักการคำนวน Table'!$D$93:$M$108,HLOOKUP(AG84,'2) หลักการคำนวน Table'!$D$1:$M$5,5,TRUE),0))))),0)</f>
        <v>540</v>
      </c>
      <c r="BF84" s="167">
        <f>IFERROR(IF($C84="Top WS",VLOOKUP($B84,'2) หลักการคำนวน Table'!$D$5:$M$20,HLOOKUP(AH84,'2) หลักการคำนวน Table'!$D$1:$M$5,5,TRUE),0),
IF($C84="WS SF",VLOOKUP($B84,'2) หลักการคำนวน Table'!$D$33:$M$48,HLOOKUP(AH84,'2) หลักการคำนวน Table'!$D$1:$M$5,5,TRUE),0),
IF($C84="WS WH",VLOOKUP($B84,'2) หลักการคำนวน Table'!$D$63:$M$78,HLOOKUP(AH84,'2) หลักการคำนวน Table'!$D$1:$M$5,5,TRUE),0),
IF($C84="SF WH",VLOOKUP($B84,'2) หลักการคำนวน Table'!$D$93:$M$108,HLOOKUP(AH84,'2) หลักการคำนวน Table'!$D$1:$M$5,5,TRUE),0))))),0)</f>
        <v>540</v>
      </c>
      <c r="BG84" s="167">
        <f>IFERROR(IF($C84="Top WS",VLOOKUP($B84,'2) หลักการคำนวน Table'!$D$5:$M$20,HLOOKUP(AI84,'2) หลักการคำนวน Table'!$D$1:$M$5,5,TRUE),0),
IF($C84="WS SF",VLOOKUP($B84,'2) หลักการคำนวน Table'!$D$33:$M$48,HLOOKUP(AI84,'2) หลักการคำนวน Table'!$D$1:$M$5,5,TRUE),0),
IF($C84="WS WH",VLOOKUP($B84,'2) หลักการคำนวน Table'!$D$63:$M$78,HLOOKUP(AI84,'2) หลักการคำนวน Table'!$D$1:$M$5,5,TRUE),0),
IF($C84="SF WH",VLOOKUP($B84,'2) หลักการคำนวน Table'!$D$93:$M$108,HLOOKUP(AI84,'2) หลักการคำนวน Table'!$D$1:$M$5,5,TRUE),0))))),0)</f>
        <v>540</v>
      </c>
      <c r="BH84" s="167">
        <f>IFERROR(IF($C84="Top WS",VLOOKUP($B84,'2) หลักการคำนวน Table'!$D$5:$M$20,HLOOKUP(AP84,'2) หลักการคำนวน Table'!$D$1:$M$5,5,TRUE),0),
IF($C84="WS SF",VLOOKUP($B84,'2) หลักการคำนวน Table'!$D$33:$M$48,HLOOKUP(AP84,'2) หลักการคำนวน Table'!$D$1:$M$5,5,TRUE),0),
IF($C84="WS WH",VLOOKUP($B84,'2) หลักการคำนวน Table'!$D$63:$M$78,HLOOKUP(AP84,'2) หลักการคำนวน Table'!$D$1:$M$5,5,TRUE),0),
IF($C84="SF WH",VLOOKUP($B84,'2) หลักการคำนวน Table'!$D$93:$M$108,HLOOKUP(AP84,'2) หลักการคำนวน Table'!$D$1:$M$5,5,TRUE),0))))),0)</f>
        <v>540</v>
      </c>
      <c r="BI84" s="167">
        <f>IFERROR(IF($C84="Top WS",VLOOKUP($B84,'2) หลักการคำนวน Table'!$D$5:$M$20,HLOOKUP(AK84,'2) หลักการคำนวน Table'!$D$1:$M$5,5,TRUE),0),
IF($C84="WS SF",VLOOKUP($B84,'2) หลักการคำนวน Table'!$D$33:$M$48,HLOOKUP(AK84,'2) หลักการคำนวน Table'!$D$1:$M$5,5,TRUE),0),
IF($C84="WS WH",VLOOKUP($B84,'2) หลักการคำนวน Table'!$D$63:$M$78,HLOOKUP(AK84,'2) หลักการคำนวน Table'!$D$1:$M$5,5,TRUE),0),
IF($C84="SF WH",VLOOKUP($B84,'2) หลักการคำนวน Table'!$D$93:$M$108,HLOOKUP(AK84,'2) หลักการคำนวน Table'!$D$1:$M$5,5,TRUE),0))))),0)</f>
        <v>540</v>
      </c>
      <c r="BJ84" s="167">
        <f>IFERROR(IF($C84="Top WS",VLOOKUP($B84,'2) หลักการคำนวน Table'!$D$5:$M$20,HLOOKUP(AL84,'2) หลักการคำนวน Table'!$D$1:$M$5,5,TRUE),0),
IF($C84="WS SF",VLOOKUP($B84,'2) หลักการคำนวน Table'!$D$33:$M$48,HLOOKUP(AL84,'2) หลักการคำนวน Table'!$D$1:$M$5,5,TRUE),0),
IF($C84="WS WH",VLOOKUP($B84,'2) หลักการคำนวน Table'!$D$63:$M$78,HLOOKUP(AL84,'2) หลักการคำนวน Table'!$D$1:$M$5,5,TRUE),0),
IF($C84="SF WH",VLOOKUP($B84,'2) หลักการคำนวน Table'!$D$93:$M$108,HLOOKUP(AL84,'2) หลักการคำนวน Table'!$D$1:$M$5,5,TRUE),0))))),0)</f>
        <v>540</v>
      </c>
      <c r="BK84" s="167">
        <f>IFERROR(IF($C84="Top WS",VLOOKUP($B84,'2) หลักการคำนวน Table'!$D$5:$M$20,HLOOKUP(AM84,'2) หลักการคำนวน Table'!$D$1:$M$5,5,TRUE),0),
IF($C84="WS SF",VLOOKUP($B84,'2) หลักการคำนวน Table'!$D$33:$M$48,HLOOKUP(AM84,'2) หลักการคำนวน Table'!$D$1:$M$5,5,TRUE),0),
IF($C84="WS WH",VLOOKUP($B84,'2) หลักการคำนวน Table'!$D$63:$M$78,HLOOKUP(AM84,'2) หลักการคำนวน Table'!$D$1:$M$5,5,TRUE),0),
IF($C84="SF WH",VLOOKUP($B84,'2) หลักการคำนวน Table'!$D$93:$M$108,HLOOKUP(AM84,'2) หลักการคำนวน Table'!$D$1:$M$5,5,TRUE),0))))),0)</f>
        <v>540</v>
      </c>
      <c r="BM84" s="119">
        <f>VLOOKUP(VLOOKUP(A84,ASTBase!E:S,13,FALSE),ASTBase!F:P,11,FALSE)</f>
        <v>110000</v>
      </c>
      <c r="BN84" s="196" cm="1">
        <f t="array" ref="BN84">INDEX(AN84:AY84,,Period!$D$2)</f>
        <v>1</v>
      </c>
    </row>
    <row r="85" spans="1:66" x14ac:dyDescent="0.25">
      <c r="A85" s="388">
        <v>110001</v>
      </c>
      <c r="B85" s="388" t="s">
        <v>395</v>
      </c>
      <c r="C85" s="388" t="s">
        <v>178</v>
      </c>
      <c r="D85" s="118">
        <v>16311</v>
      </c>
      <c r="E85" s="118">
        <v>16908</v>
      </c>
      <c r="F85" s="118">
        <v>19066</v>
      </c>
      <c r="G85" s="118">
        <v>21750</v>
      </c>
      <c r="H85" s="118">
        <v>17871</v>
      </c>
      <c r="I85" s="118">
        <v>15609</v>
      </c>
      <c r="J85" s="118">
        <v>22317</v>
      </c>
      <c r="K85" s="118">
        <v>23368</v>
      </c>
      <c r="L85" s="118">
        <v>18814</v>
      </c>
      <c r="M85" s="118">
        <v>19966</v>
      </c>
      <c r="N85" s="118">
        <v>16832</v>
      </c>
      <c r="O85" s="118">
        <v>16832</v>
      </c>
      <c r="P85" s="117">
        <f>SUMIFS(Actual!C:C,Actual!$A:$A,'3)Target &amp; Cal'!$A85,Actual!$B:$B,'3)Target &amp; Cal'!$B85)</f>
        <v>11614.499999999996</v>
      </c>
      <c r="Q85" s="117">
        <f>SUMIFS(Actual!D:D,Actual!$A:$A,'3)Target &amp; Cal'!$A85,Actual!$B:$B,'3)Target &amp; Cal'!$B85)</f>
        <v>16333.8</v>
      </c>
      <c r="R85" s="117">
        <f>SUMIFS(Actual!E:E,Actual!$A:$A,'3)Target &amp; Cal'!$A85,Actual!$B:$B,'3)Target &amp; Cal'!$B85)</f>
        <v>0</v>
      </c>
      <c r="S85" s="117">
        <f>SUMIFS(Actual!F:F,Actual!$A:$A,'3)Target &amp; Cal'!$A85,Actual!$B:$B,'3)Target &amp; Cal'!$B85)</f>
        <v>0</v>
      </c>
      <c r="T85" s="117">
        <f>SUMIFS(Actual!G:G,Actual!$A:$A,'3)Target &amp; Cal'!$A85,Actual!$B:$B,'3)Target &amp; Cal'!$B85)</f>
        <v>0</v>
      </c>
      <c r="U85" s="117">
        <f>SUMIFS(Actual!H:H,Actual!$A:$A,'3)Target &amp; Cal'!$A85,Actual!$B:$B,'3)Target &amp; Cal'!$B85)</f>
        <v>0</v>
      </c>
      <c r="V85" s="117">
        <f>SUMIFS(Actual!I:I,Actual!$A:$A,'3)Target &amp; Cal'!$A85,Actual!$B:$B,'3)Target &amp; Cal'!$B85)</f>
        <v>0</v>
      </c>
      <c r="W85" s="117">
        <f>SUMIFS(Actual!J:J,Actual!$A:$A,'3)Target &amp; Cal'!$A85,Actual!$B:$B,'3)Target &amp; Cal'!$B85)</f>
        <v>0</v>
      </c>
      <c r="X85" s="117">
        <f>SUMIFS(Actual!K:K,Actual!$A:$A,'3)Target &amp; Cal'!$A85,Actual!$B:$B,'3)Target &amp; Cal'!$B85)</f>
        <v>0</v>
      </c>
      <c r="Y85" s="117">
        <f>SUMIFS(Actual!L:L,Actual!$A:$A,'3)Target &amp; Cal'!$A85,Actual!$B:$B,'3)Target &amp; Cal'!$B85)</f>
        <v>0</v>
      </c>
      <c r="Z85" s="117">
        <f>SUMIFS(Actual!M:M,Actual!$A:$A,'3)Target &amp; Cal'!$A85,Actual!$B:$B,'3)Target &amp; Cal'!$B85)</f>
        <v>0</v>
      </c>
      <c r="AA85" s="117">
        <f>SUMIFS(Actual!N:N,Actual!$A:$A,'3)Target &amp; Cal'!$A85,Actual!$B:$B,'3)Target &amp; Cal'!$B85)</f>
        <v>0</v>
      </c>
      <c r="AB85" s="123">
        <f>IFERROR(IF(VLOOKUP($B85,Shortage!$A:$M,AB$2,FALSE)="Shortage",1,IFERROR(ROUND(P85/D85,4),0)),IFERROR(ROUND(P85/D85,4),0))</f>
        <v>0.71209999999999996</v>
      </c>
      <c r="AC85" s="123">
        <f>IFERROR(IF(VLOOKUP($B85,Shortage!$A:$M,AC$2,FALSE)="Shortage",1,IFERROR(ROUND(Q85/E85,4),0)),IFERROR(ROUND(Q85/E85,4),0))</f>
        <v>0.96599999999999997</v>
      </c>
      <c r="AD85" s="123">
        <f>IFERROR(IF(VLOOKUP($B85,Shortage!$A:$M,AD$2,FALSE)="Shortage",1,IFERROR(ROUND(R85/F85,4),0)),IFERROR(ROUND(R85/F85,4),0))</f>
        <v>0</v>
      </c>
      <c r="AE85" s="123">
        <f>IFERROR(IF(VLOOKUP($B85,Shortage!$A:$M,AE$2,FALSE)="Shortage",1,IFERROR(ROUND(S85/G85,4),0)),IFERROR(ROUND(S85/G85,4),0))</f>
        <v>0</v>
      </c>
      <c r="AF85" s="123">
        <f>IFERROR(IF(VLOOKUP($B85,Shortage!$A:$M,AF$2,FALSE)="Shortage",1,IFERROR(ROUND(T85/H85,4),0)),IFERROR(ROUND(T85/H85,4),0))</f>
        <v>0</v>
      </c>
      <c r="AG85" s="123">
        <f>IFERROR(IF(VLOOKUP($B85,Shortage!$A:$M,AG$2,FALSE)="Shortage",1,IFERROR(ROUND(U85/I85,4),0)),IFERROR(ROUND(U85/I85,4),0))</f>
        <v>0</v>
      </c>
      <c r="AH85" s="123">
        <f>IFERROR(IF(VLOOKUP($B85,Shortage!$A:$M,AH$2,FALSE)="Shortage",1,IFERROR(ROUND(V85/J85,4),0)),IFERROR(ROUND(V85/J85,4),0))</f>
        <v>0</v>
      </c>
      <c r="AI85" s="123">
        <f>IFERROR(IF(VLOOKUP($B85,Shortage!$A:$M,AI$2,FALSE)="Shortage",1,IFERROR(ROUND(W85/K85,4),0)),IFERROR(ROUND(W85/K85,4),0))</f>
        <v>0</v>
      </c>
      <c r="AJ85" s="123">
        <f>IFERROR(IF(VLOOKUP($B85,Shortage!$A:$M,AP$2,FALSE)="Shortage",1,IFERROR(ROUND(X85/L85,4),0)),IFERROR(ROUND(X85/L85,4),0))</f>
        <v>0</v>
      </c>
      <c r="AK85" s="123">
        <f>IFERROR(IF(VLOOKUP($B85,Shortage!$A:$M,AK$2,FALSE)="Shortage",1,IFERROR(ROUND(Y85/M85,4),0)),IFERROR(ROUND(Y85/M85,4),0))</f>
        <v>0</v>
      </c>
      <c r="AL85" s="123">
        <f>IFERROR(IF(VLOOKUP($B85,Shortage!$A:$M,AL$2,FALSE)="Shortage",1,IFERROR(ROUND(Z85/N85,4),0)),IFERROR(ROUND(Z85/N85,4),0))</f>
        <v>0</v>
      </c>
      <c r="AM85" s="123">
        <f>IFERROR(IF(VLOOKUP($B85,Shortage!$A:$M,AM$2,FALSE)="Shortage",1,IFERROR(ROUND(AA85/O85,4),0)),IFERROR(ROUND(AA85/O85,4),0))</f>
        <v>0</v>
      </c>
      <c r="AN85" s="232">
        <f>IFERROR(IF($C85="Top WS",VLOOKUP("GOAL",'2) หลักการคำนวน Table'!$D$4:$M$4,HLOOKUP(AB85,'2) หลักการคำนวน Table'!$D$1:$M$5,5,TRUE),0),
IF($C85="WS SF",VLOOKUP("GOAL",'2) หลักการคำนวน Table'!$D$32:$M$32,HLOOKUP(AB85,'2) หลักการคำนวน Table'!$D$1:$M$5,5,TRUE),0),
IF($C85="WS WH",VLOOKUP("GOAL",'2) หลักการคำนวน Table'!$D$62:$M$62,HLOOKUP(AB85,'2) หลักการคำนวน Table'!$D$1:$M$5,5,TRUE),0),
IF($C85="SF WH",VLOOKUP("GOAL",'2) หลักการคำนวน Table'!$D$92:$M$92,HLOOKUP(AB85,'2) หลักการคำนวน Table'!$D$1:$M$5,5,TRUE),0))))),0)</f>
        <v>0.9</v>
      </c>
      <c r="AO85" s="232">
        <f>IFERROR(IF($C85="Top WS",VLOOKUP("GOAL",'2) หลักการคำนวน Table'!$D$4:$M$4,HLOOKUP(AC85,'2) หลักการคำนวน Table'!$D$1:$M$5,5,TRUE),0),
IF($C85="WS SF",VLOOKUP("GOAL",'2) หลักการคำนวน Table'!$D$32:$M$32,HLOOKUP(AC85,'2) หลักการคำนวน Table'!$D$1:$M$5,5,TRUE),0),
IF($C85="WS WH",VLOOKUP("GOAL",'2) หลักการคำนวน Table'!$D$62:$M$62,HLOOKUP(AC85,'2) หลักการคำนวน Table'!$D$1:$M$5,5,TRUE),0),
IF($C85="SF WH",VLOOKUP("GOAL",'2) หลักการคำนวน Table'!$D$92:$M$92,HLOOKUP(AC85,'2) หลักการคำนวน Table'!$D$1:$M$5,5,TRUE),0))))),0)</f>
        <v>1</v>
      </c>
      <c r="AP85" s="232">
        <f>IFERROR(IF($C85="Top WS",VLOOKUP("GOAL",'2) หลักการคำนวน Table'!$D$4:$M$4,HLOOKUP(AD85,'2) หลักการคำนวน Table'!$D$1:$M$5,5,TRUE),0),
IF($C85="WS SF",VLOOKUP("GOAL",'2) หลักการคำนวน Table'!$D$32:$M$32,HLOOKUP(AD85,'2) หลักการคำนวน Table'!$D$1:$M$5,5,TRUE),0),
IF($C85="WS WH",VLOOKUP("GOAL",'2) หลักการคำนวน Table'!$D$62:$M$62,HLOOKUP(AD85,'2) หลักการคำนวน Table'!$D$1:$M$5,5,TRUE),0),
IF($C85="SF WH",VLOOKUP("GOAL",'2) หลักการคำนวน Table'!$D$92:$M$92,HLOOKUP(AD85,'2) หลักการคำนวน Table'!$D$1:$M$5,5,TRUE),0))))),0)</f>
        <v>0.9</v>
      </c>
      <c r="AQ85" s="232">
        <f>IFERROR(IF($C85="Top WS",VLOOKUP("GOAL",'2) หลักการคำนวน Table'!$D$4:$M$4,HLOOKUP(AE85,'2) หลักการคำนวน Table'!$D$1:$M$5,5,TRUE),0),
IF($C85="WS SF",VLOOKUP("GOAL",'2) หลักการคำนวน Table'!$D$32:$M$32,HLOOKUP(AE85,'2) หลักการคำนวน Table'!$D$1:$M$5,5,TRUE),0),
IF($C85="WS WH",VLOOKUP("GOAL",'2) หลักการคำนวน Table'!$D$62:$M$62,HLOOKUP(AE85,'2) หลักการคำนวน Table'!$D$1:$M$5,5,TRUE),0),
IF($C85="SF WH",VLOOKUP("GOAL",'2) หลักการคำนวน Table'!$D$92:$M$92,HLOOKUP(AE85,'2) หลักการคำนวน Table'!$D$1:$M$5,5,TRUE),0))))),0)</f>
        <v>0.9</v>
      </c>
      <c r="AR85" s="232">
        <f>IFERROR(IF($C85="Top WS",VLOOKUP("GOAL",'2) หลักการคำนวน Table'!$D$4:$M$4,HLOOKUP(AF85,'2) หลักการคำนวน Table'!$D$1:$M$5,5,TRUE),0),
IF($C85="WS SF",VLOOKUP("GOAL",'2) หลักการคำนวน Table'!$D$32:$M$32,HLOOKUP(AF85,'2) หลักการคำนวน Table'!$D$1:$M$5,5,TRUE),0),
IF($C85="WS WH",VLOOKUP("GOAL",'2) หลักการคำนวน Table'!$D$62:$M$62,HLOOKUP(AF85,'2) หลักการคำนวน Table'!$D$1:$M$5,5,TRUE),0),
IF($C85="SF WH",VLOOKUP("GOAL",'2) หลักการคำนวน Table'!$D$92:$M$92,HLOOKUP(AF85,'2) หลักการคำนวน Table'!$D$1:$M$5,5,TRUE),0))))),0)</f>
        <v>0.9</v>
      </c>
      <c r="AS85" s="232">
        <f>IFERROR(IF($C85="Top WS",VLOOKUP("GOAL",'2) หลักการคำนวน Table'!$D$4:$M$4,HLOOKUP(AG85,'2) หลักการคำนวน Table'!$D$1:$M$5,5,TRUE),0),
IF($C85="WS SF",VLOOKUP("GOAL",'2) หลักการคำนวน Table'!$D$32:$M$32,HLOOKUP(AG85,'2) หลักการคำนวน Table'!$D$1:$M$5,5,TRUE),0),
IF($C85="WS WH",VLOOKUP("GOAL",'2) หลักการคำนวน Table'!$D$62:$M$62,HLOOKUP(AG85,'2) หลักการคำนวน Table'!$D$1:$M$5,5,TRUE),0),
IF($C85="SF WH",VLOOKUP("GOAL",'2) หลักการคำนวน Table'!$D$92:$M$92,HLOOKUP(AG85,'2) หลักการคำนวน Table'!$D$1:$M$5,5,TRUE),0))))),0)</f>
        <v>0.9</v>
      </c>
      <c r="AT85" s="232">
        <f>IFERROR(IF($C85="Top WS",VLOOKUP("GOAL",'2) หลักการคำนวน Table'!$D$4:$M$4,HLOOKUP(AH85,'2) หลักการคำนวน Table'!$D$1:$M$5,5,TRUE),0),
IF($C85="WS SF",VLOOKUP("GOAL",'2) หลักการคำนวน Table'!$D$32:$M$32,HLOOKUP(AH85,'2) หลักการคำนวน Table'!$D$1:$M$5,5,TRUE),0),
IF($C85="WS WH",VLOOKUP("GOAL",'2) หลักการคำนวน Table'!$D$62:$M$62,HLOOKUP(AH85,'2) หลักการคำนวน Table'!$D$1:$M$5,5,TRUE),0),
IF($C85="SF WH",VLOOKUP("GOAL",'2) หลักการคำนวน Table'!$D$92:$M$92,HLOOKUP(AH85,'2) หลักการคำนวน Table'!$D$1:$M$5,5,TRUE),0))))),0)</f>
        <v>0.9</v>
      </c>
      <c r="AU85" s="232">
        <f>IFERROR(IF($C85="Top WS",VLOOKUP("GOAL",'2) หลักการคำนวน Table'!$D$4:$M$4,HLOOKUP(AI85,'2) หลักการคำนวน Table'!$D$1:$M$5,5,TRUE),0),
IF($C85="WS SF",VLOOKUP("GOAL",'2) หลักการคำนวน Table'!$D$32:$M$32,HLOOKUP(AI85,'2) หลักการคำนวน Table'!$D$1:$M$5,5,TRUE),0),
IF($C85="WS WH",VLOOKUP("GOAL",'2) หลักการคำนวน Table'!$D$62:$M$62,HLOOKUP(AI85,'2) หลักการคำนวน Table'!$D$1:$M$5,5,TRUE),0),
IF($C85="SF WH",VLOOKUP("GOAL",'2) หลักการคำนวน Table'!$D$92:$M$92,HLOOKUP(AI85,'2) หลักการคำนวน Table'!$D$1:$M$5,5,TRUE),0))))),0)</f>
        <v>0.9</v>
      </c>
      <c r="AV85" s="232">
        <f>IFERROR(IF($C85="Top WS",VLOOKUP("GOAL",'2) หลักการคำนวน Table'!$D$4:$M$4,HLOOKUP(AP85,'2) หลักการคำนวน Table'!$D$1:$M$5,5,TRUE),0),
IF($C85="WS SF",VLOOKUP("GOAL",'2) หลักการคำนวน Table'!$D$32:$M$32,HLOOKUP(AP85,'2) หลักการคำนวน Table'!$D$1:$M$5,5,TRUE),0),
IF($C85="WS WH",VLOOKUP("GOAL",'2) หลักการคำนวน Table'!$D$62:$M$62,HLOOKUP(AP85,'2) หลักการคำนวน Table'!$D$1:$M$5,5,TRUE),0),
IF($C85="SF WH",VLOOKUP("GOAL",'2) หลักการคำนวน Table'!$D$92:$M$92,HLOOKUP(AP85,'2) หลักการคำนวน Table'!$D$1:$M$5,5,TRUE),0))))),0)</f>
        <v>0.9</v>
      </c>
      <c r="AW85" s="232">
        <f>IFERROR(IF($C85="Top WS",VLOOKUP("GOAL",'2) หลักการคำนวน Table'!$D$4:$M$4,HLOOKUP(AK85,'2) หลักการคำนวน Table'!$D$1:$M$5,5,TRUE),0),
IF($C85="WS SF",VLOOKUP("GOAL",'2) หลักการคำนวน Table'!$D$32:$M$32,HLOOKUP(AK85,'2) หลักการคำนวน Table'!$D$1:$M$5,5,TRUE),0),
IF($C85="WS WH",VLOOKUP("GOAL",'2) หลักการคำนวน Table'!$D$62:$M$62,HLOOKUP(AK85,'2) หลักการคำนวน Table'!$D$1:$M$5,5,TRUE),0),
IF($C85="SF WH",VLOOKUP("GOAL",'2) หลักการคำนวน Table'!$D$92:$M$92,HLOOKUP(AK85,'2) หลักการคำนวน Table'!$D$1:$M$5,5,TRUE),0))))),0)</f>
        <v>0.9</v>
      </c>
      <c r="AX85" s="232">
        <f>IFERROR(IF($C85="Top WS",VLOOKUP("GOAL",'2) หลักการคำนวน Table'!$D$4:$M$4,HLOOKUP(AL85,'2) หลักการคำนวน Table'!$D$1:$M$5,5,TRUE),0),
IF($C85="WS SF",VLOOKUP("GOAL",'2) หลักการคำนวน Table'!$D$32:$M$32,HLOOKUP(AL85,'2) หลักการคำนวน Table'!$D$1:$M$5,5,TRUE),0),
IF($C85="WS WH",VLOOKUP("GOAL",'2) หลักการคำนวน Table'!$D$62:$M$62,HLOOKUP(AL85,'2) หลักการคำนวน Table'!$D$1:$M$5,5,TRUE),0),
IF($C85="SF WH",VLOOKUP("GOAL",'2) หลักการคำนวน Table'!$D$92:$M$92,HLOOKUP(AL85,'2) หลักการคำนวน Table'!$D$1:$M$5,5,TRUE),0))))),0)</f>
        <v>0.9</v>
      </c>
      <c r="AY85" s="232">
        <f>IFERROR(IF($C85="Top WS",VLOOKUP("GOAL",'2) หลักการคำนวน Table'!$D$4:$M$4,HLOOKUP(AM85,'2) หลักการคำนวน Table'!$D$1:$M$5,5,TRUE),0),
IF($C85="WS SF",VLOOKUP("GOAL",'2) หลักการคำนวน Table'!$D$32:$M$32,HLOOKUP(AM85,'2) หลักการคำนวน Table'!$D$1:$M$5,5,TRUE),0),
IF($C85="WS WH",VLOOKUP("GOAL",'2) หลักการคำนวน Table'!$D$62:$M$62,HLOOKUP(AM85,'2) หลักการคำนวน Table'!$D$1:$M$5,5,TRUE),0),
IF($C85="SF WH",VLOOKUP("GOAL",'2) หลักการคำนวน Table'!$D$92:$M$92,HLOOKUP(AM85,'2) หลักการคำนวน Table'!$D$1:$M$5,5,TRUE),0))))),0)</f>
        <v>0.9</v>
      </c>
      <c r="AZ85" s="167">
        <f>IFERROR(IF($C85="Top WS",VLOOKUP($B85,'2) หลักการคำนวน Table'!$D$5:$M$20,HLOOKUP(AB85,'2) หลักการคำนวน Table'!$D$1:$M$5,5,TRUE),0),
IF($C85="WS SF",VLOOKUP($B85,'2) หลักการคำนวน Table'!$D$33:$M$48,HLOOKUP(AB85,'2) หลักการคำนวน Table'!$D$1:$M$5,5,TRUE),0),
IF($C85="WS WH",VLOOKUP($B85,'2) หลักการคำนวน Table'!$D$63:$M$78,HLOOKUP(AB85,'2) หลักการคำนวน Table'!$D$1:$M$5,5,TRUE),0),
IF($C85="SF WH",VLOOKUP($B85,'2) หลักการคำนวน Table'!$D$93:$M$108,HLOOKUP(AB85,'2) หลักการคำนวน Table'!$D$1:$M$5,5,TRUE),0))))),0)</f>
        <v>180</v>
      </c>
      <c r="BA85" s="167">
        <f>IFERROR(IF($C85="Top WS",VLOOKUP($B85,'2) หลักการคำนวน Table'!$D$5:$M$20,HLOOKUP(AC85,'2) หลักการคำนวน Table'!$D$1:$M$5,5,TRUE),0),
IF($C85="WS SF",VLOOKUP($B85,'2) หลักการคำนวน Table'!$D$33:$M$48,HLOOKUP(AC85,'2) หลักการคำนวน Table'!$D$1:$M$5,5,TRUE),0),
IF($C85="WS WH",VLOOKUP($B85,'2) หลักการคำนวน Table'!$D$63:$M$78,HLOOKUP(AC85,'2) หลักการคำนวน Table'!$D$1:$M$5,5,TRUE),0),
IF($C85="SF WH",VLOOKUP($B85,'2) หลักการคำนวน Table'!$D$93:$M$108,HLOOKUP(AC85,'2) หลักการคำนวน Table'!$D$1:$M$5,5,TRUE),0))))),0)</f>
        <v>200</v>
      </c>
      <c r="BB85" s="167">
        <f>IFERROR(IF($C85="Top WS",VLOOKUP($B85,'2) หลักการคำนวน Table'!$D$5:$M$20,HLOOKUP(AD85,'2) หลักการคำนวน Table'!$D$1:$M$5,5,TRUE),0),
IF($C85="WS SF",VLOOKUP($B85,'2) หลักการคำนวน Table'!$D$33:$M$48,HLOOKUP(AD85,'2) หลักการคำนวน Table'!$D$1:$M$5,5,TRUE),0),
IF($C85="WS WH",VLOOKUP($B85,'2) หลักการคำนวน Table'!$D$63:$M$78,HLOOKUP(AD85,'2) หลักการคำนวน Table'!$D$1:$M$5,5,TRUE),0),
IF($C85="SF WH",VLOOKUP($B85,'2) หลักการคำนวน Table'!$D$93:$M$108,HLOOKUP(AD85,'2) หลักการคำนวน Table'!$D$1:$M$5,5,TRUE),0))))),0)</f>
        <v>180</v>
      </c>
      <c r="BC85" s="167">
        <f>IFERROR(IF($C85="Top WS",VLOOKUP($B85,'2) หลักการคำนวน Table'!$D$5:$M$20,HLOOKUP(AE85,'2) หลักการคำนวน Table'!$D$1:$M$5,5,TRUE),0),
IF($C85="WS SF",VLOOKUP($B85,'2) หลักการคำนวน Table'!$D$33:$M$48,HLOOKUP(AE85,'2) หลักการคำนวน Table'!$D$1:$M$5,5,TRUE),0),
IF($C85="WS WH",VLOOKUP($B85,'2) หลักการคำนวน Table'!$D$63:$M$78,HLOOKUP(AE85,'2) หลักการคำนวน Table'!$D$1:$M$5,5,TRUE),0),
IF($C85="SF WH",VLOOKUP($B85,'2) หลักการคำนวน Table'!$D$93:$M$108,HLOOKUP(AE85,'2) หลักการคำนวน Table'!$D$1:$M$5,5,TRUE),0))))),0)</f>
        <v>180</v>
      </c>
      <c r="BD85" s="167">
        <f>IFERROR(IF($C85="Top WS",VLOOKUP($B85,'2) หลักการคำนวน Table'!$D$5:$M$20,HLOOKUP(AF85,'2) หลักการคำนวน Table'!$D$1:$M$5,5,TRUE),0),
IF($C85="WS SF",VLOOKUP($B85,'2) หลักการคำนวน Table'!$D$33:$M$48,HLOOKUP(AF85,'2) หลักการคำนวน Table'!$D$1:$M$5,5,TRUE),0),
IF($C85="WS WH",VLOOKUP($B85,'2) หลักการคำนวน Table'!$D$63:$M$78,HLOOKUP(AF85,'2) หลักการคำนวน Table'!$D$1:$M$5,5,TRUE),0),
IF($C85="SF WH",VLOOKUP($B85,'2) หลักการคำนวน Table'!$D$93:$M$108,HLOOKUP(AF85,'2) หลักการคำนวน Table'!$D$1:$M$5,5,TRUE),0))))),0)</f>
        <v>180</v>
      </c>
      <c r="BE85" s="167">
        <f>IFERROR(IF($C85="Top WS",VLOOKUP($B85,'2) หลักการคำนวน Table'!$D$5:$M$20,HLOOKUP(AG85,'2) หลักการคำนวน Table'!$D$1:$M$5,5,TRUE),0),
IF($C85="WS SF",VLOOKUP($B85,'2) หลักการคำนวน Table'!$D$33:$M$48,HLOOKUP(AG85,'2) หลักการคำนวน Table'!$D$1:$M$5,5,TRUE),0),
IF($C85="WS WH",VLOOKUP($B85,'2) หลักการคำนวน Table'!$D$63:$M$78,HLOOKUP(AG85,'2) หลักการคำนวน Table'!$D$1:$M$5,5,TRUE),0),
IF($C85="SF WH",VLOOKUP($B85,'2) หลักการคำนวน Table'!$D$93:$M$108,HLOOKUP(AG85,'2) หลักการคำนวน Table'!$D$1:$M$5,5,TRUE),0))))),0)</f>
        <v>180</v>
      </c>
      <c r="BF85" s="167">
        <f>IFERROR(IF($C85="Top WS",VLOOKUP($B85,'2) หลักการคำนวน Table'!$D$5:$M$20,HLOOKUP(AH85,'2) หลักการคำนวน Table'!$D$1:$M$5,5,TRUE),0),
IF($C85="WS SF",VLOOKUP($B85,'2) หลักการคำนวน Table'!$D$33:$M$48,HLOOKUP(AH85,'2) หลักการคำนวน Table'!$D$1:$M$5,5,TRUE),0),
IF($C85="WS WH",VLOOKUP($B85,'2) หลักการคำนวน Table'!$D$63:$M$78,HLOOKUP(AH85,'2) หลักการคำนวน Table'!$D$1:$M$5,5,TRUE),0),
IF($C85="SF WH",VLOOKUP($B85,'2) หลักการคำนวน Table'!$D$93:$M$108,HLOOKUP(AH85,'2) หลักการคำนวน Table'!$D$1:$M$5,5,TRUE),0))))),0)</f>
        <v>180</v>
      </c>
      <c r="BG85" s="167">
        <f>IFERROR(IF($C85="Top WS",VLOOKUP($B85,'2) หลักการคำนวน Table'!$D$5:$M$20,HLOOKUP(AI85,'2) หลักการคำนวน Table'!$D$1:$M$5,5,TRUE),0),
IF($C85="WS SF",VLOOKUP($B85,'2) หลักการคำนวน Table'!$D$33:$M$48,HLOOKUP(AI85,'2) หลักการคำนวน Table'!$D$1:$M$5,5,TRUE),0),
IF($C85="WS WH",VLOOKUP($B85,'2) หลักการคำนวน Table'!$D$63:$M$78,HLOOKUP(AI85,'2) หลักการคำนวน Table'!$D$1:$M$5,5,TRUE),0),
IF($C85="SF WH",VLOOKUP($B85,'2) หลักการคำนวน Table'!$D$93:$M$108,HLOOKUP(AI85,'2) หลักการคำนวน Table'!$D$1:$M$5,5,TRUE),0))))),0)</f>
        <v>180</v>
      </c>
      <c r="BH85" s="167">
        <f>IFERROR(IF($C85="Top WS",VLOOKUP($B85,'2) หลักการคำนวน Table'!$D$5:$M$20,HLOOKUP(AP85,'2) หลักการคำนวน Table'!$D$1:$M$5,5,TRUE),0),
IF($C85="WS SF",VLOOKUP($B85,'2) หลักการคำนวน Table'!$D$33:$M$48,HLOOKUP(AP85,'2) หลักการคำนวน Table'!$D$1:$M$5,5,TRUE),0),
IF($C85="WS WH",VLOOKUP($B85,'2) หลักการคำนวน Table'!$D$63:$M$78,HLOOKUP(AP85,'2) หลักการคำนวน Table'!$D$1:$M$5,5,TRUE),0),
IF($C85="SF WH",VLOOKUP($B85,'2) หลักการคำนวน Table'!$D$93:$M$108,HLOOKUP(AP85,'2) หลักการคำนวน Table'!$D$1:$M$5,5,TRUE),0))))),0)</f>
        <v>180</v>
      </c>
      <c r="BI85" s="167">
        <f>IFERROR(IF($C85="Top WS",VLOOKUP($B85,'2) หลักการคำนวน Table'!$D$5:$M$20,HLOOKUP(AK85,'2) หลักการคำนวน Table'!$D$1:$M$5,5,TRUE),0),
IF($C85="WS SF",VLOOKUP($B85,'2) หลักการคำนวน Table'!$D$33:$M$48,HLOOKUP(AK85,'2) หลักการคำนวน Table'!$D$1:$M$5,5,TRUE),0),
IF($C85="WS WH",VLOOKUP($B85,'2) หลักการคำนวน Table'!$D$63:$M$78,HLOOKUP(AK85,'2) หลักการคำนวน Table'!$D$1:$M$5,5,TRUE),0),
IF($C85="SF WH",VLOOKUP($B85,'2) หลักการคำนวน Table'!$D$93:$M$108,HLOOKUP(AK85,'2) หลักการคำนวน Table'!$D$1:$M$5,5,TRUE),0))))),0)</f>
        <v>180</v>
      </c>
      <c r="BJ85" s="167">
        <f>IFERROR(IF($C85="Top WS",VLOOKUP($B85,'2) หลักการคำนวน Table'!$D$5:$M$20,HLOOKUP(AL85,'2) หลักการคำนวน Table'!$D$1:$M$5,5,TRUE),0),
IF($C85="WS SF",VLOOKUP($B85,'2) หลักการคำนวน Table'!$D$33:$M$48,HLOOKUP(AL85,'2) หลักการคำนวน Table'!$D$1:$M$5,5,TRUE),0),
IF($C85="WS WH",VLOOKUP($B85,'2) หลักการคำนวน Table'!$D$63:$M$78,HLOOKUP(AL85,'2) หลักการคำนวน Table'!$D$1:$M$5,5,TRUE),0),
IF($C85="SF WH",VLOOKUP($B85,'2) หลักการคำนวน Table'!$D$93:$M$108,HLOOKUP(AL85,'2) หลักการคำนวน Table'!$D$1:$M$5,5,TRUE),0))))),0)</f>
        <v>180</v>
      </c>
      <c r="BK85" s="167">
        <f>IFERROR(IF($C85="Top WS",VLOOKUP($B85,'2) หลักการคำนวน Table'!$D$5:$M$20,HLOOKUP(AM85,'2) หลักการคำนวน Table'!$D$1:$M$5,5,TRUE),0),
IF($C85="WS SF",VLOOKUP($B85,'2) หลักการคำนวน Table'!$D$33:$M$48,HLOOKUP(AM85,'2) หลักการคำนวน Table'!$D$1:$M$5,5,TRUE),0),
IF($C85="WS WH",VLOOKUP($B85,'2) หลักการคำนวน Table'!$D$63:$M$78,HLOOKUP(AM85,'2) หลักการคำนวน Table'!$D$1:$M$5,5,TRUE),0),
IF($C85="SF WH",VLOOKUP($B85,'2) หลักการคำนวน Table'!$D$93:$M$108,HLOOKUP(AM85,'2) หลักการคำนวน Table'!$D$1:$M$5,5,TRUE),0))))),0)</f>
        <v>180</v>
      </c>
      <c r="BM85" s="119">
        <f>VLOOKUP(VLOOKUP(A85,ASTBase!E:S,13,FALSE),ASTBase!F:P,11,FALSE)</f>
        <v>110000</v>
      </c>
      <c r="BN85" s="196" cm="1">
        <f t="array" ref="BN85">INDEX(AN85:AY85,,Period!$D$2)</f>
        <v>1</v>
      </c>
    </row>
    <row r="86" spans="1:66" x14ac:dyDescent="0.25">
      <c r="A86" s="388">
        <v>110001</v>
      </c>
      <c r="B86" s="388" t="s">
        <v>402</v>
      </c>
      <c r="C86" s="388" t="s">
        <v>178</v>
      </c>
      <c r="D86" s="118">
        <v>651</v>
      </c>
      <c r="E86" s="118">
        <v>708</v>
      </c>
      <c r="F86" s="118">
        <v>575</v>
      </c>
      <c r="G86" s="118">
        <v>608</v>
      </c>
      <c r="H86" s="118">
        <v>620</v>
      </c>
      <c r="I86" s="118">
        <v>639</v>
      </c>
      <c r="J86" s="118">
        <v>720</v>
      </c>
      <c r="K86" s="118">
        <v>1070</v>
      </c>
      <c r="L86" s="118">
        <v>701</v>
      </c>
      <c r="M86" s="118">
        <v>638</v>
      </c>
      <c r="N86" s="118">
        <v>804</v>
      </c>
      <c r="O86" s="118">
        <v>805</v>
      </c>
      <c r="P86" s="117">
        <f>SUMIFS(Actual!C:C,Actual!$A:$A,'3)Target &amp; Cal'!$A86,Actual!$B:$B,'3)Target &amp; Cal'!$B86)</f>
        <v>421.4</v>
      </c>
      <c r="Q86" s="117">
        <f>SUMIFS(Actual!D:D,Actual!$A:$A,'3)Target &amp; Cal'!$A86,Actual!$B:$B,'3)Target &amp; Cal'!$B86)</f>
        <v>652.79999999999995</v>
      </c>
      <c r="R86" s="117">
        <f>SUMIFS(Actual!E:E,Actual!$A:$A,'3)Target &amp; Cal'!$A86,Actual!$B:$B,'3)Target &amp; Cal'!$B86)</f>
        <v>0</v>
      </c>
      <c r="S86" s="117">
        <f>SUMIFS(Actual!F:F,Actual!$A:$A,'3)Target &amp; Cal'!$A86,Actual!$B:$B,'3)Target &amp; Cal'!$B86)</f>
        <v>0</v>
      </c>
      <c r="T86" s="117">
        <f>SUMIFS(Actual!G:G,Actual!$A:$A,'3)Target &amp; Cal'!$A86,Actual!$B:$B,'3)Target &amp; Cal'!$B86)</f>
        <v>0</v>
      </c>
      <c r="U86" s="117">
        <f>SUMIFS(Actual!H:H,Actual!$A:$A,'3)Target &amp; Cal'!$A86,Actual!$B:$B,'3)Target &amp; Cal'!$B86)</f>
        <v>0</v>
      </c>
      <c r="V86" s="117">
        <f>SUMIFS(Actual!I:I,Actual!$A:$A,'3)Target &amp; Cal'!$A86,Actual!$B:$B,'3)Target &amp; Cal'!$B86)</f>
        <v>0</v>
      </c>
      <c r="W86" s="117">
        <f>SUMIFS(Actual!J:J,Actual!$A:$A,'3)Target &amp; Cal'!$A86,Actual!$B:$B,'3)Target &amp; Cal'!$B86)</f>
        <v>0</v>
      </c>
      <c r="X86" s="117">
        <f>SUMIFS(Actual!K:K,Actual!$A:$A,'3)Target &amp; Cal'!$A86,Actual!$B:$B,'3)Target &amp; Cal'!$B86)</f>
        <v>0</v>
      </c>
      <c r="Y86" s="117">
        <f>SUMIFS(Actual!L:L,Actual!$A:$A,'3)Target &amp; Cal'!$A86,Actual!$B:$B,'3)Target &amp; Cal'!$B86)</f>
        <v>0</v>
      </c>
      <c r="Z86" s="117">
        <f>SUMIFS(Actual!M:M,Actual!$A:$A,'3)Target &amp; Cal'!$A86,Actual!$B:$B,'3)Target &amp; Cal'!$B86)</f>
        <v>0</v>
      </c>
      <c r="AA86" s="117">
        <f>SUMIFS(Actual!N:N,Actual!$A:$A,'3)Target &amp; Cal'!$A86,Actual!$B:$B,'3)Target &amp; Cal'!$B86)</f>
        <v>0</v>
      </c>
      <c r="AB86" s="123">
        <f>IFERROR(IF(VLOOKUP($B86,Shortage!$A:$M,AB$2,FALSE)="Shortage",1,IFERROR(ROUND(P86/D86,4),0)),IFERROR(ROUND(P86/D86,4),0))</f>
        <v>0.64729999999999999</v>
      </c>
      <c r="AC86" s="123">
        <f>IFERROR(IF(VLOOKUP($B86,Shortage!$A:$M,AC$2,FALSE)="Shortage",1,IFERROR(ROUND(Q86/E86,4),0)),IFERROR(ROUND(Q86/E86,4),0))</f>
        <v>0.92200000000000004</v>
      </c>
      <c r="AD86" s="123">
        <f>IFERROR(IF(VLOOKUP($B86,Shortage!$A:$M,AD$2,FALSE)="Shortage",1,IFERROR(ROUND(R86/F86,4),0)),IFERROR(ROUND(R86/F86,4),0))</f>
        <v>0</v>
      </c>
      <c r="AE86" s="123">
        <f>IFERROR(IF(VLOOKUP($B86,Shortage!$A:$M,AE$2,FALSE)="Shortage",1,IFERROR(ROUND(S86/G86,4),0)),IFERROR(ROUND(S86/G86,4),0))</f>
        <v>0</v>
      </c>
      <c r="AF86" s="123">
        <f>IFERROR(IF(VLOOKUP($B86,Shortage!$A:$M,AF$2,FALSE)="Shortage",1,IFERROR(ROUND(T86/H86,4),0)),IFERROR(ROUND(T86/H86,4),0))</f>
        <v>0</v>
      </c>
      <c r="AG86" s="123">
        <f>IFERROR(IF(VLOOKUP($B86,Shortage!$A:$M,AG$2,FALSE)="Shortage",1,IFERROR(ROUND(U86/I86,4),0)),IFERROR(ROUND(U86/I86,4),0))</f>
        <v>0</v>
      </c>
      <c r="AH86" s="123">
        <f>IFERROR(IF(VLOOKUP($B86,Shortage!$A:$M,AH$2,FALSE)="Shortage",1,IFERROR(ROUND(V86/J86,4),0)),IFERROR(ROUND(V86/J86,4),0))</f>
        <v>0</v>
      </c>
      <c r="AI86" s="123">
        <f>IFERROR(IF(VLOOKUP($B86,Shortage!$A:$M,AI$2,FALSE)="Shortage",1,IFERROR(ROUND(W86/K86,4),0)),IFERROR(ROUND(W86/K86,4),0))</f>
        <v>0</v>
      </c>
      <c r="AJ86" s="123">
        <f>IFERROR(IF(VLOOKUP($B86,Shortage!$A:$M,AP$2,FALSE)="Shortage",1,IFERROR(ROUND(X86/L86,4),0)),IFERROR(ROUND(X86/L86,4),0))</f>
        <v>0</v>
      </c>
      <c r="AK86" s="123">
        <f>IFERROR(IF(VLOOKUP($B86,Shortage!$A:$M,AK$2,FALSE)="Shortage",1,IFERROR(ROUND(Y86/M86,4),0)),IFERROR(ROUND(Y86/M86,4),0))</f>
        <v>0</v>
      </c>
      <c r="AL86" s="123">
        <f>IFERROR(IF(VLOOKUP($B86,Shortage!$A:$M,AL$2,FALSE)="Shortage",1,IFERROR(ROUND(Z86/N86,4),0)),IFERROR(ROUND(Z86/N86,4),0))</f>
        <v>0</v>
      </c>
      <c r="AM86" s="123">
        <f>IFERROR(IF(VLOOKUP($B86,Shortage!$A:$M,AM$2,FALSE)="Shortage",1,IFERROR(ROUND(AA86/O86,4),0)),IFERROR(ROUND(AA86/O86,4),0))</f>
        <v>0</v>
      </c>
      <c r="AN86" s="232">
        <f>IFERROR(IF($C86="Top WS",VLOOKUP("GOAL",'2) หลักการคำนวน Table'!$D$4:$M$4,HLOOKUP(AB86,'2) หลักการคำนวน Table'!$D$1:$M$5,5,TRUE),0),
IF($C86="WS SF",VLOOKUP("GOAL",'2) หลักการคำนวน Table'!$D$32:$M$32,HLOOKUP(AB86,'2) หลักการคำนวน Table'!$D$1:$M$5,5,TRUE),0),
IF($C86="WS WH",VLOOKUP("GOAL",'2) หลักการคำนวน Table'!$D$62:$M$62,HLOOKUP(AB86,'2) หลักการคำนวน Table'!$D$1:$M$5,5,TRUE),0),
IF($C86="SF WH",VLOOKUP("GOAL",'2) หลักการคำนวน Table'!$D$92:$M$92,HLOOKUP(AB86,'2) หลักการคำนวน Table'!$D$1:$M$5,5,TRUE),0))))),0)</f>
        <v>0.9</v>
      </c>
      <c r="AO86" s="232">
        <f>IFERROR(IF($C86="Top WS",VLOOKUP("GOAL",'2) หลักการคำนวน Table'!$D$4:$M$4,HLOOKUP(AC86,'2) หลักการคำนวน Table'!$D$1:$M$5,5,TRUE),0),
IF($C86="WS SF",VLOOKUP("GOAL",'2) หลักการคำนวน Table'!$D$32:$M$32,HLOOKUP(AC86,'2) หลักการคำนวน Table'!$D$1:$M$5,5,TRUE),0),
IF($C86="WS WH",VLOOKUP("GOAL",'2) หลักการคำนวน Table'!$D$62:$M$62,HLOOKUP(AC86,'2) หลักการคำนวน Table'!$D$1:$M$5,5,TRUE),0),
IF($C86="SF WH",VLOOKUP("GOAL",'2) หลักการคำนวน Table'!$D$92:$M$92,HLOOKUP(AC86,'2) หลักการคำนวน Table'!$D$1:$M$5,5,TRUE),0))))),0)</f>
        <v>0.95</v>
      </c>
      <c r="AP86" s="232">
        <f>IFERROR(IF($C86="Top WS",VLOOKUP("GOAL",'2) หลักการคำนวน Table'!$D$4:$M$4,HLOOKUP(AD86,'2) หลักการคำนวน Table'!$D$1:$M$5,5,TRUE),0),
IF($C86="WS SF",VLOOKUP("GOAL",'2) หลักการคำนวน Table'!$D$32:$M$32,HLOOKUP(AD86,'2) หลักการคำนวน Table'!$D$1:$M$5,5,TRUE),0),
IF($C86="WS WH",VLOOKUP("GOAL",'2) หลักการคำนวน Table'!$D$62:$M$62,HLOOKUP(AD86,'2) หลักการคำนวน Table'!$D$1:$M$5,5,TRUE),0),
IF($C86="SF WH",VLOOKUP("GOAL",'2) หลักการคำนวน Table'!$D$92:$M$92,HLOOKUP(AD86,'2) หลักการคำนวน Table'!$D$1:$M$5,5,TRUE),0))))),0)</f>
        <v>0.9</v>
      </c>
      <c r="AQ86" s="232">
        <f>IFERROR(IF($C86="Top WS",VLOOKUP("GOAL",'2) หลักการคำนวน Table'!$D$4:$M$4,HLOOKUP(AE86,'2) หลักการคำนวน Table'!$D$1:$M$5,5,TRUE),0),
IF($C86="WS SF",VLOOKUP("GOAL",'2) หลักการคำนวน Table'!$D$32:$M$32,HLOOKUP(AE86,'2) หลักการคำนวน Table'!$D$1:$M$5,5,TRUE),0),
IF($C86="WS WH",VLOOKUP("GOAL",'2) หลักการคำนวน Table'!$D$62:$M$62,HLOOKUP(AE86,'2) หลักการคำนวน Table'!$D$1:$M$5,5,TRUE),0),
IF($C86="SF WH",VLOOKUP("GOAL",'2) หลักการคำนวน Table'!$D$92:$M$92,HLOOKUP(AE86,'2) หลักการคำนวน Table'!$D$1:$M$5,5,TRUE),0))))),0)</f>
        <v>0.9</v>
      </c>
      <c r="AR86" s="232">
        <f>IFERROR(IF($C86="Top WS",VLOOKUP("GOAL",'2) หลักการคำนวน Table'!$D$4:$M$4,HLOOKUP(AF86,'2) หลักการคำนวน Table'!$D$1:$M$5,5,TRUE),0),
IF($C86="WS SF",VLOOKUP("GOAL",'2) หลักการคำนวน Table'!$D$32:$M$32,HLOOKUP(AF86,'2) หลักการคำนวน Table'!$D$1:$M$5,5,TRUE),0),
IF($C86="WS WH",VLOOKUP("GOAL",'2) หลักการคำนวน Table'!$D$62:$M$62,HLOOKUP(AF86,'2) หลักการคำนวน Table'!$D$1:$M$5,5,TRUE),0),
IF($C86="SF WH",VLOOKUP("GOAL",'2) หลักการคำนวน Table'!$D$92:$M$92,HLOOKUP(AF86,'2) หลักการคำนวน Table'!$D$1:$M$5,5,TRUE),0))))),0)</f>
        <v>0.9</v>
      </c>
      <c r="AS86" s="232">
        <f>IFERROR(IF($C86="Top WS",VLOOKUP("GOAL",'2) หลักการคำนวน Table'!$D$4:$M$4,HLOOKUP(AG86,'2) หลักการคำนวน Table'!$D$1:$M$5,5,TRUE),0),
IF($C86="WS SF",VLOOKUP("GOAL",'2) หลักการคำนวน Table'!$D$32:$M$32,HLOOKUP(AG86,'2) หลักการคำนวน Table'!$D$1:$M$5,5,TRUE),0),
IF($C86="WS WH",VLOOKUP("GOAL",'2) หลักการคำนวน Table'!$D$62:$M$62,HLOOKUP(AG86,'2) หลักการคำนวน Table'!$D$1:$M$5,5,TRUE),0),
IF($C86="SF WH",VLOOKUP("GOAL",'2) หลักการคำนวน Table'!$D$92:$M$92,HLOOKUP(AG86,'2) หลักการคำนวน Table'!$D$1:$M$5,5,TRUE),0))))),0)</f>
        <v>0.9</v>
      </c>
      <c r="AT86" s="232">
        <f>IFERROR(IF($C86="Top WS",VLOOKUP("GOAL",'2) หลักการคำนวน Table'!$D$4:$M$4,HLOOKUP(AH86,'2) หลักการคำนวน Table'!$D$1:$M$5,5,TRUE),0),
IF($C86="WS SF",VLOOKUP("GOAL",'2) หลักการคำนวน Table'!$D$32:$M$32,HLOOKUP(AH86,'2) หลักการคำนวน Table'!$D$1:$M$5,5,TRUE),0),
IF($C86="WS WH",VLOOKUP("GOAL",'2) หลักการคำนวน Table'!$D$62:$M$62,HLOOKUP(AH86,'2) หลักการคำนวน Table'!$D$1:$M$5,5,TRUE),0),
IF($C86="SF WH",VLOOKUP("GOAL",'2) หลักการคำนวน Table'!$D$92:$M$92,HLOOKUP(AH86,'2) หลักการคำนวน Table'!$D$1:$M$5,5,TRUE),0))))),0)</f>
        <v>0.9</v>
      </c>
      <c r="AU86" s="232">
        <f>IFERROR(IF($C86="Top WS",VLOOKUP("GOAL",'2) หลักการคำนวน Table'!$D$4:$M$4,HLOOKUP(AI86,'2) หลักการคำนวน Table'!$D$1:$M$5,5,TRUE),0),
IF($C86="WS SF",VLOOKUP("GOAL",'2) หลักการคำนวน Table'!$D$32:$M$32,HLOOKUP(AI86,'2) หลักการคำนวน Table'!$D$1:$M$5,5,TRUE),0),
IF($C86="WS WH",VLOOKUP("GOAL",'2) หลักการคำนวน Table'!$D$62:$M$62,HLOOKUP(AI86,'2) หลักการคำนวน Table'!$D$1:$M$5,5,TRUE),0),
IF($C86="SF WH",VLOOKUP("GOAL",'2) หลักการคำนวน Table'!$D$92:$M$92,HLOOKUP(AI86,'2) หลักการคำนวน Table'!$D$1:$M$5,5,TRUE),0))))),0)</f>
        <v>0.9</v>
      </c>
      <c r="AV86" s="232">
        <f>IFERROR(IF($C86="Top WS",VLOOKUP("GOAL",'2) หลักการคำนวน Table'!$D$4:$M$4,HLOOKUP(AP86,'2) หลักการคำนวน Table'!$D$1:$M$5,5,TRUE),0),
IF($C86="WS SF",VLOOKUP("GOAL",'2) หลักการคำนวน Table'!$D$32:$M$32,HLOOKUP(AP86,'2) หลักการคำนวน Table'!$D$1:$M$5,5,TRUE),0),
IF($C86="WS WH",VLOOKUP("GOAL",'2) หลักการคำนวน Table'!$D$62:$M$62,HLOOKUP(AP86,'2) หลักการคำนวน Table'!$D$1:$M$5,5,TRUE),0),
IF($C86="SF WH",VLOOKUP("GOAL",'2) หลักการคำนวน Table'!$D$92:$M$92,HLOOKUP(AP86,'2) หลักการคำนวน Table'!$D$1:$M$5,5,TRUE),0))))),0)</f>
        <v>0.9</v>
      </c>
      <c r="AW86" s="232">
        <f>IFERROR(IF($C86="Top WS",VLOOKUP("GOAL",'2) หลักการคำนวน Table'!$D$4:$M$4,HLOOKUP(AK86,'2) หลักการคำนวน Table'!$D$1:$M$5,5,TRUE),0),
IF($C86="WS SF",VLOOKUP("GOAL",'2) หลักการคำนวน Table'!$D$32:$M$32,HLOOKUP(AK86,'2) หลักการคำนวน Table'!$D$1:$M$5,5,TRUE),0),
IF($C86="WS WH",VLOOKUP("GOAL",'2) หลักการคำนวน Table'!$D$62:$M$62,HLOOKUP(AK86,'2) หลักการคำนวน Table'!$D$1:$M$5,5,TRUE),0),
IF($C86="SF WH",VLOOKUP("GOAL",'2) หลักการคำนวน Table'!$D$92:$M$92,HLOOKUP(AK86,'2) หลักการคำนวน Table'!$D$1:$M$5,5,TRUE),0))))),0)</f>
        <v>0.9</v>
      </c>
      <c r="AX86" s="232">
        <f>IFERROR(IF($C86="Top WS",VLOOKUP("GOAL",'2) หลักการคำนวน Table'!$D$4:$M$4,HLOOKUP(AL86,'2) หลักการคำนวน Table'!$D$1:$M$5,5,TRUE),0),
IF($C86="WS SF",VLOOKUP("GOAL",'2) หลักการคำนวน Table'!$D$32:$M$32,HLOOKUP(AL86,'2) หลักการคำนวน Table'!$D$1:$M$5,5,TRUE),0),
IF($C86="WS WH",VLOOKUP("GOAL",'2) หลักการคำนวน Table'!$D$62:$M$62,HLOOKUP(AL86,'2) หลักการคำนวน Table'!$D$1:$M$5,5,TRUE),0),
IF($C86="SF WH",VLOOKUP("GOAL",'2) หลักการคำนวน Table'!$D$92:$M$92,HLOOKUP(AL86,'2) หลักการคำนวน Table'!$D$1:$M$5,5,TRUE),0))))),0)</f>
        <v>0.9</v>
      </c>
      <c r="AY86" s="232">
        <f>IFERROR(IF($C86="Top WS",VLOOKUP("GOAL",'2) หลักการคำนวน Table'!$D$4:$M$4,HLOOKUP(AM86,'2) หลักการคำนวน Table'!$D$1:$M$5,5,TRUE),0),
IF($C86="WS SF",VLOOKUP("GOAL",'2) หลักการคำนวน Table'!$D$32:$M$32,HLOOKUP(AM86,'2) หลักการคำนวน Table'!$D$1:$M$5,5,TRUE),0),
IF($C86="WS WH",VLOOKUP("GOAL",'2) หลักการคำนวน Table'!$D$62:$M$62,HLOOKUP(AM86,'2) หลักการคำนวน Table'!$D$1:$M$5,5,TRUE),0),
IF($C86="SF WH",VLOOKUP("GOAL",'2) หลักการคำนวน Table'!$D$92:$M$92,HLOOKUP(AM86,'2) หลักการคำนวน Table'!$D$1:$M$5,5,TRUE),0))))),0)</f>
        <v>0.9</v>
      </c>
      <c r="AZ86" s="167">
        <f>IFERROR(IF($C86="Top WS",VLOOKUP($B86,'2) หลักการคำนวน Table'!$D$5:$M$20,HLOOKUP(AB86,'2) หลักการคำนวน Table'!$D$1:$M$5,5,TRUE),0),
IF($C86="WS SF",VLOOKUP($B86,'2) หลักการคำนวน Table'!$D$33:$M$48,HLOOKUP(AB86,'2) หลักการคำนวน Table'!$D$1:$M$5,5,TRUE),0),
IF($C86="WS WH",VLOOKUP($B86,'2) หลักการคำนวน Table'!$D$63:$M$78,HLOOKUP(AB86,'2) หลักการคำนวน Table'!$D$1:$M$5,5,TRUE),0),
IF($C86="SF WH",VLOOKUP($B86,'2) หลักการคำนวน Table'!$D$93:$M$108,HLOOKUP(AB86,'2) หลักการคำนวน Table'!$D$1:$M$5,5,TRUE),0))))),0)</f>
        <v>180</v>
      </c>
      <c r="BA86" s="167">
        <f>IFERROR(IF($C86="Top WS",VLOOKUP($B86,'2) หลักการคำนวน Table'!$D$5:$M$20,HLOOKUP(AC86,'2) หลักการคำนวน Table'!$D$1:$M$5,5,TRUE),0),
IF($C86="WS SF",VLOOKUP($B86,'2) หลักการคำนวน Table'!$D$33:$M$48,HLOOKUP(AC86,'2) หลักการคำนวน Table'!$D$1:$M$5,5,TRUE),0),
IF($C86="WS WH",VLOOKUP($B86,'2) หลักการคำนวน Table'!$D$63:$M$78,HLOOKUP(AC86,'2) หลักการคำนวน Table'!$D$1:$M$5,5,TRUE),0),
IF($C86="SF WH",VLOOKUP($B86,'2) หลักการคำนวน Table'!$D$93:$M$108,HLOOKUP(AC86,'2) หลักการคำนวน Table'!$D$1:$M$5,5,TRUE),0))))),0)</f>
        <v>190</v>
      </c>
      <c r="BB86" s="167">
        <f>IFERROR(IF($C86="Top WS",VLOOKUP($B86,'2) หลักการคำนวน Table'!$D$5:$M$20,HLOOKUP(AD86,'2) หลักการคำนวน Table'!$D$1:$M$5,5,TRUE),0),
IF($C86="WS SF",VLOOKUP($B86,'2) หลักการคำนวน Table'!$D$33:$M$48,HLOOKUP(AD86,'2) หลักการคำนวน Table'!$D$1:$M$5,5,TRUE),0),
IF($C86="WS WH",VLOOKUP($B86,'2) หลักการคำนวน Table'!$D$63:$M$78,HLOOKUP(AD86,'2) หลักการคำนวน Table'!$D$1:$M$5,5,TRUE),0),
IF($C86="SF WH",VLOOKUP($B86,'2) หลักการคำนวน Table'!$D$93:$M$108,HLOOKUP(AD86,'2) หลักการคำนวน Table'!$D$1:$M$5,5,TRUE),0))))),0)</f>
        <v>180</v>
      </c>
      <c r="BC86" s="167">
        <f>IFERROR(IF($C86="Top WS",VLOOKUP($B86,'2) หลักการคำนวน Table'!$D$5:$M$20,HLOOKUP(AE86,'2) หลักการคำนวน Table'!$D$1:$M$5,5,TRUE),0),
IF($C86="WS SF",VLOOKUP($B86,'2) หลักการคำนวน Table'!$D$33:$M$48,HLOOKUP(AE86,'2) หลักการคำนวน Table'!$D$1:$M$5,5,TRUE),0),
IF($C86="WS WH",VLOOKUP($B86,'2) หลักการคำนวน Table'!$D$63:$M$78,HLOOKUP(AE86,'2) หลักการคำนวน Table'!$D$1:$M$5,5,TRUE),0),
IF($C86="SF WH",VLOOKUP($B86,'2) หลักการคำนวน Table'!$D$93:$M$108,HLOOKUP(AE86,'2) หลักการคำนวน Table'!$D$1:$M$5,5,TRUE),0))))),0)</f>
        <v>180</v>
      </c>
      <c r="BD86" s="167">
        <f>IFERROR(IF($C86="Top WS",VLOOKUP($B86,'2) หลักการคำนวน Table'!$D$5:$M$20,HLOOKUP(AF86,'2) หลักการคำนวน Table'!$D$1:$M$5,5,TRUE),0),
IF($C86="WS SF",VLOOKUP($B86,'2) หลักการคำนวน Table'!$D$33:$M$48,HLOOKUP(AF86,'2) หลักการคำนวน Table'!$D$1:$M$5,5,TRUE),0),
IF($C86="WS WH",VLOOKUP($B86,'2) หลักการคำนวน Table'!$D$63:$M$78,HLOOKUP(AF86,'2) หลักการคำนวน Table'!$D$1:$M$5,5,TRUE),0),
IF($C86="SF WH",VLOOKUP($B86,'2) หลักการคำนวน Table'!$D$93:$M$108,HLOOKUP(AF86,'2) หลักการคำนวน Table'!$D$1:$M$5,5,TRUE),0))))),0)</f>
        <v>180</v>
      </c>
      <c r="BE86" s="167">
        <f>IFERROR(IF($C86="Top WS",VLOOKUP($B86,'2) หลักการคำนวน Table'!$D$5:$M$20,HLOOKUP(AG86,'2) หลักการคำนวน Table'!$D$1:$M$5,5,TRUE),0),
IF($C86="WS SF",VLOOKUP($B86,'2) หลักการคำนวน Table'!$D$33:$M$48,HLOOKUP(AG86,'2) หลักการคำนวน Table'!$D$1:$M$5,5,TRUE),0),
IF($C86="WS WH",VLOOKUP($B86,'2) หลักการคำนวน Table'!$D$63:$M$78,HLOOKUP(AG86,'2) หลักการคำนวน Table'!$D$1:$M$5,5,TRUE),0),
IF($C86="SF WH",VLOOKUP($B86,'2) หลักการคำนวน Table'!$D$93:$M$108,HLOOKUP(AG86,'2) หลักการคำนวน Table'!$D$1:$M$5,5,TRUE),0))))),0)</f>
        <v>180</v>
      </c>
      <c r="BF86" s="167">
        <f>IFERROR(IF($C86="Top WS",VLOOKUP($B86,'2) หลักการคำนวน Table'!$D$5:$M$20,HLOOKUP(AH86,'2) หลักการคำนวน Table'!$D$1:$M$5,5,TRUE),0),
IF($C86="WS SF",VLOOKUP($B86,'2) หลักการคำนวน Table'!$D$33:$M$48,HLOOKUP(AH86,'2) หลักการคำนวน Table'!$D$1:$M$5,5,TRUE),0),
IF($C86="WS WH",VLOOKUP($B86,'2) หลักการคำนวน Table'!$D$63:$M$78,HLOOKUP(AH86,'2) หลักการคำนวน Table'!$D$1:$M$5,5,TRUE),0),
IF($C86="SF WH",VLOOKUP($B86,'2) หลักการคำนวน Table'!$D$93:$M$108,HLOOKUP(AH86,'2) หลักการคำนวน Table'!$D$1:$M$5,5,TRUE),0))))),0)</f>
        <v>180</v>
      </c>
      <c r="BG86" s="167">
        <f>IFERROR(IF($C86="Top WS",VLOOKUP($B86,'2) หลักการคำนวน Table'!$D$5:$M$20,HLOOKUP(AI86,'2) หลักการคำนวน Table'!$D$1:$M$5,5,TRUE),0),
IF($C86="WS SF",VLOOKUP($B86,'2) หลักการคำนวน Table'!$D$33:$M$48,HLOOKUP(AI86,'2) หลักการคำนวน Table'!$D$1:$M$5,5,TRUE),0),
IF($C86="WS WH",VLOOKUP($B86,'2) หลักการคำนวน Table'!$D$63:$M$78,HLOOKUP(AI86,'2) หลักการคำนวน Table'!$D$1:$M$5,5,TRUE),0),
IF($C86="SF WH",VLOOKUP($B86,'2) หลักการคำนวน Table'!$D$93:$M$108,HLOOKUP(AI86,'2) หลักการคำนวน Table'!$D$1:$M$5,5,TRUE),0))))),0)</f>
        <v>180</v>
      </c>
      <c r="BH86" s="167">
        <f>IFERROR(IF($C86="Top WS",VLOOKUP($B86,'2) หลักการคำนวน Table'!$D$5:$M$20,HLOOKUP(AP86,'2) หลักการคำนวน Table'!$D$1:$M$5,5,TRUE),0),
IF($C86="WS SF",VLOOKUP($B86,'2) หลักการคำนวน Table'!$D$33:$M$48,HLOOKUP(AP86,'2) หลักการคำนวน Table'!$D$1:$M$5,5,TRUE),0),
IF($C86="WS WH",VLOOKUP($B86,'2) หลักการคำนวน Table'!$D$63:$M$78,HLOOKUP(AP86,'2) หลักการคำนวน Table'!$D$1:$M$5,5,TRUE),0),
IF($C86="SF WH",VLOOKUP($B86,'2) หลักการคำนวน Table'!$D$93:$M$108,HLOOKUP(AP86,'2) หลักการคำนวน Table'!$D$1:$M$5,5,TRUE),0))))),0)</f>
        <v>180</v>
      </c>
      <c r="BI86" s="167">
        <f>IFERROR(IF($C86="Top WS",VLOOKUP($B86,'2) หลักการคำนวน Table'!$D$5:$M$20,HLOOKUP(AK86,'2) หลักการคำนวน Table'!$D$1:$M$5,5,TRUE),0),
IF($C86="WS SF",VLOOKUP($B86,'2) หลักการคำนวน Table'!$D$33:$M$48,HLOOKUP(AK86,'2) หลักการคำนวน Table'!$D$1:$M$5,5,TRUE),0),
IF($C86="WS WH",VLOOKUP($B86,'2) หลักการคำนวน Table'!$D$63:$M$78,HLOOKUP(AK86,'2) หลักการคำนวน Table'!$D$1:$M$5,5,TRUE),0),
IF($C86="SF WH",VLOOKUP($B86,'2) หลักการคำนวน Table'!$D$93:$M$108,HLOOKUP(AK86,'2) หลักการคำนวน Table'!$D$1:$M$5,5,TRUE),0))))),0)</f>
        <v>180</v>
      </c>
      <c r="BJ86" s="167">
        <f>IFERROR(IF($C86="Top WS",VLOOKUP($B86,'2) หลักการคำนวน Table'!$D$5:$M$20,HLOOKUP(AL86,'2) หลักการคำนวน Table'!$D$1:$M$5,5,TRUE),0),
IF($C86="WS SF",VLOOKUP($B86,'2) หลักการคำนวน Table'!$D$33:$M$48,HLOOKUP(AL86,'2) หลักการคำนวน Table'!$D$1:$M$5,5,TRUE),0),
IF($C86="WS WH",VLOOKUP($B86,'2) หลักการคำนวน Table'!$D$63:$M$78,HLOOKUP(AL86,'2) หลักการคำนวน Table'!$D$1:$M$5,5,TRUE),0),
IF($C86="SF WH",VLOOKUP($B86,'2) หลักการคำนวน Table'!$D$93:$M$108,HLOOKUP(AL86,'2) หลักการคำนวน Table'!$D$1:$M$5,5,TRUE),0))))),0)</f>
        <v>180</v>
      </c>
      <c r="BK86" s="167">
        <f>IFERROR(IF($C86="Top WS",VLOOKUP($B86,'2) หลักการคำนวน Table'!$D$5:$M$20,HLOOKUP(AM86,'2) หลักการคำนวน Table'!$D$1:$M$5,5,TRUE),0),
IF($C86="WS SF",VLOOKUP($B86,'2) หลักการคำนวน Table'!$D$33:$M$48,HLOOKUP(AM86,'2) หลักการคำนวน Table'!$D$1:$M$5,5,TRUE),0),
IF($C86="WS WH",VLOOKUP($B86,'2) หลักการคำนวน Table'!$D$63:$M$78,HLOOKUP(AM86,'2) หลักการคำนวน Table'!$D$1:$M$5,5,TRUE),0),
IF($C86="SF WH",VLOOKUP($B86,'2) หลักการคำนวน Table'!$D$93:$M$108,HLOOKUP(AM86,'2) หลักการคำนวน Table'!$D$1:$M$5,5,TRUE),0))))),0)</f>
        <v>180</v>
      </c>
      <c r="BM86" s="119">
        <f>VLOOKUP(VLOOKUP(A86,ASTBase!E:S,13,FALSE),ASTBase!F:P,11,FALSE)</f>
        <v>110000</v>
      </c>
      <c r="BN86" s="196" cm="1">
        <f t="array" ref="BN86">INDEX(AN86:AY86,,Period!$D$2)</f>
        <v>0.95</v>
      </c>
    </row>
    <row r="87" spans="1:66" x14ac:dyDescent="0.25">
      <c r="A87" s="388">
        <v>110001</v>
      </c>
      <c r="B87" s="388" t="s">
        <v>396</v>
      </c>
      <c r="C87" s="388" t="s">
        <v>178</v>
      </c>
      <c r="D87" s="118">
        <v>12</v>
      </c>
      <c r="E87" s="118">
        <v>12</v>
      </c>
      <c r="F87" s="118">
        <v>13</v>
      </c>
      <c r="G87" s="118">
        <v>8</v>
      </c>
      <c r="H87" s="118">
        <v>12</v>
      </c>
      <c r="I87" s="118">
        <v>16</v>
      </c>
      <c r="J87" s="118">
        <v>11</v>
      </c>
      <c r="K87" s="118">
        <v>22</v>
      </c>
      <c r="L87" s="118">
        <v>19</v>
      </c>
      <c r="M87" s="118">
        <v>15</v>
      </c>
      <c r="N87" s="118">
        <v>36</v>
      </c>
      <c r="O87" s="118">
        <v>34</v>
      </c>
      <c r="P87" s="117">
        <f>SUMIFS(Actual!C:C,Actual!$A:$A,'3)Target &amp; Cal'!$A87,Actual!$B:$B,'3)Target &amp; Cal'!$B87)</f>
        <v>0</v>
      </c>
      <c r="Q87" s="117">
        <f>SUMIFS(Actual!D:D,Actual!$A:$A,'3)Target &amp; Cal'!$A87,Actual!$B:$B,'3)Target &amp; Cal'!$B87)</f>
        <v>23.04</v>
      </c>
      <c r="R87" s="117">
        <f>SUMIFS(Actual!E:E,Actual!$A:$A,'3)Target &amp; Cal'!$A87,Actual!$B:$B,'3)Target &amp; Cal'!$B87)</f>
        <v>0</v>
      </c>
      <c r="S87" s="117">
        <f>SUMIFS(Actual!F:F,Actual!$A:$A,'3)Target &amp; Cal'!$A87,Actual!$B:$B,'3)Target &amp; Cal'!$B87)</f>
        <v>0</v>
      </c>
      <c r="T87" s="117">
        <f>SUMIFS(Actual!G:G,Actual!$A:$A,'3)Target &amp; Cal'!$A87,Actual!$B:$B,'3)Target &amp; Cal'!$B87)</f>
        <v>0</v>
      </c>
      <c r="U87" s="117">
        <f>SUMIFS(Actual!H:H,Actual!$A:$A,'3)Target &amp; Cal'!$A87,Actual!$B:$B,'3)Target &amp; Cal'!$B87)</f>
        <v>0</v>
      </c>
      <c r="V87" s="117">
        <f>SUMIFS(Actual!I:I,Actual!$A:$A,'3)Target &amp; Cal'!$A87,Actual!$B:$B,'3)Target &amp; Cal'!$B87)</f>
        <v>0</v>
      </c>
      <c r="W87" s="117">
        <f>SUMIFS(Actual!J:J,Actual!$A:$A,'3)Target &amp; Cal'!$A87,Actual!$B:$B,'3)Target &amp; Cal'!$B87)</f>
        <v>0</v>
      </c>
      <c r="X87" s="117">
        <f>SUMIFS(Actual!K:K,Actual!$A:$A,'3)Target &amp; Cal'!$A87,Actual!$B:$B,'3)Target &amp; Cal'!$B87)</f>
        <v>0</v>
      </c>
      <c r="Y87" s="117">
        <f>SUMIFS(Actual!L:L,Actual!$A:$A,'3)Target &amp; Cal'!$A87,Actual!$B:$B,'3)Target &amp; Cal'!$B87)</f>
        <v>0</v>
      </c>
      <c r="Z87" s="117">
        <f>SUMIFS(Actual!M:M,Actual!$A:$A,'3)Target &amp; Cal'!$A87,Actual!$B:$B,'3)Target &amp; Cal'!$B87)</f>
        <v>0</v>
      </c>
      <c r="AA87" s="117">
        <f>SUMIFS(Actual!N:N,Actual!$A:$A,'3)Target &amp; Cal'!$A87,Actual!$B:$B,'3)Target &amp; Cal'!$B87)</f>
        <v>0</v>
      </c>
      <c r="AB87" s="123">
        <f>IFERROR(IF(VLOOKUP($B87,Shortage!$A:$M,AB$2,FALSE)="Shortage",1,IFERROR(ROUND(P87/D87,4),0)),IFERROR(ROUND(P87/D87,4),0))</f>
        <v>0</v>
      </c>
      <c r="AC87" s="123">
        <f>IFERROR(IF(VLOOKUP($B87,Shortage!$A:$M,AC$2,FALSE)="Shortage",1,IFERROR(ROUND(Q87/E87,4),0)),IFERROR(ROUND(Q87/E87,4),0))</f>
        <v>1.92</v>
      </c>
      <c r="AD87" s="123">
        <f>IFERROR(IF(VLOOKUP($B87,Shortage!$A:$M,AD$2,FALSE)="Shortage",1,IFERROR(ROUND(R87/F87,4),0)),IFERROR(ROUND(R87/F87,4),0))</f>
        <v>0</v>
      </c>
      <c r="AE87" s="123">
        <f>IFERROR(IF(VLOOKUP($B87,Shortage!$A:$M,AE$2,FALSE)="Shortage",1,IFERROR(ROUND(S87/G87,4),0)),IFERROR(ROUND(S87/G87,4),0))</f>
        <v>0</v>
      </c>
      <c r="AF87" s="123">
        <f>IFERROR(IF(VLOOKUP($B87,Shortage!$A:$M,AF$2,FALSE)="Shortage",1,IFERROR(ROUND(T87/H87,4),0)),IFERROR(ROUND(T87/H87,4),0))</f>
        <v>0</v>
      </c>
      <c r="AG87" s="123">
        <f>IFERROR(IF(VLOOKUP($B87,Shortage!$A:$M,AG$2,FALSE)="Shortage",1,IFERROR(ROUND(U87/I87,4),0)),IFERROR(ROUND(U87/I87,4),0))</f>
        <v>0</v>
      </c>
      <c r="AH87" s="123">
        <f>IFERROR(IF(VLOOKUP($B87,Shortage!$A:$M,AH$2,FALSE)="Shortage",1,IFERROR(ROUND(V87/J87,4),0)),IFERROR(ROUND(V87/J87,4),0))</f>
        <v>0</v>
      </c>
      <c r="AI87" s="123">
        <f>IFERROR(IF(VLOOKUP($B87,Shortage!$A:$M,AI$2,FALSE)="Shortage",1,IFERROR(ROUND(W87/K87,4),0)),IFERROR(ROUND(W87/K87,4),0))</f>
        <v>0</v>
      </c>
      <c r="AJ87" s="123">
        <f>IFERROR(IF(VLOOKUP($B87,Shortage!$A:$M,AP$2,FALSE)="Shortage",1,IFERROR(ROUND(X87/L87,4),0)),IFERROR(ROUND(X87/L87,4),0))</f>
        <v>0</v>
      </c>
      <c r="AK87" s="123">
        <f>IFERROR(IF(VLOOKUP($B87,Shortage!$A:$M,AK$2,FALSE)="Shortage",1,IFERROR(ROUND(Y87/M87,4),0)),IFERROR(ROUND(Y87/M87,4),0))</f>
        <v>0</v>
      </c>
      <c r="AL87" s="123">
        <f>IFERROR(IF(VLOOKUP($B87,Shortage!$A:$M,AL$2,FALSE)="Shortage",1,IFERROR(ROUND(Z87/N87,4),0)),IFERROR(ROUND(Z87/N87,4),0))</f>
        <v>0</v>
      </c>
      <c r="AM87" s="123">
        <f>IFERROR(IF(VLOOKUP($B87,Shortage!$A:$M,AM$2,FALSE)="Shortage",1,IFERROR(ROUND(AA87/O87,4),0)),IFERROR(ROUND(AA87/O87,4),0))</f>
        <v>0</v>
      </c>
      <c r="AN87" s="232">
        <f>IFERROR(IF($C87="Top WS",VLOOKUP("GOAL",'2) หลักการคำนวน Table'!$D$4:$M$4,HLOOKUP(AB87,'2) หลักการคำนวน Table'!$D$1:$M$5,5,TRUE),0),
IF($C87="WS SF",VLOOKUP("GOAL",'2) หลักการคำนวน Table'!$D$32:$M$32,HLOOKUP(AB87,'2) หลักการคำนวน Table'!$D$1:$M$5,5,TRUE),0),
IF($C87="WS WH",VLOOKUP("GOAL",'2) หลักการคำนวน Table'!$D$62:$M$62,HLOOKUP(AB87,'2) หลักการคำนวน Table'!$D$1:$M$5,5,TRUE),0),
IF($C87="SF WH",VLOOKUP("GOAL",'2) หลักการคำนวน Table'!$D$92:$M$92,HLOOKUP(AB87,'2) หลักการคำนวน Table'!$D$1:$M$5,5,TRUE),0))))),0)</f>
        <v>0.9</v>
      </c>
      <c r="AO87" s="232">
        <f>IFERROR(IF($C87="Top WS",VLOOKUP("GOAL",'2) หลักการคำนวน Table'!$D$4:$M$4,HLOOKUP(AC87,'2) หลักการคำนวน Table'!$D$1:$M$5,5,TRUE),0),
IF($C87="WS SF",VLOOKUP("GOAL",'2) หลักการคำนวน Table'!$D$32:$M$32,HLOOKUP(AC87,'2) หลักการคำนวน Table'!$D$1:$M$5,5,TRUE),0),
IF($C87="WS WH",VLOOKUP("GOAL",'2) หลักการคำนวน Table'!$D$62:$M$62,HLOOKUP(AC87,'2) หลักการคำนวน Table'!$D$1:$M$5,5,TRUE),0),
IF($C87="SF WH",VLOOKUP("GOAL",'2) หลักการคำนวน Table'!$D$92:$M$92,HLOOKUP(AC87,'2) หลักการคำนวน Table'!$D$1:$M$5,5,TRUE),0))))),0)</f>
        <v>1.3</v>
      </c>
      <c r="AP87" s="232">
        <f>IFERROR(IF($C87="Top WS",VLOOKUP("GOAL",'2) หลักการคำนวน Table'!$D$4:$M$4,HLOOKUP(AD87,'2) หลักการคำนวน Table'!$D$1:$M$5,5,TRUE),0),
IF($C87="WS SF",VLOOKUP("GOAL",'2) หลักการคำนวน Table'!$D$32:$M$32,HLOOKUP(AD87,'2) หลักการคำนวน Table'!$D$1:$M$5,5,TRUE),0),
IF($C87="WS WH",VLOOKUP("GOAL",'2) หลักการคำนวน Table'!$D$62:$M$62,HLOOKUP(AD87,'2) หลักการคำนวน Table'!$D$1:$M$5,5,TRUE),0),
IF($C87="SF WH",VLOOKUP("GOAL",'2) หลักการคำนวน Table'!$D$92:$M$92,HLOOKUP(AD87,'2) หลักการคำนวน Table'!$D$1:$M$5,5,TRUE),0))))),0)</f>
        <v>0.9</v>
      </c>
      <c r="AQ87" s="232">
        <f>IFERROR(IF($C87="Top WS",VLOOKUP("GOAL",'2) หลักการคำนวน Table'!$D$4:$M$4,HLOOKUP(AE87,'2) หลักการคำนวน Table'!$D$1:$M$5,5,TRUE),0),
IF($C87="WS SF",VLOOKUP("GOAL",'2) หลักการคำนวน Table'!$D$32:$M$32,HLOOKUP(AE87,'2) หลักการคำนวน Table'!$D$1:$M$5,5,TRUE),0),
IF($C87="WS WH",VLOOKUP("GOAL",'2) หลักการคำนวน Table'!$D$62:$M$62,HLOOKUP(AE87,'2) หลักการคำนวน Table'!$D$1:$M$5,5,TRUE),0),
IF($C87="SF WH",VLOOKUP("GOAL",'2) หลักการคำนวน Table'!$D$92:$M$92,HLOOKUP(AE87,'2) หลักการคำนวน Table'!$D$1:$M$5,5,TRUE),0))))),0)</f>
        <v>0.9</v>
      </c>
      <c r="AR87" s="232">
        <f>IFERROR(IF($C87="Top WS",VLOOKUP("GOAL",'2) หลักการคำนวน Table'!$D$4:$M$4,HLOOKUP(AF87,'2) หลักการคำนวน Table'!$D$1:$M$5,5,TRUE),0),
IF($C87="WS SF",VLOOKUP("GOAL",'2) หลักการคำนวน Table'!$D$32:$M$32,HLOOKUP(AF87,'2) หลักการคำนวน Table'!$D$1:$M$5,5,TRUE),0),
IF($C87="WS WH",VLOOKUP("GOAL",'2) หลักการคำนวน Table'!$D$62:$M$62,HLOOKUP(AF87,'2) หลักการคำนวน Table'!$D$1:$M$5,5,TRUE),0),
IF($C87="SF WH",VLOOKUP("GOAL",'2) หลักการคำนวน Table'!$D$92:$M$92,HLOOKUP(AF87,'2) หลักการคำนวน Table'!$D$1:$M$5,5,TRUE),0))))),0)</f>
        <v>0.9</v>
      </c>
      <c r="AS87" s="232">
        <f>IFERROR(IF($C87="Top WS",VLOOKUP("GOAL",'2) หลักการคำนวน Table'!$D$4:$M$4,HLOOKUP(AG87,'2) หลักการคำนวน Table'!$D$1:$M$5,5,TRUE),0),
IF($C87="WS SF",VLOOKUP("GOAL",'2) หลักการคำนวน Table'!$D$32:$M$32,HLOOKUP(AG87,'2) หลักการคำนวน Table'!$D$1:$M$5,5,TRUE),0),
IF($C87="WS WH",VLOOKUP("GOAL",'2) หลักการคำนวน Table'!$D$62:$M$62,HLOOKUP(AG87,'2) หลักการคำนวน Table'!$D$1:$M$5,5,TRUE),0),
IF($C87="SF WH",VLOOKUP("GOAL",'2) หลักการคำนวน Table'!$D$92:$M$92,HLOOKUP(AG87,'2) หลักการคำนวน Table'!$D$1:$M$5,5,TRUE),0))))),0)</f>
        <v>0.9</v>
      </c>
      <c r="AT87" s="232">
        <f>IFERROR(IF($C87="Top WS",VLOOKUP("GOAL",'2) หลักการคำนวน Table'!$D$4:$M$4,HLOOKUP(AH87,'2) หลักการคำนวน Table'!$D$1:$M$5,5,TRUE),0),
IF($C87="WS SF",VLOOKUP("GOAL",'2) หลักการคำนวน Table'!$D$32:$M$32,HLOOKUP(AH87,'2) หลักการคำนวน Table'!$D$1:$M$5,5,TRUE),0),
IF($C87="WS WH",VLOOKUP("GOAL",'2) หลักการคำนวน Table'!$D$62:$M$62,HLOOKUP(AH87,'2) หลักการคำนวน Table'!$D$1:$M$5,5,TRUE),0),
IF($C87="SF WH",VLOOKUP("GOAL",'2) หลักการคำนวน Table'!$D$92:$M$92,HLOOKUP(AH87,'2) หลักการคำนวน Table'!$D$1:$M$5,5,TRUE),0))))),0)</f>
        <v>0.9</v>
      </c>
      <c r="AU87" s="232">
        <f>IFERROR(IF($C87="Top WS",VLOOKUP("GOAL",'2) หลักการคำนวน Table'!$D$4:$M$4,HLOOKUP(AI87,'2) หลักการคำนวน Table'!$D$1:$M$5,5,TRUE),0),
IF($C87="WS SF",VLOOKUP("GOAL",'2) หลักการคำนวน Table'!$D$32:$M$32,HLOOKUP(AI87,'2) หลักการคำนวน Table'!$D$1:$M$5,5,TRUE),0),
IF($C87="WS WH",VLOOKUP("GOAL",'2) หลักการคำนวน Table'!$D$62:$M$62,HLOOKUP(AI87,'2) หลักการคำนวน Table'!$D$1:$M$5,5,TRUE),0),
IF($C87="SF WH",VLOOKUP("GOAL",'2) หลักการคำนวน Table'!$D$92:$M$92,HLOOKUP(AI87,'2) หลักการคำนวน Table'!$D$1:$M$5,5,TRUE),0))))),0)</f>
        <v>0.9</v>
      </c>
      <c r="AV87" s="232">
        <f>IFERROR(IF($C87="Top WS",VLOOKUP("GOAL",'2) หลักการคำนวน Table'!$D$4:$M$4,HLOOKUP(AP87,'2) หลักการคำนวน Table'!$D$1:$M$5,5,TRUE),0),
IF($C87="WS SF",VLOOKUP("GOAL",'2) หลักการคำนวน Table'!$D$32:$M$32,HLOOKUP(AP87,'2) หลักการคำนวน Table'!$D$1:$M$5,5,TRUE),0),
IF($C87="WS WH",VLOOKUP("GOAL",'2) หลักการคำนวน Table'!$D$62:$M$62,HLOOKUP(AP87,'2) หลักการคำนวน Table'!$D$1:$M$5,5,TRUE),0),
IF($C87="SF WH",VLOOKUP("GOAL",'2) หลักการคำนวน Table'!$D$92:$M$92,HLOOKUP(AP87,'2) หลักการคำนวน Table'!$D$1:$M$5,5,TRUE),0))))),0)</f>
        <v>0.9</v>
      </c>
      <c r="AW87" s="232">
        <f>IFERROR(IF($C87="Top WS",VLOOKUP("GOAL",'2) หลักการคำนวน Table'!$D$4:$M$4,HLOOKUP(AK87,'2) หลักการคำนวน Table'!$D$1:$M$5,5,TRUE),0),
IF($C87="WS SF",VLOOKUP("GOAL",'2) หลักการคำนวน Table'!$D$32:$M$32,HLOOKUP(AK87,'2) หลักการคำนวน Table'!$D$1:$M$5,5,TRUE),0),
IF($C87="WS WH",VLOOKUP("GOAL",'2) หลักการคำนวน Table'!$D$62:$M$62,HLOOKUP(AK87,'2) หลักการคำนวน Table'!$D$1:$M$5,5,TRUE),0),
IF($C87="SF WH",VLOOKUP("GOAL",'2) หลักการคำนวน Table'!$D$92:$M$92,HLOOKUP(AK87,'2) หลักการคำนวน Table'!$D$1:$M$5,5,TRUE),0))))),0)</f>
        <v>0.9</v>
      </c>
      <c r="AX87" s="232">
        <f>IFERROR(IF($C87="Top WS",VLOOKUP("GOAL",'2) หลักการคำนวน Table'!$D$4:$M$4,HLOOKUP(AL87,'2) หลักการคำนวน Table'!$D$1:$M$5,5,TRUE),0),
IF($C87="WS SF",VLOOKUP("GOAL",'2) หลักการคำนวน Table'!$D$32:$M$32,HLOOKUP(AL87,'2) หลักการคำนวน Table'!$D$1:$M$5,5,TRUE),0),
IF($C87="WS WH",VLOOKUP("GOAL",'2) หลักการคำนวน Table'!$D$62:$M$62,HLOOKUP(AL87,'2) หลักการคำนวน Table'!$D$1:$M$5,5,TRUE),0),
IF($C87="SF WH",VLOOKUP("GOAL",'2) หลักการคำนวน Table'!$D$92:$M$92,HLOOKUP(AL87,'2) หลักการคำนวน Table'!$D$1:$M$5,5,TRUE),0))))),0)</f>
        <v>0.9</v>
      </c>
      <c r="AY87" s="232">
        <f>IFERROR(IF($C87="Top WS",VLOOKUP("GOAL",'2) หลักการคำนวน Table'!$D$4:$M$4,HLOOKUP(AM87,'2) หลักการคำนวน Table'!$D$1:$M$5,5,TRUE),0),
IF($C87="WS SF",VLOOKUP("GOAL",'2) หลักการคำนวน Table'!$D$32:$M$32,HLOOKUP(AM87,'2) หลักการคำนวน Table'!$D$1:$M$5,5,TRUE),0),
IF($C87="WS WH",VLOOKUP("GOAL",'2) หลักการคำนวน Table'!$D$62:$M$62,HLOOKUP(AM87,'2) หลักการคำนวน Table'!$D$1:$M$5,5,TRUE),0),
IF($C87="SF WH",VLOOKUP("GOAL",'2) หลักการคำนวน Table'!$D$92:$M$92,HLOOKUP(AM87,'2) หลักการคำนวน Table'!$D$1:$M$5,5,TRUE),0))))),0)</f>
        <v>0.9</v>
      </c>
      <c r="AZ87" s="167">
        <f>IFERROR(IF($C87="Top WS",VLOOKUP($B87,'2) หลักการคำนวน Table'!$D$5:$M$20,HLOOKUP(AB87,'2) หลักการคำนวน Table'!$D$1:$M$5,5,TRUE),0),
IF($C87="WS SF",VLOOKUP($B87,'2) หลักการคำนวน Table'!$D$33:$M$48,HLOOKUP(AB87,'2) หลักการคำนวน Table'!$D$1:$M$5,5,TRUE),0),
IF($C87="WS WH",VLOOKUP($B87,'2) หลักการคำนวน Table'!$D$63:$M$78,HLOOKUP(AB87,'2) หลักการคำนวน Table'!$D$1:$M$5,5,TRUE),0),
IF($C87="SF WH",VLOOKUP($B87,'2) หลักการคำนวน Table'!$D$93:$M$108,HLOOKUP(AB87,'2) หลักการคำนวน Table'!$D$1:$M$5,5,TRUE),0))))),0)</f>
        <v>360</v>
      </c>
      <c r="BA87" s="167">
        <f>IFERROR(IF($C87="Top WS",VLOOKUP($B87,'2) หลักการคำนวน Table'!$D$5:$M$20,HLOOKUP(AC87,'2) หลักการคำนวน Table'!$D$1:$M$5,5,TRUE),0),
IF($C87="WS SF",VLOOKUP($B87,'2) หลักการคำนวน Table'!$D$33:$M$48,HLOOKUP(AC87,'2) หลักการคำนวน Table'!$D$1:$M$5,5,TRUE),0),
IF($C87="WS WH",VLOOKUP($B87,'2) หลักการคำนวน Table'!$D$63:$M$78,HLOOKUP(AC87,'2) หลักการคำนวน Table'!$D$1:$M$5,5,TRUE),0),
IF($C87="SF WH",VLOOKUP($B87,'2) หลักการคำนวน Table'!$D$93:$M$108,HLOOKUP(AC87,'2) หลักการคำนวน Table'!$D$1:$M$5,5,TRUE),0))))),0)</f>
        <v>520</v>
      </c>
      <c r="BB87" s="167">
        <f>IFERROR(IF($C87="Top WS",VLOOKUP($B87,'2) หลักการคำนวน Table'!$D$5:$M$20,HLOOKUP(AD87,'2) หลักการคำนวน Table'!$D$1:$M$5,5,TRUE),0),
IF($C87="WS SF",VLOOKUP($B87,'2) หลักการคำนวน Table'!$D$33:$M$48,HLOOKUP(AD87,'2) หลักการคำนวน Table'!$D$1:$M$5,5,TRUE),0),
IF($C87="WS WH",VLOOKUP($B87,'2) หลักการคำนวน Table'!$D$63:$M$78,HLOOKUP(AD87,'2) หลักการคำนวน Table'!$D$1:$M$5,5,TRUE),0),
IF($C87="SF WH",VLOOKUP($B87,'2) หลักการคำนวน Table'!$D$93:$M$108,HLOOKUP(AD87,'2) หลักการคำนวน Table'!$D$1:$M$5,5,TRUE),0))))),0)</f>
        <v>360</v>
      </c>
      <c r="BC87" s="167">
        <f>IFERROR(IF($C87="Top WS",VLOOKUP($B87,'2) หลักการคำนวน Table'!$D$5:$M$20,HLOOKUP(AE87,'2) หลักการคำนวน Table'!$D$1:$M$5,5,TRUE),0),
IF($C87="WS SF",VLOOKUP($B87,'2) หลักการคำนวน Table'!$D$33:$M$48,HLOOKUP(AE87,'2) หลักการคำนวน Table'!$D$1:$M$5,5,TRUE),0),
IF($C87="WS WH",VLOOKUP($B87,'2) หลักการคำนวน Table'!$D$63:$M$78,HLOOKUP(AE87,'2) หลักการคำนวน Table'!$D$1:$M$5,5,TRUE),0),
IF($C87="SF WH",VLOOKUP($B87,'2) หลักการคำนวน Table'!$D$93:$M$108,HLOOKUP(AE87,'2) หลักการคำนวน Table'!$D$1:$M$5,5,TRUE),0))))),0)</f>
        <v>360</v>
      </c>
      <c r="BD87" s="167">
        <f>IFERROR(IF($C87="Top WS",VLOOKUP($B87,'2) หลักการคำนวน Table'!$D$5:$M$20,HLOOKUP(AF87,'2) หลักการคำนวน Table'!$D$1:$M$5,5,TRUE),0),
IF($C87="WS SF",VLOOKUP($B87,'2) หลักการคำนวน Table'!$D$33:$M$48,HLOOKUP(AF87,'2) หลักการคำนวน Table'!$D$1:$M$5,5,TRUE),0),
IF($C87="WS WH",VLOOKUP($B87,'2) หลักการคำนวน Table'!$D$63:$M$78,HLOOKUP(AF87,'2) หลักการคำนวน Table'!$D$1:$M$5,5,TRUE),0),
IF($C87="SF WH",VLOOKUP($B87,'2) หลักการคำนวน Table'!$D$93:$M$108,HLOOKUP(AF87,'2) หลักการคำนวน Table'!$D$1:$M$5,5,TRUE),0))))),0)</f>
        <v>360</v>
      </c>
      <c r="BE87" s="167">
        <f>IFERROR(IF($C87="Top WS",VLOOKUP($B87,'2) หลักการคำนวน Table'!$D$5:$M$20,HLOOKUP(AG87,'2) หลักการคำนวน Table'!$D$1:$M$5,5,TRUE),0),
IF($C87="WS SF",VLOOKUP($B87,'2) หลักการคำนวน Table'!$D$33:$M$48,HLOOKUP(AG87,'2) หลักการคำนวน Table'!$D$1:$M$5,5,TRUE),0),
IF($C87="WS WH",VLOOKUP($B87,'2) หลักการคำนวน Table'!$D$63:$M$78,HLOOKUP(AG87,'2) หลักการคำนวน Table'!$D$1:$M$5,5,TRUE),0),
IF($C87="SF WH",VLOOKUP($B87,'2) หลักการคำนวน Table'!$D$93:$M$108,HLOOKUP(AG87,'2) หลักการคำนวน Table'!$D$1:$M$5,5,TRUE),0))))),0)</f>
        <v>360</v>
      </c>
      <c r="BF87" s="167">
        <f>IFERROR(IF($C87="Top WS",VLOOKUP($B87,'2) หลักการคำนวน Table'!$D$5:$M$20,HLOOKUP(AH87,'2) หลักการคำนวน Table'!$D$1:$M$5,5,TRUE),0),
IF($C87="WS SF",VLOOKUP($B87,'2) หลักการคำนวน Table'!$D$33:$M$48,HLOOKUP(AH87,'2) หลักการคำนวน Table'!$D$1:$M$5,5,TRUE),0),
IF($C87="WS WH",VLOOKUP($B87,'2) หลักการคำนวน Table'!$D$63:$M$78,HLOOKUP(AH87,'2) หลักการคำนวน Table'!$D$1:$M$5,5,TRUE),0),
IF($C87="SF WH",VLOOKUP($B87,'2) หลักการคำนวน Table'!$D$93:$M$108,HLOOKUP(AH87,'2) หลักการคำนวน Table'!$D$1:$M$5,5,TRUE),0))))),0)</f>
        <v>360</v>
      </c>
      <c r="BG87" s="167">
        <f>IFERROR(IF($C87="Top WS",VLOOKUP($B87,'2) หลักการคำนวน Table'!$D$5:$M$20,HLOOKUP(AI87,'2) หลักการคำนวน Table'!$D$1:$M$5,5,TRUE),0),
IF($C87="WS SF",VLOOKUP($B87,'2) หลักการคำนวน Table'!$D$33:$M$48,HLOOKUP(AI87,'2) หลักการคำนวน Table'!$D$1:$M$5,5,TRUE),0),
IF($C87="WS WH",VLOOKUP($B87,'2) หลักการคำนวน Table'!$D$63:$M$78,HLOOKUP(AI87,'2) หลักการคำนวน Table'!$D$1:$M$5,5,TRUE),0),
IF($C87="SF WH",VLOOKUP($B87,'2) หลักการคำนวน Table'!$D$93:$M$108,HLOOKUP(AI87,'2) หลักการคำนวน Table'!$D$1:$M$5,5,TRUE),0))))),0)</f>
        <v>360</v>
      </c>
      <c r="BH87" s="167">
        <f>IFERROR(IF($C87="Top WS",VLOOKUP($B87,'2) หลักการคำนวน Table'!$D$5:$M$20,HLOOKUP(AP87,'2) หลักการคำนวน Table'!$D$1:$M$5,5,TRUE),0),
IF($C87="WS SF",VLOOKUP($B87,'2) หลักการคำนวน Table'!$D$33:$M$48,HLOOKUP(AP87,'2) หลักการคำนวน Table'!$D$1:$M$5,5,TRUE),0),
IF($C87="WS WH",VLOOKUP($B87,'2) หลักการคำนวน Table'!$D$63:$M$78,HLOOKUP(AP87,'2) หลักการคำนวน Table'!$D$1:$M$5,5,TRUE),0),
IF($C87="SF WH",VLOOKUP($B87,'2) หลักการคำนวน Table'!$D$93:$M$108,HLOOKUP(AP87,'2) หลักการคำนวน Table'!$D$1:$M$5,5,TRUE),0))))),0)</f>
        <v>360</v>
      </c>
      <c r="BI87" s="167">
        <f>IFERROR(IF($C87="Top WS",VLOOKUP($B87,'2) หลักการคำนวน Table'!$D$5:$M$20,HLOOKUP(AK87,'2) หลักการคำนวน Table'!$D$1:$M$5,5,TRUE),0),
IF($C87="WS SF",VLOOKUP($B87,'2) หลักการคำนวน Table'!$D$33:$M$48,HLOOKUP(AK87,'2) หลักการคำนวน Table'!$D$1:$M$5,5,TRUE),0),
IF($C87="WS WH",VLOOKUP($B87,'2) หลักการคำนวน Table'!$D$63:$M$78,HLOOKUP(AK87,'2) หลักการคำนวน Table'!$D$1:$M$5,5,TRUE),0),
IF($C87="SF WH",VLOOKUP($B87,'2) หลักการคำนวน Table'!$D$93:$M$108,HLOOKUP(AK87,'2) หลักการคำนวน Table'!$D$1:$M$5,5,TRUE),0))))),0)</f>
        <v>360</v>
      </c>
      <c r="BJ87" s="167">
        <f>IFERROR(IF($C87="Top WS",VLOOKUP($B87,'2) หลักการคำนวน Table'!$D$5:$M$20,HLOOKUP(AL87,'2) หลักการคำนวน Table'!$D$1:$M$5,5,TRUE),0),
IF($C87="WS SF",VLOOKUP($B87,'2) หลักการคำนวน Table'!$D$33:$M$48,HLOOKUP(AL87,'2) หลักการคำนวน Table'!$D$1:$M$5,5,TRUE),0),
IF($C87="WS WH",VLOOKUP($B87,'2) หลักการคำนวน Table'!$D$63:$M$78,HLOOKUP(AL87,'2) หลักการคำนวน Table'!$D$1:$M$5,5,TRUE),0),
IF($C87="SF WH",VLOOKUP($B87,'2) หลักการคำนวน Table'!$D$93:$M$108,HLOOKUP(AL87,'2) หลักการคำนวน Table'!$D$1:$M$5,5,TRUE),0))))),0)</f>
        <v>360</v>
      </c>
      <c r="BK87" s="167">
        <f>IFERROR(IF($C87="Top WS",VLOOKUP($B87,'2) หลักการคำนวน Table'!$D$5:$M$20,HLOOKUP(AM87,'2) หลักการคำนวน Table'!$D$1:$M$5,5,TRUE),0),
IF($C87="WS SF",VLOOKUP($B87,'2) หลักการคำนวน Table'!$D$33:$M$48,HLOOKUP(AM87,'2) หลักการคำนวน Table'!$D$1:$M$5,5,TRUE),0),
IF($C87="WS WH",VLOOKUP($B87,'2) หลักการคำนวน Table'!$D$63:$M$78,HLOOKUP(AM87,'2) หลักการคำนวน Table'!$D$1:$M$5,5,TRUE),0),
IF($C87="SF WH",VLOOKUP($B87,'2) หลักการคำนวน Table'!$D$93:$M$108,HLOOKUP(AM87,'2) หลักการคำนวน Table'!$D$1:$M$5,5,TRUE),0))))),0)</f>
        <v>360</v>
      </c>
      <c r="BM87" s="119">
        <f>VLOOKUP(VLOOKUP(A87,ASTBase!E:S,13,FALSE),ASTBase!F:P,11,FALSE)</f>
        <v>110000</v>
      </c>
      <c r="BN87" s="196" cm="1">
        <f t="array" ref="BN87">INDEX(AN87:AY87,,Period!$D$2)</f>
        <v>1.3</v>
      </c>
    </row>
    <row r="88" spans="1:66" x14ac:dyDescent="0.25">
      <c r="A88" s="388">
        <v>110001</v>
      </c>
      <c r="B88" s="388" t="s">
        <v>394</v>
      </c>
      <c r="C88" s="388" t="s">
        <v>178</v>
      </c>
      <c r="D88" s="118">
        <v>339</v>
      </c>
      <c r="E88" s="118">
        <v>501</v>
      </c>
      <c r="F88" s="118">
        <v>272</v>
      </c>
      <c r="G88" s="118">
        <v>95</v>
      </c>
      <c r="H88" s="118">
        <v>7</v>
      </c>
      <c r="I88" s="118">
        <v>443</v>
      </c>
      <c r="J88" s="118">
        <v>397</v>
      </c>
      <c r="K88" s="118">
        <v>621</v>
      </c>
      <c r="L88" s="118">
        <v>442</v>
      </c>
      <c r="M88" s="118">
        <v>391</v>
      </c>
      <c r="N88" s="118">
        <v>426</v>
      </c>
      <c r="O88" s="118">
        <v>426</v>
      </c>
      <c r="P88" s="117">
        <f>SUMIFS(Actual!C:C,Actual!$A:$A,'3)Target &amp; Cal'!$A88,Actual!$B:$B,'3)Target &amp; Cal'!$B88)</f>
        <v>324</v>
      </c>
      <c r="Q88" s="117">
        <f>SUMIFS(Actual!D:D,Actual!$A:$A,'3)Target &amp; Cal'!$A88,Actual!$B:$B,'3)Target &amp; Cal'!$B88)</f>
        <v>216</v>
      </c>
      <c r="R88" s="117">
        <f>SUMIFS(Actual!E:E,Actual!$A:$A,'3)Target &amp; Cal'!$A88,Actual!$B:$B,'3)Target &amp; Cal'!$B88)</f>
        <v>0</v>
      </c>
      <c r="S88" s="117">
        <f>SUMIFS(Actual!F:F,Actual!$A:$A,'3)Target &amp; Cal'!$A88,Actual!$B:$B,'3)Target &amp; Cal'!$B88)</f>
        <v>0</v>
      </c>
      <c r="T88" s="117">
        <f>SUMIFS(Actual!G:G,Actual!$A:$A,'3)Target &amp; Cal'!$A88,Actual!$B:$B,'3)Target &amp; Cal'!$B88)</f>
        <v>0</v>
      </c>
      <c r="U88" s="117">
        <f>SUMIFS(Actual!H:H,Actual!$A:$A,'3)Target &amp; Cal'!$A88,Actual!$B:$B,'3)Target &amp; Cal'!$B88)</f>
        <v>0</v>
      </c>
      <c r="V88" s="117">
        <f>SUMIFS(Actual!I:I,Actual!$A:$A,'3)Target &amp; Cal'!$A88,Actual!$B:$B,'3)Target &amp; Cal'!$B88)</f>
        <v>0</v>
      </c>
      <c r="W88" s="117">
        <f>SUMIFS(Actual!J:J,Actual!$A:$A,'3)Target &amp; Cal'!$A88,Actual!$B:$B,'3)Target &amp; Cal'!$B88)</f>
        <v>0</v>
      </c>
      <c r="X88" s="117">
        <f>SUMIFS(Actual!K:K,Actual!$A:$A,'3)Target &amp; Cal'!$A88,Actual!$B:$B,'3)Target &amp; Cal'!$B88)</f>
        <v>0</v>
      </c>
      <c r="Y88" s="117">
        <f>SUMIFS(Actual!L:L,Actual!$A:$A,'3)Target &amp; Cal'!$A88,Actual!$B:$B,'3)Target &amp; Cal'!$B88)</f>
        <v>0</v>
      </c>
      <c r="Z88" s="117">
        <f>SUMIFS(Actual!M:M,Actual!$A:$A,'3)Target &amp; Cal'!$A88,Actual!$B:$B,'3)Target &amp; Cal'!$B88)</f>
        <v>0</v>
      </c>
      <c r="AA88" s="117">
        <f>SUMIFS(Actual!N:N,Actual!$A:$A,'3)Target &amp; Cal'!$A88,Actual!$B:$B,'3)Target &amp; Cal'!$B88)</f>
        <v>0</v>
      </c>
      <c r="AB88" s="123">
        <f>IFERROR(IF(VLOOKUP($B88,Shortage!$A:$M,AB$2,FALSE)="Shortage",1,IFERROR(ROUND(P88/D88,4),0)),IFERROR(ROUND(P88/D88,4),0))</f>
        <v>0.95579999999999998</v>
      </c>
      <c r="AC88" s="123">
        <f>IFERROR(IF(VLOOKUP($B88,Shortage!$A:$M,AC$2,FALSE)="Shortage",1,IFERROR(ROUND(Q88/E88,4),0)),IFERROR(ROUND(Q88/E88,4),0))</f>
        <v>0.43109999999999998</v>
      </c>
      <c r="AD88" s="123">
        <f>IFERROR(IF(VLOOKUP($B88,Shortage!$A:$M,AD$2,FALSE)="Shortage",1,IFERROR(ROUND(R88/F88,4),0)),IFERROR(ROUND(R88/F88,4),0))</f>
        <v>0</v>
      </c>
      <c r="AE88" s="123">
        <f>IFERROR(IF(VLOOKUP($B88,Shortage!$A:$M,AE$2,FALSE)="Shortage",1,IFERROR(ROUND(S88/G88,4),0)),IFERROR(ROUND(S88/G88,4),0))</f>
        <v>0</v>
      </c>
      <c r="AF88" s="123">
        <f>IFERROR(IF(VLOOKUP($B88,Shortage!$A:$M,AF$2,FALSE)="Shortage",1,IFERROR(ROUND(T88/H88,4),0)),IFERROR(ROUND(T88/H88,4),0))</f>
        <v>0</v>
      </c>
      <c r="AG88" s="123">
        <f>IFERROR(IF(VLOOKUP($B88,Shortage!$A:$M,AG$2,FALSE)="Shortage",1,IFERROR(ROUND(U88/I88,4),0)),IFERROR(ROUND(U88/I88,4),0))</f>
        <v>0</v>
      </c>
      <c r="AH88" s="123">
        <f>IFERROR(IF(VLOOKUP($B88,Shortage!$A:$M,AH$2,FALSE)="Shortage",1,IFERROR(ROUND(V88/J88,4),0)),IFERROR(ROUND(V88/J88,4),0))</f>
        <v>0</v>
      </c>
      <c r="AI88" s="123">
        <f>IFERROR(IF(VLOOKUP($B88,Shortage!$A:$M,AI$2,FALSE)="Shortage",1,IFERROR(ROUND(W88/K88,4),0)),IFERROR(ROUND(W88/K88,4),0))</f>
        <v>0</v>
      </c>
      <c r="AJ88" s="123">
        <f>IFERROR(IF(VLOOKUP($B88,Shortage!$A:$M,AP$2,FALSE)="Shortage",1,IFERROR(ROUND(X88/L88,4),0)),IFERROR(ROUND(X88/L88,4),0))</f>
        <v>0</v>
      </c>
      <c r="AK88" s="123">
        <f>IFERROR(IF(VLOOKUP($B88,Shortage!$A:$M,AK$2,FALSE)="Shortage",1,IFERROR(ROUND(Y88/M88,4),0)),IFERROR(ROUND(Y88/M88,4),0))</f>
        <v>0</v>
      </c>
      <c r="AL88" s="123">
        <f>IFERROR(IF(VLOOKUP($B88,Shortage!$A:$M,AL$2,FALSE)="Shortage",1,IFERROR(ROUND(Z88/N88,4),0)),IFERROR(ROUND(Z88/N88,4),0))</f>
        <v>0</v>
      </c>
      <c r="AM88" s="123">
        <f>IFERROR(IF(VLOOKUP($B88,Shortage!$A:$M,AM$2,FALSE)="Shortage",1,IFERROR(ROUND(AA88/O88,4),0)),IFERROR(ROUND(AA88/O88,4),0))</f>
        <v>0</v>
      </c>
      <c r="AN88" s="232">
        <f>IFERROR(IF($C88="Top WS",VLOOKUP("GOAL",'2) หลักการคำนวน Table'!$D$4:$M$4,HLOOKUP(AB88,'2) หลักการคำนวน Table'!$D$1:$M$5,5,TRUE),0),
IF($C88="WS SF",VLOOKUP("GOAL",'2) หลักการคำนวน Table'!$D$32:$M$32,HLOOKUP(AB88,'2) หลักการคำนวน Table'!$D$1:$M$5,5,TRUE),0),
IF($C88="WS WH",VLOOKUP("GOAL",'2) หลักการคำนวน Table'!$D$62:$M$62,HLOOKUP(AB88,'2) หลักการคำนวน Table'!$D$1:$M$5,5,TRUE),0),
IF($C88="SF WH",VLOOKUP("GOAL",'2) หลักการคำนวน Table'!$D$92:$M$92,HLOOKUP(AB88,'2) หลักการคำนวน Table'!$D$1:$M$5,5,TRUE),0))))),0)</f>
        <v>1</v>
      </c>
      <c r="AO88" s="232">
        <f>IFERROR(IF($C88="Top WS",VLOOKUP("GOAL",'2) หลักการคำนวน Table'!$D$4:$M$4,HLOOKUP(AC88,'2) หลักการคำนวน Table'!$D$1:$M$5,5,TRUE),0),
IF($C88="WS SF",VLOOKUP("GOAL",'2) หลักการคำนวน Table'!$D$32:$M$32,HLOOKUP(AC88,'2) หลักการคำนวน Table'!$D$1:$M$5,5,TRUE),0),
IF($C88="WS WH",VLOOKUP("GOAL",'2) หลักการคำนวน Table'!$D$62:$M$62,HLOOKUP(AC88,'2) หลักการคำนวน Table'!$D$1:$M$5,5,TRUE),0),
IF($C88="SF WH",VLOOKUP("GOAL",'2) หลักการคำนวน Table'!$D$92:$M$92,HLOOKUP(AC88,'2) หลักการคำนวน Table'!$D$1:$M$5,5,TRUE),0))))),0)</f>
        <v>0.9</v>
      </c>
      <c r="AP88" s="232">
        <f>IFERROR(IF($C88="Top WS",VLOOKUP("GOAL",'2) หลักการคำนวน Table'!$D$4:$M$4,HLOOKUP(AD88,'2) หลักการคำนวน Table'!$D$1:$M$5,5,TRUE),0),
IF($C88="WS SF",VLOOKUP("GOAL",'2) หลักการคำนวน Table'!$D$32:$M$32,HLOOKUP(AD88,'2) หลักการคำนวน Table'!$D$1:$M$5,5,TRUE),0),
IF($C88="WS WH",VLOOKUP("GOAL",'2) หลักการคำนวน Table'!$D$62:$M$62,HLOOKUP(AD88,'2) หลักการคำนวน Table'!$D$1:$M$5,5,TRUE),0),
IF($C88="SF WH",VLOOKUP("GOAL",'2) หลักการคำนวน Table'!$D$92:$M$92,HLOOKUP(AD88,'2) หลักการคำนวน Table'!$D$1:$M$5,5,TRUE),0))))),0)</f>
        <v>0.9</v>
      </c>
      <c r="AQ88" s="232">
        <f>IFERROR(IF($C88="Top WS",VLOOKUP("GOAL",'2) หลักการคำนวน Table'!$D$4:$M$4,HLOOKUP(AE88,'2) หลักการคำนวน Table'!$D$1:$M$5,5,TRUE),0),
IF($C88="WS SF",VLOOKUP("GOAL",'2) หลักการคำนวน Table'!$D$32:$M$32,HLOOKUP(AE88,'2) หลักการคำนวน Table'!$D$1:$M$5,5,TRUE),0),
IF($C88="WS WH",VLOOKUP("GOAL",'2) หลักการคำนวน Table'!$D$62:$M$62,HLOOKUP(AE88,'2) หลักการคำนวน Table'!$D$1:$M$5,5,TRUE),0),
IF($C88="SF WH",VLOOKUP("GOAL",'2) หลักการคำนวน Table'!$D$92:$M$92,HLOOKUP(AE88,'2) หลักการคำนวน Table'!$D$1:$M$5,5,TRUE),0))))),0)</f>
        <v>0.9</v>
      </c>
      <c r="AR88" s="232">
        <f>IFERROR(IF($C88="Top WS",VLOOKUP("GOAL",'2) หลักการคำนวน Table'!$D$4:$M$4,HLOOKUP(AF88,'2) หลักการคำนวน Table'!$D$1:$M$5,5,TRUE),0),
IF($C88="WS SF",VLOOKUP("GOAL",'2) หลักการคำนวน Table'!$D$32:$M$32,HLOOKUP(AF88,'2) หลักการคำนวน Table'!$D$1:$M$5,5,TRUE),0),
IF($C88="WS WH",VLOOKUP("GOAL",'2) หลักการคำนวน Table'!$D$62:$M$62,HLOOKUP(AF88,'2) หลักการคำนวน Table'!$D$1:$M$5,5,TRUE),0),
IF($C88="SF WH",VLOOKUP("GOAL",'2) หลักการคำนวน Table'!$D$92:$M$92,HLOOKUP(AF88,'2) หลักการคำนวน Table'!$D$1:$M$5,5,TRUE),0))))),0)</f>
        <v>0.9</v>
      </c>
      <c r="AS88" s="232">
        <f>IFERROR(IF($C88="Top WS",VLOOKUP("GOAL",'2) หลักการคำนวน Table'!$D$4:$M$4,HLOOKUP(AG88,'2) หลักการคำนวน Table'!$D$1:$M$5,5,TRUE),0),
IF($C88="WS SF",VLOOKUP("GOAL",'2) หลักการคำนวน Table'!$D$32:$M$32,HLOOKUP(AG88,'2) หลักการคำนวน Table'!$D$1:$M$5,5,TRUE),0),
IF($C88="WS WH",VLOOKUP("GOAL",'2) หลักการคำนวน Table'!$D$62:$M$62,HLOOKUP(AG88,'2) หลักการคำนวน Table'!$D$1:$M$5,5,TRUE),0),
IF($C88="SF WH",VLOOKUP("GOAL",'2) หลักการคำนวน Table'!$D$92:$M$92,HLOOKUP(AG88,'2) หลักการคำนวน Table'!$D$1:$M$5,5,TRUE),0))))),0)</f>
        <v>0.9</v>
      </c>
      <c r="AT88" s="232">
        <f>IFERROR(IF($C88="Top WS",VLOOKUP("GOAL",'2) หลักการคำนวน Table'!$D$4:$M$4,HLOOKUP(AH88,'2) หลักการคำนวน Table'!$D$1:$M$5,5,TRUE),0),
IF($C88="WS SF",VLOOKUP("GOAL",'2) หลักการคำนวน Table'!$D$32:$M$32,HLOOKUP(AH88,'2) หลักการคำนวน Table'!$D$1:$M$5,5,TRUE),0),
IF($C88="WS WH",VLOOKUP("GOAL",'2) หลักการคำนวน Table'!$D$62:$M$62,HLOOKUP(AH88,'2) หลักการคำนวน Table'!$D$1:$M$5,5,TRUE),0),
IF($C88="SF WH",VLOOKUP("GOAL",'2) หลักการคำนวน Table'!$D$92:$M$92,HLOOKUP(AH88,'2) หลักการคำนวน Table'!$D$1:$M$5,5,TRUE),0))))),0)</f>
        <v>0.9</v>
      </c>
      <c r="AU88" s="232">
        <f>IFERROR(IF($C88="Top WS",VLOOKUP("GOAL",'2) หลักการคำนวน Table'!$D$4:$M$4,HLOOKUP(AI88,'2) หลักการคำนวน Table'!$D$1:$M$5,5,TRUE),0),
IF($C88="WS SF",VLOOKUP("GOAL",'2) หลักการคำนวน Table'!$D$32:$M$32,HLOOKUP(AI88,'2) หลักการคำนวน Table'!$D$1:$M$5,5,TRUE),0),
IF($C88="WS WH",VLOOKUP("GOAL",'2) หลักการคำนวน Table'!$D$62:$M$62,HLOOKUP(AI88,'2) หลักการคำนวน Table'!$D$1:$M$5,5,TRUE),0),
IF($C88="SF WH",VLOOKUP("GOAL",'2) หลักการคำนวน Table'!$D$92:$M$92,HLOOKUP(AI88,'2) หลักการคำนวน Table'!$D$1:$M$5,5,TRUE),0))))),0)</f>
        <v>0.9</v>
      </c>
      <c r="AV88" s="232">
        <f>IFERROR(IF($C88="Top WS",VLOOKUP("GOAL",'2) หลักการคำนวน Table'!$D$4:$M$4,HLOOKUP(AP88,'2) หลักการคำนวน Table'!$D$1:$M$5,5,TRUE),0),
IF($C88="WS SF",VLOOKUP("GOAL",'2) หลักการคำนวน Table'!$D$32:$M$32,HLOOKUP(AP88,'2) หลักการคำนวน Table'!$D$1:$M$5,5,TRUE),0),
IF($C88="WS WH",VLOOKUP("GOAL",'2) หลักการคำนวน Table'!$D$62:$M$62,HLOOKUP(AP88,'2) หลักการคำนวน Table'!$D$1:$M$5,5,TRUE),0),
IF($C88="SF WH",VLOOKUP("GOAL",'2) หลักการคำนวน Table'!$D$92:$M$92,HLOOKUP(AP88,'2) หลักการคำนวน Table'!$D$1:$M$5,5,TRUE),0))))),0)</f>
        <v>0.9</v>
      </c>
      <c r="AW88" s="232">
        <f>IFERROR(IF($C88="Top WS",VLOOKUP("GOAL",'2) หลักการคำนวน Table'!$D$4:$M$4,HLOOKUP(AK88,'2) หลักการคำนวน Table'!$D$1:$M$5,5,TRUE),0),
IF($C88="WS SF",VLOOKUP("GOAL",'2) หลักการคำนวน Table'!$D$32:$M$32,HLOOKUP(AK88,'2) หลักการคำนวน Table'!$D$1:$M$5,5,TRUE),0),
IF($C88="WS WH",VLOOKUP("GOAL",'2) หลักการคำนวน Table'!$D$62:$M$62,HLOOKUP(AK88,'2) หลักการคำนวน Table'!$D$1:$M$5,5,TRUE),0),
IF($C88="SF WH",VLOOKUP("GOAL",'2) หลักการคำนวน Table'!$D$92:$M$92,HLOOKUP(AK88,'2) หลักการคำนวน Table'!$D$1:$M$5,5,TRUE),0))))),0)</f>
        <v>0.9</v>
      </c>
      <c r="AX88" s="232">
        <f>IFERROR(IF($C88="Top WS",VLOOKUP("GOAL",'2) หลักการคำนวน Table'!$D$4:$M$4,HLOOKUP(AL88,'2) หลักการคำนวน Table'!$D$1:$M$5,5,TRUE),0),
IF($C88="WS SF",VLOOKUP("GOAL",'2) หลักการคำนวน Table'!$D$32:$M$32,HLOOKUP(AL88,'2) หลักการคำนวน Table'!$D$1:$M$5,5,TRUE),0),
IF($C88="WS WH",VLOOKUP("GOAL",'2) หลักการคำนวน Table'!$D$62:$M$62,HLOOKUP(AL88,'2) หลักการคำนวน Table'!$D$1:$M$5,5,TRUE),0),
IF($C88="SF WH",VLOOKUP("GOAL",'2) หลักการคำนวน Table'!$D$92:$M$92,HLOOKUP(AL88,'2) หลักการคำนวน Table'!$D$1:$M$5,5,TRUE),0))))),0)</f>
        <v>0.9</v>
      </c>
      <c r="AY88" s="232">
        <f>IFERROR(IF($C88="Top WS",VLOOKUP("GOAL",'2) หลักการคำนวน Table'!$D$4:$M$4,HLOOKUP(AM88,'2) หลักการคำนวน Table'!$D$1:$M$5,5,TRUE),0),
IF($C88="WS SF",VLOOKUP("GOAL",'2) หลักการคำนวน Table'!$D$32:$M$32,HLOOKUP(AM88,'2) หลักการคำนวน Table'!$D$1:$M$5,5,TRUE),0),
IF($C88="WS WH",VLOOKUP("GOAL",'2) หลักการคำนวน Table'!$D$62:$M$62,HLOOKUP(AM88,'2) หลักการคำนวน Table'!$D$1:$M$5,5,TRUE),0),
IF($C88="SF WH",VLOOKUP("GOAL",'2) หลักการคำนวน Table'!$D$92:$M$92,HLOOKUP(AM88,'2) หลักการคำนวน Table'!$D$1:$M$5,5,TRUE),0))))),0)</f>
        <v>0.9</v>
      </c>
      <c r="AZ88" s="167">
        <f>IFERROR(IF($C88="Top WS",VLOOKUP($B88,'2) หลักการคำนวน Table'!$D$5:$M$20,HLOOKUP(AB88,'2) หลักการคำนวน Table'!$D$1:$M$5,5,TRUE),0),
IF($C88="WS SF",VLOOKUP($B88,'2) หลักการคำนวน Table'!$D$33:$M$48,HLOOKUP(AB88,'2) หลักการคำนวน Table'!$D$1:$M$5,5,TRUE),0),
IF($C88="WS WH",VLOOKUP($B88,'2) หลักการคำนวน Table'!$D$63:$M$78,HLOOKUP(AB88,'2) หลักการคำนวน Table'!$D$1:$M$5,5,TRUE),0),
IF($C88="SF WH",VLOOKUP($B88,'2) หลักการคำนวน Table'!$D$93:$M$108,HLOOKUP(AB88,'2) หลักการคำนวน Table'!$D$1:$M$5,5,TRUE),0))))),0)</f>
        <v>200</v>
      </c>
      <c r="BA88" s="167">
        <f>IFERROR(IF($C88="Top WS",VLOOKUP($B88,'2) หลักการคำนวน Table'!$D$5:$M$20,HLOOKUP(AC88,'2) หลักการคำนวน Table'!$D$1:$M$5,5,TRUE),0),
IF($C88="WS SF",VLOOKUP($B88,'2) หลักการคำนวน Table'!$D$33:$M$48,HLOOKUP(AC88,'2) หลักการคำนวน Table'!$D$1:$M$5,5,TRUE),0),
IF($C88="WS WH",VLOOKUP($B88,'2) หลักการคำนวน Table'!$D$63:$M$78,HLOOKUP(AC88,'2) หลักการคำนวน Table'!$D$1:$M$5,5,TRUE),0),
IF($C88="SF WH",VLOOKUP($B88,'2) หลักการคำนวน Table'!$D$93:$M$108,HLOOKUP(AC88,'2) หลักการคำนวน Table'!$D$1:$M$5,5,TRUE),0))))),0)</f>
        <v>180</v>
      </c>
      <c r="BB88" s="167">
        <f>IFERROR(IF($C88="Top WS",VLOOKUP($B88,'2) หลักการคำนวน Table'!$D$5:$M$20,HLOOKUP(AD88,'2) หลักการคำนวน Table'!$D$1:$M$5,5,TRUE),0),
IF($C88="WS SF",VLOOKUP($B88,'2) หลักการคำนวน Table'!$D$33:$M$48,HLOOKUP(AD88,'2) หลักการคำนวน Table'!$D$1:$M$5,5,TRUE),0),
IF($C88="WS WH",VLOOKUP($B88,'2) หลักการคำนวน Table'!$D$63:$M$78,HLOOKUP(AD88,'2) หลักการคำนวน Table'!$D$1:$M$5,5,TRUE),0),
IF($C88="SF WH",VLOOKUP($B88,'2) หลักการคำนวน Table'!$D$93:$M$108,HLOOKUP(AD88,'2) หลักการคำนวน Table'!$D$1:$M$5,5,TRUE),0))))),0)</f>
        <v>180</v>
      </c>
      <c r="BC88" s="167">
        <f>IFERROR(IF($C88="Top WS",VLOOKUP($B88,'2) หลักการคำนวน Table'!$D$5:$M$20,HLOOKUP(AE88,'2) หลักการคำนวน Table'!$D$1:$M$5,5,TRUE),0),
IF($C88="WS SF",VLOOKUP($B88,'2) หลักการคำนวน Table'!$D$33:$M$48,HLOOKUP(AE88,'2) หลักการคำนวน Table'!$D$1:$M$5,5,TRUE),0),
IF($C88="WS WH",VLOOKUP($B88,'2) หลักการคำนวน Table'!$D$63:$M$78,HLOOKUP(AE88,'2) หลักการคำนวน Table'!$D$1:$M$5,5,TRUE),0),
IF($C88="SF WH",VLOOKUP($B88,'2) หลักการคำนวน Table'!$D$93:$M$108,HLOOKUP(AE88,'2) หลักการคำนวน Table'!$D$1:$M$5,5,TRUE),0))))),0)</f>
        <v>180</v>
      </c>
      <c r="BD88" s="167">
        <f>IFERROR(IF($C88="Top WS",VLOOKUP($B88,'2) หลักการคำนวน Table'!$D$5:$M$20,HLOOKUP(AF88,'2) หลักการคำนวน Table'!$D$1:$M$5,5,TRUE),0),
IF($C88="WS SF",VLOOKUP($B88,'2) หลักการคำนวน Table'!$D$33:$M$48,HLOOKUP(AF88,'2) หลักการคำนวน Table'!$D$1:$M$5,5,TRUE),0),
IF($C88="WS WH",VLOOKUP($B88,'2) หลักการคำนวน Table'!$D$63:$M$78,HLOOKUP(AF88,'2) หลักการคำนวน Table'!$D$1:$M$5,5,TRUE),0),
IF($C88="SF WH",VLOOKUP($B88,'2) หลักการคำนวน Table'!$D$93:$M$108,HLOOKUP(AF88,'2) หลักการคำนวน Table'!$D$1:$M$5,5,TRUE),0))))),0)</f>
        <v>180</v>
      </c>
      <c r="BE88" s="167">
        <f>IFERROR(IF($C88="Top WS",VLOOKUP($B88,'2) หลักการคำนวน Table'!$D$5:$M$20,HLOOKUP(AG88,'2) หลักการคำนวน Table'!$D$1:$M$5,5,TRUE),0),
IF($C88="WS SF",VLOOKUP($B88,'2) หลักการคำนวน Table'!$D$33:$M$48,HLOOKUP(AG88,'2) หลักการคำนวน Table'!$D$1:$M$5,5,TRUE),0),
IF($C88="WS WH",VLOOKUP($B88,'2) หลักการคำนวน Table'!$D$63:$M$78,HLOOKUP(AG88,'2) หลักการคำนวน Table'!$D$1:$M$5,5,TRUE),0),
IF($C88="SF WH",VLOOKUP($B88,'2) หลักการคำนวน Table'!$D$93:$M$108,HLOOKUP(AG88,'2) หลักการคำนวน Table'!$D$1:$M$5,5,TRUE),0))))),0)</f>
        <v>180</v>
      </c>
      <c r="BF88" s="167">
        <f>IFERROR(IF($C88="Top WS",VLOOKUP($B88,'2) หลักการคำนวน Table'!$D$5:$M$20,HLOOKUP(AH88,'2) หลักการคำนวน Table'!$D$1:$M$5,5,TRUE),0),
IF($C88="WS SF",VLOOKUP($B88,'2) หลักการคำนวน Table'!$D$33:$M$48,HLOOKUP(AH88,'2) หลักการคำนวน Table'!$D$1:$M$5,5,TRUE),0),
IF($C88="WS WH",VLOOKUP($B88,'2) หลักการคำนวน Table'!$D$63:$M$78,HLOOKUP(AH88,'2) หลักการคำนวน Table'!$D$1:$M$5,5,TRUE),0),
IF($C88="SF WH",VLOOKUP($B88,'2) หลักการคำนวน Table'!$D$93:$M$108,HLOOKUP(AH88,'2) หลักการคำนวน Table'!$D$1:$M$5,5,TRUE),0))))),0)</f>
        <v>180</v>
      </c>
      <c r="BG88" s="167">
        <f>IFERROR(IF($C88="Top WS",VLOOKUP($B88,'2) หลักการคำนวน Table'!$D$5:$M$20,HLOOKUP(AI88,'2) หลักการคำนวน Table'!$D$1:$M$5,5,TRUE),0),
IF($C88="WS SF",VLOOKUP($B88,'2) หลักการคำนวน Table'!$D$33:$M$48,HLOOKUP(AI88,'2) หลักการคำนวน Table'!$D$1:$M$5,5,TRUE),0),
IF($C88="WS WH",VLOOKUP($B88,'2) หลักการคำนวน Table'!$D$63:$M$78,HLOOKUP(AI88,'2) หลักการคำนวน Table'!$D$1:$M$5,5,TRUE),0),
IF($C88="SF WH",VLOOKUP($B88,'2) หลักการคำนวน Table'!$D$93:$M$108,HLOOKUP(AI88,'2) หลักการคำนวน Table'!$D$1:$M$5,5,TRUE),0))))),0)</f>
        <v>180</v>
      </c>
      <c r="BH88" s="167">
        <f>IFERROR(IF($C88="Top WS",VLOOKUP($B88,'2) หลักการคำนวน Table'!$D$5:$M$20,HLOOKUP(AP88,'2) หลักการคำนวน Table'!$D$1:$M$5,5,TRUE),0),
IF($C88="WS SF",VLOOKUP($B88,'2) หลักการคำนวน Table'!$D$33:$M$48,HLOOKUP(AP88,'2) หลักการคำนวน Table'!$D$1:$M$5,5,TRUE),0),
IF($C88="WS WH",VLOOKUP($B88,'2) หลักการคำนวน Table'!$D$63:$M$78,HLOOKUP(AP88,'2) หลักการคำนวน Table'!$D$1:$M$5,5,TRUE),0),
IF($C88="SF WH",VLOOKUP($B88,'2) หลักการคำนวน Table'!$D$93:$M$108,HLOOKUP(AP88,'2) หลักการคำนวน Table'!$D$1:$M$5,5,TRUE),0))))),0)</f>
        <v>180</v>
      </c>
      <c r="BI88" s="167">
        <f>IFERROR(IF($C88="Top WS",VLOOKUP($B88,'2) หลักการคำนวน Table'!$D$5:$M$20,HLOOKUP(AK88,'2) หลักการคำนวน Table'!$D$1:$M$5,5,TRUE),0),
IF($C88="WS SF",VLOOKUP($B88,'2) หลักการคำนวน Table'!$D$33:$M$48,HLOOKUP(AK88,'2) หลักการคำนวน Table'!$D$1:$M$5,5,TRUE),0),
IF($C88="WS WH",VLOOKUP($B88,'2) หลักการคำนวน Table'!$D$63:$M$78,HLOOKUP(AK88,'2) หลักการคำนวน Table'!$D$1:$M$5,5,TRUE),0),
IF($C88="SF WH",VLOOKUP($B88,'2) หลักการคำนวน Table'!$D$93:$M$108,HLOOKUP(AK88,'2) หลักการคำนวน Table'!$D$1:$M$5,5,TRUE),0))))),0)</f>
        <v>180</v>
      </c>
      <c r="BJ88" s="167">
        <f>IFERROR(IF($C88="Top WS",VLOOKUP($B88,'2) หลักการคำนวน Table'!$D$5:$M$20,HLOOKUP(AL88,'2) หลักการคำนวน Table'!$D$1:$M$5,5,TRUE),0),
IF($C88="WS SF",VLOOKUP($B88,'2) หลักการคำนวน Table'!$D$33:$M$48,HLOOKUP(AL88,'2) หลักการคำนวน Table'!$D$1:$M$5,5,TRUE),0),
IF($C88="WS WH",VLOOKUP($B88,'2) หลักการคำนวน Table'!$D$63:$M$78,HLOOKUP(AL88,'2) หลักการคำนวน Table'!$D$1:$M$5,5,TRUE),0),
IF($C88="SF WH",VLOOKUP($B88,'2) หลักการคำนวน Table'!$D$93:$M$108,HLOOKUP(AL88,'2) หลักการคำนวน Table'!$D$1:$M$5,5,TRUE),0))))),0)</f>
        <v>180</v>
      </c>
      <c r="BK88" s="167">
        <f>IFERROR(IF($C88="Top WS",VLOOKUP($B88,'2) หลักการคำนวน Table'!$D$5:$M$20,HLOOKUP(AM88,'2) หลักการคำนวน Table'!$D$1:$M$5,5,TRUE),0),
IF($C88="WS SF",VLOOKUP($B88,'2) หลักการคำนวน Table'!$D$33:$M$48,HLOOKUP(AM88,'2) หลักการคำนวน Table'!$D$1:$M$5,5,TRUE),0),
IF($C88="WS WH",VLOOKUP($B88,'2) หลักการคำนวน Table'!$D$63:$M$78,HLOOKUP(AM88,'2) หลักการคำนวน Table'!$D$1:$M$5,5,TRUE),0),
IF($C88="SF WH",VLOOKUP($B88,'2) หลักการคำนวน Table'!$D$93:$M$108,HLOOKUP(AM88,'2) หลักการคำนวน Table'!$D$1:$M$5,5,TRUE),0))))),0)</f>
        <v>180</v>
      </c>
      <c r="BM88" s="119">
        <f>VLOOKUP(VLOOKUP(A88,ASTBase!E:S,13,FALSE),ASTBase!F:P,11,FALSE)</f>
        <v>110000</v>
      </c>
      <c r="BN88" s="196" cm="1">
        <f t="array" ref="BN88">INDEX(AN88:AY88,,Period!$D$2)</f>
        <v>0.9</v>
      </c>
    </row>
    <row r="89" spans="1:66" x14ac:dyDescent="0.25">
      <c r="A89" s="388">
        <v>110001</v>
      </c>
      <c r="B89" s="388" t="s">
        <v>405</v>
      </c>
      <c r="C89" s="388" t="s">
        <v>178</v>
      </c>
      <c r="D89" s="118">
        <v>227</v>
      </c>
      <c r="E89" s="118">
        <v>457</v>
      </c>
      <c r="F89" s="118">
        <v>492</v>
      </c>
      <c r="G89" s="118">
        <v>329</v>
      </c>
      <c r="H89" s="118">
        <v>276</v>
      </c>
      <c r="I89" s="118">
        <v>480</v>
      </c>
      <c r="J89" s="118">
        <v>340</v>
      </c>
      <c r="K89" s="118">
        <v>351</v>
      </c>
      <c r="L89" s="118">
        <v>243</v>
      </c>
      <c r="M89" s="118">
        <v>324</v>
      </c>
      <c r="N89" s="118">
        <v>457</v>
      </c>
      <c r="O89" s="118">
        <v>457</v>
      </c>
      <c r="P89" s="117">
        <f>SUMIFS(Actual!C:C,Actual!$A:$A,'3)Target &amp; Cal'!$A89,Actual!$B:$B,'3)Target &amp; Cal'!$B89)</f>
        <v>29.700000000000003</v>
      </c>
      <c r="Q89" s="117">
        <f>SUMIFS(Actual!D:D,Actual!$A:$A,'3)Target &amp; Cal'!$A89,Actual!$B:$B,'3)Target &amp; Cal'!$B89)</f>
        <v>292.99999999999994</v>
      </c>
      <c r="R89" s="117">
        <f>SUMIFS(Actual!E:E,Actual!$A:$A,'3)Target &amp; Cal'!$A89,Actual!$B:$B,'3)Target &amp; Cal'!$B89)</f>
        <v>0</v>
      </c>
      <c r="S89" s="117">
        <f>SUMIFS(Actual!F:F,Actual!$A:$A,'3)Target &amp; Cal'!$A89,Actual!$B:$B,'3)Target &amp; Cal'!$B89)</f>
        <v>0</v>
      </c>
      <c r="T89" s="117">
        <f>SUMIFS(Actual!G:G,Actual!$A:$A,'3)Target &amp; Cal'!$A89,Actual!$B:$B,'3)Target &amp; Cal'!$B89)</f>
        <v>0</v>
      </c>
      <c r="U89" s="117">
        <f>SUMIFS(Actual!H:H,Actual!$A:$A,'3)Target &amp; Cal'!$A89,Actual!$B:$B,'3)Target &amp; Cal'!$B89)</f>
        <v>0</v>
      </c>
      <c r="V89" s="117">
        <f>SUMIFS(Actual!I:I,Actual!$A:$A,'3)Target &amp; Cal'!$A89,Actual!$B:$B,'3)Target &amp; Cal'!$B89)</f>
        <v>0</v>
      </c>
      <c r="W89" s="117">
        <f>SUMIFS(Actual!J:J,Actual!$A:$A,'3)Target &amp; Cal'!$A89,Actual!$B:$B,'3)Target &amp; Cal'!$B89)</f>
        <v>0</v>
      </c>
      <c r="X89" s="117">
        <f>SUMIFS(Actual!K:K,Actual!$A:$A,'3)Target &amp; Cal'!$A89,Actual!$B:$B,'3)Target &amp; Cal'!$B89)</f>
        <v>0</v>
      </c>
      <c r="Y89" s="117">
        <f>SUMIFS(Actual!L:L,Actual!$A:$A,'3)Target &amp; Cal'!$A89,Actual!$B:$B,'3)Target &amp; Cal'!$B89)</f>
        <v>0</v>
      </c>
      <c r="Z89" s="117">
        <f>SUMIFS(Actual!M:M,Actual!$A:$A,'3)Target &amp; Cal'!$A89,Actual!$B:$B,'3)Target &amp; Cal'!$B89)</f>
        <v>0</v>
      </c>
      <c r="AA89" s="117">
        <f>SUMIFS(Actual!N:N,Actual!$A:$A,'3)Target &amp; Cal'!$A89,Actual!$B:$B,'3)Target &amp; Cal'!$B89)</f>
        <v>0</v>
      </c>
      <c r="AB89" s="123">
        <f>IFERROR(IF(VLOOKUP($B89,Shortage!$A:$M,AB$2,FALSE)="Shortage",1,IFERROR(ROUND(P89/D89,4),0)),IFERROR(ROUND(P89/D89,4),0))</f>
        <v>0.1308</v>
      </c>
      <c r="AC89" s="123">
        <f>IFERROR(IF(VLOOKUP($B89,Shortage!$A:$M,AC$2,FALSE)="Shortage",1,IFERROR(ROUND(Q89/E89,4),0)),IFERROR(ROUND(Q89/E89,4),0))</f>
        <v>0.6411</v>
      </c>
      <c r="AD89" s="123">
        <f>IFERROR(IF(VLOOKUP($B89,Shortage!$A:$M,AD$2,FALSE)="Shortage",1,IFERROR(ROUND(R89/F89,4),0)),IFERROR(ROUND(R89/F89,4),0))</f>
        <v>0</v>
      </c>
      <c r="AE89" s="123">
        <f>IFERROR(IF(VLOOKUP($B89,Shortage!$A:$M,AE$2,FALSE)="Shortage",1,IFERROR(ROUND(S89/G89,4),0)),IFERROR(ROUND(S89/G89,4),0))</f>
        <v>0</v>
      </c>
      <c r="AF89" s="123">
        <f>IFERROR(IF(VLOOKUP($B89,Shortage!$A:$M,AF$2,FALSE)="Shortage",1,IFERROR(ROUND(T89/H89,4),0)),IFERROR(ROUND(T89/H89,4),0))</f>
        <v>0</v>
      </c>
      <c r="AG89" s="123">
        <f>IFERROR(IF(VLOOKUP($B89,Shortage!$A:$M,AG$2,FALSE)="Shortage",1,IFERROR(ROUND(U89/I89,4),0)),IFERROR(ROUND(U89/I89,4),0))</f>
        <v>0</v>
      </c>
      <c r="AH89" s="123">
        <f>IFERROR(IF(VLOOKUP($B89,Shortage!$A:$M,AH$2,FALSE)="Shortage",1,IFERROR(ROUND(V89/J89,4),0)),IFERROR(ROUND(V89/J89,4),0))</f>
        <v>0</v>
      </c>
      <c r="AI89" s="123">
        <f>IFERROR(IF(VLOOKUP($B89,Shortage!$A:$M,AI$2,FALSE)="Shortage",1,IFERROR(ROUND(W89/K89,4),0)),IFERROR(ROUND(W89/K89,4),0))</f>
        <v>0</v>
      </c>
      <c r="AJ89" s="123">
        <f>IFERROR(IF(VLOOKUP($B89,Shortage!$A:$M,AP$2,FALSE)="Shortage",1,IFERROR(ROUND(X89/L89,4),0)),IFERROR(ROUND(X89/L89,4),0))</f>
        <v>0</v>
      </c>
      <c r="AK89" s="123">
        <f>IFERROR(IF(VLOOKUP($B89,Shortage!$A:$M,AK$2,FALSE)="Shortage",1,IFERROR(ROUND(Y89/M89,4),0)),IFERROR(ROUND(Y89/M89,4),0))</f>
        <v>0</v>
      </c>
      <c r="AL89" s="123">
        <f>IFERROR(IF(VLOOKUP($B89,Shortage!$A:$M,AL$2,FALSE)="Shortage",1,IFERROR(ROUND(Z89/N89,4),0)),IFERROR(ROUND(Z89/N89,4),0))</f>
        <v>0</v>
      </c>
      <c r="AM89" s="123">
        <f>IFERROR(IF(VLOOKUP($B89,Shortage!$A:$M,AM$2,FALSE)="Shortage",1,IFERROR(ROUND(AA89/O89,4),0)),IFERROR(ROUND(AA89/O89,4),0))</f>
        <v>0</v>
      </c>
      <c r="AN89" s="232">
        <f>IFERROR(IF($C89="Top WS",VLOOKUP("GOAL",'2) หลักการคำนวน Table'!$D$4:$M$4,HLOOKUP(AB89,'2) หลักการคำนวน Table'!$D$1:$M$5,5,TRUE),0),
IF($C89="WS SF",VLOOKUP("GOAL",'2) หลักการคำนวน Table'!$D$32:$M$32,HLOOKUP(AB89,'2) หลักการคำนวน Table'!$D$1:$M$5,5,TRUE),0),
IF($C89="WS WH",VLOOKUP("GOAL",'2) หลักการคำนวน Table'!$D$62:$M$62,HLOOKUP(AB89,'2) หลักการคำนวน Table'!$D$1:$M$5,5,TRUE),0),
IF($C89="SF WH",VLOOKUP("GOAL",'2) หลักการคำนวน Table'!$D$92:$M$92,HLOOKUP(AB89,'2) หลักการคำนวน Table'!$D$1:$M$5,5,TRUE),0))))),0)</f>
        <v>0.9</v>
      </c>
      <c r="AO89" s="232">
        <f>IFERROR(IF($C89="Top WS",VLOOKUP("GOAL",'2) หลักการคำนวน Table'!$D$4:$M$4,HLOOKUP(AC89,'2) หลักการคำนวน Table'!$D$1:$M$5,5,TRUE),0),
IF($C89="WS SF",VLOOKUP("GOAL",'2) หลักการคำนวน Table'!$D$32:$M$32,HLOOKUP(AC89,'2) หลักการคำนวน Table'!$D$1:$M$5,5,TRUE),0),
IF($C89="WS WH",VLOOKUP("GOAL",'2) หลักการคำนวน Table'!$D$62:$M$62,HLOOKUP(AC89,'2) หลักการคำนวน Table'!$D$1:$M$5,5,TRUE),0),
IF($C89="SF WH",VLOOKUP("GOAL",'2) หลักการคำนวน Table'!$D$92:$M$92,HLOOKUP(AC89,'2) หลักการคำนวน Table'!$D$1:$M$5,5,TRUE),0))))),0)</f>
        <v>0.9</v>
      </c>
      <c r="AP89" s="232">
        <f>IFERROR(IF($C89="Top WS",VLOOKUP("GOAL",'2) หลักการคำนวน Table'!$D$4:$M$4,HLOOKUP(AD89,'2) หลักการคำนวน Table'!$D$1:$M$5,5,TRUE),0),
IF($C89="WS SF",VLOOKUP("GOAL",'2) หลักการคำนวน Table'!$D$32:$M$32,HLOOKUP(AD89,'2) หลักการคำนวน Table'!$D$1:$M$5,5,TRUE),0),
IF($C89="WS WH",VLOOKUP("GOAL",'2) หลักการคำนวน Table'!$D$62:$M$62,HLOOKUP(AD89,'2) หลักการคำนวน Table'!$D$1:$M$5,5,TRUE),0),
IF($C89="SF WH",VLOOKUP("GOAL",'2) หลักการคำนวน Table'!$D$92:$M$92,HLOOKUP(AD89,'2) หลักการคำนวน Table'!$D$1:$M$5,5,TRUE),0))))),0)</f>
        <v>0.9</v>
      </c>
      <c r="AQ89" s="232">
        <f>IFERROR(IF($C89="Top WS",VLOOKUP("GOAL",'2) หลักการคำนวน Table'!$D$4:$M$4,HLOOKUP(AE89,'2) หลักการคำนวน Table'!$D$1:$M$5,5,TRUE),0),
IF($C89="WS SF",VLOOKUP("GOAL",'2) หลักการคำนวน Table'!$D$32:$M$32,HLOOKUP(AE89,'2) หลักการคำนวน Table'!$D$1:$M$5,5,TRUE),0),
IF($C89="WS WH",VLOOKUP("GOAL",'2) หลักการคำนวน Table'!$D$62:$M$62,HLOOKUP(AE89,'2) หลักการคำนวน Table'!$D$1:$M$5,5,TRUE),0),
IF($C89="SF WH",VLOOKUP("GOAL",'2) หลักการคำนวน Table'!$D$92:$M$92,HLOOKUP(AE89,'2) หลักการคำนวน Table'!$D$1:$M$5,5,TRUE),0))))),0)</f>
        <v>0.9</v>
      </c>
      <c r="AR89" s="232">
        <f>IFERROR(IF($C89="Top WS",VLOOKUP("GOAL",'2) หลักการคำนวน Table'!$D$4:$M$4,HLOOKUP(AF89,'2) หลักการคำนวน Table'!$D$1:$M$5,5,TRUE),0),
IF($C89="WS SF",VLOOKUP("GOAL",'2) หลักการคำนวน Table'!$D$32:$M$32,HLOOKUP(AF89,'2) หลักการคำนวน Table'!$D$1:$M$5,5,TRUE),0),
IF($C89="WS WH",VLOOKUP("GOAL",'2) หลักการคำนวน Table'!$D$62:$M$62,HLOOKUP(AF89,'2) หลักการคำนวน Table'!$D$1:$M$5,5,TRUE),0),
IF($C89="SF WH",VLOOKUP("GOAL",'2) หลักการคำนวน Table'!$D$92:$M$92,HLOOKUP(AF89,'2) หลักการคำนวน Table'!$D$1:$M$5,5,TRUE),0))))),0)</f>
        <v>0.9</v>
      </c>
      <c r="AS89" s="232">
        <f>IFERROR(IF($C89="Top WS",VLOOKUP("GOAL",'2) หลักการคำนวน Table'!$D$4:$M$4,HLOOKUP(AG89,'2) หลักการคำนวน Table'!$D$1:$M$5,5,TRUE),0),
IF($C89="WS SF",VLOOKUP("GOAL",'2) หลักการคำนวน Table'!$D$32:$M$32,HLOOKUP(AG89,'2) หลักการคำนวน Table'!$D$1:$M$5,5,TRUE),0),
IF($C89="WS WH",VLOOKUP("GOAL",'2) หลักการคำนวน Table'!$D$62:$M$62,HLOOKUP(AG89,'2) หลักการคำนวน Table'!$D$1:$M$5,5,TRUE),0),
IF($C89="SF WH",VLOOKUP("GOAL",'2) หลักการคำนวน Table'!$D$92:$M$92,HLOOKUP(AG89,'2) หลักการคำนวน Table'!$D$1:$M$5,5,TRUE),0))))),0)</f>
        <v>0.9</v>
      </c>
      <c r="AT89" s="232">
        <f>IFERROR(IF($C89="Top WS",VLOOKUP("GOAL",'2) หลักการคำนวน Table'!$D$4:$M$4,HLOOKUP(AH89,'2) หลักการคำนวน Table'!$D$1:$M$5,5,TRUE),0),
IF($C89="WS SF",VLOOKUP("GOAL",'2) หลักการคำนวน Table'!$D$32:$M$32,HLOOKUP(AH89,'2) หลักการคำนวน Table'!$D$1:$M$5,5,TRUE),0),
IF($C89="WS WH",VLOOKUP("GOAL",'2) หลักการคำนวน Table'!$D$62:$M$62,HLOOKUP(AH89,'2) หลักการคำนวน Table'!$D$1:$M$5,5,TRUE),0),
IF($C89="SF WH",VLOOKUP("GOAL",'2) หลักการคำนวน Table'!$D$92:$M$92,HLOOKUP(AH89,'2) หลักการคำนวน Table'!$D$1:$M$5,5,TRUE),0))))),0)</f>
        <v>0.9</v>
      </c>
      <c r="AU89" s="232">
        <f>IFERROR(IF($C89="Top WS",VLOOKUP("GOAL",'2) หลักการคำนวน Table'!$D$4:$M$4,HLOOKUP(AI89,'2) หลักการคำนวน Table'!$D$1:$M$5,5,TRUE),0),
IF($C89="WS SF",VLOOKUP("GOAL",'2) หลักการคำนวน Table'!$D$32:$M$32,HLOOKUP(AI89,'2) หลักการคำนวน Table'!$D$1:$M$5,5,TRUE),0),
IF($C89="WS WH",VLOOKUP("GOAL",'2) หลักการคำนวน Table'!$D$62:$M$62,HLOOKUP(AI89,'2) หลักการคำนวน Table'!$D$1:$M$5,5,TRUE),0),
IF($C89="SF WH",VLOOKUP("GOAL",'2) หลักการคำนวน Table'!$D$92:$M$92,HLOOKUP(AI89,'2) หลักการคำนวน Table'!$D$1:$M$5,5,TRUE),0))))),0)</f>
        <v>0.9</v>
      </c>
      <c r="AV89" s="232">
        <f>IFERROR(IF($C89="Top WS",VLOOKUP("GOAL",'2) หลักการคำนวน Table'!$D$4:$M$4,HLOOKUP(AP89,'2) หลักการคำนวน Table'!$D$1:$M$5,5,TRUE),0),
IF($C89="WS SF",VLOOKUP("GOAL",'2) หลักการคำนวน Table'!$D$32:$M$32,HLOOKUP(AP89,'2) หลักการคำนวน Table'!$D$1:$M$5,5,TRUE),0),
IF($C89="WS WH",VLOOKUP("GOAL",'2) หลักการคำนวน Table'!$D$62:$M$62,HLOOKUP(AP89,'2) หลักการคำนวน Table'!$D$1:$M$5,5,TRUE),0),
IF($C89="SF WH",VLOOKUP("GOAL",'2) หลักการคำนวน Table'!$D$92:$M$92,HLOOKUP(AP89,'2) หลักการคำนวน Table'!$D$1:$M$5,5,TRUE),0))))),0)</f>
        <v>0.9</v>
      </c>
      <c r="AW89" s="232">
        <f>IFERROR(IF($C89="Top WS",VLOOKUP("GOAL",'2) หลักการคำนวน Table'!$D$4:$M$4,HLOOKUP(AK89,'2) หลักการคำนวน Table'!$D$1:$M$5,5,TRUE),0),
IF($C89="WS SF",VLOOKUP("GOAL",'2) หลักการคำนวน Table'!$D$32:$M$32,HLOOKUP(AK89,'2) หลักการคำนวน Table'!$D$1:$M$5,5,TRUE),0),
IF($C89="WS WH",VLOOKUP("GOAL",'2) หลักการคำนวน Table'!$D$62:$M$62,HLOOKUP(AK89,'2) หลักการคำนวน Table'!$D$1:$M$5,5,TRUE),0),
IF($C89="SF WH",VLOOKUP("GOAL",'2) หลักการคำนวน Table'!$D$92:$M$92,HLOOKUP(AK89,'2) หลักการคำนวน Table'!$D$1:$M$5,5,TRUE),0))))),0)</f>
        <v>0.9</v>
      </c>
      <c r="AX89" s="232">
        <f>IFERROR(IF($C89="Top WS",VLOOKUP("GOAL",'2) หลักการคำนวน Table'!$D$4:$M$4,HLOOKUP(AL89,'2) หลักการคำนวน Table'!$D$1:$M$5,5,TRUE),0),
IF($C89="WS SF",VLOOKUP("GOAL",'2) หลักการคำนวน Table'!$D$32:$M$32,HLOOKUP(AL89,'2) หลักการคำนวน Table'!$D$1:$M$5,5,TRUE),0),
IF($C89="WS WH",VLOOKUP("GOAL",'2) หลักการคำนวน Table'!$D$62:$M$62,HLOOKUP(AL89,'2) หลักการคำนวน Table'!$D$1:$M$5,5,TRUE),0),
IF($C89="SF WH",VLOOKUP("GOAL",'2) หลักการคำนวน Table'!$D$92:$M$92,HLOOKUP(AL89,'2) หลักการคำนวน Table'!$D$1:$M$5,5,TRUE),0))))),0)</f>
        <v>0.9</v>
      </c>
      <c r="AY89" s="232">
        <f>IFERROR(IF($C89="Top WS",VLOOKUP("GOAL",'2) หลักการคำนวน Table'!$D$4:$M$4,HLOOKUP(AM89,'2) หลักการคำนวน Table'!$D$1:$M$5,5,TRUE),0),
IF($C89="WS SF",VLOOKUP("GOAL",'2) หลักการคำนวน Table'!$D$32:$M$32,HLOOKUP(AM89,'2) หลักการคำนวน Table'!$D$1:$M$5,5,TRUE),0),
IF($C89="WS WH",VLOOKUP("GOAL",'2) หลักการคำนวน Table'!$D$62:$M$62,HLOOKUP(AM89,'2) หลักการคำนวน Table'!$D$1:$M$5,5,TRUE),0),
IF($C89="SF WH",VLOOKUP("GOAL",'2) หลักการคำนวน Table'!$D$92:$M$92,HLOOKUP(AM89,'2) หลักการคำนวน Table'!$D$1:$M$5,5,TRUE),0))))),0)</f>
        <v>0.9</v>
      </c>
      <c r="AZ89" s="167">
        <f>IFERROR(IF($C89="Top WS",VLOOKUP($B89,'2) หลักการคำนวน Table'!$D$5:$M$20,HLOOKUP(AB89,'2) หลักการคำนวน Table'!$D$1:$M$5,5,TRUE),0),
IF($C89="WS SF",VLOOKUP($B89,'2) หลักการคำนวน Table'!$D$33:$M$48,HLOOKUP(AB89,'2) หลักการคำนวน Table'!$D$1:$M$5,5,TRUE),0),
IF($C89="WS WH",VLOOKUP($B89,'2) หลักการคำนวน Table'!$D$63:$M$78,HLOOKUP(AB89,'2) หลักการคำนวน Table'!$D$1:$M$5,5,TRUE),0),
IF($C89="SF WH",VLOOKUP($B89,'2) หลักการคำนวน Table'!$D$93:$M$108,HLOOKUP(AB89,'2) หลักการคำนวน Table'!$D$1:$M$5,5,TRUE),0))))),0)</f>
        <v>360</v>
      </c>
      <c r="BA89" s="167">
        <f>IFERROR(IF($C89="Top WS",VLOOKUP($B89,'2) หลักการคำนวน Table'!$D$5:$M$20,HLOOKUP(AC89,'2) หลักการคำนวน Table'!$D$1:$M$5,5,TRUE),0),
IF($C89="WS SF",VLOOKUP($B89,'2) หลักการคำนวน Table'!$D$33:$M$48,HLOOKUP(AC89,'2) หลักการคำนวน Table'!$D$1:$M$5,5,TRUE),0),
IF($C89="WS WH",VLOOKUP($B89,'2) หลักการคำนวน Table'!$D$63:$M$78,HLOOKUP(AC89,'2) หลักการคำนวน Table'!$D$1:$M$5,5,TRUE),0),
IF($C89="SF WH",VLOOKUP($B89,'2) หลักการคำนวน Table'!$D$93:$M$108,HLOOKUP(AC89,'2) หลักการคำนวน Table'!$D$1:$M$5,5,TRUE),0))))),0)</f>
        <v>360</v>
      </c>
      <c r="BB89" s="167">
        <f>IFERROR(IF($C89="Top WS",VLOOKUP($B89,'2) หลักการคำนวน Table'!$D$5:$M$20,HLOOKUP(AD89,'2) หลักการคำนวน Table'!$D$1:$M$5,5,TRUE),0),
IF($C89="WS SF",VLOOKUP($B89,'2) หลักการคำนวน Table'!$D$33:$M$48,HLOOKUP(AD89,'2) หลักการคำนวน Table'!$D$1:$M$5,5,TRUE),0),
IF($C89="WS WH",VLOOKUP($B89,'2) หลักการคำนวน Table'!$D$63:$M$78,HLOOKUP(AD89,'2) หลักการคำนวน Table'!$D$1:$M$5,5,TRUE),0),
IF($C89="SF WH",VLOOKUP($B89,'2) หลักการคำนวน Table'!$D$93:$M$108,HLOOKUP(AD89,'2) หลักการคำนวน Table'!$D$1:$M$5,5,TRUE),0))))),0)</f>
        <v>360</v>
      </c>
      <c r="BC89" s="167">
        <f>IFERROR(IF($C89="Top WS",VLOOKUP($B89,'2) หลักการคำนวน Table'!$D$5:$M$20,HLOOKUP(AE89,'2) หลักการคำนวน Table'!$D$1:$M$5,5,TRUE),0),
IF($C89="WS SF",VLOOKUP($B89,'2) หลักการคำนวน Table'!$D$33:$M$48,HLOOKUP(AE89,'2) หลักการคำนวน Table'!$D$1:$M$5,5,TRUE),0),
IF($C89="WS WH",VLOOKUP($B89,'2) หลักการคำนวน Table'!$D$63:$M$78,HLOOKUP(AE89,'2) หลักการคำนวน Table'!$D$1:$M$5,5,TRUE),0),
IF($C89="SF WH",VLOOKUP($B89,'2) หลักการคำนวน Table'!$D$93:$M$108,HLOOKUP(AE89,'2) หลักการคำนวน Table'!$D$1:$M$5,5,TRUE),0))))),0)</f>
        <v>360</v>
      </c>
      <c r="BD89" s="167">
        <f>IFERROR(IF($C89="Top WS",VLOOKUP($B89,'2) หลักการคำนวน Table'!$D$5:$M$20,HLOOKUP(AF89,'2) หลักการคำนวน Table'!$D$1:$M$5,5,TRUE),0),
IF($C89="WS SF",VLOOKUP($B89,'2) หลักการคำนวน Table'!$D$33:$M$48,HLOOKUP(AF89,'2) หลักการคำนวน Table'!$D$1:$M$5,5,TRUE),0),
IF($C89="WS WH",VLOOKUP($B89,'2) หลักการคำนวน Table'!$D$63:$M$78,HLOOKUP(AF89,'2) หลักการคำนวน Table'!$D$1:$M$5,5,TRUE),0),
IF($C89="SF WH",VLOOKUP($B89,'2) หลักการคำนวน Table'!$D$93:$M$108,HLOOKUP(AF89,'2) หลักการคำนวน Table'!$D$1:$M$5,5,TRUE),0))))),0)</f>
        <v>360</v>
      </c>
      <c r="BE89" s="167">
        <f>IFERROR(IF($C89="Top WS",VLOOKUP($B89,'2) หลักการคำนวน Table'!$D$5:$M$20,HLOOKUP(AG89,'2) หลักการคำนวน Table'!$D$1:$M$5,5,TRUE),0),
IF($C89="WS SF",VLOOKUP($B89,'2) หลักการคำนวน Table'!$D$33:$M$48,HLOOKUP(AG89,'2) หลักการคำนวน Table'!$D$1:$M$5,5,TRUE),0),
IF($C89="WS WH",VLOOKUP($B89,'2) หลักการคำนวน Table'!$D$63:$M$78,HLOOKUP(AG89,'2) หลักการคำนวน Table'!$D$1:$M$5,5,TRUE),0),
IF($C89="SF WH",VLOOKUP($B89,'2) หลักการคำนวน Table'!$D$93:$M$108,HLOOKUP(AG89,'2) หลักการคำนวน Table'!$D$1:$M$5,5,TRUE),0))))),0)</f>
        <v>360</v>
      </c>
      <c r="BF89" s="167">
        <f>IFERROR(IF($C89="Top WS",VLOOKUP($B89,'2) หลักการคำนวน Table'!$D$5:$M$20,HLOOKUP(AH89,'2) หลักการคำนวน Table'!$D$1:$M$5,5,TRUE),0),
IF($C89="WS SF",VLOOKUP($B89,'2) หลักการคำนวน Table'!$D$33:$M$48,HLOOKUP(AH89,'2) หลักการคำนวน Table'!$D$1:$M$5,5,TRUE),0),
IF($C89="WS WH",VLOOKUP($B89,'2) หลักการคำนวน Table'!$D$63:$M$78,HLOOKUP(AH89,'2) หลักการคำนวน Table'!$D$1:$M$5,5,TRUE),0),
IF($C89="SF WH",VLOOKUP($B89,'2) หลักการคำนวน Table'!$D$93:$M$108,HLOOKUP(AH89,'2) หลักการคำนวน Table'!$D$1:$M$5,5,TRUE),0))))),0)</f>
        <v>360</v>
      </c>
      <c r="BG89" s="167">
        <f>IFERROR(IF($C89="Top WS",VLOOKUP($B89,'2) หลักการคำนวน Table'!$D$5:$M$20,HLOOKUP(AI89,'2) หลักการคำนวน Table'!$D$1:$M$5,5,TRUE),0),
IF($C89="WS SF",VLOOKUP($B89,'2) หลักการคำนวน Table'!$D$33:$M$48,HLOOKUP(AI89,'2) หลักการคำนวน Table'!$D$1:$M$5,5,TRUE),0),
IF($C89="WS WH",VLOOKUP($B89,'2) หลักการคำนวน Table'!$D$63:$M$78,HLOOKUP(AI89,'2) หลักการคำนวน Table'!$D$1:$M$5,5,TRUE),0),
IF($C89="SF WH",VLOOKUP($B89,'2) หลักการคำนวน Table'!$D$93:$M$108,HLOOKUP(AI89,'2) หลักการคำนวน Table'!$D$1:$M$5,5,TRUE),0))))),0)</f>
        <v>360</v>
      </c>
      <c r="BH89" s="167">
        <f>IFERROR(IF($C89="Top WS",VLOOKUP($B89,'2) หลักการคำนวน Table'!$D$5:$M$20,HLOOKUP(AP89,'2) หลักการคำนวน Table'!$D$1:$M$5,5,TRUE),0),
IF($C89="WS SF",VLOOKUP($B89,'2) หลักการคำนวน Table'!$D$33:$M$48,HLOOKUP(AP89,'2) หลักการคำนวน Table'!$D$1:$M$5,5,TRUE),0),
IF($C89="WS WH",VLOOKUP($B89,'2) หลักการคำนวน Table'!$D$63:$M$78,HLOOKUP(AP89,'2) หลักการคำนวน Table'!$D$1:$M$5,5,TRUE),0),
IF($C89="SF WH",VLOOKUP($B89,'2) หลักการคำนวน Table'!$D$93:$M$108,HLOOKUP(AP89,'2) หลักการคำนวน Table'!$D$1:$M$5,5,TRUE),0))))),0)</f>
        <v>360</v>
      </c>
      <c r="BI89" s="167">
        <f>IFERROR(IF($C89="Top WS",VLOOKUP($B89,'2) หลักการคำนวน Table'!$D$5:$M$20,HLOOKUP(AK89,'2) หลักการคำนวน Table'!$D$1:$M$5,5,TRUE),0),
IF($C89="WS SF",VLOOKUP($B89,'2) หลักการคำนวน Table'!$D$33:$M$48,HLOOKUP(AK89,'2) หลักการคำนวน Table'!$D$1:$M$5,5,TRUE),0),
IF($C89="WS WH",VLOOKUP($B89,'2) หลักการคำนวน Table'!$D$63:$M$78,HLOOKUP(AK89,'2) หลักการคำนวน Table'!$D$1:$M$5,5,TRUE),0),
IF($C89="SF WH",VLOOKUP($B89,'2) หลักการคำนวน Table'!$D$93:$M$108,HLOOKUP(AK89,'2) หลักการคำนวน Table'!$D$1:$M$5,5,TRUE),0))))),0)</f>
        <v>360</v>
      </c>
      <c r="BJ89" s="167">
        <f>IFERROR(IF($C89="Top WS",VLOOKUP($B89,'2) หลักการคำนวน Table'!$D$5:$M$20,HLOOKUP(AL89,'2) หลักการคำนวน Table'!$D$1:$M$5,5,TRUE),0),
IF($C89="WS SF",VLOOKUP($B89,'2) หลักการคำนวน Table'!$D$33:$M$48,HLOOKUP(AL89,'2) หลักการคำนวน Table'!$D$1:$M$5,5,TRUE),0),
IF($C89="WS WH",VLOOKUP($B89,'2) หลักการคำนวน Table'!$D$63:$M$78,HLOOKUP(AL89,'2) หลักการคำนวน Table'!$D$1:$M$5,5,TRUE),0),
IF($C89="SF WH",VLOOKUP($B89,'2) หลักการคำนวน Table'!$D$93:$M$108,HLOOKUP(AL89,'2) หลักการคำนวน Table'!$D$1:$M$5,5,TRUE),0))))),0)</f>
        <v>360</v>
      </c>
      <c r="BK89" s="167">
        <f>IFERROR(IF($C89="Top WS",VLOOKUP($B89,'2) หลักการคำนวน Table'!$D$5:$M$20,HLOOKUP(AM89,'2) หลักการคำนวน Table'!$D$1:$M$5,5,TRUE),0),
IF($C89="WS SF",VLOOKUP($B89,'2) หลักการคำนวน Table'!$D$33:$M$48,HLOOKUP(AM89,'2) หลักการคำนวน Table'!$D$1:$M$5,5,TRUE),0),
IF($C89="WS WH",VLOOKUP($B89,'2) หลักการคำนวน Table'!$D$63:$M$78,HLOOKUP(AM89,'2) หลักการคำนวน Table'!$D$1:$M$5,5,TRUE),0),
IF($C89="SF WH",VLOOKUP($B89,'2) หลักการคำนวน Table'!$D$93:$M$108,HLOOKUP(AM89,'2) หลักการคำนวน Table'!$D$1:$M$5,5,TRUE),0))))),0)</f>
        <v>360</v>
      </c>
      <c r="BM89" s="119">
        <f>VLOOKUP(VLOOKUP(A89,ASTBase!E:S,13,FALSE),ASTBase!F:P,11,FALSE)</f>
        <v>110000</v>
      </c>
      <c r="BN89" s="196" cm="1">
        <f t="array" ref="BN89">INDEX(AN89:AY89,,Period!$D$2)</f>
        <v>0.9</v>
      </c>
    </row>
    <row r="90" spans="1:66" x14ac:dyDescent="0.25">
      <c r="A90" s="388">
        <v>110001</v>
      </c>
      <c r="B90" s="388" t="s">
        <v>393</v>
      </c>
      <c r="C90" s="388" t="s">
        <v>178</v>
      </c>
      <c r="D90" s="118">
        <v>70</v>
      </c>
      <c r="E90" s="118">
        <v>50</v>
      </c>
      <c r="F90" s="118">
        <v>53</v>
      </c>
      <c r="G90" s="118">
        <v>54</v>
      </c>
      <c r="H90" s="118">
        <v>44</v>
      </c>
      <c r="I90" s="118">
        <v>51</v>
      </c>
      <c r="J90" s="118">
        <v>66</v>
      </c>
      <c r="K90" s="118">
        <v>68</v>
      </c>
      <c r="L90" s="118">
        <v>65</v>
      </c>
      <c r="M90" s="118">
        <v>67</v>
      </c>
      <c r="N90" s="118">
        <v>52</v>
      </c>
      <c r="O90" s="118">
        <v>50</v>
      </c>
      <c r="P90" s="117">
        <f>SUMIFS(Actual!C:C,Actual!$A:$A,'3)Target &amp; Cal'!$A90,Actual!$B:$B,'3)Target &amp; Cal'!$B90)</f>
        <v>6</v>
      </c>
      <c r="Q90" s="117">
        <f>SUMIFS(Actual!D:D,Actual!$A:$A,'3)Target &amp; Cal'!$A90,Actual!$B:$B,'3)Target &amp; Cal'!$B90)</f>
        <v>102</v>
      </c>
      <c r="R90" s="117">
        <f>SUMIFS(Actual!E:E,Actual!$A:$A,'3)Target &amp; Cal'!$A90,Actual!$B:$B,'3)Target &amp; Cal'!$B90)</f>
        <v>0</v>
      </c>
      <c r="S90" s="117">
        <f>SUMIFS(Actual!F:F,Actual!$A:$A,'3)Target &amp; Cal'!$A90,Actual!$B:$B,'3)Target &amp; Cal'!$B90)</f>
        <v>0</v>
      </c>
      <c r="T90" s="117">
        <f>SUMIFS(Actual!G:G,Actual!$A:$A,'3)Target &amp; Cal'!$A90,Actual!$B:$B,'3)Target &amp; Cal'!$B90)</f>
        <v>0</v>
      </c>
      <c r="U90" s="117">
        <f>SUMIFS(Actual!H:H,Actual!$A:$A,'3)Target &amp; Cal'!$A90,Actual!$B:$B,'3)Target &amp; Cal'!$B90)</f>
        <v>0</v>
      </c>
      <c r="V90" s="117">
        <f>SUMIFS(Actual!I:I,Actual!$A:$A,'3)Target &amp; Cal'!$A90,Actual!$B:$B,'3)Target &amp; Cal'!$B90)</f>
        <v>0</v>
      </c>
      <c r="W90" s="117">
        <f>SUMIFS(Actual!J:J,Actual!$A:$A,'3)Target &amp; Cal'!$A90,Actual!$B:$B,'3)Target &amp; Cal'!$B90)</f>
        <v>0</v>
      </c>
      <c r="X90" s="117">
        <f>SUMIFS(Actual!K:K,Actual!$A:$A,'3)Target &amp; Cal'!$A90,Actual!$B:$B,'3)Target &amp; Cal'!$B90)</f>
        <v>0</v>
      </c>
      <c r="Y90" s="117">
        <f>SUMIFS(Actual!L:L,Actual!$A:$A,'3)Target &amp; Cal'!$A90,Actual!$B:$B,'3)Target &amp; Cal'!$B90)</f>
        <v>0</v>
      </c>
      <c r="Z90" s="117">
        <f>SUMIFS(Actual!M:M,Actual!$A:$A,'3)Target &amp; Cal'!$A90,Actual!$B:$B,'3)Target &amp; Cal'!$B90)</f>
        <v>0</v>
      </c>
      <c r="AA90" s="117">
        <f>SUMIFS(Actual!N:N,Actual!$A:$A,'3)Target &amp; Cal'!$A90,Actual!$B:$B,'3)Target &amp; Cal'!$B90)</f>
        <v>0</v>
      </c>
      <c r="AB90" s="123">
        <f>IFERROR(IF(VLOOKUP($B90,Shortage!$A:$M,AB$2,FALSE)="Shortage",1,IFERROR(ROUND(P90/D90,4),0)),IFERROR(ROUND(P90/D90,4),0))</f>
        <v>8.5699999999999998E-2</v>
      </c>
      <c r="AC90" s="123">
        <f>IFERROR(IF(VLOOKUP($B90,Shortage!$A:$M,AC$2,FALSE)="Shortage",1,IFERROR(ROUND(Q90/E90,4),0)),IFERROR(ROUND(Q90/E90,4),0))</f>
        <v>2.04</v>
      </c>
      <c r="AD90" s="123">
        <f>IFERROR(IF(VLOOKUP($B90,Shortage!$A:$M,AD$2,FALSE)="Shortage",1,IFERROR(ROUND(R90/F90,4),0)),IFERROR(ROUND(R90/F90,4),0))</f>
        <v>0</v>
      </c>
      <c r="AE90" s="123">
        <f>IFERROR(IF(VLOOKUP($B90,Shortage!$A:$M,AE$2,FALSE)="Shortage",1,IFERROR(ROUND(S90/G90,4),0)),IFERROR(ROUND(S90/G90,4),0))</f>
        <v>0</v>
      </c>
      <c r="AF90" s="123">
        <f>IFERROR(IF(VLOOKUP($B90,Shortage!$A:$M,AF$2,FALSE)="Shortage",1,IFERROR(ROUND(T90/H90,4),0)),IFERROR(ROUND(T90/H90,4),0))</f>
        <v>0</v>
      </c>
      <c r="AG90" s="123">
        <f>IFERROR(IF(VLOOKUP($B90,Shortage!$A:$M,AG$2,FALSE)="Shortage",1,IFERROR(ROUND(U90/I90,4),0)),IFERROR(ROUND(U90/I90,4),0))</f>
        <v>0</v>
      </c>
      <c r="AH90" s="123">
        <f>IFERROR(IF(VLOOKUP($B90,Shortage!$A:$M,AH$2,FALSE)="Shortage",1,IFERROR(ROUND(V90/J90,4),0)),IFERROR(ROUND(V90/J90,4),0))</f>
        <v>0</v>
      </c>
      <c r="AI90" s="123">
        <f>IFERROR(IF(VLOOKUP($B90,Shortage!$A:$M,AI$2,FALSE)="Shortage",1,IFERROR(ROUND(W90/K90,4),0)),IFERROR(ROUND(W90/K90,4),0))</f>
        <v>0</v>
      </c>
      <c r="AJ90" s="123">
        <f>IFERROR(IF(VLOOKUP($B90,Shortage!$A:$M,AP$2,FALSE)="Shortage",1,IFERROR(ROUND(X90/L90,4),0)),IFERROR(ROUND(X90/L90,4),0))</f>
        <v>0</v>
      </c>
      <c r="AK90" s="123">
        <f>IFERROR(IF(VLOOKUP($B90,Shortage!$A:$M,AK$2,FALSE)="Shortage",1,IFERROR(ROUND(Y90/M90,4),0)),IFERROR(ROUND(Y90/M90,4),0))</f>
        <v>0</v>
      </c>
      <c r="AL90" s="123">
        <f>IFERROR(IF(VLOOKUP($B90,Shortage!$A:$M,AL$2,FALSE)="Shortage",1,IFERROR(ROUND(Z90/N90,4),0)),IFERROR(ROUND(Z90/N90,4),0))</f>
        <v>0</v>
      </c>
      <c r="AM90" s="123">
        <f>IFERROR(IF(VLOOKUP($B90,Shortage!$A:$M,AM$2,FALSE)="Shortage",1,IFERROR(ROUND(AA90/O90,4),0)),IFERROR(ROUND(AA90/O90,4),0))</f>
        <v>0</v>
      </c>
      <c r="AN90" s="232">
        <f>IFERROR(IF($C90="Top WS",VLOOKUP("GOAL",'2) หลักการคำนวน Table'!$D$4:$M$4,HLOOKUP(AB90,'2) หลักการคำนวน Table'!$D$1:$M$5,5,TRUE),0),
IF($C90="WS SF",VLOOKUP("GOAL",'2) หลักการคำนวน Table'!$D$32:$M$32,HLOOKUP(AB90,'2) หลักการคำนวน Table'!$D$1:$M$5,5,TRUE),0),
IF($C90="WS WH",VLOOKUP("GOAL",'2) หลักการคำนวน Table'!$D$62:$M$62,HLOOKUP(AB90,'2) หลักการคำนวน Table'!$D$1:$M$5,5,TRUE),0),
IF($C90="SF WH",VLOOKUP("GOAL",'2) หลักการคำนวน Table'!$D$92:$M$92,HLOOKUP(AB90,'2) หลักการคำนวน Table'!$D$1:$M$5,5,TRUE),0))))),0)</f>
        <v>0.9</v>
      </c>
      <c r="AO90" s="232">
        <f>IFERROR(IF($C90="Top WS",VLOOKUP("GOAL",'2) หลักการคำนวน Table'!$D$4:$M$4,HLOOKUP(AC90,'2) หลักการคำนวน Table'!$D$1:$M$5,5,TRUE),0),
IF($C90="WS SF",VLOOKUP("GOAL",'2) หลักการคำนวน Table'!$D$32:$M$32,HLOOKUP(AC90,'2) หลักการคำนวน Table'!$D$1:$M$5,5,TRUE),0),
IF($C90="WS WH",VLOOKUP("GOAL",'2) หลักการคำนวน Table'!$D$62:$M$62,HLOOKUP(AC90,'2) หลักการคำนวน Table'!$D$1:$M$5,5,TRUE),0),
IF($C90="SF WH",VLOOKUP("GOAL",'2) หลักการคำนวน Table'!$D$92:$M$92,HLOOKUP(AC90,'2) หลักการคำนวน Table'!$D$1:$M$5,5,TRUE),0))))),0)</f>
        <v>1.3</v>
      </c>
      <c r="AP90" s="232">
        <f>IFERROR(IF($C90="Top WS",VLOOKUP("GOAL",'2) หลักการคำนวน Table'!$D$4:$M$4,HLOOKUP(AD90,'2) หลักการคำนวน Table'!$D$1:$M$5,5,TRUE),0),
IF($C90="WS SF",VLOOKUP("GOAL",'2) หลักการคำนวน Table'!$D$32:$M$32,HLOOKUP(AD90,'2) หลักการคำนวน Table'!$D$1:$M$5,5,TRUE),0),
IF($C90="WS WH",VLOOKUP("GOAL",'2) หลักการคำนวน Table'!$D$62:$M$62,HLOOKUP(AD90,'2) หลักการคำนวน Table'!$D$1:$M$5,5,TRUE),0),
IF($C90="SF WH",VLOOKUP("GOAL",'2) หลักการคำนวน Table'!$D$92:$M$92,HLOOKUP(AD90,'2) หลักการคำนวน Table'!$D$1:$M$5,5,TRUE),0))))),0)</f>
        <v>0.9</v>
      </c>
      <c r="AQ90" s="232">
        <f>IFERROR(IF($C90="Top WS",VLOOKUP("GOAL",'2) หลักการคำนวน Table'!$D$4:$M$4,HLOOKUP(AE90,'2) หลักการคำนวน Table'!$D$1:$M$5,5,TRUE),0),
IF($C90="WS SF",VLOOKUP("GOAL",'2) หลักการคำนวน Table'!$D$32:$M$32,HLOOKUP(AE90,'2) หลักการคำนวน Table'!$D$1:$M$5,5,TRUE),0),
IF($C90="WS WH",VLOOKUP("GOAL",'2) หลักการคำนวน Table'!$D$62:$M$62,HLOOKUP(AE90,'2) หลักการคำนวน Table'!$D$1:$M$5,5,TRUE),0),
IF($C90="SF WH",VLOOKUP("GOAL",'2) หลักการคำนวน Table'!$D$92:$M$92,HLOOKUP(AE90,'2) หลักการคำนวน Table'!$D$1:$M$5,5,TRUE),0))))),0)</f>
        <v>0.9</v>
      </c>
      <c r="AR90" s="232">
        <f>IFERROR(IF($C90="Top WS",VLOOKUP("GOAL",'2) หลักการคำนวน Table'!$D$4:$M$4,HLOOKUP(AF90,'2) หลักการคำนวน Table'!$D$1:$M$5,5,TRUE),0),
IF($C90="WS SF",VLOOKUP("GOAL",'2) หลักการคำนวน Table'!$D$32:$M$32,HLOOKUP(AF90,'2) หลักการคำนวน Table'!$D$1:$M$5,5,TRUE),0),
IF($C90="WS WH",VLOOKUP("GOAL",'2) หลักการคำนวน Table'!$D$62:$M$62,HLOOKUP(AF90,'2) หลักการคำนวน Table'!$D$1:$M$5,5,TRUE),0),
IF($C90="SF WH",VLOOKUP("GOAL",'2) หลักการคำนวน Table'!$D$92:$M$92,HLOOKUP(AF90,'2) หลักการคำนวน Table'!$D$1:$M$5,5,TRUE),0))))),0)</f>
        <v>0.9</v>
      </c>
      <c r="AS90" s="232">
        <f>IFERROR(IF($C90="Top WS",VLOOKUP("GOAL",'2) หลักการคำนวน Table'!$D$4:$M$4,HLOOKUP(AG90,'2) หลักการคำนวน Table'!$D$1:$M$5,5,TRUE),0),
IF($C90="WS SF",VLOOKUP("GOAL",'2) หลักการคำนวน Table'!$D$32:$M$32,HLOOKUP(AG90,'2) หลักการคำนวน Table'!$D$1:$M$5,5,TRUE),0),
IF($C90="WS WH",VLOOKUP("GOAL",'2) หลักการคำนวน Table'!$D$62:$M$62,HLOOKUP(AG90,'2) หลักการคำนวน Table'!$D$1:$M$5,5,TRUE),0),
IF($C90="SF WH",VLOOKUP("GOAL",'2) หลักการคำนวน Table'!$D$92:$M$92,HLOOKUP(AG90,'2) หลักการคำนวน Table'!$D$1:$M$5,5,TRUE),0))))),0)</f>
        <v>0.9</v>
      </c>
      <c r="AT90" s="232">
        <f>IFERROR(IF($C90="Top WS",VLOOKUP("GOAL",'2) หลักการคำนวน Table'!$D$4:$M$4,HLOOKUP(AH90,'2) หลักการคำนวน Table'!$D$1:$M$5,5,TRUE),0),
IF($C90="WS SF",VLOOKUP("GOAL",'2) หลักการคำนวน Table'!$D$32:$M$32,HLOOKUP(AH90,'2) หลักการคำนวน Table'!$D$1:$M$5,5,TRUE),0),
IF($C90="WS WH",VLOOKUP("GOAL",'2) หลักการคำนวน Table'!$D$62:$M$62,HLOOKUP(AH90,'2) หลักการคำนวน Table'!$D$1:$M$5,5,TRUE),0),
IF($C90="SF WH",VLOOKUP("GOAL",'2) หลักการคำนวน Table'!$D$92:$M$92,HLOOKUP(AH90,'2) หลักการคำนวน Table'!$D$1:$M$5,5,TRUE),0))))),0)</f>
        <v>0.9</v>
      </c>
      <c r="AU90" s="232">
        <f>IFERROR(IF($C90="Top WS",VLOOKUP("GOAL",'2) หลักการคำนวน Table'!$D$4:$M$4,HLOOKUP(AI90,'2) หลักการคำนวน Table'!$D$1:$M$5,5,TRUE),0),
IF($C90="WS SF",VLOOKUP("GOAL",'2) หลักการคำนวน Table'!$D$32:$M$32,HLOOKUP(AI90,'2) หลักการคำนวน Table'!$D$1:$M$5,5,TRUE),0),
IF($C90="WS WH",VLOOKUP("GOAL",'2) หลักการคำนวน Table'!$D$62:$M$62,HLOOKUP(AI90,'2) หลักการคำนวน Table'!$D$1:$M$5,5,TRUE),0),
IF($C90="SF WH",VLOOKUP("GOAL",'2) หลักการคำนวน Table'!$D$92:$M$92,HLOOKUP(AI90,'2) หลักการคำนวน Table'!$D$1:$M$5,5,TRUE),0))))),0)</f>
        <v>0.9</v>
      </c>
      <c r="AV90" s="232">
        <f>IFERROR(IF($C90="Top WS",VLOOKUP("GOAL",'2) หลักการคำนวน Table'!$D$4:$M$4,HLOOKUP(AP90,'2) หลักการคำนวน Table'!$D$1:$M$5,5,TRUE),0),
IF($C90="WS SF",VLOOKUP("GOAL",'2) หลักการคำนวน Table'!$D$32:$M$32,HLOOKUP(AP90,'2) หลักการคำนวน Table'!$D$1:$M$5,5,TRUE),0),
IF($C90="WS WH",VLOOKUP("GOAL",'2) หลักการคำนวน Table'!$D$62:$M$62,HLOOKUP(AP90,'2) หลักการคำนวน Table'!$D$1:$M$5,5,TRUE),0),
IF($C90="SF WH",VLOOKUP("GOAL",'2) หลักการคำนวน Table'!$D$92:$M$92,HLOOKUP(AP90,'2) หลักการคำนวน Table'!$D$1:$M$5,5,TRUE),0))))),0)</f>
        <v>0.9</v>
      </c>
      <c r="AW90" s="232">
        <f>IFERROR(IF($C90="Top WS",VLOOKUP("GOAL",'2) หลักการคำนวน Table'!$D$4:$M$4,HLOOKUP(AK90,'2) หลักการคำนวน Table'!$D$1:$M$5,5,TRUE),0),
IF($C90="WS SF",VLOOKUP("GOAL",'2) หลักการคำนวน Table'!$D$32:$M$32,HLOOKUP(AK90,'2) หลักการคำนวน Table'!$D$1:$M$5,5,TRUE),0),
IF($C90="WS WH",VLOOKUP("GOAL",'2) หลักการคำนวน Table'!$D$62:$M$62,HLOOKUP(AK90,'2) หลักการคำนวน Table'!$D$1:$M$5,5,TRUE),0),
IF($C90="SF WH",VLOOKUP("GOAL",'2) หลักการคำนวน Table'!$D$92:$M$92,HLOOKUP(AK90,'2) หลักการคำนวน Table'!$D$1:$M$5,5,TRUE),0))))),0)</f>
        <v>0.9</v>
      </c>
      <c r="AX90" s="232">
        <f>IFERROR(IF($C90="Top WS",VLOOKUP("GOAL",'2) หลักการคำนวน Table'!$D$4:$M$4,HLOOKUP(AL90,'2) หลักการคำนวน Table'!$D$1:$M$5,5,TRUE),0),
IF($C90="WS SF",VLOOKUP("GOAL",'2) หลักการคำนวน Table'!$D$32:$M$32,HLOOKUP(AL90,'2) หลักการคำนวน Table'!$D$1:$M$5,5,TRUE),0),
IF($C90="WS WH",VLOOKUP("GOAL",'2) หลักการคำนวน Table'!$D$62:$M$62,HLOOKUP(AL90,'2) หลักการคำนวน Table'!$D$1:$M$5,5,TRUE),0),
IF($C90="SF WH",VLOOKUP("GOAL",'2) หลักการคำนวน Table'!$D$92:$M$92,HLOOKUP(AL90,'2) หลักการคำนวน Table'!$D$1:$M$5,5,TRUE),0))))),0)</f>
        <v>0.9</v>
      </c>
      <c r="AY90" s="232">
        <f>IFERROR(IF($C90="Top WS",VLOOKUP("GOAL",'2) หลักการคำนวน Table'!$D$4:$M$4,HLOOKUP(AM90,'2) หลักการคำนวน Table'!$D$1:$M$5,5,TRUE),0),
IF($C90="WS SF",VLOOKUP("GOAL",'2) หลักการคำนวน Table'!$D$32:$M$32,HLOOKUP(AM90,'2) หลักการคำนวน Table'!$D$1:$M$5,5,TRUE),0),
IF($C90="WS WH",VLOOKUP("GOAL",'2) หลักการคำนวน Table'!$D$62:$M$62,HLOOKUP(AM90,'2) หลักการคำนวน Table'!$D$1:$M$5,5,TRUE),0),
IF($C90="SF WH",VLOOKUP("GOAL",'2) หลักการคำนวน Table'!$D$92:$M$92,HLOOKUP(AM90,'2) หลักการคำนวน Table'!$D$1:$M$5,5,TRUE),0))))),0)</f>
        <v>0.9</v>
      </c>
      <c r="AZ90" s="167">
        <f>IFERROR(IF($C90="Top WS",VLOOKUP($B90,'2) หลักการคำนวน Table'!$D$5:$M$20,HLOOKUP(AB90,'2) หลักการคำนวน Table'!$D$1:$M$5,5,TRUE),0),
IF($C90="WS SF",VLOOKUP($B90,'2) หลักการคำนวน Table'!$D$33:$M$48,HLOOKUP(AB90,'2) หลักการคำนวน Table'!$D$1:$M$5,5,TRUE),0),
IF($C90="WS WH",VLOOKUP($B90,'2) หลักการคำนวน Table'!$D$63:$M$78,HLOOKUP(AB90,'2) หลักการคำนวน Table'!$D$1:$M$5,5,TRUE),0),
IF($C90="SF WH",VLOOKUP($B90,'2) หลักการคำนวน Table'!$D$93:$M$108,HLOOKUP(AB90,'2) หลักการคำนวน Table'!$D$1:$M$5,5,TRUE),0))))),0)</f>
        <v>180</v>
      </c>
      <c r="BA90" s="167">
        <f>IFERROR(IF($C90="Top WS",VLOOKUP($B90,'2) หลักการคำนวน Table'!$D$5:$M$20,HLOOKUP(AC90,'2) หลักการคำนวน Table'!$D$1:$M$5,5,TRUE),0),
IF($C90="WS SF",VLOOKUP($B90,'2) หลักการคำนวน Table'!$D$33:$M$48,HLOOKUP(AC90,'2) หลักการคำนวน Table'!$D$1:$M$5,5,TRUE),0),
IF($C90="WS WH",VLOOKUP($B90,'2) หลักการคำนวน Table'!$D$63:$M$78,HLOOKUP(AC90,'2) หลักการคำนวน Table'!$D$1:$M$5,5,TRUE),0),
IF($C90="SF WH",VLOOKUP($B90,'2) หลักการคำนวน Table'!$D$93:$M$108,HLOOKUP(AC90,'2) หลักการคำนวน Table'!$D$1:$M$5,5,TRUE),0))))),0)</f>
        <v>260</v>
      </c>
      <c r="BB90" s="167">
        <f>IFERROR(IF($C90="Top WS",VLOOKUP($B90,'2) หลักการคำนวน Table'!$D$5:$M$20,HLOOKUP(AD90,'2) หลักการคำนวน Table'!$D$1:$M$5,5,TRUE),0),
IF($C90="WS SF",VLOOKUP($B90,'2) หลักการคำนวน Table'!$D$33:$M$48,HLOOKUP(AD90,'2) หลักการคำนวน Table'!$D$1:$M$5,5,TRUE),0),
IF($C90="WS WH",VLOOKUP($B90,'2) หลักการคำนวน Table'!$D$63:$M$78,HLOOKUP(AD90,'2) หลักการคำนวน Table'!$D$1:$M$5,5,TRUE),0),
IF($C90="SF WH",VLOOKUP($B90,'2) หลักการคำนวน Table'!$D$93:$M$108,HLOOKUP(AD90,'2) หลักการคำนวน Table'!$D$1:$M$5,5,TRUE),0))))),0)</f>
        <v>180</v>
      </c>
      <c r="BC90" s="167">
        <f>IFERROR(IF($C90="Top WS",VLOOKUP($B90,'2) หลักการคำนวน Table'!$D$5:$M$20,HLOOKUP(AE90,'2) หลักการคำนวน Table'!$D$1:$M$5,5,TRUE),0),
IF($C90="WS SF",VLOOKUP($B90,'2) หลักการคำนวน Table'!$D$33:$M$48,HLOOKUP(AE90,'2) หลักการคำนวน Table'!$D$1:$M$5,5,TRUE),0),
IF($C90="WS WH",VLOOKUP($B90,'2) หลักการคำนวน Table'!$D$63:$M$78,HLOOKUP(AE90,'2) หลักการคำนวน Table'!$D$1:$M$5,5,TRUE),0),
IF($C90="SF WH",VLOOKUP($B90,'2) หลักการคำนวน Table'!$D$93:$M$108,HLOOKUP(AE90,'2) หลักการคำนวน Table'!$D$1:$M$5,5,TRUE),0))))),0)</f>
        <v>180</v>
      </c>
      <c r="BD90" s="167">
        <f>IFERROR(IF($C90="Top WS",VLOOKUP($B90,'2) หลักการคำนวน Table'!$D$5:$M$20,HLOOKUP(AF90,'2) หลักการคำนวน Table'!$D$1:$M$5,5,TRUE),0),
IF($C90="WS SF",VLOOKUP($B90,'2) หลักการคำนวน Table'!$D$33:$M$48,HLOOKUP(AF90,'2) หลักการคำนวน Table'!$D$1:$M$5,5,TRUE),0),
IF($C90="WS WH",VLOOKUP($B90,'2) หลักการคำนวน Table'!$D$63:$M$78,HLOOKUP(AF90,'2) หลักการคำนวน Table'!$D$1:$M$5,5,TRUE),0),
IF($C90="SF WH",VLOOKUP($B90,'2) หลักการคำนวน Table'!$D$93:$M$108,HLOOKUP(AF90,'2) หลักการคำนวน Table'!$D$1:$M$5,5,TRUE),0))))),0)</f>
        <v>180</v>
      </c>
      <c r="BE90" s="167">
        <f>IFERROR(IF($C90="Top WS",VLOOKUP($B90,'2) หลักการคำนวน Table'!$D$5:$M$20,HLOOKUP(AG90,'2) หลักการคำนวน Table'!$D$1:$M$5,5,TRUE),0),
IF($C90="WS SF",VLOOKUP($B90,'2) หลักการคำนวน Table'!$D$33:$M$48,HLOOKUP(AG90,'2) หลักการคำนวน Table'!$D$1:$M$5,5,TRUE),0),
IF($C90="WS WH",VLOOKUP($B90,'2) หลักการคำนวน Table'!$D$63:$M$78,HLOOKUP(AG90,'2) หลักการคำนวน Table'!$D$1:$M$5,5,TRUE),0),
IF($C90="SF WH",VLOOKUP($B90,'2) หลักการคำนวน Table'!$D$93:$M$108,HLOOKUP(AG90,'2) หลักการคำนวน Table'!$D$1:$M$5,5,TRUE),0))))),0)</f>
        <v>180</v>
      </c>
      <c r="BF90" s="167">
        <f>IFERROR(IF($C90="Top WS",VLOOKUP($B90,'2) หลักการคำนวน Table'!$D$5:$M$20,HLOOKUP(AH90,'2) หลักการคำนวน Table'!$D$1:$M$5,5,TRUE),0),
IF($C90="WS SF",VLOOKUP($B90,'2) หลักการคำนวน Table'!$D$33:$M$48,HLOOKUP(AH90,'2) หลักการคำนวน Table'!$D$1:$M$5,5,TRUE),0),
IF($C90="WS WH",VLOOKUP($B90,'2) หลักการคำนวน Table'!$D$63:$M$78,HLOOKUP(AH90,'2) หลักการคำนวน Table'!$D$1:$M$5,5,TRUE),0),
IF($C90="SF WH",VLOOKUP($B90,'2) หลักการคำนวน Table'!$D$93:$M$108,HLOOKUP(AH90,'2) หลักการคำนวน Table'!$D$1:$M$5,5,TRUE),0))))),0)</f>
        <v>180</v>
      </c>
      <c r="BG90" s="167">
        <f>IFERROR(IF($C90="Top WS",VLOOKUP($B90,'2) หลักการคำนวน Table'!$D$5:$M$20,HLOOKUP(AI90,'2) หลักการคำนวน Table'!$D$1:$M$5,5,TRUE),0),
IF($C90="WS SF",VLOOKUP($B90,'2) หลักการคำนวน Table'!$D$33:$M$48,HLOOKUP(AI90,'2) หลักการคำนวน Table'!$D$1:$M$5,5,TRUE),0),
IF($C90="WS WH",VLOOKUP($B90,'2) หลักการคำนวน Table'!$D$63:$M$78,HLOOKUP(AI90,'2) หลักการคำนวน Table'!$D$1:$M$5,5,TRUE),0),
IF($C90="SF WH",VLOOKUP($B90,'2) หลักการคำนวน Table'!$D$93:$M$108,HLOOKUP(AI90,'2) หลักการคำนวน Table'!$D$1:$M$5,5,TRUE),0))))),0)</f>
        <v>180</v>
      </c>
      <c r="BH90" s="167">
        <f>IFERROR(IF($C90="Top WS",VLOOKUP($B90,'2) หลักการคำนวน Table'!$D$5:$M$20,HLOOKUP(AP90,'2) หลักการคำนวน Table'!$D$1:$M$5,5,TRUE),0),
IF($C90="WS SF",VLOOKUP($B90,'2) หลักการคำนวน Table'!$D$33:$M$48,HLOOKUP(AP90,'2) หลักการคำนวน Table'!$D$1:$M$5,5,TRUE),0),
IF($C90="WS WH",VLOOKUP($B90,'2) หลักการคำนวน Table'!$D$63:$M$78,HLOOKUP(AP90,'2) หลักการคำนวน Table'!$D$1:$M$5,5,TRUE),0),
IF($C90="SF WH",VLOOKUP($B90,'2) หลักการคำนวน Table'!$D$93:$M$108,HLOOKUP(AP90,'2) หลักการคำนวน Table'!$D$1:$M$5,5,TRUE),0))))),0)</f>
        <v>180</v>
      </c>
      <c r="BI90" s="167">
        <f>IFERROR(IF($C90="Top WS",VLOOKUP($B90,'2) หลักการคำนวน Table'!$D$5:$M$20,HLOOKUP(AK90,'2) หลักการคำนวน Table'!$D$1:$M$5,5,TRUE),0),
IF($C90="WS SF",VLOOKUP($B90,'2) หลักการคำนวน Table'!$D$33:$M$48,HLOOKUP(AK90,'2) หลักการคำนวน Table'!$D$1:$M$5,5,TRUE),0),
IF($C90="WS WH",VLOOKUP($B90,'2) หลักการคำนวน Table'!$D$63:$M$78,HLOOKUP(AK90,'2) หลักการคำนวน Table'!$D$1:$M$5,5,TRUE),0),
IF($C90="SF WH",VLOOKUP($B90,'2) หลักการคำนวน Table'!$D$93:$M$108,HLOOKUP(AK90,'2) หลักการคำนวน Table'!$D$1:$M$5,5,TRUE),0))))),0)</f>
        <v>180</v>
      </c>
      <c r="BJ90" s="167">
        <f>IFERROR(IF($C90="Top WS",VLOOKUP($B90,'2) หลักการคำนวน Table'!$D$5:$M$20,HLOOKUP(AL90,'2) หลักการคำนวน Table'!$D$1:$M$5,5,TRUE),0),
IF($C90="WS SF",VLOOKUP($B90,'2) หลักการคำนวน Table'!$D$33:$M$48,HLOOKUP(AL90,'2) หลักการคำนวน Table'!$D$1:$M$5,5,TRUE),0),
IF($C90="WS WH",VLOOKUP($B90,'2) หลักการคำนวน Table'!$D$63:$M$78,HLOOKUP(AL90,'2) หลักการคำนวน Table'!$D$1:$M$5,5,TRUE),0),
IF($C90="SF WH",VLOOKUP($B90,'2) หลักการคำนวน Table'!$D$93:$M$108,HLOOKUP(AL90,'2) หลักการคำนวน Table'!$D$1:$M$5,5,TRUE),0))))),0)</f>
        <v>180</v>
      </c>
      <c r="BK90" s="167">
        <f>IFERROR(IF($C90="Top WS",VLOOKUP($B90,'2) หลักการคำนวน Table'!$D$5:$M$20,HLOOKUP(AM90,'2) หลักการคำนวน Table'!$D$1:$M$5,5,TRUE),0),
IF($C90="WS SF",VLOOKUP($B90,'2) หลักการคำนวน Table'!$D$33:$M$48,HLOOKUP(AM90,'2) หลักการคำนวน Table'!$D$1:$M$5,5,TRUE),0),
IF($C90="WS WH",VLOOKUP($B90,'2) หลักการคำนวน Table'!$D$63:$M$78,HLOOKUP(AM90,'2) หลักการคำนวน Table'!$D$1:$M$5,5,TRUE),0),
IF($C90="SF WH",VLOOKUP($B90,'2) หลักการคำนวน Table'!$D$93:$M$108,HLOOKUP(AM90,'2) หลักการคำนวน Table'!$D$1:$M$5,5,TRUE),0))))),0)</f>
        <v>180</v>
      </c>
      <c r="BM90" s="119">
        <f>VLOOKUP(VLOOKUP(A90,ASTBase!E:S,13,FALSE),ASTBase!F:P,11,FALSE)</f>
        <v>110000</v>
      </c>
      <c r="BN90" s="196" cm="1">
        <f t="array" ref="BN90">INDEX(AN90:AY90,,Period!$D$2)</f>
        <v>1.3</v>
      </c>
    </row>
    <row r="91" spans="1:66" x14ac:dyDescent="0.25">
      <c r="A91" s="388">
        <v>110002</v>
      </c>
      <c r="B91" s="388" t="s">
        <v>388</v>
      </c>
      <c r="C91" s="388" t="s">
        <v>179</v>
      </c>
      <c r="D91" s="118">
        <v>6569</v>
      </c>
      <c r="E91" s="118">
        <v>7379</v>
      </c>
      <c r="F91" s="118">
        <v>7326</v>
      </c>
      <c r="G91" s="118">
        <v>6901</v>
      </c>
      <c r="H91" s="118">
        <v>7310</v>
      </c>
      <c r="I91" s="118">
        <v>7426</v>
      </c>
      <c r="J91" s="118">
        <v>7262</v>
      </c>
      <c r="K91" s="118">
        <v>7718</v>
      </c>
      <c r="L91" s="118">
        <v>7559</v>
      </c>
      <c r="M91" s="118">
        <v>8449</v>
      </c>
      <c r="N91" s="118">
        <v>7478</v>
      </c>
      <c r="O91" s="118">
        <v>7477</v>
      </c>
      <c r="P91" s="117">
        <f>SUMIFS(Actual!C:C,Actual!$A:$A,'3)Target &amp; Cal'!$A91,Actual!$B:$B,'3)Target &amp; Cal'!$B91)</f>
        <v>9550.2000000000007</v>
      </c>
      <c r="Q91" s="117">
        <f>SUMIFS(Actual!D:D,Actual!$A:$A,'3)Target &amp; Cal'!$A91,Actual!$B:$B,'3)Target &amp; Cal'!$B91)</f>
        <v>9775.6</v>
      </c>
      <c r="R91" s="117">
        <f>SUMIFS(Actual!E:E,Actual!$A:$A,'3)Target &amp; Cal'!$A91,Actual!$B:$B,'3)Target &amp; Cal'!$B91)</f>
        <v>0</v>
      </c>
      <c r="S91" s="117">
        <f>SUMIFS(Actual!F:F,Actual!$A:$A,'3)Target &amp; Cal'!$A91,Actual!$B:$B,'3)Target &amp; Cal'!$B91)</f>
        <v>0</v>
      </c>
      <c r="T91" s="117">
        <f>SUMIFS(Actual!G:G,Actual!$A:$A,'3)Target &amp; Cal'!$A91,Actual!$B:$B,'3)Target &amp; Cal'!$B91)</f>
        <v>0</v>
      </c>
      <c r="U91" s="117">
        <f>SUMIFS(Actual!H:H,Actual!$A:$A,'3)Target &amp; Cal'!$A91,Actual!$B:$B,'3)Target &amp; Cal'!$B91)</f>
        <v>0</v>
      </c>
      <c r="V91" s="117">
        <f>SUMIFS(Actual!I:I,Actual!$A:$A,'3)Target &amp; Cal'!$A91,Actual!$B:$B,'3)Target &amp; Cal'!$B91)</f>
        <v>0</v>
      </c>
      <c r="W91" s="117">
        <f>SUMIFS(Actual!J:J,Actual!$A:$A,'3)Target &amp; Cal'!$A91,Actual!$B:$B,'3)Target &amp; Cal'!$B91)</f>
        <v>0</v>
      </c>
      <c r="X91" s="117">
        <f>SUMIFS(Actual!K:K,Actual!$A:$A,'3)Target &amp; Cal'!$A91,Actual!$B:$B,'3)Target &amp; Cal'!$B91)</f>
        <v>0</v>
      </c>
      <c r="Y91" s="117">
        <f>SUMIFS(Actual!L:L,Actual!$A:$A,'3)Target &amp; Cal'!$A91,Actual!$B:$B,'3)Target &amp; Cal'!$B91)</f>
        <v>0</v>
      </c>
      <c r="Z91" s="117">
        <f>SUMIFS(Actual!M:M,Actual!$A:$A,'3)Target &amp; Cal'!$A91,Actual!$B:$B,'3)Target &amp; Cal'!$B91)</f>
        <v>0</v>
      </c>
      <c r="AA91" s="117">
        <f>SUMIFS(Actual!N:N,Actual!$A:$A,'3)Target &amp; Cal'!$A91,Actual!$B:$B,'3)Target &amp; Cal'!$B91)</f>
        <v>0</v>
      </c>
      <c r="AB91" s="123">
        <f>IFERROR(IF(VLOOKUP($B91,Shortage!$A:$M,AB$2,FALSE)="Shortage",1,IFERROR(ROUND(P91/D91,4),0)),IFERROR(ROUND(P91/D91,4),0))</f>
        <v>1</v>
      </c>
      <c r="AC91" s="123">
        <f>IFERROR(IF(VLOOKUP($B91,Shortage!$A:$M,AC$2,FALSE)="Shortage",1,IFERROR(ROUND(Q91/E91,4),0)),IFERROR(ROUND(Q91/E91,4),0))</f>
        <v>1.3248</v>
      </c>
      <c r="AD91" s="123">
        <f>IFERROR(IF(VLOOKUP($B91,Shortage!$A:$M,AD$2,FALSE)="Shortage",1,IFERROR(ROUND(R91/F91,4),0)),IFERROR(ROUND(R91/F91,4),0))</f>
        <v>0</v>
      </c>
      <c r="AE91" s="123">
        <f>IFERROR(IF(VLOOKUP($B91,Shortage!$A:$M,AE$2,FALSE)="Shortage",1,IFERROR(ROUND(S91/G91,4),0)),IFERROR(ROUND(S91/G91,4),0))</f>
        <v>0</v>
      </c>
      <c r="AF91" s="123">
        <f>IFERROR(IF(VLOOKUP($B91,Shortage!$A:$M,AF$2,FALSE)="Shortage",1,IFERROR(ROUND(T91/H91,4),0)),IFERROR(ROUND(T91/H91,4),0))</f>
        <v>0</v>
      </c>
      <c r="AG91" s="123">
        <f>IFERROR(IF(VLOOKUP($B91,Shortage!$A:$M,AG$2,FALSE)="Shortage",1,IFERROR(ROUND(U91/I91,4),0)),IFERROR(ROUND(U91/I91,4),0))</f>
        <v>0</v>
      </c>
      <c r="AH91" s="123">
        <f>IFERROR(IF(VLOOKUP($B91,Shortage!$A:$M,AH$2,FALSE)="Shortage",1,IFERROR(ROUND(V91/J91,4),0)),IFERROR(ROUND(V91/J91,4),0))</f>
        <v>0</v>
      </c>
      <c r="AI91" s="123">
        <f>IFERROR(IF(VLOOKUP($B91,Shortage!$A:$M,AI$2,FALSE)="Shortage",1,IFERROR(ROUND(W91/K91,4),0)),IFERROR(ROUND(W91/K91,4),0))</f>
        <v>0</v>
      </c>
      <c r="AJ91" s="123">
        <f>IFERROR(IF(VLOOKUP($B91,Shortage!$A:$M,AP$2,FALSE)="Shortage",1,IFERROR(ROUND(X91/L91,4),0)),IFERROR(ROUND(X91/L91,4),0))</f>
        <v>0</v>
      </c>
      <c r="AK91" s="123">
        <f>IFERROR(IF(VLOOKUP($B91,Shortage!$A:$M,AK$2,FALSE)="Shortage",1,IFERROR(ROUND(Y91/M91,4),0)),IFERROR(ROUND(Y91/M91,4),0))</f>
        <v>0</v>
      </c>
      <c r="AL91" s="123">
        <f>IFERROR(IF(VLOOKUP($B91,Shortage!$A:$M,AL$2,FALSE)="Shortage",1,IFERROR(ROUND(Z91/N91,4),0)),IFERROR(ROUND(Z91/N91,4),0))</f>
        <v>0</v>
      </c>
      <c r="AM91" s="123">
        <f>IFERROR(IF(VLOOKUP($B91,Shortage!$A:$M,AM$2,FALSE)="Shortage",1,IFERROR(ROUND(AA91/O91,4),0)),IFERROR(ROUND(AA91/O91,4),0))</f>
        <v>0</v>
      </c>
      <c r="AN91" s="232">
        <f>IFERROR(IF($C91="Top WS",VLOOKUP("GOAL",'2) หลักการคำนวน Table'!$D$4:$M$4,HLOOKUP(AB91,'2) หลักการคำนวน Table'!$D$1:$M$5,5,TRUE),0),
IF($C91="WS SF",VLOOKUP("GOAL",'2) หลักการคำนวน Table'!$D$32:$M$32,HLOOKUP(AB91,'2) หลักการคำนวน Table'!$D$1:$M$5,5,TRUE),0),
IF($C91="WS WH",VLOOKUP("GOAL",'2) หลักการคำนวน Table'!$D$62:$M$62,HLOOKUP(AB91,'2) หลักการคำนวน Table'!$D$1:$M$5,5,TRUE),0),
IF($C91="SF WH",VLOOKUP("GOAL",'2) หลักการคำนวน Table'!$D$92:$M$92,HLOOKUP(AB91,'2) หลักการคำนวน Table'!$D$1:$M$5,5,TRUE),0))))),0)</f>
        <v>1</v>
      </c>
      <c r="AO91" s="232">
        <f>IFERROR(IF($C91="Top WS",VLOOKUP("GOAL",'2) หลักการคำนวน Table'!$D$4:$M$4,HLOOKUP(AC91,'2) หลักการคำนวน Table'!$D$1:$M$5,5,TRUE),0),
IF($C91="WS SF",VLOOKUP("GOAL",'2) หลักการคำนวน Table'!$D$32:$M$32,HLOOKUP(AC91,'2) หลักการคำนวน Table'!$D$1:$M$5,5,TRUE),0),
IF($C91="WS WH",VLOOKUP("GOAL",'2) หลักการคำนวน Table'!$D$62:$M$62,HLOOKUP(AC91,'2) หลักการคำนวน Table'!$D$1:$M$5,5,TRUE),0),
IF($C91="SF WH",VLOOKUP("GOAL",'2) หลักการคำนวน Table'!$D$92:$M$92,HLOOKUP(AC91,'2) หลักการคำนวน Table'!$D$1:$M$5,5,TRUE),0))))),0)</f>
        <v>1.3</v>
      </c>
      <c r="AP91" s="232">
        <f>IFERROR(IF($C91="Top WS",VLOOKUP("GOAL",'2) หลักการคำนวน Table'!$D$4:$M$4,HLOOKUP(AD91,'2) หลักการคำนวน Table'!$D$1:$M$5,5,TRUE),0),
IF($C91="WS SF",VLOOKUP("GOAL",'2) หลักการคำนวน Table'!$D$32:$M$32,HLOOKUP(AD91,'2) หลักการคำนวน Table'!$D$1:$M$5,5,TRUE),0),
IF($C91="WS WH",VLOOKUP("GOAL",'2) หลักการคำนวน Table'!$D$62:$M$62,HLOOKUP(AD91,'2) หลักการคำนวน Table'!$D$1:$M$5,5,TRUE),0),
IF($C91="SF WH",VLOOKUP("GOAL",'2) หลักการคำนวน Table'!$D$92:$M$92,HLOOKUP(AD91,'2) หลักการคำนวน Table'!$D$1:$M$5,5,TRUE),0))))),0)</f>
        <v>0.9</v>
      </c>
      <c r="AQ91" s="232">
        <f>IFERROR(IF($C91="Top WS",VLOOKUP("GOAL",'2) หลักการคำนวน Table'!$D$4:$M$4,HLOOKUP(AE91,'2) หลักการคำนวน Table'!$D$1:$M$5,5,TRUE),0),
IF($C91="WS SF",VLOOKUP("GOAL",'2) หลักการคำนวน Table'!$D$32:$M$32,HLOOKUP(AE91,'2) หลักการคำนวน Table'!$D$1:$M$5,5,TRUE),0),
IF($C91="WS WH",VLOOKUP("GOAL",'2) หลักการคำนวน Table'!$D$62:$M$62,HLOOKUP(AE91,'2) หลักการคำนวน Table'!$D$1:$M$5,5,TRUE),0),
IF($C91="SF WH",VLOOKUP("GOAL",'2) หลักการคำนวน Table'!$D$92:$M$92,HLOOKUP(AE91,'2) หลักการคำนวน Table'!$D$1:$M$5,5,TRUE),0))))),0)</f>
        <v>0.9</v>
      </c>
      <c r="AR91" s="232">
        <f>IFERROR(IF($C91="Top WS",VLOOKUP("GOAL",'2) หลักการคำนวน Table'!$D$4:$M$4,HLOOKUP(AF91,'2) หลักการคำนวน Table'!$D$1:$M$5,5,TRUE),0),
IF($C91="WS SF",VLOOKUP("GOAL",'2) หลักการคำนวน Table'!$D$32:$M$32,HLOOKUP(AF91,'2) หลักการคำนวน Table'!$D$1:$M$5,5,TRUE),0),
IF($C91="WS WH",VLOOKUP("GOAL",'2) หลักการคำนวน Table'!$D$62:$M$62,HLOOKUP(AF91,'2) หลักการคำนวน Table'!$D$1:$M$5,5,TRUE),0),
IF($C91="SF WH",VLOOKUP("GOAL",'2) หลักการคำนวน Table'!$D$92:$M$92,HLOOKUP(AF91,'2) หลักการคำนวน Table'!$D$1:$M$5,5,TRUE),0))))),0)</f>
        <v>0.9</v>
      </c>
      <c r="AS91" s="232">
        <f>IFERROR(IF($C91="Top WS",VLOOKUP("GOAL",'2) หลักการคำนวน Table'!$D$4:$M$4,HLOOKUP(AG91,'2) หลักการคำนวน Table'!$D$1:$M$5,5,TRUE),0),
IF($C91="WS SF",VLOOKUP("GOAL",'2) หลักการคำนวน Table'!$D$32:$M$32,HLOOKUP(AG91,'2) หลักการคำนวน Table'!$D$1:$M$5,5,TRUE),0),
IF($C91="WS WH",VLOOKUP("GOAL",'2) หลักการคำนวน Table'!$D$62:$M$62,HLOOKUP(AG91,'2) หลักการคำนวน Table'!$D$1:$M$5,5,TRUE),0),
IF($C91="SF WH",VLOOKUP("GOAL",'2) หลักการคำนวน Table'!$D$92:$M$92,HLOOKUP(AG91,'2) หลักการคำนวน Table'!$D$1:$M$5,5,TRUE),0))))),0)</f>
        <v>0.9</v>
      </c>
      <c r="AT91" s="232">
        <f>IFERROR(IF($C91="Top WS",VLOOKUP("GOAL",'2) หลักการคำนวน Table'!$D$4:$M$4,HLOOKUP(AH91,'2) หลักการคำนวน Table'!$D$1:$M$5,5,TRUE),0),
IF($C91="WS SF",VLOOKUP("GOAL",'2) หลักการคำนวน Table'!$D$32:$M$32,HLOOKUP(AH91,'2) หลักการคำนวน Table'!$D$1:$M$5,5,TRUE),0),
IF($C91="WS WH",VLOOKUP("GOAL",'2) หลักการคำนวน Table'!$D$62:$M$62,HLOOKUP(AH91,'2) หลักการคำนวน Table'!$D$1:$M$5,5,TRUE),0),
IF($C91="SF WH",VLOOKUP("GOAL",'2) หลักการคำนวน Table'!$D$92:$M$92,HLOOKUP(AH91,'2) หลักการคำนวน Table'!$D$1:$M$5,5,TRUE),0))))),0)</f>
        <v>0.9</v>
      </c>
      <c r="AU91" s="232">
        <f>IFERROR(IF($C91="Top WS",VLOOKUP("GOAL",'2) หลักการคำนวน Table'!$D$4:$M$4,HLOOKUP(AI91,'2) หลักการคำนวน Table'!$D$1:$M$5,5,TRUE),0),
IF($C91="WS SF",VLOOKUP("GOAL",'2) หลักการคำนวน Table'!$D$32:$M$32,HLOOKUP(AI91,'2) หลักการคำนวน Table'!$D$1:$M$5,5,TRUE),0),
IF($C91="WS WH",VLOOKUP("GOAL",'2) หลักการคำนวน Table'!$D$62:$M$62,HLOOKUP(AI91,'2) หลักการคำนวน Table'!$D$1:$M$5,5,TRUE),0),
IF($C91="SF WH",VLOOKUP("GOAL",'2) หลักการคำนวน Table'!$D$92:$M$92,HLOOKUP(AI91,'2) หลักการคำนวน Table'!$D$1:$M$5,5,TRUE),0))))),0)</f>
        <v>0.9</v>
      </c>
      <c r="AV91" s="232">
        <f>IFERROR(IF($C91="Top WS",VLOOKUP("GOAL",'2) หลักการคำนวน Table'!$D$4:$M$4,HLOOKUP(AP91,'2) หลักการคำนวน Table'!$D$1:$M$5,5,TRUE),0),
IF($C91="WS SF",VLOOKUP("GOAL",'2) หลักการคำนวน Table'!$D$32:$M$32,HLOOKUP(AP91,'2) หลักการคำนวน Table'!$D$1:$M$5,5,TRUE),0),
IF($C91="WS WH",VLOOKUP("GOAL",'2) หลักการคำนวน Table'!$D$62:$M$62,HLOOKUP(AP91,'2) หลักการคำนวน Table'!$D$1:$M$5,5,TRUE),0),
IF($C91="SF WH",VLOOKUP("GOAL",'2) หลักการคำนวน Table'!$D$92:$M$92,HLOOKUP(AP91,'2) หลักการคำนวน Table'!$D$1:$M$5,5,TRUE),0))))),0)</f>
        <v>0.9</v>
      </c>
      <c r="AW91" s="232">
        <f>IFERROR(IF($C91="Top WS",VLOOKUP("GOAL",'2) หลักการคำนวน Table'!$D$4:$M$4,HLOOKUP(AK91,'2) หลักการคำนวน Table'!$D$1:$M$5,5,TRUE),0),
IF($C91="WS SF",VLOOKUP("GOAL",'2) หลักการคำนวน Table'!$D$32:$M$32,HLOOKUP(AK91,'2) หลักการคำนวน Table'!$D$1:$M$5,5,TRUE),0),
IF($C91="WS WH",VLOOKUP("GOAL",'2) หลักการคำนวน Table'!$D$62:$M$62,HLOOKUP(AK91,'2) หลักการคำนวน Table'!$D$1:$M$5,5,TRUE),0),
IF($C91="SF WH",VLOOKUP("GOAL",'2) หลักการคำนวน Table'!$D$92:$M$92,HLOOKUP(AK91,'2) หลักการคำนวน Table'!$D$1:$M$5,5,TRUE),0))))),0)</f>
        <v>0.9</v>
      </c>
      <c r="AX91" s="232">
        <f>IFERROR(IF($C91="Top WS",VLOOKUP("GOAL",'2) หลักการคำนวน Table'!$D$4:$M$4,HLOOKUP(AL91,'2) หลักการคำนวน Table'!$D$1:$M$5,5,TRUE),0),
IF($C91="WS SF",VLOOKUP("GOAL",'2) หลักการคำนวน Table'!$D$32:$M$32,HLOOKUP(AL91,'2) หลักการคำนวน Table'!$D$1:$M$5,5,TRUE),0),
IF($C91="WS WH",VLOOKUP("GOAL",'2) หลักการคำนวน Table'!$D$62:$M$62,HLOOKUP(AL91,'2) หลักการคำนวน Table'!$D$1:$M$5,5,TRUE),0),
IF($C91="SF WH",VLOOKUP("GOAL",'2) หลักการคำนวน Table'!$D$92:$M$92,HLOOKUP(AL91,'2) หลักการคำนวน Table'!$D$1:$M$5,5,TRUE),0))))),0)</f>
        <v>0.9</v>
      </c>
      <c r="AY91" s="232">
        <f>IFERROR(IF($C91="Top WS",VLOOKUP("GOAL",'2) หลักการคำนวน Table'!$D$4:$M$4,HLOOKUP(AM91,'2) หลักการคำนวน Table'!$D$1:$M$5,5,TRUE),0),
IF($C91="WS SF",VLOOKUP("GOAL",'2) หลักการคำนวน Table'!$D$32:$M$32,HLOOKUP(AM91,'2) หลักการคำนวน Table'!$D$1:$M$5,5,TRUE),0),
IF($C91="WS WH",VLOOKUP("GOAL",'2) หลักการคำนวน Table'!$D$62:$M$62,HLOOKUP(AM91,'2) หลักการคำนวน Table'!$D$1:$M$5,5,TRUE),0),
IF($C91="SF WH",VLOOKUP("GOAL",'2) หลักการคำนวน Table'!$D$92:$M$92,HLOOKUP(AM91,'2) หลักการคำนวน Table'!$D$1:$M$5,5,TRUE),0))))),0)</f>
        <v>0.9</v>
      </c>
      <c r="AZ91" s="167">
        <f>IFERROR(IF($C91="Top WS",VLOOKUP($B91,'2) หลักการคำนวน Table'!$D$5:$M$20,HLOOKUP(AB91,'2) หลักการคำนวน Table'!$D$1:$M$5,5,TRUE),0),
IF($C91="WS SF",VLOOKUP($B91,'2) หลักการคำนวน Table'!$D$33:$M$48,HLOOKUP(AB91,'2) หลักการคำนวน Table'!$D$1:$M$5,5,TRUE),0),
IF($C91="WS WH",VLOOKUP($B91,'2) หลักการคำนวน Table'!$D$63:$M$78,HLOOKUP(AB91,'2) หลักการคำนวน Table'!$D$1:$M$5,5,TRUE),0),
IF($C91="SF WH",VLOOKUP($B91,'2) หลักการคำนวน Table'!$D$93:$M$108,HLOOKUP(AB91,'2) หลักการคำนวน Table'!$D$1:$M$5,5,TRUE),0))))),0)</f>
        <v>175</v>
      </c>
      <c r="BA91" s="167">
        <f>IFERROR(IF($C91="Top WS",VLOOKUP($B91,'2) หลักการคำนวน Table'!$D$5:$M$20,HLOOKUP(AC91,'2) หลักการคำนวน Table'!$D$1:$M$5,5,TRUE),0),
IF($C91="WS SF",VLOOKUP($B91,'2) หลักการคำนวน Table'!$D$33:$M$48,HLOOKUP(AC91,'2) หลักการคำนวน Table'!$D$1:$M$5,5,TRUE),0),
IF($C91="WS WH",VLOOKUP($B91,'2) หลักการคำนวน Table'!$D$63:$M$78,HLOOKUP(AC91,'2) หลักการคำนวน Table'!$D$1:$M$5,5,TRUE),0),
IF($C91="SF WH",VLOOKUP($B91,'2) หลักการคำนวน Table'!$D$93:$M$108,HLOOKUP(AC91,'2) หลักการคำนวน Table'!$D$1:$M$5,5,TRUE),0))))),0)</f>
        <v>227.5</v>
      </c>
      <c r="BB91" s="167">
        <f>IFERROR(IF($C91="Top WS",VLOOKUP($B91,'2) หลักการคำนวน Table'!$D$5:$M$20,HLOOKUP(AD91,'2) หลักการคำนวน Table'!$D$1:$M$5,5,TRUE),0),
IF($C91="WS SF",VLOOKUP($B91,'2) หลักการคำนวน Table'!$D$33:$M$48,HLOOKUP(AD91,'2) หลักการคำนวน Table'!$D$1:$M$5,5,TRUE),0),
IF($C91="WS WH",VLOOKUP($B91,'2) หลักการคำนวน Table'!$D$63:$M$78,HLOOKUP(AD91,'2) หลักการคำนวน Table'!$D$1:$M$5,5,TRUE),0),
IF($C91="SF WH",VLOOKUP($B91,'2) หลักการคำนวน Table'!$D$93:$M$108,HLOOKUP(AD91,'2) หลักการคำนวน Table'!$D$1:$M$5,5,TRUE),0))))),0)</f>
        <v>157.5</v>
      </c>
      <c r="BC91" s="167">
        <f>IFERROR(IF($C91="Top WS",VLOOKUP($B91,'2) หลักการคำนวน Table'!$D$5:$M$20,HLOOKUP(AE91,'2) หลักการคำนวน Table'!$D$1:$M$5,5,TRUE),0),
IF($C91="WS SF",VLOOKUP($B91,'2) หลักการคำนวน Table'!$D$33:$M$48,HLOOKUP(AE91,'2) หลักการคำนวน Table'!$D$1:$M$5,5,TRUE),0),
IF($C91="WS WH",VLOOKUP($B91,'2) หลักการคำนวน Table'!$D$63:$M$78,HLOOKUP(AE91,'2) หลักการคำนวน Table'!$D$1:$M$5,5,TRUE),0),
IF($C91="SF WH",VLOOKUP($B91,'2) หลักการคำนวน Table'!$D$93:$M$108,HLOOKUP(AE91,'2) หลักการคำนวน Table'!$D$1:$M$5,5,TRUE),0))))),0)</f>
        <v>157.5</v>
      </c>
      <c r="BD91" s="167">
        <f>IFERROR(IF($C91="Top WS",VLOOKUP($B91,'2) หลักการคำนวน Table'!$D$5:$M$20,HLOOKUP(AF91,'2) หลักการคำนวน Table'!$D$1:$M$5,5,TRUE),0),
IF($C91="WS SF",VLOOKUP($B91,'2) หลักการคำนวน Table'!$D$33:$M$48,HLOOKUP(AF91,'2) หลักการคำนวน Table'!$D$1:$M$5,5,TRUE),0),
IF($C91="WS WH",VLOOKUP($B91,'2) หลักการคำนวน Table'!$D$63:$M$78,HLOOKUP(AF91,'2) หลักการคำนวน Table'!$D$1:$M$5,5,TRUE),0),
IF($C91="SF WH",VLOOKUP($B91,'2) หลักการคำนวน Table'!$D$93:$M$108,HLOOKUP(AF91,'2) หลักการคำนวน Table'!$D$1:$M$5,5,TRUE),0))))),0)</f>
        <v>157.5</v>
      </c>
      <c r="BE91" s="167">
        <f>IFERROR(IF($C91="Top WS",VLOOKUP($B91,'2) หลักการคำนวน Table'!$D$5:$M$20,HLOOKUP(AG91,'2) หลักการคำนวน Table'!$D$1:$M$5,5,TRUE),0),
IF($C91="WS SF",VLOOKUP($B91,'2) หลักการคำนวน Table'!$D$33:$M$48,HLOOKUP(AG91,'2) หลักการคำนวน Table'!$D$1:$M$5,5,TRUE),0),
IF($C91="WS WH",VLOOKUP($B91,'2) หลักการคำนวน Table'!$D$63:$M$78,HLOOKUP(AG91,'2) หลักการคำนวน Table'!$D$1:$M$5,5,TRUE),0),
IF($C91="SF WH",VLOOKUP($B91,'2) หลักการคำนวน Table'!$D$93:$M$108,HLOOKUP(AG91,'2) หลักการคำนวน Table'!$D$1:$M$5,5,TRUE),0))))),0)</f>
        <v>157.5</v>
      </c>
      <c r="BF91" s="167">
        <f>IFERROR(IF($C91="Top WS",VLOOKUP($B91,'2) หลักการคำนวน Table'!$D$5:$M$20,HLOOKUP(AH91,'2) หลักการคำนวน Table'!$D$1:$M$5,5,TRUE),0),
IF($C91="WS SF",VLOOKUP($B91,'2) หลักการคำนวน Table'!$D$33:$M$48,HLOOKUP(AH91,'2) หลักการคำนวน Table'!$D$1:$M$5,5,TRUE),0),
IF($C91="WS WH",VLOOKUP($B91,'2) หลักการคำนวน Table'!$D$63:$M$78,HLOOKUP(AH91,'2) หลักการคำนวน Table'!$D$1:$M$5,5,TRUE),0),
IF($C91="SF WH",VLOOKUP($B91,'2) หลักการคำนวน Table'!$D$93:$M$108,HLOOKUP(AH91,'2) หลักการคำนวน Table'!$D$1:$M$5,5,TRUE),0))))),0)</f>
        <v>157.5</v>
      </c>
      <c r="BG91" s="167">
        <f>IFERROR(IF($C91="Top WS",VLOOKUP($B91,'2) หลักการคำนวน Table'!$D$5:$M$20,HLOOKUP(AI91,'2) หลักการคำนวน Table'!$D$1:$M$5,5,TRUE),0),
IF($C91="WS SF",VLOOKUP($B91,'2) หลักการคำนวน Table'!$D$33:$M$48,HLOOKUP(AI91,'2) หลักการคำนวน Table'!$D$1:$M$5,5,TRUE),0),
IF($C91="WS WH",VLOOKUP($B91,'2) หลักการคำนวน Table'!$D$63:$M$78,HLOOKUP(AI91,'2) หลักการคำนวน Table'!$D$1:$M$5,5,TRUE),0),
IF($C91="SF WH",VLOOKUP($B91,'2) หลักการคำนวน Table'!$D$93:$M$108,HLOOKUP(AI91,'2) หลักการคำนวน Table'!$D$1:$M$5,5,TRUE),0))))),0)</f>
        <v>157.5</v>
      </c>
      <c r="BH91" s="167">
        <f>IFERROR(IF($C91="Top WS",VLOOKUP($B91,'2) หลักการคำนวน Table'!$D$5:$M$20,HLOOKUP(AP91,'2) หลักการคำนวน Table'!$D$1:$M$5,5,TRUE),0),
IF($C91="WS SF",VLOOKUP($B91,'2) หลักการคำนวน Table'!$D$33:$M$48,HLOOKUP(AP91,'2) หลักการคำนวน Table'!$D$1:$M$5,5,TRUE),0),
IF($C91="WS WH",VLOOKUP($B91,'2) หลักการคำนวน Table'!$D$63:$M$78,HLOOKUP(AP91,'2) หลักการคำนวน Table'!$D$1:$M$5,5,TRUE),0),
IF($C91="SF WH",VLOOKUP($B91,'2) หลักการคำนวน Table'!$D$93:$M$108,HLOOKUP(AP91,'2) หลักการคำนวน Table'!$D$1:$M$5,5,TRUE),0))))),0)</f>
        <v>157.5</v>
      </c>
      <c r="BI91" s="167">
        <f>IFERROR(IF($C91="Top WS",VLOOKUP($B91,'2) หลักการคำนวน Table'!$D$5:$M$20,HLOOKUP(AK91,'2) หลักการคำนวน Table'!$D$1:$M$5,5,TRUE),0),
IF($C91="WS SF",VLOOKUP($B91,'2) หลักการคำนวน Table'!$D$33:$M$48,HLOOKUP(AK91,'2) หลักการคำนวน Table'!$D$1:$M$5,5,TRUE),0),
IF($C91="WS WH",VLOOKUP($B91,'2) หลักการคำนวน Table'!$D$63:$M$78,HLOOKUP(AK91,'2) หลักการคำนวน Table'!$D$1:$M$5,5,TRUE),0),
IF($C91="SF WH",VLOOKUP($B91,'2) หลักการคำนวน Table'!$D$93:$M$108,HLOOKUP(AK91,'2) หลักการคำนวน Table'!$D$1:$M$5,5,TRUE),0))))),0)</f>
        <v>157.5</v>
      </c>
      <c r="BJ91" s="167">
        <f>IFERROR(IF($C91="Top WS",VLOOKUP($B91,'2) หลักการคำนวน Table'!$D$5:$M$20,HLOOKUP(AL91,'2) หลักการคำนวน Table'!$D$1:$M$5,5,TRUE),0),
IF($C91="WS SF",VLOOKUP($B91,'2) หลักการคำนวน Table'!$D$33:$M$48,HLOOKUP(AL91,'2) หลักการคำนวน Table'!$D$1:$M$5,5,TRUE),0),
IF($C91="WS WH",VLOOKUP($B91,'2) หลักการคำนวน Table'!$D$63:$M$78,HLOOKUP(AL91,'2) หลักการคำนวน Table'!$D$1:$M$5,5,TRUE),0),
IF($C91="SF WH",VLOOKUP($B91,'2) หลักการคำนวน Table'!$D$93:$M$108,HLOOKUP(AL91,'2) หลักการคำนวน Table'!$D$1:$M$5,5,TRUE),0))))),0)</f>
        <v>157.5</v>
      </c>
      <c r="BK91" s="167">
        <f>IFERROR(IF($C91="Top WS",VLOOKUP($B91,'2) หลักการคำนวน Table'!$D$5:$M$20,HLOOKUP(AM91,'2) หลักการคำนวน Table'!$D$1:$M$5,5,TRUE),0),
IF($C91="WS SF",VLOOKUP($B91,'2) หลักการคำนวน Table'!$D$33:$M$48,HLOOKUP(AM91,'2) หลักการคำนวน Table'!$D$1:$M$5,5,TRUE),0),
IF($C91="WS WH",VLOOKUP($B91,'2) หลักการคำนวน Table'!$D$63:$M$78,HLOOKUP(AM91,'2) หลักการคำนวน Table'!$D$1:$M$5,5,TRUE),0),
IF($C91="SF WH",VLOOKUP($B91,'2) หลักการคำนวน Table'!$D$93:$M$108,HLOOKUP(AM91,'2) หลักการคำนวน Table'!$D$1:$M$5,5,TRUE),0))))),0)</f>
        <v>157.5</v>
      </c>
      <c r="BM91" s="119">
        <f>VLOOKUP(VLOOKUP(A91,ASTBase!E:S,13,FALSE),ASTBase!F:P,11,FALSE)</f>
        <v>110000</v>
      </c>
      <c r="BN91" s="196" cm="1">
        <f t="array" ref="BN91">INDEX(AN91:AY91,,Period!$D$2)</f>
        <v>1.3</v>
      </c>
    </row>
    <row r="92" spans="1:66" x14ac:dyDescent="0.25">
      <c r="A92" s="388">
        <v>110002</v>
      </c>
      <c r="B92" s="388" t="s">
        <v>389</v>
      </c>
      <c r="C92" s="388" t="s">
        <v>179</v>
      </c>
      <c r="D92" s="118">
        <v>3714</v>
      </c>
      <c r="E92" s="118">
        <v>3503</v>
      </c>
      <c r="F92" s="118">
        <v>4050</v>
      </c>
      <c r="G92" s="118">
        <v>3324</v>
      </c>
      <c r="H92" s="118">
        <v>2780</v>
      </c>
      <c r="I92" s="118">
        <v>3525</v>
      </c>
      <c r="J92" s="118">
        <v>3237</v>
      </c>
      <c r="K92" s="118">
        <v>3679</v>
      </c>
      <c r="L92" s="118">
        <v>3688</v>
      </c>
      <c r="M92" s="118">
        <v>4106</v>
      </c>
      <c r="N92" s="118">
        <v>3324</v>
      </c>
      <c r="O92" s="118">
        <v>3317</v>
      </c>
      <c r="P92" s="117">
        <f>SUMIFS(Actual!C:C,Actual!$A:$A,'3)Target &amp; Cal'!$A92,Actual!$B:$B,'3)Target &amp; Cal'!$B92)</f>
        <v>4758.0999999999985</v>
      </c>
      <c r="Q92" s="117">
        <f>SUMIFS(Actual!D:D,Actual!$A:$A,'3)Target &amp; Cal'!$A92,Actual!$B:$B,'3)Target &amp; Cal'!$B92)</f>
        <v>5558.5999999999995</v>
      </c>
      <c r="R92" s="117">
        <f>SUMIFS(Actual!E:E,Actual!$A:$A,'3)Target &amp; Cal'!$A92,Actual!$B:$B,'3)Target &amp; Cal'!$B92)</f>
        <v>0</v>
      </c>
      <c r="S92" s="117">
        <f>SUMIFS(Actual!F:F,Actual!$A:$A,'3)Target &amp; Cal'!$A92,Actual!$B:$B,'3)Target &amp; Cal'!$B92)</f>
        <v>0</v>
      </c>
      <c r="T92" s="117">
        <f>SUMIFS(Actual!G:G,Actual!$A:$A,'3)Target &amp; Cal'!$A92,Actual!$B:$B,'3)Target &amp; Cal'!$B92)</f>
        <v>0</v>
      </c>
      <c r="U92" s="117">
        <f>SUMIFS(Actual!H:H,Actual!$A:$A,'3)Target &amp; Cal'!$A92,Actual!$B:$B,'3)Target &amp; Cal'!$B92)</f>
        <v>0</v>
      </c>
      <c r="V92" s="117">
        <f>SUMIFS(Actual!I:I,Actual!$A:$A,'3)Target &amp; Cal'!$A92,Actual!$B:$B,'3)Target &amp; Cal'!$B92)</f>
        <v>0</v>
      </c>
      <c r="W92" s="117">
        <f>SUMIFS(Actual!J:J,Actual!$A:$A,'3)Target &amp; Cal'!$A92,Actual!$B:$B,'3)Target &amp; Cal'!$B92)</f>
        <v>0</v>
      </c>
      <c r="X92" s="117">
        <f>SUMIFS(Actual!K:K,Actual!$A:$A,'3)Target &amp; Cal'!$A92,Actual!$B:$B,'3)Target &amp; Cal'!$B92)</f>
        <v>0</v>
      </c>
      <c r="Y92" s="117">
        <f>SUMIFS(Actual!L:L,Actual!$A:$A,'3)Target &amp; Cal'!$A92,Actual!$B:$B,'3)Target &amp; Cal'!$B92)</f>
        <v>0</v>
      </c>
      <c r="Z92" s="117">
        <f>SUMIFS(Actual!M:M,Actual!$A:$A,'3)Target &amp; Cal'!$A92,Actual!$B:$B,'3)Target &amp; Cal'!$B92)</f>
        <v>0</v>
      </c>
      <c r="AA92" s="117">
        <f>SUMIFS(Actual!N:N,Actual!$A:$A,'3)Target &amp; Cal'!$A92,Actual!$B:$B,'3)Target &amp; Cal'!$B92)</f>
        <v>0</v>
      </c>
      <c r="AB92" s="123">
        <f>IFERROR(IF(VLOOKUP($B92,Shortage!$A:$M,AB$2,FALSE)="Shortage",1,IFERROR(ROUND(P92/D92,4),0)),IFERROR(ROUND(P92/D92,4),0))</f>
        <v>1</v>
      </c>
      <c r="AC92" s="123">
        <f>IFERROR(IF(VLOOKUP($B92,Shortage!$A:$M,AC$2,FALSE)="Shortage",1,IFERROR(ROUND(Q92/E92,4),0)),IFERROR(ROUND(Q92/E92,4),0))</f>
        <v>1</v>
      </c>
      <c r="AD92" s="123">
        <f>IFERROR(IF(VLOOKUP($B92,Shortage!$A:$M,AD$2,FALSE)="Shortage",1,IFERROR(ROUND(R92/F92,4),0)),IFERROR(ROUND(R92/F92,4),0))</f>
        <v>0</v>
      </c>
      <c r="AE92" s="123">
        <f>IFERROR(IF(VLOOKUP($B92,Shortage!$A:$M,AE$2,FALSE)="Shortage",1,IFERROR(ROUND(S92/G92,4),0)),IFERROR(ROUND(S92/G92,4),0))</f>
        <v>0</v>
      </c>
      <c r="AF92" s="123">
        <f>IFERROR(IF(VLOOKUP($B92,Shortage!$A:$M,AF$2,FALSE)="Shortage",1,IFERROR(ROUND(T92/H92,4),0)),IFERROR(ROUND(T92/H92,4),0))</f>
        <v>0</v>
      </c>
      <c r="AG92" s="123">
        <f>IFERROR(IF(VLOOKUP($B92,Shortage!$A:$M,AG$2,FALSE)="Shortage",1,IFERROR(ROUND(U92/I92,4),0)),IFERROR(ROUND(U92/I92,4),0))</f>
        <v>0</v>
      </c>
      <c r="AH92" s="123">
        <f>IFERROR(IF(VLOOKUP($B92,Shortage!$A:$M,AH$2,FALSE)="Shortage",1,IFERROR(ROUND(V92/J92,4),0)),IFERROR(ROUND(V92/J92,4),0))</f>
        <v>0</v>
      </c>
      <c r="AI92" s="123">
        <f>IFERROR(IF(VLOOKUP($B92,Shortage!$A:$M,AI$2,FALSE)="Shortage",1,IFERROR(ROUND(W92/K92,4),0)),IFERROR(ROUND(W92/K92,4),0))</f>
        <v>0</v>
      </c>
      <c r="AJ92" s="123">
        <f>IFERROR(IF(VLOOKUP($B92,Shortage!$A:$M,AP$2,FALSE)="Shortage",1,IFERROR(ROUND(X92/L92,4),0)),IFERROR(ROUND(X92/L92,4),0))</f>
        <v>0</v>
      </c>
      <c r="AK92" s="123">
        <f>IFERROR(IF(VLOOKUP($B92,Shortage!$A:$M,AK$2,FALSE)="Shortage",1,IFERROR(ROUND(Y92/M92,4),0)),IFERROR(ROUND(Y92/M92,4),0))</f>
        <v>0</v>
      </c>
      <c r="AL92" s="123">
        <f>IFERROR(IF(VLOOKUP($B92,Shortage!$A:$M,AL$2,FALSE)="Shortage",1,IFERROR(ROUND(Z92/N92,4),0)),IFERROR(ROUND(Z92/N92,4),0))</f>
        <v>0</v>
      </c>
      <c r="AM92" s="123">
        <f>IFERROR(IF(VLOOKUP($B92,Shortage!$A:$M,AM$2,FALSE)="Shortage",1,IFERROR(ROUND(AA92/O92,4),0)),IFERROR(ROUND(AA92/O92,4),0))</f>
        <v>0</v>
      </c>
      <c r="AN92" s="232">
        <f>IFERROR(IF($C92="Top WS",VLOOKUP("GOAL",'2) หลักการคำนวน Table'!$D$4:$M$4,HLOOKUP(AB92,'2) หลักการคำนวน Table'!$D$1:$M$5,5,TRUE),0),
IF($C92="WS SF",VLOOKUP("GOAL",'2) หลักการคำนวน Table'!$D$32:$M$32,HLOOKUP(AB92,'2) หลักการคำนวน Table'!$D$1:$M$5,5,TRUE),0),
IF($C92="WS WH",VLOOKUP("GOAL",'2) หลักการคำนวน Table'!$D$62:$M$62,HLOOKUP(AB92,'2) หลักการคำนวน Table'!$D$1:$M$5,5,TRUE),0),
IF($C92="SF WH",VLOOKUP("GOAL",'2) หลักการคำนวน Table'!$D$92:$M$92,HLOOKUP(AB92,'2) หลักการคำนวน Table'!$D$1:$M$5,5,TRUE),0))))),0)</f>
        <v>1</v>
      </c>
      <c r="AO92" s="232">
        <f>IFERROR(IF($C92="Top WS",VLOOKUP("GOAL",'2) หลักการคำนวน Table'!$D$4:$M$4,HLOOKUP(AC92,'2) หลักการคำนวน Table'!$D$1:$M$5,5,TRUE),0),
IF($C92="WS SF",VLOOKUP("GOAL",'2) หลักการคำนวน Table'!$D$32:$M$32,HLOOKUP(AC92,'2) หลักการคำนวน Table'!$D$1:$M$5,5,TRUE),0),
IF($C92="WS WH",VLOOKUP("GOAL",'2) หลักการคำนวน Table'!$D$62:$M$62,HLOOKUP(AC92,'2) หลักการคำนวน Table'!$D$1:$M$5,5,TRUE),0),
IF($C92="SF WH",VLOOKUP("GOAL",'2) หลักการคำนวน Table'!$D$92:$M$92,HLOOKUP(AC92,'2) หลักการคำนวน Table'!$D$1:$M$5,5,TRUE),0))))),0)</f>
        <v>1</v>
      </c>
      <c r="AP92" s="232">
        <f>IFERROR(IF($C92="Top WS",VLOOKUP("GOAL",'2) หลักการคำนวน Table'!$D$4:$M$4,HLOOKUP(AD92,'2) หลักการคำนวน Table'!$D$1:$M$5,5,TRUE),0),
IF($C92="WS SF",VLOOKUP("GOAL",'2) หลักการคำนวน Table'!$D$32:$M$32,HLOOKUP(AD92,'2) หลักการคำนวน Table'!$D$1:$M$5,5,TRUE),0),
IF($C92="WS WH",VLOOKUP("GOAL",'2) หลักการคำนวน Table'!$D$62:$M$62,HLOOKUP(AD92,'2) หลักการคำนวน Table'!$D$1:$M$5,5,TRUE),0),
IF($C92="SF WH",VLOOKUP("GOAL",'2) หลักการคำนวน Table'!$D$92:$M$92,HLOOKUP(AD92,'2) หลักการคำนวน Table'!$D$1:$M$5,5,TRUE),0))))),0)</f>
        <v>0.9</v>
      </c>
      <c r="AQ92" s="232">
        <f>IFERROR(IF($C92="Top WS",VLOOKUP("GOAL",'2) หลักการคำนวน Table'!$D$4:$M$4,HLOOKUP(AE92,'2) หลักการคำนวน Table'!$D$1:$M$5,5,TRUE),0),
IF($C92="WS SF",VLOOKUP("GOAL",'2) หลักการคำนวน Table'!$D$32:$M$32,HLOOKUP(AE92,'2) หลักการคำนวน Table'!$D$1:$M$5,5,TRUE),0),
IF($C92="WS WH",VLOOKUP("GOAL",'2) หลักการคำนวน Table'!$D$62:$M$62,HLOOKUP(AE92,'2) หลักการคำนวน Table'!$D$1:$M$5,5,TRUE),0),
IF($C92="SF WH",VLOOKUP("GOAL",'2) หลักการคำนวน Table'!$D$92:$M$92,HLOOKUP(AE92,'2) หลักการคำนวน Table'!$D$1:$M$5,5,TRUE),0))))),0)</f>
        <v>0.9</v>
      </c>
      <c r="AR92" s="232">
        <f>IFERROR(IF($C92="Top WS",VLOOKUP("GOAL",'2) หลักการคำนวน Table'!$D$4:$M$4,HLOOKUP(AF92,'2) หลักการคำนวน Table'!$D$1:$M$5,5,TRUE),0),
IF($C92="WS SF",VLOOKUP("GOAL",'2) หลักการคำนวน Table'!$D$32:$M$32,HLOOKUP(AF92,'2) หลักการคำนวน Table'!$D$1:$M$5,5,TRUE),0),
IF($C92="WS WH",VLOOKUP("GOAL",'2) หลักการคำนวน Table'!$D$62:$M$62,HLOOKUP(AF92,'2) หลักการคำนวน Table'!$D$1:$M$5,5,TRUE),0),
IF($C92="SF WH",VLOOKUP("GOAL",'2) หลักการคำนวน Table'!$D$92:$M$92,HLOOKUP(AF92,'2) หลักการคำนวน Table'!$D$1:$M$5,5,TRUE),0))))),0)</f>
        <v>0.9</v>
      </c>
      <c r="AS92" s="232">
        <f>IFERROR(IF($C92="Top WS",VLOOKUP("GOAL",'2) หลักการคำนวน Table'!$D$4:$M$4,HLOOKUP(AG92,'2) หลักการคำนวน Table'!$D$1:$M$5,5,TRUE),0),
IF($C92="WS SF",VLOOKUP("GOAL",'2) หลักการคำนวน Table'!$D$32:$M$32,HLOOKUP(AG92,'2) หลักการคำนวน Table'!$D$1:$M$5,5,TRUE),0),
IF($C92="WS WH",VLOOKUP("GOAL",'2) หลักการคำนวน Table'!$D$62:$M$62,HLOOKUP(AG92,'2) หลักการคำนวน Table'!$D$1:$M$5,5,TRUE),0),
IF($C92="SF WH",VLOOKUP("GOAL",'2) หลักการคำนวน Table'!$D$92:$M$92,HLOOKUP(AG92,'2) หลักการคำนวน Table'!$D$1:$M$5,5,TRUE),0))))),0)</f>
        <v>0.9</v>
      </c>
      <c r="AT92" s="232">
        <f>IFERROR(IF($C92="Top WS",VLOOKUP("GOAL",'2) หลักการคำนวน Table'!$D$4:$M$4,HLOOKUP(AH92,'2) หลักการคำนวน Table'!$D$1:$M$5,5,TRUE),0),
IF($C92="WS SF",VLOOKUP("GOAL",'2) หลักการคำนวน Table'!$D$32:$M$32,HLOOKUP(AH92,'2) หลักการคำนวน Table'!$D$1:$M$5,5,TRUE),0),
IF($C92="WS WH",VLOOKUP("GOAL",'2) หลักการคำนวน Table'!$D$62:$M$62,HLOOKUP(AH92,'2) หลักการคำนวน Table'!$D$1:$M$5,5,TRUE),0),
IF($C92="SF WH",VLOOKUP("GOAL",'2) หลักการคำนวน Table'!$D$92:$M$92,HLOOKUP(AH92,'2) หลักการคำนวน Table'!$D$1:$M$5,5,TRUE),0))))),0)</f>
        <v>0.9</v>
      </c>
      <c r="AU92" s="232">
        <f>IFERROR(IF($C92="Top WS",VLOOKUP("GOAL",'2) หลักการคำนวน Table'!$D$4:$M$4,HLOOKUP(AI92,'2) หลักการคำนวน Table'!$D$1:$M$5,5,TRUE),0),
IF($C92="WS SF",VLOOKUP("GOAL",'2) หลักการคำนวน Table'!$D$32:$M$32,HLOOKUP(AI92,'2) หลักการคำนวน Table'!$D$1:$M$5,5,TRUE),0),
IF($C92="WS WH",VLOOKUP("GOAL",'2) หลักการคำนวน Table'!$D$62:$M$62,HLOOKUP(AI92,'2) หลักการคำนวน Table'!$D$1:$M$5,5,TRUE),0),
IF($C92="SF WH",VLOOKUP("GOAL",'2) หลักการคำนวน Table'!$D$92:$M$92,HLOOKUP(AI92,'2) หลักการคำนวน Table'!$D$1:$M$5,5,TRUE),0))))),0)</f>
        <v>0.9</v>
      </c>
      <c r="AV92" s="232">
        <f>IFERROR(IF($C92="Top WS",VLOOKUP("GOAL",'2) หลักการคำนวน Table'!$D$4:$M$4,HLOOKUP(AP92,'2) หลักการคำนวน Table'!$D$1:$M$5,5,TRUE),0),
IF($C92="WS SF",VLOOKUP("GOAL",'2) หลักการคำนวน Table'!$D$32:$M$32,HLOOKUP(AP92,'2) หลักการคำนวน Table'!$D$1:$M$5,5,TRUE),0),
IF($C92="WS WH",VLOOKUP("GOAL",'2) หลักการคำนวน Table'!$D$62:$M$62,HLOOKUP(AP92,'2) หลักการคำนวน Table'!$D$1:$M$5,5,TRUE),0),
IF($C92="SF WH",VLOOKUP("GOAL",'2) หลักการคำนวน Table'!$D$92:$M$92,HLOOKUP(AP92,'2) หลักการคำนวน Table'!$D$1:$M$5,5,TRUE),0))))),0)</f>
        <v>0.9</v>
      </c>
      <c r="AW92" s="232">
        <f>IFERROR(IF($C92="Top WS",VLOOKUP("GOAL",'2) หลักการคำนวน Table'!$D$4:$M$4,HLOOKUP(AK92,'2) หลักการคำนวน Table'!$D$1:$M$5,5,TRUE),0),
IF($C92="WS SF",VLOOKUP("GOAL",'2) หลักการคำนวน Table'!$D$32:$M$32,HLOOKUP(AK92,'2) หลักการคำนวน Table'!$D$1:$M$5,5,TRUE),0),
IF($C92="WS WH",VLOOKUP("GOAL",'2) หลักการคำนวน Table'!$D$62:$M$62,HLOOKUP(AK92,'2) หลักการคำนวน Table'!$D$1:$M$5,5,TRUE),0),
IF($C92="SF WH",VLOOKUP("GOAL",'2) หลักการคำนวน Table'!$D$92:$M$92,HLOOKUP(AK92,'2) หลักการคำนวน Table'!$D$1:$M$5,5,TRUE),0))))),0)</f>
        <v>0.9</v>
      </c>
      <c r="AX92" s="232">
        <f>IFERROR(IF($C92="Top WS",VLOOKUP("GOAL",'2) หลักการคำนวน Table'!$D$4:$M$4,HLOOKUP(AL92,'2) หลักการคำนวน Table'!$D$1:$M$5,5,TRUE),0),
IF($C92="WS SF",VLOOKUP("GOAL",'2) หลักการคำนวน Table'!$D$32:$M$32,HLOOKUP(AL92,'2) หลักการคำนวน Table'!$D$1:$M$5,5,TRUE),0),
IF($C92="WS WH",VLOOKUP("GOAL",'2) หลักการคำนวน Table'!$D$62:$M$62,HLOOKUP(AL92,'2) หลักการคำนวน Table'!$D$1:$M$5,5,TRUE),0),
IF($C92="SF WH",VLOOKUP("GOAL",'2) หลักการคำนวน Table'!$D$92:$M$92,HLOOKUP(AL92,'2) หลักการคำนวน Table'!$D$1:$M$5,5,TRUE),0))))),0)</f>
        <v>0.9</v>
      </c>
      <c r="AY92" s="232">
        <f>IFERROR(IF($C92="Top WS",VLOOKUP("GOAL",'2) หลักการคำนวน Table'!$D$4:$M$4,HLOOKUP(AM92,'2) หลักการคำนวน Table'!$D$1:$M$5,5,TRUE),0),
IF($C92="WS SF",VLOOKUP("GOAL",'2) หลักการคำนวน Table'!$D$32:$M$32,HLOOKUP(AM92,'2) หลักการคำนวน Table'!$D$1:$M$5,5,TRUE),0),
IF($C92="WS WH",VLOOKUP("GOAL",'2) หลักการคำนวน Table'!$D$62:$M$62,HLOOKUP(AM92,'2) หลักการคำนวน Table'!$D$1:$M$5,5,TRUE),0),
IF($C92="SF WH",VLOOKUP("GOAL",'2) หลักการคำนวน Table'!$D$92:$M$92,HLOOKUP(AM92,'2) หลักการคำนวน Table'!$D$1:$M$5,5,TRUE),0))))),0)</f>
        <v>0.9</v>
      </c>
      <c r="AZ92" s="167">
        <f>IFERROR(IF($C92="Top WS",VLOOKUP($B92,'2) หลักการคำนวน Table'!$D$5:$M$20,HLOOKUP(AB92,'2) หลักการคำนวน Table'!$D$1:$M$5,5,TRUE),0),
IF($C92="WS SF",VLOOKUP($B92,'2) หลักการคำนวน Table'!$D$33:$M$48,HLOOKUP(AB92,'2) หลักการคำนวน Table'!$D$1:$M$5,5,TRUE),0),
IF($C92="WS WH",VLOOKUP($B92,'2) หลักการคำนวน Table'!$D$63:$M$78,HLOOKUP(AB92,'2) หลักการคำนวน Table'!$D$1:$M$5,5,TRUE),0),
IF($C92="SF WH",VLOOKUP($B92,'2) หลักการคำนวน Table'!$D$93:$M$108,HLOOKUP(AB92,'2) หลักการคำนวน Table'!$D$1:$M$5,5,TRUE),0))))),0)</f>
        <v>350</v>
      </c>
      <c r="BA92" s="167">
        <f>IFERROR(IF($C92="Top WS",VLOOKUP($B92,'2) หลักการคำนวน Table'!$D$5:$M$20,HLOOKUP(AC92,'2) หลักการคำนวน Table'!$D$1:$M$5,5,TRUE),0),
IF($C92="WS SF",VLOOKUP($B92,'2) หลักการคำนวน Table'!$D$33:$M$48,HLOOKUP(AC92,'2) หลักการคำนวน Table'!$D$1:$M$5,5,TRUE),0),
IF($C92="WS WH",VLOOKUP($B92,'2) หลักการคำนวน Table'!$D$63:$M$78,HLOOKUP(AC92,'2) หลักการคำนวน Table'!$D$1:$M$5,5,TRUE),0),
IF($C92="SF WH",VLOOKUP($B92,'2) หลักการคำนวน Table'!$D$93:$M$108,HLOOKUP(AC92,'2) หลักการคำนวน Table'!$D$1:$M$5,5,TRUE),0))))),0)</f>
        <v>350</v>
      </c>
      <c r="BB92" s="167">
        <f>IFERROR(IF($C92="Top WS",VLOOKUP($B92,'2) หลักการคำนวน Table'!$D$5:$M$20,HLOOKUP(AD92,'2) หลักการคำนวน Table'!$D$1:$M$5,5,TRUE),0),
IF($C92="WS SF",VLOOKUP($B92,'2) หลักการคำนวน Table'!$D$33:$M$48,HLOOKUP(AD92,'2) หลักการคำนวน Table'!$D$1:$M$5,5,TRUE),0),
IF($C92="WS WH",VLOOKUP($B92,'2) หลักการคำนวน Table'!$D$63:$M$78,HLOOKUP(AD92,'2) หลักการคำนวน Table'!$D$1:$M$5,5,TRUE),0),
IF($C92="SF WH",VLOOKUP($B92,'2) หลักการคำนวน Table'!$D$93:$M$108,HLOOKUP(AD92,'2) หลักการคำนวน Table'!$D$1:$M$5,5,TRUE),0))))),0)</f>
        <v>315</v>
      </c>
      <c r="BC92" s="167">
        <f>IFERROR(IF($C92="Top WS",VLOOKUP($B92,'2) หลักการคำนวน Table'!$D$5:$M$20,HLOOKUP(AE92,'2) หลักการคำนวน Table'!$D$1:$M$5,5,TRUE),0),
IF($C92="WS SF",VLOOKUP($B92,'2) หลักการคำนวน Table'!$D$33:$M$48,HLOOKUP(AE92,'2) หลักการคำนวน Table'!$D$1:$M$5,5,TRUE),0),
IF($C92="WS WH",VLOOKUP($B92,'2) หลักการคำนวน Table'!$D$63:$M$78,HLOOKUP(AE92,'2) หลักการคำนวน Table'!$D$1:$M$5,5,TRUE),0),
IF($C92="SF WH",VLOOKUP($B92,'2) หลักการคำนวน Table'!$D$93:$M$108,HLOOKUP(AE92,'2) หลักการคำนวน Table'!$D$1:$M$5,5,TRUE),0))))),0)</f>
        <v>315</v>
      </c>
      <c r="BD92" s="167">
        <f>IFERROR(IF($C92="Top WS",VLOOKUP($B92,'2) หลักการคำนวน Table'!$D$5:$M$20,HLOOKUP(AF92,'2) หลักการคำนวน Table'!$D$1:$M$5,5,TRUE),0),
IF($C92="WS SF",VLOOKUP($B92,'2) หลักการคำนวน Table'!$D$33:$M$48,HLOOKUP(AF92,'2) หลักการคำนวน Table'!$D$1:$M$5,5,TRUE),0),
IF($C92="WS WH",VLOOKUP($B92,'2) หลักการคำนวน Table'!$D$63:$M$78,HLOOKUP(AF92,'2) หลักการคำนวน Table'!$D$1:$M$5,5,TRUE),0),
IF($C92="SF WH",VLOOKUP($B92,'2) หลักการคำนวน Table'!$D$93:$M$108,HLOOKUP(AF92,'2) หลักการคำนวน Table'!$D$1:$M$5,5,TRUE),0))))),0)</f>
        <v>315</v>
      </c>
      <c r="BE92" s="167">
        <f>IFERROR(IF($C92="Top WS",VLOOKUP($B92,'2) หลักการคำนวน Table'!$D$5:$M$20,HLOOKUP(AG92,'2) หลักการคำนวน Table'!$D$1:$M$5,5,TRUE),0),
IF($C92="WS SF",VLOOKUP($B92,'2) หลักการคำนวน Table'!$D$33:$M$48,HLOOKUP(AG92,'2) หลักการคำนวน Table'!$D$1:$M$5,5,TRUE),0),
IF($C92="WS WH",VLOOKUP($B92,'2) หลักการคำนวน Table'!$D$63:$M$78,HLOOKUP(AG92,'2) หลักการคำนวน Table'!$D$1:$M$5,5,TRUE),0),
IF($C92="SF WH",VLOOKUP($B92,'2) หลักการคำนวน Table'!$D$93:$M$108,HLOOKUP(AG92,'2) หลักการคำนวน Table'!$D$1:$M$5,5,TRUE),0))))),0)</f>
        <v>315</v>
      </c>
      <c r="BF92" s="167">
        <f>IFERROR(IF($C92="Top WS",VLOOKUP($B92,'2) หลักการคำนวน Table'!$D$5:$M$20,HLOOKUP(AH92,'2) หลักการคำนวน Table'!$D$1:$M$5,5,TRUE),0),
IF($C92="WS SF",VLOOKUP($B92,'2) หลักการคำนวน Table'!$D$33:$M$48,HLOOKUP(AH92,'2) หลักการคำนวน Table'!$D$1:$M$5,5,TRUE),0),
IF($C92="WS WH",VLOOKUP($B92,'2) หลักการคำนวน Table'!$D$63:$M$78,HLOOKUP(AH92,'2) หลักการคำนวน Table'!$D$1:$M$5,5,TRUE),0),
IF($C92="SF WH",VLOOKUP($B92,'2) หลักการคำนวน Table'!$D$93:$M$108,HLOOKUP(AH92,'2) หลักการคำนวน Table'!$D$1:$M$5,5,TRUE),0))))),0)</f>
        <v>315</v>
      </c>
      <c r="BG92" s="167">
        <f>IFERROR(IF($C92="Top WS",VLOOKUP($B92,'2) หลักการคำนวน Table'!$D$5:$M$20,HLOOKUP(AI92,'2) หลักการคำนวน Table'!$D$1:$M$5,5,TRUE),0),
IF($C92="WS SF",VLOOKUP($B92,'2) หลักการคำนวน Table'!$D$33:$M$48,HLOOKUP(AI92,'2) หลักการคำนวน Table'!$D$1:$M$5,5,TRUE),0),
IF($C92="WS WH",VLOOKUP($B92,'2) หลักการคำนวน Table'!$D$63:$M$78,HLOOKUP(AI92,'2) หลักการคำนวน Table'!$D$1:$M$5,5,TRUE),0),
IF($C92="SF WH",VLOOKUP($B92,'2) หลักการคำนวน Table'!$D$93:$M$108,HLOOKUP(AI92,'2) หลักการคำนวน Table'!$D$1:$M$5,5,TRUE),0))))),0)</f>
        <v>315</v>
      </c>
      <c r="BH92" s="167">
        <f>IFERROR(IF($C92="Top WS",VLOOKUP($B92,'2) หลักการคำนวน Table'!$D$5:$M$20,HLOOKUP(AP92,'2) หลักการคำนวน Table'!$D$1:$M$5,5,TRUE),0),
IF($C92="WS SF",VLOOKUP($B92,'2) หลักการคำนวน Table'!$D$33:$M$48,HLOOKUP(AP92,'2) หลักการคำนวน Table'!$D$1:$M$5,5,TRUE),0),
IF($C92="WS WH",VLOOKUP($B92,'2) หลักการคำนวน Table'!$D$63:$M$78,HLOOKUP(AP92,'2) หลักการคำนวน Table'!$D$1:$M$5,5,TRUE),0),
IF($C92="SF WH",VLOOKUP($B92,'2) หลักการคำนวน Table'!$D$93:$M$108,HLOOKUP(AP92,'2) หลักการคำนวน Table'!$D$1:$M$5,5,TRUE),0))))),0)</f>
        <v>315</v>
      </c>
      <c r="BI92" s="167">
        <f>IFERROR(IF($C92="Top WS",VLOOKUP($B92,'2) หลักการคำนวน Table'!$D$5:$M$20,HLOOKUP(AK92,'2) หลักการคำนวน Table'!$D$1:$M$5,5,TRUE),0),
IF($C92="WS SF",VLOOKUP($B92,'2) หลักการคำนวน Table'!$D$33:$M$48,HLOOKUP(AK92,'2) หลักการคำนวน Table'!$D$1:$M$5,5,TRUE),0),
IF($C92="WS WH",VLOOKUP($B92,'2) หลักการคำนวน Table'!$D$63:$M$78,HLOOKUP(AK92,'2) หลักการคำนวน Table'!$D$1:$M$5,5,TRUE),0),
IF($C92="SF WH",VLOOKUP($B92,'2) หลักการคำนวน Table'!$D$93:$M$108,HLOOKUP(AK92,'2) หลักการคำนวน Table'!$D$1:$M$5,5,TRUE),0))))),0)</f>
        <v>315</v>
      </c>
      <c r="BJ92" s="167">
        <f>IFERROR(IF($C92="Top WS",VLOOKUP($B92,'2) หลักการคำนวน Table'!$D$5:$M$20,HLOOKUP(AL92,'2) หลักการคำนวน Table'!$D$1:$M$5,5,TRUE),0),
IF($C92="WS SF",VLOOKUP($B92,'2) หลักการคำนวน Table'!$D$33:$M$48,HLOOKUP(AL92,'2) หลักการคำนวน Table'!$D$1:$M$5,5,TRUE),0),
IF($C92="WS WH",VLOOKUP($B92,'2) หลักการคำนวน Table'!$D$63:$M$78,HLOOKUP(AL92,'2) หลักการคำนวน Table'!$D$1:$M$5,5,TRUE),0),
IF($C92="SF WH",VLOOKUP($B92,'2) หลักการคำนวน Table'!$D$93:$M$108,HLOOKUP(AL92,'2) หลักการคำนวน Table'!$D$1:$M$5,5,TRUE),0))))),0)</f>
        <v>315</v>
      </c>
      <c r="BK92" s="167">
        <f>IFERROR(IF($C92="Top WS",VLOOKUP($B92,'2) หลักการคำนวน Table'!$D$5:$M$20,HLOOKUP(AM92,'2) หลักการคำนวน Table'!$D$1:$M$5,5,TRUE),0),
IF($C92="WS SF",VLOOKUP($B92,'2) หลักการคำนวน Table'!$D$33:$M$48,HLOOKUP(AM92,'2) หลักการคำนวน Table'!$D$1:$M$5,5,TRUE),0),
IF($C92="WS WH",VLOOKUP($B92,'2) หลักการคำนวน Table'!$D$63:$M$78,HLOOKUP(AM92,'2) หลักการคำนวน Table'!$D$1:$M$5,5,TRUE),0),
IF($C92="SF WH",VLOOKUP($B92,'2) หลักการคำนวน Table'!$D$93:$M$108,HLOOKUP(AM92,'2) หลักการคำนวน Table'!$D$1:$M$5,5,TRUE),0))))),0)</f>
        <v>315</v>
      </c>
      <c r="BM92" s="119">
        <f>VLOOKUP(VLOOKUP(A92,ASTBase!E:S,13,FALSE),ASTBase!F:P,11,FALSE)</f>
        <v>110000</v>
      </c>
      <c r="BN92" s="196" cm="1">
        <f t="array" ref="BN92">INDEX(AN92:AY92,,Period!$D$2)</f>
        <v>1</v>
      </c>
    </row>
    <row r="93" spans="1:66" x14ac:dyDescent="0.25">
      <c r="A93" s="388">
        <v>110002</v>
      </c>
      <c r="B93" s="388" t="s">
        <v>390</v>
      </c>
      <c r="C93" s="388" t="s">
        <v>179</v>
      </c>
      <c r="D93" s="118">
        <v>640</v>
      </c>
      <c r="E93" s="118">
        <v>359</v>
      </c>
      <c r="F93" s="118">
        <v>402</v>
      </c>
      <c r="G93" s="118">
        <v>592</v>
      </c>
      <c r="H93" s="118">
        <v>547</v>
      </c>
      <c r="I93" s="118">
        <v>640</v>
      </c>
      <c r="J93" s="118">
        <v>587</v>
      </c>
      <c r="K93" s="118">
        <v>609</v>
      </c>
      <c r="L93" s="118">
        <v>577</v>
      </c>
      <c r="M93" s="118">
        <v>562</v>
      </c>
      <c r="N93" s="118">
        <v>576</v>
      </c>
      <c r="O93" s="118">
        <v>579</v>
      </c>
      <c r="P93" s="117">
        <f>SUMIFS(Actual!C:C,Actual!$A:$A,'3)Target &amp; Cal'!$A93,Actual!$B:$B,'3)Target &amp; Cal'!$B93)</f>
        <v>111.99999999888</v>
      </c>
      <c r="Q93" s="117">
        <f>SUMIFS(Actual!D:D,Actual!$A:$A,'3)Target &amp; Cal'!$A93,Actual!$B:$B,'3)Target &amp; Cal'!$B93)</f>
        <v>157.99999999842004</v>
      </c>
      <c r="R93" s="117">
        <f>SUMIFS(Actual!E:E,Actual!$A:$A,'3)Target &amp; Cal'!$A93,Actual!$B:$B,'3)Target &amp; Cal'!$B93)</f>
        <v>0</v>
      </c>
      <c r="S93" s="117">
        <f>SUMIFS(Actual!F:F,Actual!$A:$A,'3)Target &amp; Cal'!$A93,Actual!$B:$B,'3)Target &amp; Cal'!$B93)</f>
        <v>0</v>
      </c>
      <c r="T93" s="117">
        <f>SUMIFS(Actual!G:G,Actual!$A:$A,'3)Target &amp; Cal'!$A93,Actual!$B:$B,'3)Target &amp; Cal'!$B93)</f>
        <v>0</v>
      </c>
      <c r="U93" s="117">
        <f>SUMIFS(Actual!H:H,Actual!$A:$A,'3)Target &amp; Cal'!$A93,Actual!$B:$B,'3)Target &amp; Cal'!$B93)</f>
        <v>0</v>
      </c>
      <c r="V93" s="117">
        <f>SUMIFS(Actual!I:I,Actual!$A:$A,'3)Target &amp; Cal'!$A93,Actual!$B:$B,'3)Target &amp; Cal'!$B93)</f>
        <v>0</v>
      </c>
      <c r="W93" s="117">
        <f>SUMIFS(Actual!J:J,Actual!$A:$A,'3)Target &amp; Cal'!$A93,Actual!$B:$B,'3)Target &amp; Cal'!$B93)</f>
        <v>0</v>
      </c>
      <c r="X93" s="117">
        <f>SUMIFS(Actual!K:K,Actual!$A:$A,'3)Target &amp; Cal'!$A93,Actual!$B:$B,'3)Target &amp; Cal'!$B93)</f>
        <v>0</v>
      </c>
      <c r="Y93" s="117">
        <f>SUMIFS(Actual!L:L,Actual!$A:$A,'3)Target &amp; Cal'!$A93,Actual!$B:$B,'3)Target &amp; Cal'!$B93)</f>
        <v>0</v>
      </c>
      <c r="Z93" s="117">
        <f>SUMIFS(Actual!M:M,Actual!$A:$A,'3)Target &amp; Cal'!$A93,Actual!$B:$B,'3)Target &amp; Cal'!$B93)</f>
        <v>0</v>
      </c>
      <c r="AA93" s="117">
        <f>SUMIFS(Actual!N:N,Actual!$A:$A,'3)Target &amp; Cal'!$A93,Actual!$B:$B,'3)Target &amp; Cal'!$B93)</f>
        <v>0</v>
      </c>
      <c r="AB93" s="123">
        <f>IFERROR(IF(VLOOKUP($B93,Shortage!$A:$M,AB$2,FALSE)="Shortage",1,IFERROR(ROUND(P93/D93,4),0)),IFERROR(ROUND(P93/D93,4),0))</f>
        <v>0.17499999999999999</v>
      </c>
      <c r="AC93" s="123">
        <f>IFERROR(IF(VLOOKUP($B93,Shortage!$A:$M,AC$2,FALSE)="Shortage",1,IFERROR(ROUND(Q93/E93,4),0)),IFERROR(ROUND(Q93/E93,4),0))</f>
        <v>0.44009999999999999</v>
      </c>
      <c r="AD93" s="123">
        <f>IFERROR(IF(VLOOKUP($B93,Shortage!$A:$M,AD$2,FALSE)="Shortage",1,IFERROR(ROUND(R93/F93,4),0)),IFERROR(ROUND(R93/F93,4),0))</f>
        <v>0</v>
      </c>
      <c r="AE93" s="123">
        <f>IFERROR(IF(VLOOKUP($B93,Shortage!$A:$M,AE$2,FALSE)="Shortage",1,IFERROR(ROUND(S93/G93,4),0)),IFERROR(ROUND(S93/G93,4),0))</f>
        <v>0</v>
      </c>
      <c r="AF93" s="123">
        <f>IFERROR(IF(VLOOKUP($B93,Shortage!$A:$M,AF$2,FALSE)="Shortage",1,IFERROR(ROUND(T93/H93,4),0)),IFERROR(ROUND(T93/H93,4),0))</f>
        <v>0</v>
      </c>
      <c r="AG93" s="123">
        <f>IFERROR(IF(VLOOKUP($B93,Shortage!$A:$M,AG$2,FALSE)="Shortage",1,IFERROR(ROUND(U93/I93,4),0)),IFERROR(ROUND(U93/I93,4),0))</f>
        <v>0</v>
      </c>
      <c r="AH93" s="123">
        <f>IFERROR(IF(VLOOKUP($B93,Shortage!$A:$M,AH$2,FALSE)="Shortage",1,IFERROR(ROUND(V93/J93,4),0)),IFERROR(ROUND(V93/J93,4),0))</f>
        <v>0</v>
      </c>
      <c r="AI93" s="123">
        <f>IFERROR(IF(VLOOKUP($B93,Shortage!$A:$M,AI$2,FALSE)="Shortage",1,IFERROR(ROUND(W93/K93,4),0)),IFERROR(ROUND(W93/K93,4),0))</f>
        <v>0</v>
      </c>
      <c r="AJ93" s="123">
        <f>IFERROR(IF(VLOOKUP($B93,Shortage!$A:$M,AP$2,FALSE)="Shortage",1,IFERROR(ROUND(X93/L93,4),0)),IFERROR(ROUND(X93/L93,4),0))</f>
        <v>0</v>
      </c>
      <c r="AK93" s="123">
        <f>IFERROR(IF(VLOOKUP($B93,Shortage!$A:$M,AK$2,FALSE)="Shortage",1,IFERROR(ROUND(Y93/M93,4),0)),IFERROR(ROUND(Y93/M93,4),0))</f>
        <v>0</v>
      </c>
      <c r="AL93" s="123">
        <f>IFERROR(IF(VLOOKUP($B93,Shortage!$A:$M,AL$2,FALSE)="Shortage",1,IFERROR(ROUND(Z93/N93,4),0)),IFERROR(ROUND(Z93/N93,4),0))</f>
        <v>0</v>
      </c>
      <c r="AM93" s="123">
        <f>IFERROR(IF(VLOOKUP($B93,Shortage!$A:$M,AM$2,FALSE)="Shortage",1,IFERROR(ROUND(AA93/O93,4),0)),IFERROR(ROUND(AA93/O93,4),0))</f>
        <v>0</v>
      </c>
      <c r="AN93" s="232">
        <f>IFERROR(IF($C93="Top WS",VLOOKUP("GOAL",'2) หลักการคำนวน Table'!$D$4:$M$4,HLOOKUP(AB93,'2) หลักการคำนวน Table'!$D$1:$M$5,5,TRUE),0),
IF($C93="WS SF",VLOOKUP("GOAL",'2) หลักการคำนวน Table'!$D$32:$M$32,HLOOKUP(AB93,'2) หลักการคำนวน Table'!$D$1:$M$5,5,TRUE),0),
IF($C93="WS WH",VLOOKUP("GOAL",'2) หลักการคำนวน Table'!$D$62:$M$62,HLOOKUP(AB93,'2) หลักการคำนวน Table'!$D$1:$M$5,5,TRUE),0),
IF($C93="SF WH",VLOOKUP("GOAL",'2) หลักการคำนวน Table'!$D$92:$M$92,HLOOKUP(AB93,'2) หลักการคำนวน Table'!$D$1:$M$5,5,TRUE),0))))),0)</f>
        <v>0.9</v>
      </c>
      <c r="AO93" s="232">
        <f>IFERROR(IF($C93="Top WS",VLOOKUP("GOAL",'2) หลักการคำนวน Table'!$D$4:$M$4,HLOOKUP(AC93,'2) หลักการคำนวน Table'!$D$1:$M$5,5,TRUE),0),
IF($C93="WS SF",VLOOKUP("GOAL",'2) หลักการคำนวน Table'!$D$32:$M$32,HLOOKUP(AC93,'2) หลักการคำนวน Table'!$D$1:$M$5,5,TRUE),0),
IF($C93="WS WH",VLOOKUP("GOAL",'2) หลักการคำนวน Table'!$D$62:$M$62,HLOOKUP(AC93,'2) หลักการคำนวน Table'!$D$1:$M$5,5,TRUE),0),
IF($C93="SF WH",VLOOKUP("GOAL",'2) หลักการคำนวน Table'!$D$92:$M$92,HLOOKUP(AC93,'2) หลักการคำนวน Table'!$D$1:$M$5,5,TRUE),0))))),0)</f>
        <v>0.9</v>
      </c>
      <c r="AP93" s="232">
        <f>IFERROR(IF($C93="Top WS",VLOOKUP("GOAL",'2) หลักการคำนวน Table'!$D$4:$M$4,HLOOKUP(AD93,'2) หลักการคำนวน Table'!$D$1:$M$5,5,TRUE),0),
IF($C93="WS SF",VLOOKUP("GOAL",'2) หลักการคำนวน Table'!$D$32:$M$32,HLOOKUP(AD93,'2) หลักการคำนวน Table'!$D$1:$M$5,5,TRUE),0),
IF($C93="WS WH",VLOOKUP("GOAL",'2) หลักการคำนวน Table'!$D$62:$M$62,HLOOKUP(AD93,'2) หลักการคำนวน Table'!$D$1:$M$5,5,TRUE),0),
IF($C93="SF WH",VLOOKUP("GOAL",'2) หลักการคำนวน Table'!$D$92:$M$92,HLOOKUP(AD93,'2) หลักการคำนวน Table'!$D$1:$M$5,5,TRUE),0))))),0)</f>
        <v>0.9</v>
      </c>
      <c r="AQ93" s="232">
        <f>IFERROR(IF($C93="Top WS",VLOOKUP("GOAL",'2) หลักการคำนวน Table'!$D$4:$M$4,HLOOKUP(AE93,'2) หลักการคำนวน Table'!$D$1:$M$5,5,TRUE),0),
IF($C93="WS SF",VLOOKUP("GOAL",'2) หลักการคำนวน Table'!$D$32:$M$32,HLOOKUP(AE93,'2) หลักการคำนวน Table'!$D$1:$M$5,5,TRUE),0),
IF($C93="WS WH",VLOOKUP("GOAL",'2) หลักการคำนวน Table'!$D$62:$M$62,HLOOKUP(AE93,'2) หลักการคำนวน Table'!$D$1:$M$5,5,TRUE),0),
IF($C93="SF WH",VLOOKUP("GOAL",'2) หลักการคำนวน Table'!$D$92:$M$92,HLOOKUP(AE93,'2) หลักการคำนวน Table'!$D$1:$M$5,5,TRUE),0))))),0)</f>
        <v>0.9</v>
      </c>
      <c r="AR93" s="232">
        <f>IFERROR(IF($C93="Top WS",VLOOKUP("GOAL",'2) หลักการคำนวน Table'!$D$4:$M$4,HLOOKUP(AF93,'2) หลักการคำนวน Table'!$D$1:$M$5,5,TRUE),0),
IF($C93="WS SF",VLOOKUP("GOAL",'2) หลักการคำนวน Table'!$D$32:$M$32,HLOOKUP(AF93,'2) หลักการคำนวน Table'!$D$1:$M$5,5,TRUE),0),
IF($C93="WS WH",VLOOKUP("GOAL",'2) หลักการคำนวน Table'!$D$62:$M$62,HLOOKUP(AF93,'2) หลักการคำนวน Table'!$D$1:$M$5,5,TRUE),0),
IF($C93="SF WH",VLOOKUP("GOAL",'2) หลักการคำนวน Table'!$D$92:$M$92,HLOOKUP(AF93,'2) หลักการคำนวน Table'!$D$1:$M$5,5,TRUE),0))))),0)</f>
        <v>0.9</v>
      </c>
      <c r="AS93" s="232">
        <f>IFERROR(IF($C93="Top WS",VLOOKUP("GOAL",'2) หลักการคำนวน Table'!$D$4:$M$4,HLOOKUP(AG93,'2) หลักการคำนวน Table'!$D$1:$M$5,5,TRUE),0),
IF($C93="WS SF",VLOOKUP("GOAL",'2) หลักการคำนวน Table'!$D$32:$M$32,HLOOKUP(AG93,'2) หลักการคำนวน Table'!$D$1:$M$5,5,TRUE),0),
IF($C93="WS WH",VLOOKUP("GOAL",'2) หลักการคำนวน Table'!$D$62:$M$62,HLOOKUP(AG93,'2) หลักการคำนวน Table'!$D$1:$M$5,5,TRUE),0),
IF($C93="SF WH",VLOOKUP("GOAL",'2) หลักการคำนวน Table'!$D$92:$M$92,HLOOKUP(AG93,'2) หลักการคำนวน Table'!$D$1:$M$5,5,TRUE),0))))),0)</f>
        <v>0.9</v>
      </c>
      <c r="AT93" s="232">
        <f>IFERROR(IF($C93="Top WS",VLOOKUP("GOAL",'2) หลักการคำนวน Table'!$D$4:$M$4,HLOOKUP(AH93,'2) หลักการคำนวน Table'!$D$1:$M$5,5,TRUE),0),
IF($C93="WS SF",VLOOKUP("GOAL",'2) หลักการคำนวน Table'!$D$32:$M$32,HLOOKUP(AH93,'2) หลักการคำนวน Table'!$D$1:$M$5,5,TRUE),0),
IF($C93="WS WH",VLOOKUP("GOAL",'2) หลักการคำนวน Table'!$D$62:$M$62,HLOOKUP(AH93,'2) หลักการคำนวน Table'!$D$1:$M$5,5,TRUE),0),
IF($C93="SF WH",VLOOKUP("GOAL",'2) หลักการคำนวน Table'!$D$92:$M$92,HLOOKUP(AH93,'2) หลักการคำนวน Table'!$D$1:$M$5,5,TRUE),0))))),0)</f>
        <v>0.9</v>
      </c>
      <c r="AU93" s="232">
        <f>IFERROR(IF($C93="Top WS",VLOOKUP("GOAL",'2) หลักการคำนวน Table'!$D$4:$M$4,HLOOKUP(AI93,'2) หลักการคำนวน Table'!$D$1:$M$5,5,TRUE),0),
IF($C93="WS SF",VLOOKUP("GOAL",'2) หลักการคำนวน Table'!$D$32:$M$32,HLOOKUP(AI93,'2) หลักการคำนวน Table'!$D$1:$M$5,5,TRUE),0),
IF($C93="WS WH",VLOOKUP("GOAL",'2) หลักการคำนวน Table'!$D$62:$M$62,HLOOKUP(AI93,'2) หลักการคำนวน Table'!$D$1:$M$5,5,TRUE),0),
IF($C93="SF WH",VLOOKUP("GOAL",'2) หลักการคำนวน Table'!$D$92:$M$92,HLOOKUP(AI93,'2) หลักการคำนวน Table'!$D$1:$M$5,5,TRUE),0))))),0)</f>
        <v>0.9</v>
      </c>
      <c r="AV93" s="232">
        <f>IFERROR(IF($C93="Top WS",VLOOKUP("GOAL",'2) หลักการคำนวน Table'!$D$4:$M$4,HLOOKUP(AP93,'2) หลักการคำนวน Table'!$D$1:$M$5,5,TRUE),0),
IF($C93="WS SF",VLOOKUP("GOAL",'2) หลักการคำนวน Table'!$D$32:$M$32,HLOOKUP(AP93,'2) หลักการคำนวน Table'!$D$1:$M$5,5,TRUE),0),
IF($C93="WS WH",VLOOKUP("GOAL",'2) หลักการคำนวน Table'!$D$62:$M$62,HLOOKUP(AP93,'2) หลักการคำนวน Table'!$D$1:$M$5,5,TRUE),0),
IF($C93="SF WH",VLOOKUP("GOAL",'2) หลักการคำนวน Table'!$D$92:$M$92,HLOOKUP(AP93,'2) หลักการคำนวน Table'!$D$1:$M$5,5,TRUE),0))))),0)</f>
        <v>0.9</v>
      </c>
      <c r="AW93" s="232">
        <f>IFERROR(IF($C93="Top WS",VLOOKUP("GOAL",'2) หลักการคำนวน Table'!$D$4:$M$4,HLOOKUP(AK93,'2) หลักการคำนวน Table'!$D$1:$M$5,5,TRUE),0),
IF($C93="WS SF",VLOOKUP("GOAL",'2) หลักการคำนวน Table'!$D$32:$M$32,HLOOKUP(AK93,'2) หลักการคำนวน Table'!$D$1:$M$5,5,TRUE),0),
IF($C93="WS WH",VLOOKUP("GOAL",'2) หลักการคำนวน Table'!$D$62:$M$62,HLOOKUP(AK93,'2) หลักการคำนวน Table'!$D$1:$M$5,5,TRUE),0),
IF($C93="SF WH",VLOOKUP("GOAL",'2) หลักการคำนวน Table'!$D$92:$M$92,HLOOKUP(AK93,'2) หลักการคำนวน Table'!$D$1:$M$5,5,TRUE),0))))),0)</f>
        <v>0.9</v>
      </c>
      <c r="AX93" s="232">
        <f>IFERROR(IF($C93="Top WS",VLOOKUP("GOAL",'2) หลักการคำนวน Table'!$D$4:$M$4,HLOOKUP(AL93,'2) หลักการคำนวน Table'!$D$1:$M$5,5,TRUE),0),
IF($C93="WS SF",VLOOKUP("GOAL",'2) หลักการคำนวน Table'!$D$32:$M$32,HLOOKUP(AL93,'2) หลักการคำนวน Table'!$D$1:$M$5,5,TRUE),0),
IF($C93="WS WH",VLOOKUP("GOAL",'2) หลักการคำนวน Table'!$D$62:$M$62,HLOOKUP(AL93,'2) หลักการคำนวน Table'!$D$1:$M$5,5,TRUE),0),
IF($C93="SF WH",VLOOKUP("GOAL",'2) หลักการคำนวน Table'!$D$92:$M$92,HLOOKUP(AL93,'2) หลักการคำนวน Table'!$D$1:$M$5,5,TRUE),0))))),0)</f>
        <v>0.9</v>
      </c>
      <c r="AY93" s="232">
        <f>IFERROR(IF($C93="Top WS",VLOOKUP("GOAL",'2) หลักการคำนวน Table'!$D$4:$M$4,HLOOKUP(AM93,'2) หลักการคำนวน Table'!$D$1:$M$5,5,TRUE),0),
IF($C93="WS SF",VLOOKUP("GOAL",'2) หลักการคำนวน Table'!$D$32:$M$32,HLOOKUP(AM93,'2) หลักการคำนวน Table'!$D$1:$M$5,5,TRUE),0),
IF($C93="WS WH",VLOOKUP("GOAL",'2) หลักการคำนวน Table'!$D$62:$M$62,HLOOKUP(AM93,'2) หลักการคำนวน Table'!$D$1:$M$5,5,TRUE),0),
IF($C93="SF WH",VLOOKUP("GOAL",'2) หลักการคำนวน Table'!$D$92:$M$92,HLOOKUP(AM93,'2) หลักการคำนวน Table'!$D$1:$M$5,5,TRUE),0))))),0)</f>
        <v>0.9</v>
      </c>
      <c r="AZ93" s="167">
        <f>IFERROR(IF($C93="Top WS",VLOOKUP($B93,'2) หลักการคำนวน Table'!$D$5:$M$20,HLOOKUP(AB93,'2) หลักการคำนวน Table'!$D$1:$M$5,5,TRUE),0),
IF($C93="WS SF",VLOOKUP($B93,'2) หลักการคำนวน Table'!$D$33:$M$48,HLOOKUP(AB93,'2) หลักการคำนวน Table'!$D$1:$M$5,5,TRUE),0),
IF($C93="WS WH",VLOOKUP($B93,'2) หลักการคำนวน Table'!$D$63:$M$78,HLOOKUP(AB93,'2) หลักการคำนวน Table'!$D$1:$M$5,5,TRUE),0),
IF($C93="SF WH",VLOOKUP($B93,'2) หลักการคำนวน Table'!$D$93:$M$108,HLOOKUP(AB93,'2) หลักการคำนวน Table'!$D$1:$M$5,5,TRUE),0))))),0)</f>
        <v>315</v>
      </c>
      <c r="BA93" s="167">
        <f>IFERROR(IF($C93="Top WS",VLOOKUP($B93,'2) หลักการคำนวน Table'!$D$5:$M$20,HLOOKUP(AC93,'2) หลักการคำนวน Table'!$D$1:$M$5,5,TRUE),0),
IF($C93="WS SF",VLOOKUP($B93,'2) หลักการคำนวน Table'!$D$33:$M$48,HLOOKUP(AC93,'2) หลักการคำนวน Table'!$D$1:$M$5,5,TRUE),0),
IF($C93="WS WH",VLOOKUP($B93,'2) หลักการคำนวน Table'!$D$63:$M$78,HLOOKUP(AC93,'2) หลักการคำนวน Table'!$D$1:$M$5,5,TRUE),0),
IF($C93="SF WH",VLOOKUP($B93,'2) หลักการคำนวน Table'!$D$93:$M$108,HLOOKUP(AC93,'2) หลักการคำนวน Table'!$D$1:$M$5,5,TRUE),0))))),0)</f>
        <v>315</v>
      </c>
      <c r="BB93" s="167">
        <f>IFERROR(IF($C93="Top WS",VLOOKUP($B93,'2) หลักการคำนวน Table'!$D$5:$M$20,HLOOKUP(AD93,'2) หลักการคำนวน Table'!$D$1:$M$5,5,TRUE),0),
IF($C93="WS SF",VLOOKUP($B93,'2) หลักการคำนวน Table'!$D$33:$M$48,HLOOKUP(AD93,'2) หลักการคำนวน Table'!$D$1:$M$5,5,TRUE),0),
IF($C93="WS WH",VLOOKUP($B93,'2) หลักการคำนวน Table'!$D$63:$M$78,HLOOKUP(AD93,'2) หลักการคำนวน Table'!$D$1:$M$5,5,TRUE),0),
IF($C93="SF WH",VLOOKUP($B93,'2) หลักการคำนวน Table'!$D$93:$M$108,HLOOKUP(AD93,'2) หลักการคำนวน Table'!$D$1:$M$5,5,TRUE),0))))),0)</f>
        <v>315</v>
      </c>
      <c r="BC93" s="167">
        <f>IFERROR(IF($C93="Top WS",VLOOKUP($B93,'2) หลักการคำนวน Table'!$D$5:$M$20,HLOOKUP(AE93,'2) หลักการคำนวน Table'!$D$1:$M$5,5,TRUE),0),
IF($C93="WS SF",VLOOKUP($B93,'2) หลักการคำนวน Table'!$D$33:$M$48,HLOOKUP(AE93,'2) หลักการคำนวน Table'!$D$1:$M$5,5,TRUE),0),
IF($C93="WS WH",VLOOKUP($B93,'2) หลักการคำนวน Table'!$D$63:$M$78,HLOOKUP(AE93,'2) หลักการคำนวน Table'!$D$1:$M$5,5,TRUE),0),
IF($C93="SF WH",VLOOKUP($B93,'2) หลักการคำนวน Table'!$D$93:$M$108,HLOOKUP(AE93,'2) หลักการคำนวน Table'!$D$1:$M$5,5,TRUE),0))))),0)</f>
        <v>315</v>
      </c>
      <c r="BD93" s="167">
        <f>IFERROR(IF($C93="Top WS",VLOOKUP($B93,'2) หลักการคำนวน Table'!$D$5:$M$20,HLOOKUP(AF93,'2) หลักการคำนวน Table'!$D$1:$M$5,5,TRUE),0),
IF($C93="WS SF",VLOOKUP($B93,'2) หลักการคำนวน Table'!$D$33:$M$48,HLOOKUP(AF93,'2) หลักการคำนวน Table'!$D$1:$M$5,5,TRUE),0),
IF($C93="WS WH",VLOOKUP($B93,'2) หลักการคำนวน Table'!$D$63:$M$78,HLOOKUP(AF93,'2) หลักการคำนวน Table'!$D$1:$M$5,5,TRUE),0),
IF($C93="SF WH",VLOOKUP($B93,'2) หลักการคำนวน Table'!$D$93:$M$108,HLOOKUP(AF93,'2) หลักการคำนวน Table'!$D$1:$M$5,5,TRUE),0))))),0)</f>
        <v>315</v>
      </c>
      <c r="BE93" s="167">
        <f>IFERROR(IF($C93="Top WS",VLOOKUP($B93,'2) หลักการคำนวน Table'!$D$5:$M$20,HLOOKUP(AG93,'2) หลักการคำนวน Table'!$D$1:$M$5,5,TRUE),0),
IF($C93="WS SF",VLOOKUP($B93,'2) หลักการคำนวน Table'!$D$33:$M$48,HLOOKUP(AG93,'2) หลักการคำนวน Table'!$D$1:$M$5,5,TRUE),0),
IF($C93="WS WH",VLOOKUP($B93,'2) หลักการคำนวน Table'!$D$63:$M$78,HLOOKUP(AG93,'2) หลักการคำนวน Table'!$D$1:$M$5,5,TRUE),0),
IF($C93="SF WH",VLOOKUP($B93,'2) หลักการคำนวน Table'!$D$93:$M$108,HLOOKUP(AG93,'2) หลักการคำนวน Table'!$D$1:$M$5,5,TRUE),0))))),0)</f>
        <v>315</v>
      </c>
      <c r="BF93" s="167">
        <f>IFERROR(IF($C93="Top WS",VLOOKUP($B93,'2) หลักการคำนวน Table'!$D$5:$M$20,HLOOKUP(AH93,'2) หลักการคำนวน Table'!$D$1:$M$5,5,TRUE),0),
IF($C93="WS SF",VLOOKUP($B93,'2) หลักการคำนวน Table'!$D$33:$M$48,HLOOKUP(AH93,'2) หลักการคำนวน Table'!$D$1:$M$5,5,TRUE),0),
IF($C93="WS WH",VLOOKUP($B93,'2) หลักการคำนวน Table'!$D$63:$M$78,HLOOKUP(AH93,'2) หลักการคำนวน Table'!$D$1:$M$5,5,TRUE),0),
IF($C93="SF WH",VLOOKUP($B93,'2) หลักการคำนวน Table'!$D$93:$M$108,HLOOKUP(AH93,'2) หลักการคำนวน Table'!$D$1:$M$5,5,TRUE),0))))),0)</f>
        <v>315</v>
      </c>
      <c r="BG93" s="167">
        <f>IFERROR(IF($C93="Top WS",VLOOKUP($B93,'2) หลักการคำนวน Table'!$D$5:$M$20,HLOOKUP(AI93,'2) หลักการคำนวน Table'!$D$1:$M$5,5,TRUE),0),
IF($C93="WS SF",VLOOKUP($B93,'2) หลักการคำนวน Table'!$D$33:$M$48,HLOOKUP(AI93,'2) หลักการคำนวน Table'!$D$1:$M$5,5,TRUE),0),
IF($C93="WS WH",VLOOKUP($B93,'2) หลักการคำนวน Table'!$D$63:$M$78,HLOOKUP(AI93,'2) หลักการคำนวน Table'!$D$1:$M$5,5,TRUE),0),
IF($C93="SF WH",VLOOKUP($B93,'2) หลักการคำนวน Table'!$D$93:$M$108,HLOOKUP(AI93,'2) หลักการคำนวน Table'!$D$1:$M$5,5,TRUE),0))))),0)</f>
        <v>315</v>
      </c>
      <c r="BH93" s="167">
        <f>IFERROR(IF($C93="Top WS",VLOOKUP($B93,'2) หลักการคำนวน Table'!$D$5:$M$20,HLOOKUP(AP93,'2) หลักการคำนวน Table'!$D$1:$M$5,5,TRUE),0),
IF($C93="WS SF",VLOOKUP($B93,'2) หลักการคำนวน Table'!$D$33:$M$48,HLOOKUP(AP93,'2) หลักการคำนวน Table'!$D$1:$M$5,5,TRUE),0),
IF($C93="WS WH",VLOOKUP($B93,'2) หลักการคำนวน Table'!$D$63:$M$78,HLOOKUP(AP93,'2) หลักการคำนวน Table'!$D$1:$M$5,5,TRUE),0),
IF($C93="SF WH",VLOOKUP($B93,'2) หลักการคำนวน Table'!$D$93:$M$108,HLOOKUP(AP93,'2) หลักการคำนวน Table'!$D$1:$M$5,5,TRUE),0))))),0)</f>
        <v>315</v>
      </c>
      <c r="BI93" s="167">
        <f>IFERROR(IF($C93="Top WS",VLOOKUP($B93,'2) หลักการคำนวน Table'!$D$5:$M$20,HLOOKUP(AK93,'2) หลักการคำนวน Table'!$D$1:$M$5,5,TRUE),0),
IF($C93="WS SF",VLOOKUP($B93,'2) หลักการคำนวน Table'!$D$33:$M$48,HLOOKUP(AK93,'2) หลักการคำนวน Table'!$D$1:$M$5,5,TRUE),0),
IF($C93="WS WH",VLOOKUP($B93,'2) หลักการคำนวน Table'!$D$63:$M$78,HLOOKUP(AK93,'2) หลักการคำนวน Table'!$D$1:$M$5,5,TRUE),0),
IF($C93="SF WH",VLOOKUP($B93,'2) หลักการคำนวน Table'!$D$93:$M$108,HLOOKUP(AK93,'2) หลักการคำนวน Table'!$D$1:$M$5,5,TRUE),0))))),0)</f>
        <v>315</v>
      </c>
      <c r="BJ93" s="167">
        <f>IFERROR(IF($C93="Top WS",VLOOKUP($B93,'2) หลักการคำนวน Table'!$D$5:$M$20,HLOOKUP(AL93,'2) หลักการคำนวน Table'!$D$1:$M$5,5,TRUE),0),
IF($C93="WS SF",VLOOKUP($B93,'2) หลักการคำนวน Table'!$D$33:$M$48,HLOOKUP(AL93,'2) หลักการคำนวน Table'!$D$1:$M$5,5,TRUE),0),
IF($C93="WS WH",VLOOKUP($B93,'2) หลักการคำนวน Table'!$D$63:$M$78,HLOOKUP(AL93,'2) หลักการคำนวน Table'!$D$1:$M$5,5,TRUE),0),
IF($C93="SF WH",VLOOKUP($B93,'2) หลักการคำนวน Table'!$D$93:$M$108,HLOOKUP(AL93,'2) หลักการคำนวน Table'!$D$1:$M$5,5,TRUE),0))))),0)</f>
        <v>315</v>
      </c>
      <c r="BK93" s="167">
        <f>IFERROR(IF($C93="Top WS",VLOOKUP($B93,'2) หลักการคำนวน Table'!$D$5:$M$20,HLOOKUP(AM93,'2) หลักการคำนวน Table'!$D$1:$M$5,5,TRUE),0),
IF($C93="WS SF",VLOOKUP($B93,'2) หลักการคำนวน Table'!$D$33:$M$48,HLOOKUP(AM93,'2) หลักการคำนวน Table'!$D$1:$M$5,5,TRUE),0),
IF($C93="WS WH",VLOOKUP($B93,'2) หลักการคำนวน Table'!$D$63:$M$78,HLOOKUP(AM93,'2) หลักการคำนวน Table'!$D$1:$M$5,5,TRUE),0),
IF($C93="SF WH",VLOOKUP($B93,'2) หลักการคำนวน Table'!$D$93:$M$108,HLOOKUP(AM93,'2) หลักการคำนวน Table'!$D$1:$M$5,5,TRUE),0))))),0)</f>
        <v>315</v>
      </c>
      <c r="BM93" s="119">
        <f>VLOOKUP(VLOOKUP(A93,ASTBase!E:S,13,FALSE),ASTBase!F:P,11,FALSE)</f>
        <v>110000</v>
      </c>
      <c r="BN93" s="196" cm="1">
        <f t="array" ref="BN93">INDEX(AN93:AY93,,Period!$D$2)</f>
        <v>0.9</v>
      </c>
    </row>
    <row r="94" spans="1:66" x14ac:dyDescent="0.25">
      <c r="A94" s="388">
        <v>110002</v>
      </c>
      <c r="B94" s="388" t="s">
        <v>392</v>
      </c>
      <c r="C94" s="388" t="s">
        <v>179</v>
      </c>
      <c r="D94" s="118">
        <v>716</v>
      </c>
      <c r="E94" s="118">
        <v>318</v>
      </c>
      <c r="F94" s="118">
        <v>318</v>
      </c>
      <c r="G94" s="118">
        <v>530</v>
      </c>
      <c r="H94" s="118">
        <v>434</v>
      </c>
      <c r="I94" s="118">
        <v>269</v>
      </c>
      <c r="J94" s="118">
        <v>688</v>
      </c>
      <c r="K94" s="118">
        <v>394</v>
      </c>
      <c r="L94" s="118">
        <v>446</v>
      </c>
      <c r="M94" s="118">
        <v>587</v>
      </c>
      <c r="N94" s="118">
        <v>616</v>
      </c>
      <c r="O94" s="118">
        <v>614</v>
      </c>
      <c r="P94" s="117">
        <f>SUMIFS(Actual!C:C,Actual!$A:$A,'3)Target &amp; Cal'!$A94,Actual!$B:$B,'3)Target &amp; Cal'!$B94)</f>
        <v>708.01019999999994</v>
      </c>
      <c r="Q94" s="117">
        <f>SUMIFS(Actual!D:D,Actual!$A:$A,'3)Target &amp; Cal'!$A94,Actual!$B:$B,'3)Target &amp; Cal'!$B94)</f>
        <v>630.53999999999985</v>
      </c>
      <c r="R94" s="117">
        <f>SUMIFS(Actual!E:E,Actual!$A:$A,'3)Target &amp; Cal'!$A94,Actual!$B:$B,'3)Target &amp; Cal'!$B94)</f>
        <v>0</v>
      </c>
      <c r="S94" s="117">
        <f>SUMIFS(Actual!F:F,Actual!$A:$A,'3)Target &amp; Cal'!$A94,Actual!$B:$B,'3)Target &amp; Cal'!$B94)</f>
        <v>0</v>
      </c>
      <c r="T94" s="117">
        <f>SUMIFS(Actual!G:G,Actual!$A:$A,'3)Target &amp; Cal'!$A94,Actual!$B:$B,'3)Target &amp; Cal'!$B94)</f>
        <v>0</v>
      </c>
      <c r="U94" s="117">
        <f>SUMIFS(Actual!H:H,Actual!$A:$A,'3)Target &amp; Cal'!$A94,Actual!$B:$B,'3)Target &amp; Cal'!$B94)</f>
        <v>0</v>
      </c>
      <c r="V94" s="117">
        <f>SUMIFS(Actual!I:I,Actual!$A:$A,'3)Target &amp; Cal'!$A94,Actual!$B:$B,'3)Target &amp; Cal'!$B94)</f>
        <v>0</v>
      </c>
      <c r="W94" s="117">
        <f>SUMIFS(Actual!J:J,Actual!$A:$A,'3)Target &amp; Cal'!$A94,Actual!$B:$B,'3)Target &amp; Cal'!$B94)</f>
        <v>0</v>
      </c>
      <c r="X94" s="117">
        <f>SUMIFS(Actual!K:K,Actual!$A:$A,'3)Target &amp; Cal'!$A94,Actual!$B:$B,'3)Target &amp; Cal'!$B94)</f>
        <v>0</v>
      </c>
      <c r="Y94" s="117">
        <f>SUMIFS(Actual!L:L,Actual!$A:$A,'3)Target &amp; Cal'!$A94,Actual!$B:$B,'3)Target &amp; Cal'!$B94)</f>
        <v>0</v>
      </c>
      <c r="Z94" s="117">
        <f>SUMIFS(Actual!M:M,Actual!$A:$A,'3)Target &amp; Cal'!$A94,Actual!$B:$B,'3)Target &amp; Cal'!$B94)</f>
        <v>0</v>
      </c>
      <c r="AA94" s="117">
        <f>SUMIFS(Actual!N:N,Actual!$A:$A,'3)Target &amp; Cal'!$A94,Actual!$B:$B,'3)Target &amp; Cal'!$B94)</f>
        <v>0</v>
      </c>
      <c r="AB94" s="123">
        <f>IFERROR(IF(VLOOKUP($B94,Shortage!$A:$M,AB$2,FALSE)="Shortage",1,IFERROR(ROUND(P94/D94,4),0)),IFERROR(ROUND(P94/D94,4),0))</f>
        <v>0.98880000000000001</v>
      </c>
      <c r="AC94" s="123">
        <f>IFERROR(IF(VLOOKUP($B94,Shortage!$A:$M,AC$2,FALSE)="Shortage",1,IFERROR(ROUND(Q94/E94,4),0)),IFERROR(ROUND(Q94/E94,4),0))</f>
        <v>1.9827999999999999</v>
      </c>
      <c r="AD94" s="123">
        <f>IFERROR(IF(VLOOKUP($B94,Shortage!$A:$M,AD$2,FALSE)="Shortage",1,IFERROR(ROUND(R94/F94,4),0)),IFERROR(ROUND(R94/F94,4),0))</f>
        <v>0</v>
      </c>
      <c r="AE94" s="123">
        <f>IFERROR(IF(VLOOKUP($B94,Shortage!$A:$M,AE$2,FALSE)="Shortage",1,IFERROR(ROUND(S94/G94,4),0)),IFERROR(ROUND(S94/G94,4),0))</f>
        <v>0</v>
      </c>
      <c r="AF94" s="123">
        <f>IFERROR(IF(VLOOKUP($B94,Shortage!$A:$M,AF$2,FALSE)="Shortage",1,IFERROR(ROUND(T94/H94,4),0)),IFERROR(ROUND(T94/H94,4),0))</f>
        <v>0</v>
      </c>
      <c r="AG94" s="123">
        <f>IFERROR(IF(VLOOKUP($B94,Shortage!$A:$M,AG$2,FALSE)="Shortage",1,IFERROR(ROUND(U94/I94,4),0)),IFERROR(ROUND(U94/I94,4),0))</f>
        <v>0</v>
      </c>
      <c r="AH94" s="123">
        <f>IFERROR(IF(VLOOKUP($B94,Shortage!$A:$M,AH$2,FALSE)="Shortage",1,IFERROR(ROUND(V94/J94,4),0)),IFERROR(ROUND(V94/J94,4),0))</f>
        <v>0</v>
      </c>
      <c r="AI94" s="123">
        <f>IFERROR(IF(VLOOKUP($B94,Shortage!$A:$M,AI$2,FALSE)="Shortage",1,IFERROR(ROUND(W94/K94,4),0)),IFERROR(ROUND(W94/K94,4),0))</f>
        <v>0</v>
      </c>
      <c r="AJ94" s="123">
        <f>IFERROR(IF(VLOOKUP($B94,Shortage!$A:$M,AP$2,FALSE)="Shortage",1,IFERROR(ROUND(X94/L94,4),0)),IFERROR(ROUND(X94/L94,4),0))</f>
        <v>0</v>
      </c>
      <c r="AK94" s="123">
        <f>IFERROR(IF(VLOOKUP($B94,Shortage!$A:$M,AK$2,FALSE)="Shortage",1,IFERROR(ROUND(Y94/M94,4),0)),IFERROR(ROUND(Y94/M94,4),0))</f>
        <v>0</v>
      </c>
      <c r="AL94" s="123">
        <f>IFERROR(IF(VLOOKUP($B94,Shortage!$A:$M,AL$2,FALSE)="Shortage",1,IFERROR(ROUND(Z94/N94,4),0)),IFERROR(ROUND(Z94/N94,4),0))</f>
        <v>0</v>
      </c>
      <c r="AM94" s="123">
        <f>IFERROR(IF(VLOOKUP($B94,Shortage!$A:$M,AM$2,FALSE)="Shortage",1,IFERROR(ROUND(AA94/O94,4),0)),IFERROR(ROUND(AA94/O94,4),0))</f>
        <v>0</v>
      </c>
      <c r="AN94" s="232">
        <f>IFERROR(IF($C94="Top WS",VLOOKUP("GOAL",'2) หลักการคำนวน Table'!$D$4:$M$4,HLOOKUP(AB94,'2) หลักการคำนวน Table'!$D$1:$M$5,5,TRUE),0),
IF($C94="WS SF",VLOOKUP("GOAL",'2) หลักการคำนวน Table'!$D$32:$M$32,HLOOKUP(AB94,'2) หลักการคำนวน Table'!$D$1:$M$5,5,TRUE),0),
IF($C94="WS WH",VLOOKUP("GOAL",'2) หลักการคำนวน Table'!$D$62:$M$62,HLOOKUP(AB94,'2) หลักการคำนวน Table'!$D$1:$M$5,5,TRUE),0),
IF($C94="SF WH",VLOOKUP("GOAL",'2) หลักการคำนวน Table'!$D$92:$M$92,HLOOKUP(AB94,'2) หลักการคำนวน Table'!$D$1:$M$5,5,TRUE),0))))),0)</f>
        <v>1</v>
      </c>
      <c r="AO94" s="232">
        <f>IFERROR(IF($C94="Top WS",VLOOKUP("GOAL",'2) หลักการคำนวน Table'!$D$4:$M$4,HLOOKUP(AC94,'2) หลักการคำนวน Table'!$D$1:$M$5,5,TRUE),0),
IF($C94="WS SF",VLOOKUP("GOAL",'2) หลักการคำนวน Table'!$D$32:$M$32,HLOOKUP(AC94,'2) หลักการคำนวน Table'!$D$1:$M$5,5,TRUE),0),
IF($C94="WS WH",VLOOKUP("GOAL",'2) หลักการคำนวน Table'!$D$62:$M$62,HLOOKUP(AC94,'2) หลักการคำนวน Table'!$D$1:$M$5,5,TRUE),0),
IF($C94="SF WH",VLOOKUP("GOAL",'2) หลักการคำนวน Table'!$D$92:$M$92,HLOOKUP(AC94,'2) หลักการคำนวน Table'!$D$1:$M$5,5,TRUE),0))))),0)</f>
        <v>1.3</v>
      </c>
      <c r="AP94" s="232">
        <f>IFERROR(IF($C94="Top WS",VLOOKUP("GOAL",'2) หลักการคำนวน Table'!$D$4:$M$4,HLOOKUP(AD94,'2) หลักการคำนวน Table'!$D$1:$M$5,5,TRUE),0),
IF($C94="WS SF",VLOOKUP("GOAL",'2) หลักการคำนวน Table'!$D$32:$M$32,HLOOKUP(AD94,'2) หลักการคำนวน Table'!$D$1:$M$5,5,TRUE),0),
IF($C94="WS WH",VLOOKUP("GOAL",'2) หลักการคำนวน Table'!$D$62:$M$62,HLOOKUP(AD94,'2) หลักการคำนวน Table'!$D$1:$M$5,5,TRUE),0),
IF($C94="SF WH",VLOOKUP("GOAL",'2) หลักการคำนวน Table'!$D$92:$M$92,HLOOKUP(AD94,'2) หลักการคำนวน Table'!$D$1:$M$5,5,TRUE),0))))),0)</f>
        <v>0.9</v>
      </c>
      <c r="AQ94" s="232">
        <f>IFERROR(IF($C94="Top WS",VLOOKUP("GOAL",'2) หลักการคำนวน Table'!$D$4:$M$4,HLOOKUP(AE94,'2) หลักการคำนวน Table'!$D$1:$M$5,5,TRUE),0),
IF($C94="WS SF",VLOOKUP("GOAL",'2) หลักการคำนวน Table'!$D$32:$M$32,HLOOKUP(AE94,'2) หลักการคำนวน Table'!$D$1:$M$5,5,TRUE),0),
IF($C94="WS WH",VLOOKUP("GOAL",'2) หลักการคำนวน Table'!$D$62:$M$62,HLOOKUP(AE94,'2) หลักการคำนวน Table'!$D$1:$M$5,5,TRUE),0),
IF($C94="SF WH",VLOOKUP("GOAL",'2) หลักการคำนวน Table'!$D$92:$M$92,HLOOKUP(AE94,'2) หลักการคำนวน Table'!$D$1:$M$5,5,TRUE),0))))),0)</f>
        <v>0.9</v>
      </c>
      <c r="AR94" s="232">
        <f>IFERROR(IF($C94="Top WS",VLOOKUP("GOAL",'2) หลักการคำนวน Table'!$D$4:$M$4,HLOOKUP(AF94,'2) หลักการคำนวน Table'!$D$1:$M$5,5,TRUE),0),
IF($C94="WS SF",VLOOKUP("GOAL",'2) หลักการคำนวน Table'!$D$32:$M$32,HLOOKUP(AF94,'2) หลักการคำนวน Table'!$D$1:$M$5,5,TRUE),0),
IF($C94="WS WH",VLOOKUP("GOAL",'2) หลักการคำนวน Table'!$D$62:$M$62,HLOOKUP(AF94,'2) หลักการคำนวน Table'!$D$1:$M$5,5,TRUE),0),
IF($C94="SF WH",VLOOKUP("GOAL",'2) หลักการคำนวน Table'!$D$92:$M$92,HLOOKUP(AF94,'2) หลักการคำนวน Table'!$D$1:$M$5,5,TRUE),0))))),0)</f>
        <v>0.9</v>
      </c>
      <c r="AS94" s="232">
        <f>IFERROR(IF($C94="Top WS",VLOOKUP("GOAL",'2) หลักการคำนวน Table'!$D$4:$M$4,HLOOKUP(AG94,'2) หลักการคำนวน Table'!$D$1:$M$5,5,TRUE),0),
IF($C94="WS SF",VLOOKUP("GOAL",'2) หลักการคำนวน Table'!$D$32:$M$32,HLOOKUP(AG94,'2) หลักการคำนวน Table'!$D$1:$M$5,5,TRUE),0),
IF($C94="WS WH",VLOOKUP("GOAL",'2) หลักการคำนวน Table'!$D$62:$M$62,HLOOKUP(AG94,'2) หลักการคำนวน Table'!$D$1:$M$5,5,TRUE),0),
IF($C94="SF WH",VLOOKUP("GOAL",'2) หลักการคำนวน Table'!$D$92:$M$92,HLOOKUP(AG94,'2) หลักการคำนวน Table'!$D$1:$M$5,5,TRUE),0))))),0)</f>
        <v>0.9</v>
      </c>
      <c r="AT94" s="232">
        <f>IFERROR(IF($C94="Top WS",VLOOKUP("GOAL",'2) หลักการคำนวน Table'!$D$4:$M$4,HLOOKUP(AH94,'2) หลักการคำนวน Table'!$D$1:$M$5,5,TRUE),0),
IF($C94="WS SF",VLOOKUP("GOAL",'2) หลักการคำนวน Table'!$D$32:$M$32,HLOOKUP(AH94,'2) หลักการคำนวน Table'!$D$1:$M$5,5,TRUE),0),
IF($C94="WS WH",VLOOKUP("GOAL",'2) หลักการคำนวน Table'!$D$62:$M$62,HLOOKUP(AH94,'2) หลักการคำนวน Table'!$D$1:$M$5,5,TRUE),0),
IF($C94="SF WH",VLOOKUP("GOAL",'2) หลักการคำนวน Table'!$D$92:$M$92,HLOOKUP(AH94,'2) หลักการคำนวน Table'!$D$1:$M$5,5,TRUE),0))))),0)</f>
        <v>0.9</v>
      </c>
      <c r="AU94" s="232">
        <f>IFERROR(IF($C94="Top WS",VLOOKUP("GOAL",'2) หลักการคำนวน Table'!$D$4:$M$4,HLOOKUP(AI94,'2) หลักการคำนวน Table'!$D$1:$M$5,5,TRUE),0),
IF($C94="WS SF",VLOOKUP("GOAL",'2) หลักการคำนวน Table'!$D$32:$M$32,HLOOKUP(AI94,'2) หลักการคำนวน Table'!$D$1:$M$5,5,TRUE),0),
IF($C94="WS WH",VLOOKUP("GOAL",'2) หลักการคำนวน Table'!$D$62:$M$62,HLOOKUP(AI94,'2) หลักการคำนวน Table'!$D$1:$M$5,5,TRUE),0),
IF($C94="SF WH",VLOOKUP("GOAL",'2) หลักการคำนวน Table'!$D$92:$M$92,HLOOKUP(AI94,'2) หลักการคำนวน Table'!$D$1:$M$5,5,TRUE),0))))),0)</f>
        <v>0.9</v>
      </c>
      <c r="AV94" s="232">
        <f>IFERROR(IF($C94="Top WS",VLOOKUP("GOAL",'2) หลักการคำนวน Table'!$D$4:$M$4,HLOOKUP(AP94,'2) หลักการคำนวน Table'!$D$1:$M$5,5,TRUE),0),
IF($C94="WS SF",VLOOKUP("GOAL",'2) หลักการคำนวน Table'!$D$32:$M$32,HLOOKUP(AP94,'2) หลักการคำนวน Table'!$D$1:$M$5,5,TRUE),0),
IF($C94="WS WH",VLOOKUP("GOAL",'2) หลักการคำนวน Table'!$D$62:$M$62,HLOOKUP(AP94,'2) หลักการคำนวน Table'!$D$1:$M$5,5,TRUE),0),
IF($C94="SF WH",VLOOKUP("GOAL",'2) หลักการคำนวน Table'!$D$92:$M$92,HLOOKUP(AP94,'2) หลักการคำนวน Table'!$D$1:$M$5,5,TRUE),0))))),0)</f>
        <v>0.9</v>
      </c>
      <c r="AW94" s="232">
        <f>IFERROR(IF($C94="Top WS",VLOOKUP("GOAL",'2) หลักการคำนวน Table'!$D$4:$M$4,HLOOKUP(AK94,'2) หลักการคำนวน Table'!$D$1:$M$5,5,TRUE),0),
IF($C94="WS SF",VLOOKUP("GOAL",'2) หลักการคำนวน Table'!$D$32:$M$32,HLOOKUP(AK94,'2) หลักการคำนวน Table'!$D$1:$M$5,5,TRUE),0),
IF($C94="WS WH",VLOOKUP("GOAL",'2) หลักการคำนวน Table'!$D$62:$M$62,HLOOKUP(AK94,'2) หลักการคำนวน Table'!$D$1:$M$5,5,TRUE),0),
IF($C94="SF WH",VLOOKUP("GOAL",'2) หลักการคำนวน Table'!$D$92:$M$92,HLOOKUP(AK94,'2) หลักการคำนวน Table'!$D$1:$M$5,5,TRUE),0))))),0)</f>
        <v>0.9</v>
      </c>
      <c r="AX94" s="232">
        <f>IFERROR(IF($C94="Top WS",VLOOKUP("GOAL",'2) หลักการคำนวน Table'!$D$4:$M$4,HLOOKUP(AL94,'2) หลักการคำนวน Table'!$D$1:$M$5,5,TRUE),0),
IF($C94="WS SF",VLOOKUP("GOAL",'2) หลักการคำนวน Table'!$D$32:$M$32,HLOOKUP(AL94,'2) หลักการคำนวน Table'!$D$1:$M$5,5,TRUE),0),
IF($C94="WS WH",VLOOKUP("GOAL",'2) หลักการคำนวน Table'!$D$62:$M$62,HLOOKUP(AL94,'2) หลักการคำนวน Table'!$D$1:$M$5,5,TRUE),0),
IF($C94="SF WH",VLOOKUP("GOAL",'2) หลักการคำนวน Table'!$D$92:$M$92,HLOOKUP(AL94,'2) หลักการคำนวน Table'!$D$1:$M$5,5,TRUE),0))))),0)</f>
        <v>0.9</v>
      </c>
      <c r="AY94" s="232">
        <f>IFERROR(IF($C94="Top WS",VLOOKUP("GOAL",'2) หลักการคำนวน Table'!$D$4:$M$4,HLOOKUP(AM94,'2) หลักการคำนวน Table'!$D$1:$M$5,5,TRUE),0),
IF($C94="WS SF",VLOOKUP("GOAL",'2) หลักการคำนวน Table'!$D$32:$M$32,HLOOKUP(AM94,'2) หลักการคำนวน Table'!$D$1:$M$5,5,TRUE),0),
IF($C94="WS WH",VLOOKUP("GOAL",'2) หลักการคำนวน Table'!$D$62:$M$62,HLOOKUP(AM94,'2) หลักการคำนวน Table'!$D$1:$M$5,5,TRUE),0),
IF($C94="SF WH",VLOOKUP("GOAL",'2) หลักการคำนวน Table'!$D$92:$M$92,HLOOKUP(AM94,'2) หลักการคำนวน Table'!$D$1:$M$5,5,TRUE),0))))),0)</f>
        <v>0.9</v>
      </c>
      <c r="AZ94" s="167">
        <f>IFERROR(IF($C94="Top WS",VLOOKUP($B94,'2) หลักการคำนวน Table'!$D$5:$M$20,HLOOKUP(AB94,'2) หลักการคำนวน Table'!$D$1:$M$5,5,TRUE),0),
IF($C94="WS SF",VLOOKUP($B94,'2) หลักการคำนวน Table'!$D$33:$M$48,HLOOKUP(AB94,'2) หลักการคำนวน Table'!$D$1:$M$5,5,TRUE),0),
IF($C94="WS WH",VLOOKUP($B94,'2) หลักการคำนวน Table'!$D$63:$M$78,HLOOKUP(AB94,'2) หลักการคำนวน Table'!$D$1:$M$5,5,TRUE),0),
IF($C94="SF WH",VLOOKUP($B94,'2) หลักการคำนวน Table'!$D$93:$M$108,HLOOKUP(AB94,'2) หลักการคำนวน Table'!$D$1:$M$5,5,TRUE),0))))),0)</f>
        <v>525</v>
      </c>
      <c r="BA94" s="167">
        <f>IFERROR(IF($C94="Top WS",VLOOKUP($B94,'2) หลักการคำนวน Table'!$D$5:$M$20,HLOOKUP(AC94,'2) หลักการคำนวน Table'!$D$1:$M$5,5,TRUE),0),
IF($C94="WS SF",VLOOKUP($B94,'2) หลักการคำนวน Table'!$D$33:$M$48,HLOOKUP(AC94,'2) หลักการคำนวน Table'!$D$1:$M$5,5,TRUE),0),
IF($C94="WS WH",VLOOKUP($B94,'2) หลักการคำนวน Table'!$D$63:$M$78,HLOOKUP(AC94,'2) หลักการคำนวน Table'!$D$1:$M$5,5,TRUE),0),
IF($C94="SF WH",VLOOKUP($B94,'2) หลักการคำนวน Table'!$D$93:$M$108,HLOOKUP(AC94,'2) หลักการคำนวน Table'!$D$1:$M$5,5,TRUE),0))))),0)</f>
        <v>682.5</v>
      </c>
      <c r="BB94" s="167">
        <f>IFERROR(IF($C94="Top WS",VLOOKUP($B94,'2) หลักการคำนวน Table'!$D$5:$M$20,HLOOKUP(AD94,'2) หลักการคำนวน Table'!$D$1:$M$5,5,TRUE),0),
IF($C94="WS SF",VLOOKUP($B94,'2) หลักการคำนวน Table'!$D$33:$M$48,HLOOKUP(AD94,'2) หลักการคำนวน Table'!$D$1:$M$5,5,TRUE),0),
IF($C94="WS WH",VLOOKUP($B94,'2) หลักการคำนวน Table'!$D$63:$M$78,HLOOKUP(AD94,'2) หลักการคำนวน Table'!$D$1:$M$5,5,TRUE),0),
IF($C94="SF WH",VLOOKUP($B94,'2) หลักการคำนวน Table'!$D$93:$M$108,HLOOKUP(AD94,'2) หลักการคำนวน Table'!$D$1:$M$5,5,TRUE),0))))),0)</f>
        <v>472.5</v>
      </c>
      <c r="BC94" s="167">
        <f>IFERROR(IF($C94="Top WS",VLOOKUP($B94,'2) หลักการคำนวน Table'!$D$5:$M$20,HLOOKUP(AE94,'2) หลักการคำนวน Table'!$D$1:$M$5,5,TRUE),0),
IF($C94="WS SF",VLOOKUP($B94,'2) หลักการคำนวน Table'!$D$33:$M$48,HLOOKUP(AE94,'2) หลักการคำนวน Table'!$D$1:$M$5,5,TRUE),0),
IF($C94="WS WH",VLOOKUP($B94,'2) หลักการคำนวน Table'!$D$63:$M$78,HLOOKUP(AE94,'2) หลักการคำนวน Table'!$D$1:$M$5,5,TRUE),0),
IF($C94="SF WH",VLOOKUP($B94,'2) หลักการคำนวน Table'!$D$93:$M$108,HLOOKUP(AE94,'2) หลักการคำนวน Table'!$D$1:$M$5,5,TRUE),0))))),0)</f>
        <v>472.5</v>
      </c>
      <c r="BD94" s="167">
        <f>IFERROR(IF($C94="Top WS",VLOOKUP($B94,'2) หลักการคำนวน Table'!$D$5:$M$20,HLOOKUP(AF94,'2) หลักการคำนวน Table'!$D$1:$M$5,5,TRUE),0),
IF($C94="WS SF",VLOOKUP($B94,'2) หลักการคำนวน Table'!$D$33:$M$48,HLOOKUP(AF94,'2) หลักการคำนวน Table'!$D$1:$M$5,5,TRUE),0),
IF($C94="WS WH",VLOOKUP($B94,'2) หลักการคำนวน Table'!$D$63:$M$78,HLOOKUP(AF94,'2) หลักการคำนวน Table'!$D$1:$M$5,5,TRUE),0),
IF($C94="SF WH",VLOOKUP($B94,'2) หลักการคำนวน Table'!$D$93:$M$108,HLOOKUP(AF94,'2) หลักการคำนวน Table'!$D$1:$M$5,5,TRUE),0))))),0)</f>
        <v>472.5</v>
      </c>
      <c r="BE94" s="167">
        <f>IFERROR(IF($C94="Top WS",VLOOKUP($B94,'2) หลักการคำนวน Table'!$D$5:$M$20,HLOOKUP(AG94,'2) หลักการคำนวน Table'!$D$1:$M$5,5,TRUE),0),
IF($C94="WS SF",VLOOKUP($B94,'2) หลักการคำนวน Table'!$D$33:$M$48,HLOOKUP(AG94,'2) หลักการคำนวน Table'!$D$1:$M$5,5,TRUE),0),
IF($C94="WS WH",VLOOKUP($B94,'2) หลักการคำนวน Table'!$D$63:$M$78,HLOOKUP(AG94,'2) หลักการคำนวน Table'!$D$1:$M$5,5,TRUE),0),
IF($C94="SF WH",VLOOKUP($B94,'2) หลักการคำนวน Table'!$D$93:$M$108,HLOOKUP(AG94,'2) หลักการคำนวน Table'!$D$1:$M$5,5,TRUE),0))))),0)</f>
        <v>472.5</v>
      </c>
      <c r="BF94" s="167">
        <f>IFERROR(IF($C94="Top WS",VLOOKUP($B94,'2) หลักการคำนวน Table'!$D$5:$M$20,HLOOKUP(AH94,'2) หลักการคำนวน Table'!$D$1:$M$5,5,TRUE),0),
IF($C94="WS SF",VLOOKUP($B94,'2) หลักการคำนวน Table'!$D$33:$M$48,HLOOKUP(AH94,'2) หลักการคำนวน Table'!$D$1:$M$5,5,TRUE),0),
IF($C94="WS WH",VLOOKUP($B94,'2) หลักการคำนวน Table'!$D$63:$M$78,HLOOKUP(AH94,'2) หลักการคำนวน Table'!$D$1:$M$5,5,TRUE),0),
IF($C94="SF WH",VLOOKUP($B94,'2) หลักการคำนวน Table'!$D$93:$M$108,HLOOKUP(AH94,'2) หลักการคำนวน Table'!$D$1:$M$5,5,TRUE),0))))),0)</f>
        <v>472.5</v>
      </c>
      <c r="BG94" s="167">
        <f>IFERROR(IF($C94="Top WS",VLOOKUP($B94,'2) หลักการคำนวน Table'!$D$5:$M$20,HLOOKUP(AI94,'2) หลักการคำนวน Table'!$D$1:$M$5,5,TRUE),0),
IF($C94="WS SF",VLOOKUP($B94,'2) หลักการคำนวน Table'!$D$33:$M$48,HLOOKUP(AI94,'2) หลักการคำนวน Table'!$D$1:$M$5,5,TRUE),0),
IF($C94="WS WH",VLOOKUP($B94,'2) หลักการคำนวน Table'!$D$63:$M$78,HLOOKUP(AI94,'2) หลักการคำนวน Table'!$D$1:$M$5,5,TRUE),0),
IF($C94="SF WH",VLOOKUP($B94,'2) หลักการคำนวน Table'!$D$93:$M$108,HLOOKUP(AI94,'2) หลักการคำนวน Table'!$D$1:$M$5,5,TRUE),0))))),0)</f>
        <v>472.5</v>
      </c>
      <c r="BH94" s="167">
        <f>IFERROR(IF($C94="Top WS",VLOOKUP($B94,'2) หลักการคำนวน Table'!$D$5:$M$20,HLOOKUP(AP94,'2) หลักการคำนวน Table'!$D$1:$M$5,5,TRUE),0),
IF($C94="WS SF",VLOOKUP($B94,'2) หลักการคำนวน Table'!$D$33:$M$48,HLOOKUP(AP94,'2) หลักการคำนวน Table'!$D$1:$M$5,5,TRUE),0),
IF($C94="WS WH",VLOOKUP($B94,'2) หลักการคำนวน Table'!$D$63:$M$78,HLOOKUP(AP94,'2) หลักการคำนวน Table'!$D$1:$M$5,5,TRUE),0),
IF($C94="SF WH",VLOOKUP($B94,'2) หลักการคำนวน Table'!$D$93:$M$108,HLOOKUP(AP94,'2) หลักการคำนวน Table'!$D$1:$M$5,5,TRUE),0))))),0)</f>
        <v>472.5</v>
      </c>
      <c r="BI94" s="167">
        <f>IFERROR(IF($C94="Top WS",VLOOKUP($B94,'2) หลักการคำนวน Table'!$D$5:$M$20,HLOOKUP(AK94,'2) หลักการคำนวน Table'!$D$1:$M$5,5,TRUE),0),
IF($C94="WS SF",VLOOKUP($B94,'2) หลักการคำนวน Table'!$D$33:$M$48,HLOOKUP(AK94,'2) หลักการคำนวน Table'!$D$1:$M$5,5,TRUE),0),
IF($C94="WS WH",VLOOKUP($B94,'2) หลักการคำนวน Table'!$D$63:$M$78,HLOOKUP(AK94,'2) หลักการคำนวน Table'!$D$1:$M$5,5,TRUE),0),
IF($C94="SF WH",VLOOKUP($B94,'2) หลักการคำนวน Table'!$D$93:$M$108,HLOOKUP(AK94,'2) หลักการคำนวน Table'!$D$1:$M$5,5,TRUE),0))))),0)</f>
        <v>472.5</v>
      </c>
      <c r="BJ94" s="167">
        <f>IFERROR(IF($C94="Top WS",VLOOKUP($B94,'2) หลักการคำนวน Table'!$D$5:$M$20,HLOOKUP(AL94,'2) หลักการคำนวน Table'!$D$1:$M$5,5,TRUE),0),
IF($C94="WS SF",VLOOKUP($B94,'2) หลักการคำนวน Table'!$D$33:$M$48,HLOOKUP(AL94,'2) หลักการคำนวน Table'!$D$1:$M$5,5,TRUE),0),
IF($C94="WS WH",VLOOKUP($B94,'2) หลักการคำนวน Table'!$D$63:$M$78,HLOOKUP(AL94,'2) หลักการคำนวน Table'!$D$1:$M$5,5,TRUE),0),
IF($C94="SF WH",VLOOKUP($B94,'2) หลักการคำนวน Table'!$D$93:$M$108,HLOOKUP(AL94,'2) หลักการคำนวน Table'!$D$1:$M$5,5,TRUE),0))))),0)</f>
        <v>472.5</v>
      </c>
      <c r="BK94" s="167">
        <f>IFERROR(IF($C94="Top WS",VLOOKUP($B94,'2) หลักการคำนวน Table'!$D$5:$M$20,HLOOKUP(AM94,'2) หลักการคำนวน Table'!$D$1:$M$5,5,TRUE),0),
IF($C94="WS SF",VLOOKUP($B94,'2) หลักการคำนวน Table'!$D$33:$M$48,HLOOKUP(AM94,'2) หลักการคำนวน Table'!$D$1:$M$5,5,TRUE),0),
IF($C94="WS WH",VLOOKUP($B94,'2) หลักการคำนวน Table'!$D$63:$M$78,HLOOKUP(AM94,'2) หลักการคำนวน Table'!$D$1:$M$5,5,TRUE),0),
IF($C94="SF WH",VLOOKUP($B94,'2) หลักการคำนวน Table'!$D$93:$M$108,HLOOKUP(AM94,'2) หลักการคำนวน Table'!$D$1:$M$5,5,TRUE),0))))),0)</f>
        <v>472.5</v>
      </c>
      <c r="BM94" s="119">
        <f>VLOOKUP(VLOOKUP(A94,ASTBase!E:S,13,FALSE),ASTBase!F:P,11,FALSE)</f>
        <v>110000</v>
      </c>
      <c r="BN94" s="196" cm="1">
        <f t="array" ref="BN94">INDEX(AN94:AY94,,Period!$D$2)</f>
        <v>1.3</v>
      </c>
    </row>
    <row r="95" spans="1:66" x14ac:dyDescent="0.25">
      <c r="A95" s="388">
        <v>110002</v>
      </c>
      <c r="B95" s="388" t="s">
        <v>391</v>
      </c>
      <c r="C95" s="388" t="s">
        <v>179</v>
      </c>
      <c r="D95" s="118">
        <v>1123</v>
      </c>
      <c r="E95" s="118">
        <v>1321</v>
      </c>
      <c r="F95" s="118">
        <v>1428</v>
      </c>
      <c r="G95" s="118">
        <v>1505</v>
      </c>
      <c r="H95" s="118">
        <v>1480</v>
      </c>
      <c r="I95" s="118">
        <v>1460</v>
      </c>
      <c r="J95" s="118">
        <v>1534</v>
      </c>
      <c r="K95" s="118">
        <v>1585</v>
      </c>
      <c r="L95" s="118">
        <v>1833</v>
      </c>
      <c r="M95" s="118">
        <v>1347</v>
      </c>
      <c r="N95" s="118">
        <v>1197</v>
      </c>
      <c r="O95" s="118">
        <v>1215</v>
      </c>
      <c r="P95" s="117">
        <f>SUMIFS(Actual!C:C,Actual!$A:$A,'3)Target &amp; Cal'!$A95,Actual!$B:$B,'3)Target &amp; Cal'!$B95)</f>
        <v>409.99999999199986</v>
      </c>
      <c r="Q95" s="117">
        <f>SUMIFS(Actual!D:D,Actual!$A:$A,'3)Target &amp; Cal'!$A95,Actual!$B:$B,'3)Target &amp; Cal'!$B95)</f>
        <v>897.99999998267947</v>
      </c>
      <c r="R95" s="117">
        <f>SUMIFS(Actual!E:E,Actual!$A:$A,'3)Target &amp; Cal'!$A95,Actual!$B:$B,'3)Target &amp; Cal'!$B95)</f>
        <v>0</v>
      </c>
      <c r="S95" s="117">
        <f>SUMIFS(Actual!F:F,Actual!$A:$A,'3)Target &amp; Cal'!$A95,Actual!$B:$B,'3)Target &amp; Cal'!$B95)</f>
        <v>0</v>
      </c>
      <c r="T95" s="117">
        <f>SUMIFS(Actual!G:G,Actual!$A:$A,'3)Target &amp; Cal'!$A95,Actual!$B:$B,'3)Target &amp; Cal'!$B95)</f>
        <v>0</v>
      </c>
      <c r="U95" s="117">
        <f>SUMIFS(Actual!H:H,Actual!$A:$A,'3)Target &amp; Cal'!$A95,Actual!$B:$B,'3)Target &amp; Cal'!$B95)</f>
        <v>0</v>
      </c>
      <c r="V95" s="117">
        <f>SUMIFS(Actual!I:I,Actual!$A:$A,'3)Target &amp; Cal'!$A95,Actual!$B:$B,'3)Target &amp; Cal'!$B95)</f>
        <v>0</v>
      </c>
      <c r="W95" s="117">
        <f>SUMIFS(Actual!J:J,Actual!$A:$A,'3)Target &amp; Cal'!$A95,Actual!$B:$B,'3)Target &amp; Cal'!$B95)</f>
        <v>0</v>
      </c>
      <c r="X95" s="117">
        <f>SUMIFS(Actual!K:K,Actual!$A:$A,'3)Target &amp; Cal'!$A95,Actual!$B:$B,'3)Target &amp; Cal'!$B95)</f>
        <v>0</v>
      </c>
      <c r="Y95" s="117">
        <f>SUMIFS(Actual!L:L,Actual!$A:$A,'3)Target &amp; Cal'!$A95,Actual!$B:$B,'3)Target &amp; Cal'!$B95)</f>
        <v>0</v>
      </c>
      <c r="Z95" s="117">
        <f>SUMIFS(Actual!M:M,Actual!$A:$A,'3)Target &amp; Cal'!$A95,Actual!$B:$B,'3)Target &amp; Cal'!$B95)</f>
        <v>0</v>
      </c>
      <c r="AA95" s="117">
        <f>SUMIFS(Actual!N:N,Actual!$A:$A,'3)Target &amp; Cal'!$A95,Actual!$B:$B,'3)Target &amp; Cal'!$B95)</f>
        <v>0</v>
      </c>
      <c r="AB95" s="123">
        <f>IFERROR(IF(VLOOKUP($B95,Shortage!$A:$M,AB$2,FALSE)="Shortage",1,IFERROR(ROUND(P95/D95,4),0)),IFERROR(ROUND(P95/D95,4),0))</f>
        <v>1</v>
      </c>
      <c r="AC95" s="123">
        <f>IFERROR(IF(VLOOKUP($B95,Shortage!$A:$M,AC$2,FALSE)="Shortage",1,IFERROR(ROUND(Q95/E95,4),0)),IFERROR(ROUND(Q95/E95,4),0))</f>
        <v>1</v>
      </c>
      <c r="AD95" s="123">
        <f>IFERROR(IF(VLOOKUP($B95,Shortage!$A:$M,AD$2,FALSE)="Shortage",1,IFERROR(ROUND(R95/F95,4),0)),IFERROR(ROUND(R95/F95,4),0))</f>
        <v>0</v>
      </c>
      <c r="AE95" s="123">
        <f>IFERROR(IF(VLOOKUP($B95,Shortage!$A:$M,AE$2,FALSE)="Shortage",1,IFERROR(ROUND(S95/G95,4),0)),IFERROR(ROUND(S95/G95,4),0))</f>
        <v>0</v>
      </c>
      <c r="AF95" s="123">
        <f>IFERROR(IF(VLOOKUP($B95,Shortage!$A:$M,AF$2,FALSE)="Shortage",1,IFERROR(ROUND(T95/H95,4),0)),IFERROR(ROUND(T95/H95,4),0))</f>
        <v>0</v>
      </c>
      <c r="AG95" s="123">
        <f>IFERROR(IF(VLOOKUP($B95,Shortage!$A:$M,AG$2,FALSE)="Shortage",1,IFERROR(ROUND(U95/I95,4),0)),IFERROR(ROUND(U95/I95,4),0))</f>
        <v>0</v>
      </c>
      <c r="AH95" s="123">
        <f>IFERROR(IF(VLOOKUP($B95,Shortage!$A:$M,AH$2,FALSE)="Shortage",1,IFERROR(ROUND(V95/J95,4),0)),IFERROR(ROUND(V95/J95,4),0))</f>
        <v>0</v>
      </c>
      <c r="AI95" s="123">
        <f>IFERROR(IF(VLOOKUP($B95,Shortage!$A:$M,AI$2,FALSE)="Shortage",1,IFERROR(ROUND(W95/K95,4),0)),IFERROR(ROUND(W95/K95,4),0))</f>
        <v>0</v>
      </c>
      <c r="AJ95" s="123">
        <f>IFERROR(IF(VLOOKUP($B95,Shortage!$A:$M,AP$2,FALSE)="Shortage",1,IFERROR(ROUND(X95/L95,4),0)),IFERROR(ROUND(X95/L95,4),0))</f>
        <v>0</v>
      </c>
      <c r="AK95" s="123">
        <f>IFERROR(IF(VLOOKUP($B95,Shortage!$A:$M,AK$2,FALSE)="Shortage",1,IFERROR(ROUND(Y95/M95,4),0)),IFERROR(ROUND(Y95/M95,4),0))</f>
        <v>0</v>
      </c>
      <c r="AL95" s="123">
        <f>IFERROR(IF(VLOOKUP($B95,Shortage!$A:$M,AL$2,FALSE)="Shortage",1,IFERROR(ROUND(Z95/N95,4),0)),IFERROR(ROUND(Z95/N95,4),0))</f>
        <v>0</v>
      </c>
      <c r="AM95" s="123">
        <f>IFERROR(IF(VLOOKUP($B95,Shortage!$A:$M,AM$2,FALSE)="Shortage",1,IFERROR(ROUND(AA95/O95,4),0)),IFERROR(ROUND(AA95/O95,4),0))</f>
        <v>0</v>
      </c>
      <c r="AN95" s="232">
        <f>IFERROR(IF($C95="Top WS",VLOOKUP("GOAL",'2) หลักการคำนวน Table'!$D$4:$M$4,HLOOKUP(AB95,'2) หลักการคำนวน Table'!$D$1:$M$5,5,TRUE),0),
IF($C95="WS SF",VLOOKUP("GOAL",'2) หลักการคำนวน Table'!$D$32:$M$32,HLOOKUP(AB95,'2) หลักการคำนวน Table'!$D$1:$M$5,5,TRUE),0),
IF($C95="WS WH",VLOOKUP("GOAL",'2) หลักการคำนวน Table'!$D$62:$M$62,HLOOKUP(AB95,'2) หลักการคำนวน Table'!$D$1:$M$5,5,TRUE),0),
IF($C95="SF WH",VLOOKUP("GOAL",'2) หลักการคำนวน Table'!$D$92:$M$92,HLOOKUP(AB95,'2) หลักการคำนวน Table'!$D$1:$M$5,5,TRUE),0))))),0)</f>
        <v>1</v>
      </c>
      <c r="AO95" s="232">
        <f>IFERROR(IF($C95="Top WS",VLOOKUP("GOAL",'2) หลักการคำนวน Table'!$D$4:$M$4,HLOOKUP(AC95,'2) หลักการคำนวน Table'!$D$1:$M$5,5,TRUE),0),
IF($C95="WS SF",VLOOKUP("GOAL",'2) หลักการคำนวน Table'!$D$32:$M$32,HLOOKUP(AC95,'2) หลักการคำนวน Table'!$D$1:$M$5,5,TRUE),0),
IF($C95="WS WH",VLOOKUP("GOAL",'2) หลักการคำนวน Table'!$D$62:$M$62,HLOOKUP(AC95,'2) หลักการคำนวน Table'!$D$1:$M$5,5,TRUE),0),
IF($C95="SF WH",VLOOKUP("GOAL",'2) หลักการคำนวน Table'!$D$92:$M$92,HLOOKUP(AC95,'2) หลักการคำนวน Table'!$D$1:$M$5,5,TRUE),0))))),0)</f>
        <v>1</v>
      </c>
      <c r="AP95" s="232">
        <f>IFERROR(IF($C95="Top WS",VLOOKUP("GOAL",'2) หลักการคำนวน Table'!$D$4:$M$4,HLOOKUP(AD95,'2) หลักการคำนวน Table'!$D$1:$M$5,5,TRUE),0),
IF($C95="WS SF",VLOOKUP("GOAL",'2) หลักการคำนวน Table'!$D$32:$M$32,HLOOKUP(AD95,'2) หลักการคำนวน Table'!$D$1:$M$5,5,TRUE),0),
IF($C95="WS WH",VLOOKUP("GOAL",'2) หลักการคำนวน Table'!$D$62:$M$62,HLOOKUP(AD95,'2) หลักการคำนวน Table'!$D$1:$M$5,5,TRUE),0),
IF($C95="SF WH",VLOOKUP("GOAL",'2) หลักการคำนวน Table'!$D$92:$M$92,HLOOKUP(AD95,'2) หลักการคำนวน Table'!$D$1:$M$5,5,TRUE),0))))),0)</f>
        <v>0.9</v>
      </c>
      <c r="AQ95" s="232">
        <f>IFERROR(IF($C95="Top WS",VLOOKUP("GOAL",'2) หลักการคำนวน Table'!$D$4:$M$4,HLOOKUP(AE95,'2) หลักการคำนวน Table'!$D$1:$M$5,5,TRUE),0),
IF($C95="WS SF",VLOOKUP("GOAL",'2) หลักการคำนวน Table'!$D$32:$M$32,HLOOKUP(AE95,'2) หลักการคำนวน Table'!$D$1:$M$5,5,TRUE),0),
IF($C95="WS WH",VLOOKUP("GOAL",'2) หลักการคำนวน Table'!$D$62:$M$62,HLOOKUP(AE95,'2) หลักการคำนวน Table'!$D$1:$M$5,5,TRUE),0),
IF($C95="SF WH",VLOOKUP("GOAL",'2) หลักการคำนวน Table'!$D$92:$M$92,HLOOKUP(AE95,'2) หลักการคำนวน Table'!$D$1:$M$5,5,TRUE),0))))),0)</f>
        <v>0.9</v>
      </c>
      <c r="AR95" s="232">
        <f>IFERROR(IF($C95="Top WS",VLOOKUP("GOAL",'2) หลักการคำนวน Table'!$D$4:$M$4,HLOOKUP(AF95,'2) หลักการคำนวน Table'!$D$1:$M$5,5,TRUE),0),
IF($C95="WS SF",VLOOKUP("GOAL",'2) หลักการคำนวน Table'!$D$32:$M$32,HLOOKUP(AF95,'2) หลักการคำนวน Table'!$D$1:$M$5,5,TRUE),0),
IF($C95="WS WH",VLOOKUP("GOAL",'2) หลักการคำนวน Table'!$D$62:$M$62,HLOOKUP(AF95,'2) หลักการคำนวน Table'!$D$1:$M$5,5,TRUE),0),
IF($C95="SF WH",VLOOKUP("GOAL",'2) หลักการคำนวน Table'!$D$92:$M$92,HLOOKUP(AF95,'2) หลักการคำนวน Table'!$D$1:$M$5,5,TRUE),0))))),0)</f>
        <v>0.9</v>
      </c>
      <c r="AS95" s="232">
        <f>IFERROR(IF($C95="Top WS",VLOOKUP("GOAL",'2) หลักการคำนวน Table'!$D$4:$M$4,HLOOKUP(AG95,'2) หลักการคำนวน Table'!$D$1:$M$5,5,TRUE),0),
IF($C95="WS SF",VLOOKUP("GOAL",'2) หลักการคำนวน Table'!$D$32:$M$32,HLOOKUP(AG95,'2) หลักการคำนวน Table'!$D$1:$M$5,5,TRUE),0),
IF($C95="WS WH",VLOOKUP("GOAL",'2) หลักการคำนวน Table'!$D$62:$M$62,HLOOKUP(AG95,'2) หลักการคำนวน Table'!$D$1:$M$5,5,TRUE),0),
IF($C95="SF WH",VLOOKUP("GOAL",'2) หลักการคำนวน Table'!$D$92:$M$92,HLOOKUP(AG95,'2) หลักการคำนวน Table'!$D$1:$M$5,5,TRUE),0))))),0)</f>
        <v>0.9</v>
      </c>
      <c r="AT95" s="232">
        <f>IFERROR(IF($C95="Top WS",VLOOKUP("GOAL",'2) หลักการคำนวน Table'!$D$4:$M$4,HLOOKUP(AH95,'2) หลักการคำนวน Table'!$D$1:$M$5,5,TRUE),0),
IF($C95="WS SF",VLOOKUP("GOAL",'2) หลักการคำนวน Table'!$D$32:$M$32,HLOOKUP(AH95,'2) หลักการคำนวน Table'!$D$1:$M$5,5,TRUE),0),
IF($C95="WS WH",VLOOKUP("GOAL",'2) หลักการคำนวน Table'!$D$62:$M$62,HLOOKUP(AH95,'2) หลักการคำนวน Table'!$D$1:$M$5,5,TRUE),0),
IF($C95="SF WH",VLOOKUP("GOAL",'2) หลักการคำนวน Table'!$D$92:$M$92,HLOOKUP(AH95,'2) หลักการคำนวน Table'!$D$1:$M$5,5,TRUE),0))))),0)</f>
        <v>0.9</v>
      </c>
      <c r="AU95" s="232">
        <f>IFERROR(IF($C95="Top WS",VLOOKUP("GOAL",'2) หลักการคำนวน Table'!$D$4:$M$4,HLOOKUP(AI95,'2) หลักการคำนวน Table'!$D$1:$M$5,5,TRUE),0),
IF($C95="WS SF",VLOOKUP("GOAL",'2) หลักการคำนวน Table'!$D$32:$M$32,HLOOKUP(AI95,'2) หลักการคำนวน Table'!$D$1:$M$5,5,TRUE),0),
IF($C95="WS WH",VLOOKUP("GOAL",'2) หลักการคำนวน Table'!$D$62:$M$62,HLOOKUP(AI95,'2) หลักการคำนวน Table'!$D$1:$M$5,5,TRUE),0),
IF($C95="SF WH",VLOOKUP("GOAL",'2) หลักการคำนวน Table'!$D$92:$M$92,HLOOKUP(AI95,'2) หลักการคำนวน Table'!$D$1:$M$5,5,TRUE),0))))),0)</f>
        <v>0.9</v>
      </c>
      <c r="AV95" s="232">
        <f>IFERROR(IF($C95="Top WS",VLOOKUP("GOAL",'2) หลักการคำนวน Table'!$D$4:$M$4,HLOOKUP(AP95,'2) หลักการคำนวน Table'!$D$1:$M$5,5,TRUE),0),
IF($C95="WS SF",VLOOKUP("GOAL",'2) หลักการคำนวน Table'!$D$32:$M$32,HLOOKUP(AP95,'2) หลักการคำนวน Table'!$D$1:$M$5,5,TRUE),0),
IF($C95="WS WH",VLOOKUP("GOAL",'2) หลักการคำนวน Table'!$D$62:$M$62,HLOOKUP(AP95,'2) หลักการคำนวน Table'!$D$1:$M$5,5,TRUE),0),
IF($C95="SF WH",VLOOKUP("GOAL",'2) หลักการคำนวน Table'!$D$92:$M$92,HLOOKUP(AP95,'2) หลักการคำนวน Table'!$D$1:$M$5,5,TRUE),0))))),0)</f>
        <v>0.9</v>
      </c>
      <c r="AW95" s="232">
        <f>IFERROR(IF($C95="Top WS",VLOOKUP("GOAL",'2) หลักการคำนวน Table'!$D$4:$M$4,HLOOKUP(AK95,'2) หลักการคำนวน Table'!$D$1:$M$5,5,TRUE),0),
IF($C95="WS SF",VLOOKUP("GOAL",'2) หลักการคำนวน Table'!$D$32:$M$32,HLOOKUP(AK95,'2) หลักการคำนวน Table'!$D$1:$M$5,5,TRUE),0),
IF($C95="WS WH",VLOOKUP("GOAL",'2) หลักการคำนวน Table'!$D$62:$M$62,HLOOKUP(AK95,'2) หลักการคำนวน Table'!$D$1:$M$5,5,TRUE),0),
IF($C95="SF WH",VLOOKUP("GOAL",'2) หลักการคำนวน Table'!$D$92:$M$92,HLOOKUP(AK95,'2) หลักการคำนวน Table'!$D$1:$M$5,5,TRUE),0))))),0)</f>
        <v>0.9</v>
      </c>
      <c r="AX95" s="232">
        <f>IFERROR(IF($C95="Top WS",VLOOKUP("GOAL",'2) หลักการคำนวน Table'!$D$4:$M$4,HLOOKUP(AL95,'2) หลักการคำนวน Table'!$D$1:$M$5,5,TRUE),0),
IF($C95="WS SF",VLOOKUP("GOAL",'2) หลักการคำนวน Table'!$D$32:$M$32,HLOOKUP(AL95,'2) หลักการคำนวน Table'!$D$1:$M$5,5,TRUE),0),
IF($C95="WS WH",VLOOKUP("GOAL",'2) หลักการคำนวน Table'!$D$62:$M$62,HLOOKUP(AL95,'2) หลักการคำนวน Table'!$D$1:$M$5,5,TRUE),0),
IF($C95="SF WH",VLOOKUP("GOAL",'2) หลักการคำนวน Table'!$D$92:$M$92,HLOOKUP(AL95,'2) หลักการคำนวน Table'!$D$1:$M$5,5,TRUE),0))))),0)</f>
        <v>0.9</v>
      </c>
      <c r="AY95" s="232">
        <f>IFERROR(IF($C95="Top WS",VLOOKUP("GOAL",'2) หลักการคำนวน Table'!$D$4:$M$4,HLOOKUP(AM95,'2) หลักการคำนวน Table'!$D$1:$M$5,5,TRUE),0),
IF($C95="WS SF",VLOOKUP("GOAL",'2) หลักการคำนวน Table'!$D$32:$M$32,HLOOKUP(AM95,'2) หลักการคำนวน Table'!$D$1:$M$5,5,TRUE),0),
IF($C95="WS WH",VLOOKUP("GOAL",'2) หลักการคำนวน Table'!$D$62:$M$62,HLOOKUP(AM95,'2) หลักการคำนวน Table'!$D$1:$M$5,5,TRUE),0),
IF($C95="SF WH",VLOOKUP("GOAL",'2) หลักการคำนวน Table'!$D$92:$M$92,HLOOKUP(AM95,'2) หลักการคำนวน Table'!$D$1:$M$5,5,TRUE),0))))),0)</f>
        <v>0.9</v>
      </c>
      <c r="AZ95" s="167">
        <f>IFERROR(IF($C95="Top WS",VLOOKUP($B95,'2) หลักการคำนวน Table'!$D$5:$M$20,HLOOKUP(AB95,'2) หลักการคำนวน Table'!$D$1:$M$5,5,TRUE),0),
IF($C95="WS SF",VLOOKUP($B95,'2) หลักการคำนวน Table'!$D$33:$M$48,HLOOKUP(AB95,'2) หลักการคำนวน Table'!$D$1:$M$5,5,TRUE),0),
IF($C95="WS WH",VLOOKUP($B95,'2) หลักการคำนวน Table'!$D$63:$M$78,HLOOKUP(AB95,'2) หลักการคำนวน Table'!$D$1:$M$5,5,TRUE),0),
IF($C95="SF WH",VLOOKUP($B95,'2) หลักการคำนวน Table'!$D$93:$M$108,HLOOKUP(AB95,'2) หลักการคำนวน Table'!$D$1:$M$5,5,TRUE),0))))),0)</f>
        <v>525</v>
      </c>
      <c r="BA95" s="167">
        <f>IFERROR(IF($C95="Top WS",VLOOKUP($B95,'2) หลักการคำนวน Table'!$D$5:$M$20,HLOOKUP(AC95,'2) หลักการคำนวน Table'!$D$1:$M$5,5,TRUE),0),
IF($C95="WS SF",VLOOKUP($B95,'2) หลักการคำนวน Table'!$D$33:$M$48,HLOOKUP(AC95,'2) หลักการคำนวน Table'!$D$1:$M$5,5,TRUE),0),
IF($C95="WS WH",VLOOKUP($B95,'2) หลักการคำนวน Table'!$D$63:$M$78,HLOOKUP(AC95,'2) หลักการคำนวน Table'!$D$1:$M$5,5,TRUE),0),
IF($C95="SF WH",VLOOKUP($B95,'2) หลักการคำนวน Table'!$D$93:$M$108,HLOOKUP(AC95,'2) หลักการคำนวน Table'!$D$1:$M$5,5,TRUE),0))))),0)</f>
        <v>525</v>
      </c>
      <c r="BB95" s="167">
        <f>IFERROR(IF($C95="Top WS",VLOOKUP($B95,'2) หลักการคำนวน Table'!$D$5:$M$20,HLOOKUP(AD95,'2) หลักการคำนวน Table'!$D$1:$M$5,5,TRUE),0),
IF($C95="WS SF",VLOOKUP($B95,'2) หลักการคำนวน Table'!$D$33:$M$48,HLOOKUP(AD95,'2) หลักการคำนวน Table'!$D$1:$M$5,5,TRUE),0),
IF($C95="WS WH",VLOOKUP($B95,'2) หลักการคำนวน Table'!$D$63:$M$78,HLOOKUP(AD95,'2) หลักการคำนวน Table'!$D$1:$M$5,5,TRUE),0),
IF($C95="SF WH",VLOOKUP($B95,'2) หลักการคำนวน Table'!$D$93:$M$108,HLOOKUP(AD95,'2) หลักการคำนวน Table'!$D$1:$M$5,5,TRUE),0))))),0)</f>
        <v>472.5</v>
      </c>
      <c r="BC95" s="167">
        <f>IFERROR(IF($C95="Top WS",VLOOKUP($B95,'2) หลักการคำนวน Table'!$D$5:$M$20,HLOOKUP(AE95,'2) หลักการคำนวน Table'!$D$1:$M$5,5,TRUE),0),
IF($C95="WS SF",VLOOKUP($B95,'2) หลักการคำนวน Table'!$D$33:$M$48,HLOOKUP(AE95,'2) หลักการคำนวน Table'!$D$1:$M$5,5,TRUE),0),
IF($C95="WS WH",VLOOKUP($B95,'2) หลักการคำนวน Table'!$D$63:$M$78,HLOOKUP(AE95,'2) หลักการคำนวน Table'!$D$1:$M$5,5,TRUE),0),
IF($C95="SF WH",VLOOKUP($B95,'2) หลักการคำนวน Table'!$D$93:$M$108,HLOOKUP(AE95,'2) หลักการคำนวน Table'!$D$1:$M$5,5,TRUE),0))))),0)</f>
        <v>472.5</v>
      </c>
      <c r="BD95" s="167">
        <f>IFERROR(IF($C95="Top WS",VLOOKUP($B95,'2) หลักการคำนวน Table'!$D$5:$M$20,HLOOKUP(AF95,'2) หลักการคำนวน Table'!$D$1:$M$5,5,TRUE),0),
IF($C95="WS SF",VLOOKUP($B95,'2) หลักการคำนวน Table'!$D$33:$M$48,HLOOKUP(AF95,'2) หลักการคำนวน Table'!$D$1:$M$5,5,TRUE),0),
IF($C95="WS WH",VLOOKUP($B95,'2) หลักการคำนวน Table'!$D$63:$M$78,HLOOKUP(AF95,'2) หลักการคำนวน Table'!$D$1:$M$5,5,TRUE),0),
IF($C95="SF WH",VLOOKUP($B95,'2) หลักการคำนวน Table'!$D$93:$M$108,HLOOKUP(AF95,'2) หลักการคำนวน Table'!$D$1:$M$5,5,TRUE),0))))),0)</f>
        <v>472.5</v>
      </c>
      <c r="BE95" s="167">
        <f>IFERROR(IF($C95="Top WS",VLOOKUP($B95,'2) หลักการคำนวน Table'!$D$5:$M$20,HLOOKUP(AG95,'2) หลักการคำนวน Table'!$D$1:$M$5,5,TRUE),0),
IF($C95="WS SF",VLOOKUP($B95,'2) หลักการคำนวน Table'!$D$33:$M$48,HLOOKUP(AG95,'2) หลักการคำนวน Table'!$D$1:$M$5,5,TRUE),0),
IF($C95="WS WH",VLOOKUP($B95,'2) หลักการคำนวน Table'!$D$63:$M$78,HLOOKUP(AG95,'2) หลักการคำนวน Table'!$D$1:$M$5,5,TRUE),0),
IF($C95="SF WH",VLOOKUP($B95,'2) หลักการคำนวน Table'!$D$93:$M$108,HLOOKUP(AG95,'2) หลักการคำนวน Table'!$D$1:$M$5,5,TRUE),0))))),0)</f>
        <v>472.5</v>
      </c>
      <c r="BF95" s="167">
        <f>IFERROR(IF($C95="Top WS",VLOOKUP($B95,'2) หลักการคำนวน Table'!$D$5:$M$20,HLOOKUP(AH95,'2) หลักการคำนวน Table'!$D$1:$M$5,5,TRUE),0),
IF($C95="WS SF",VLOOKUP($B95,'2) หลักการคำนวน Table'!$D$33:$M$48,HLOOKUP(AH95,'2) หลักการคำนวน Table'!$D$1:$M$5,5,TRUE),0),
IF($C95="WS WH",VLOOKUP($B95,'2) หลักการคำนวน Table'!$D$63:$M$78,HLOOKUP(AH95,'2) หลักการคำนวน Table'!$D$1:$M$5,5,TRUE),0),
IF($C95="SF WH",VLOOKUP($B95,'2) หลักการคำนวน Table'!$D$93:$M$108,HLOOKUP(AH95,'2) หลักการคำนวน Table'!$D$1:$M$5,5,TRUE),0))))),0)</f>
        <v>472.5</v>
      </c>
      <c r="BG95" s="167">
        <f>IFERROR(IF($C95="Top WS",VLOOKUP($B95,'2) หลักการคำนวน Table'!$D$5:$M$20,HLOOKUP(AI95,'2) หลักการคำนวน Table'!$D$1:$M$5,5,TRUE),0),
IF($C95="WS SF",VLOOKUP($B95,'2) หลักการคำนวน Table'!$D$33:$M$48,HLOOKUP(AI95,'2) หลักการคำนวน Table'!$D$1:$M$5,5,TRUE),0),
IF($C95="WS WH",VLOOKUP($B95,'2) หลักการคำนวน Table'!$D$63:$M$78,HLOOKUP(AI95,'2) หลักการคำนวน Table'!$D$1:$M$5,5,TRUE),0),
IF($C95="SF WH",VLOOKUP($B95,'2) หลักการคำนวน Table'!$D$93:$M$108,HLOOKUP(AI95,'2) หลักการคำนวน Table'!$D$1:$M$5,5,TRUE),0))))),0)</f>
        <v>472.5</v>
      </c>
      <c r="BH95" s="167">
        <f>IFERROR(IF($C95="Top WS",VLOOKUP($B95,'2) หลักการคำนวน Table'!$D$5:$M$20,HLOOKUP(AP95,'2) หลักการคำนวน Table'!$D$1:$M$5,5,TRUE),0),
IF($C95="WS SF",VLOOKUP($B95,'2) หลักการคำนวน Table'!$D$33:$M$48,HLOOKUP(AP95,'2) หลักการคำนวน Table'!$D$1:$M$5,5,TRUE),0),
IF($C95="WS WH",VLOOKUP($B95,'2) หลักการคำนวน Table'!$D$63:$M$78,HLOOKUP(AP95,'2) หลักการคำนวน Table'!$D$1:$M$5,5,TRUE),0),
IF($C95="SF WH",VLOOKUP($B95,'2) หลักการคำนวน Table'!$D$93:$M$108,HLOOKUP(AP95,'2) หลักการคำนวน Table'!$D$1:$M$5,5,TRUE),0))))),0)</f>
        <v>472.5</v>
      </c>
      <c r="BI95" s="167">
        <f>IFERROR(IF($C95="Top WS",VLOOKUP($B95,'2) หลักการคำนวน Table'!$D$5:$M$20,HLOOKUP(AK95,'2) หลักการคำนวน Table'!$D$1:$M$5,5,TRUE),0),
IF($C95="WS SF",VLOOKUP($B95,'2) หลักการคำนวน Table'!$D$33:$M$48,HLOOKUP(AK95,'2) หลักการคำนวน Table'!$D$1:$M$5,5,TRUE),0),
IF($C95="WS WH",VLOOKUP($B95,'2) หลักการคำนวน Table'!$D$63:$M$78,HLOOKUP(AK95,'2) หลักการคำนวน Table'!$D$1:$M$5,5,TRUE),0),
IF($C95="SF WH",VLOOKUP($B95,'2) หลักการคำนวน Table'!$D$93:$M$108,HLOOKUP(AK95,'2) หลักการคำนวน Table'!$D$1:$M$5,5,TRUE),0))))),0)</f>
        <v>472.5</v>
      </c>
      <c r="BJ95" s="167">
        <f>IFERROR(IF($C95="Top WS",VLOOKUP($B95,'2) หลักการคำนวน Table'!$D$5:$M$20,HLOOKUP(AL95,'2) หลักการคำนวน Table'!$D$1:$M$5,5,TRUE),0),
IF($C95="WS SF",VLOOKUP($B95,'2) หลักการคำนวน Table'!$D$33:$M$48,HLOOKUP(AL95,'2) หลักการคำนวน Table'!$D$1:$M$5,5,TRUE),0),
IF($C95="WS WH",VLOOKUP($B95,'2) หลักการคำนวน Table'!$D$63:$M$78,HLOOKUP(AL95,'2) หลักการคำนวน Table'!$D$1:$M$5,5,TRUE),0),
IF($C95="SF WH",VLOOKUP($B95,'2) หลักการคำนวน Table'!$D$93:$M$108,HLOOKUP(AL95,'2) หลักการคำนวน Table'!$D$1:$M$5,5,TRUE),0))))),0)</f>
        <v>472.5</v>
      </c>
      <c r="BK95" s="167">
        <f>IFERROR(IF($C95="Top WS",VLOOKUP($B95,'2) หลักการคำนวน Table'!$D$5:$M$20,HLOOKUP(AM95,'2) หลักการคำนวน Table'!$D$1:$M$5,5,TRUE),0),
IF($C95="WS SF",VLOOKUP($B95,'2) หลักการคำนวน Table'!$D$33:$M$48,HLOOKUP(AM95,'2) หลักการคำนวน Table'!$D$1:$M$5,5,TRUE),0),
IF($C95="WS WH",VLOOKUP($B95,'2) หลักการคำนวน Table'!$D$63:$M$78,HLOOKUP(AM95,'2) หลักการคำนวน Table'!$D$1:$M$5,5,TRUE),0),
IF($C95="SF WH",VLOOKUP($B95,'2) หลักการคำนวน Table'!$D$93:$M$108,HLOOKUP(AM95,'2) หลักการคำนวน Table'!$D$1:$M$5,5,TRUE),0))))),0)</f>
        <v>472.5</v>
      </c>
      <c r="BM95" s="119">
        <f>VLOOKUP(VLOOKUP(A95,ASTBase!E:S,13,FALSE),ASTBase!F:P,11,FALSE)</f>
        <v>110000</v>
      </c>
      <c r="BN95" s="196" cm="1">
        <f t="array" ref="BN95">INDEX(AN95:AY95,,Period!$D$2)</f>
        <v>1</v>
      </c>
    </row>
    <row r="96" spans="1:66" x14ac:dyDescent="0.25">
      <c r="A96" s="388">
        <v>110002</v>
      </c>
      <c r="B96" s="388" t="s">
        <v>395</v>
      </c>
      <c r="C96" s="388" t="s">
        <v>179</v>
      </c>
      <c r="D96" s="118">
        <v>430</v>
      </c>
      <c r="E96" s="118">
        <v>471</v>
      </c>
      <c r="F96" s="118">
        <v>516</v>
      </c>
      <c r="G96" s="118">
        <v>589</v>
      </c>
      <c r="H96" s="118">
        <v>483</v>
      </c>
      <c r="I96" s="118">
        <v>422</v>
      </c>
      <c r="J96" s="118">
        <v>602</v>
      </c>
      <c r="K96" s="118">
        <v>629</v>
      </c>
      <c r="L96" s="118">
        <v>508</v>
      </c>
      <c r="M96" s="118">
        <v>541</v>
      </c>
      <c r="N96" s="118">
        <v>457</v>
      </c>
      <c r="O96" s="118">
        <v>460</v>
      </c>
      <c r="P96" s="117">
        <f>SUMIFS(Actual!C:C,Actual!$A:$A,'3)Target &amp; Cal'!$A96,Actual!$B:$B,'3)Target &amp; Cal'!$B96)</f>
        <v>1285.0800000000004</v>
      </c>
      <c r="Q96" s="117">
        <f>SUMIFS(Actual!D:D,Actual!$A:$A,'3)Target &amp; Cal'!$A96,Actual!$B:$B,'3)Target &amp; Cal'!$B96)</f>
        <v>1242.1799999999998</v>
      </c>
      <c r="R96" s="117">
        <f>SUMIFS(Actual!E:E,Actual!$A:$A,'3)Target &amp; Cal'!$A96,Actual!$B:$B,'3)Target &amp; Cal'!$B96)</f>
        <v>0</v>
      </c>
      <c r="S96" s="117">
        <f>SUMIFS(Actual!F:F,Actual!$A:$A,'3)Target &amp; Cal'!$A96,Actual!$B:$B,'3)Target &amp; Cal'!$B96)</f>
        <v>0</v>
      </c>
      <c r="T96" s="117">
        <f>SUMIFS(Actual!G:G,Actual!$A:$A,'3)Target &amp; Cal'!$A96,Actual!$B:$B,'3)Target &amp; Cal'!$B96)</f>
        <v>0</v>
      </c>
      <c r="U96" s="117">
        <f>SUMIFS(Actual!H:H,Actual!$A:$A,'3)Target &amp; Cal'!$A96,Actual!$B:$B,'3)Target &amp; Cal'!$B96)</f>
        <v>0</v>
      </c>
      <c r="V96" s="117">
        <f>SUMIFS(Actual!I:I,Actual!$A:$A,'3)Target &amp; Cal'!$A96,Actual!$B:$B,'3)Target &amp; Cal'!$B96)</f>
        <v>0</v>
      </c>
      <c r="W96" s="117">
        <f>SUMIFS(Actual!J:J,Actual!$A:$A,'3)Target &amp; Cal'!$A96,Actual!$B:$B,'3)Target &amp; Cal'!$B96)</f>
        <v>0</v>
      </c>
      <c r="X96" s="117">
        <f>SUMIFS(Actual!K:K,Actual!$A:$A,'3)Target &amp; Cal'!$A96,Actual!$B:$B,'3)Target &amp; Cal'!$B96)</f>
        <v>0</v>
      </c>
      <c r="Y96" s="117">
        <f>SUMIFS(Actual!L:L,Actual!$A:$A,'3)Target &amp; Cal'!$A96,Actual!$B:$B,'3)Target &amp; Cal'!$B96)</f>
        <v>0</v>
      </c>
      <c r="Z96" s="117">
        <f>SUMIFS(Actual!M:M,Actual!$A:$A,'3)Target &amp; Cal'!$A96,Actual!$B:$B,'3)Target &amp; Cal'!$B96)</f>
        <v>0</v>
      </c>
      <c r="AA96" s="117">
        <f>SUMIFS(Actual!N:N,Actual!$A:$A,'3)Target &amp; Cal'!$A96,Actual!$B:$B,'3)Target &amp; Cal'!$B96)</f>
        <v>0</v>
      </c>
      <c r="AB96" s="123">
        <f>IFERROR(IF(VLOOKUP($B96,Shortage!$A:$M,AB$2,FALSE)="Shortage",1,IFERROR(ROUND(P96/D96,4),0)),IFERROR(ROUND(P96/D96,4),0))</f>
        <v>2.9885999999999999</v>
      </c>
      <c r="AC96" s="123">
        <f>IFERROR(IF(VLOOKUP($B96,Shortage!$A:$M,AC$2,FALSE)="Shortage",1,IFERROR(ROUND(Q96/E96,4),0)),IFERROR(ROUND(Q96/E96,4),0))</f>
        <v>2.6373000000000002</v>
      </c>
      <c r="AD96" s="123">
        <f>IFERROR(IF(VLOOKUP($B96,Shortage!$A:$M,AD$2,FALSE)="Shortage",1,IFERROR(ROUND(R96/F96,4),0)),IFERROR(ROUND(R96/F96,4),0))</f>
        <v>0</v>
      </c>
      <c r="AE96" s="123">
        <f>IFERROR(IF(VLOOKUP($B96,Shortage!$A:$M,AE$2,FALSE)="Shortage",1,IFERROR(ROUND(S96/G96,4),0)),IFERROR(ROUND(S96/G96,4),0))</f>
        <v>0</v>
      </c>
      <c r="AF96" s="123">
        <f>IFERROR(IF(VLOOKUP($B96,Shortage!$A:$M,AF$2,FALSE)="Shortage",1,IFERROR(ROUND(T96/H96,4),0)),IFERROR(ROUND(T96/H96,4),0))</f>
        <v>0</v>
      </c>
      <c r="AG96" s="123">
        <f>IFERROR(IF(VLOOKUP($B96,Shortage!$A:$M,AG$2,FALSE)="Shortage",1,IFERROR(ROUND(U96/I96,4),0)),IFERROR(ROUND(U96/I96,4),0))</f>
        <v>0</v>
      </c>
      <c r="AH96" s="123">
        <f>IFERROR(IF(VLOOKUP($B96,Shortage!$A:$M,AH$2,FALSE)="Shortage",1,IFERROR(ROUND(V96/J96,4),0)),IFERROR(ROUND(V96/J96,4),0))</f>
        <v>0</v>
      </c>
      <c r="AI96" s="123">
        <f>IFERROR(IF(VLOOKUP($B96,Shortage!$A:$M,AI$2,FALSE)="Shortage",1,IFERROR(ROUND(W96/K96,4),0)),IFERROR(ROUND(W96/K96,4),0))</f>
        <v>0</v>
      </c>
      <c r="AJ96" s="123">
        <f>IFERROR(IF(VLOOKUP($B96,Shortage!$A:$M,AP$2,FALSE)="Shortage",1,IFERROR(ROUND(X96/L96,4),0)),IFERROR(ROUND(X96/L96,4),0))</f>
        <v>0</v>
      </c>
      <c r="AK96" s="123">
        <f>IFERROR(IF(VLOOKUP($B96,Shortage!$A:$M,AK$2,FALSE)="Shortage",1,IFERROR(ROUND(Y96/M96,4),0)),IFERROR(ROUND(Y96/M96,4),0))</f>
        <v>0</v>
      </c>
      <c r="AL96" s="123">
        <f>IFERROR(IF(VLOOKUP($B96,Shortage!$A:$M,AL$2,FALSE)="Shortage",1,IFERROR(ROUND(Z96/N96,4),0)),IFERROR(ROUND(Z96/N96,4),0))</f>
        <v>0</v>
      </c>
      <c r="AM96" s="123">
        <f>IFERROR(IF(VLOOKUP($B96,Shortage!$A:$M,AM$2,FALSE)="Shortage",1,IFERROR(ROUND(AA96/O96,4),0)),IFERROR(ROUND(AA96/O96,4),0))</f>
        <v>0</v>
      </c>
      <c r="AN96" s="232">
        <f>IFERROR(IF($C96="Top WS",VLOOKUP("GOAL",'2) หลักการคำนวน Table'!$D$4:$M$4,HLOOKUP(AB96,'2) หลักการคำนวน Table'!$D$1:$M$5,5,TRUE),0),
IF($C96="WS SF",VLOOKUP("GOAL",'2) หลักการคำนวน Table'!$D$32:$M$32,HLOOKUP(AB96,'2) หลักการคำนวน Table'!$D$1:$M$5,5,TRUE),0),
IF($C96="WS WH",VLOOKUP("GOAL",'2) หลักการคำนวน Table'!$D$62:$M$62,HLOOKUP(AB96,'2) หลักการคำนวน Table'!$D$1:$M$5,5,TRUE),0),
IF($C96="SF WH",VLOOKUP("GOAL",'2) หลักการคำนวน Table'!$D$92:$M$92,HLOOKUP(AB96,'2) หลักการคำนวน Table'!$D$1:$M$5,5,TRUE),0))))),0)</f>
        <v>1.3</v>
      </c>
      <c r="AO96" s="232">
        <f>IFERROR(IF($C96="Top WS",VLOOKUP("GOAL",'2) หลักการคำนวน Table'!$D$4:$M$4,HLOOKUP(AC96,'2) หลักการคำนวน Table'!$D$1:$M$5,5,TRUE),0),
IF($C96="WS SF",VLOOKUP("GOAL",'2) หลักการคำนวน Table'!$D$32:$M$32,HLOOKUP(AC96,'2) หลักการคำนวน Table'!$D$1:$M$5,5,TRUE),0),
IF($C96="WS WH",VLOOKUP("GOAL",'2) หลักการคำนวน Table'!$D$62:$M$62,HLOOKUP(AC96,'2) หลักการคำนวน Table'!$D$1:$M$5,5,TRUE),0),
IF($C96="SF WH",VLOOKUP("GOAL",'2) หลักการคำนวน Table'!$D$92:$M$92,HLOOKUP(AC96,'2) หลักการคำนวน Table'!$D$1:$M$5,5,TRUE),0))))),0)</f>
        <v>1.3</v>
      </c>
      <c r="AP96" s="232">
        <f>IFERROR(IF($C96="Top WS",VLOOKUP("GOAL",'2) หลักการคำนวน Table'!$D$4:$M$4,HLOOKUP(AD96,'2) หลักการคำนวน Table'!$D$1:$M$5,5,TRUE),0),
IF($C96="WS SF",VLOOKUP("GOAL",'2) หลักการคำนวน Table'!$D$32:$M$32,HLOOKUP(AD96,'2) หลักการคำนวน Table'!$D$1:$M$5,5,TRUE),0),
IF($C96="WS WH",VLOOKUP("GOAL",'2) หลักการคำนวน Table'!$D$62:$M$62,HLOOKUP(AD96,'2) หลักการคำนวน Table'!$D$1:$M$5,5,TRUE),0),
IF($C96="SF WH",VLOOKUP("GOAL",'2) หลักการคำนวน Table'!$D$92:$M$92,HLOOKUP(AD96,'2) หลักการคำนวน Table'!$D$1:$M$5,5,TRUE),0))))),0)</f>
        <v>0.9</v>
      </c>
      <c r="AQ96" s="232">
        <f>IFERROR(IF($C96="Top WS",VLOOKUP("GOAL",'2) หลักการคำนวน Table'!$D$4:$M$4,HLOOKUP(AE96,'2) หลักการคำนวน Table'!$D$1:$M$5,5,TRUE),0),
IF($C96="WS SF",VLOOKUP("GOAL",'2) หลักการคำนวน Table'!$D$32:$M$32,HLOOKUP(AE96,'2) หลักการคำนวน Table'!$D$1:$M$5,5,TRUE),0),
IF($C96="WS WH",VLOOKUP("GOAL",'2) หลักการคำนวน Table'!$D$62:$M$62,HLOOKUP(AE96,'2) หลักการคำนวน Table'!$D$1:$M$5,5,TRUE),0),
IF($C96="SF WH",VLOOKUP("GOAL",'2) หลักการคำนวน Table'!$D$92:$M$92,HLOOKUP(AE96,'2) หลักการคำนวน Table'!$D$1:$M$5,5,TRUE),0))))),0)</f>
        <v>0.9</v>
      </c>
      <c r="AR96" s="232">
        <f>IFERROR(IF($C96="Top WS",VLOOKUP("GOAL",'2) หลักการคำนวน Table'!$D$4:$M$4,HLOOKUP(AF96,'2) หลักการคำนวน Table'!$D$1:$M$5,5,TRUE),0),
IF($C96="WS SF",VLOOKUP("GOAL",'2) หลักการคำนวน Table'!$D$32:$M$32,HLOOKUP(AF96,'2) หลักการคำนวน Table'!$D$1:$M$5,5,TRUE),0),
IF($C96="WS WH",VLOOKUP("GOAL",'2) หลักการคำนวน Table'!$D$62:$M$62,HLOOKUP(AF96,'2) หลักการคำนวน Table'!$D$1:$M$5,5,TRUE),0),
IF($C96="SF WH",VLOOKUP("GOAL",'2) หลักการคำนวน Table'!$D$92:$M$92,HLOOKUP(AF96,'2) หลักการคำนวน Table'!$D$1:$M$5,5,TRUE),0))))),0)</f>
        <v>0.9</v>
      </c>
      <c r="AS96" s="232">
        <f>IFERROR(IF($C96="Top WS",VLOOKUP("GOAL",'2) หลักการคำนวน Table'!$D$4:$M$4,HLOOKUP(AG96,'2) หลักการคำนวน Table'!$D$1:$M$5,5,TRUE),0),
IF($C96="WS SF",VLOOKUP("GOAL",'2) หลักการคำนวน Table'!$D$32:$M$32,HLOOKUP(AG96,'2) หลักการคำนวน Table'!$D$1:$M$5,5,TRUE),0),
IF($C96="WS WH",VLOOKUP("GOAL",'2) หลักการคำนวน Table'!$D$62:$M$62,HLOOKUP(AG96,'2) หลักการคำนวน Table'!$D$1:$M$5,5,TRUE),0),
IF($C96="SF WH",VLOOKUP("GOAL",'2) หลักการคำนวน Table'!$D$92:$M$92,HLOOKUP(AG96,'2) หลักการคำนวน Table'!$D$1:$M$5,5,TRUE),0))))),0)</f>
        <v>0.9</v>
      </c>
      <c r="AT96" s="232">
        <f>IFERROR(IF($C96="Top WS",VLOOKUP("GOAL",'2) หลักการคำนวน Table'!$D$4:$M$4,HLOOKUP(AH96,'2) หลักการคำนวน Table'!$D$1:$M$5,5,TRUE),0),
IF($C96="WS SF",VLOOKUP("GOAL",'2) หลักการคำนวน Table'!$D$32:$M$32,HLOOKUP(AH96,'2) หลักการคำนวน Table'!$D$1:$M$5,5,TRUE),0),
IF($C96="WS WH",VLOOKUP("GOAL",'2) หลักการคำนวน Table'!$D$62:$M$62,HLOOKUP(AH96,'2) หลักการคำนวน Table'!$D$1:$M$5,5,TRUE),0),
IF($C96="SF WH",VLOOKUP("GOAL",'2) หลักการคำนวน Table'!$D$92:$M$92,HLOOKUP(AH96,'2) หลักการคำนวน Table'!$D$1:$M$5,5,TRUE),0))))),0)</f>
        <v>0.9</v>
      </c>
      <c r="AU96" s="232">
        <f>IFERROR(IF($C96="Top WS",VLOOKUP("GOAL",'2) หลักการคำนวน Table'!$D$4:$M$4,HLOOKUP(AI96,'2) หลักการคำนวน Table'!$D$1:$M$5,5,TRUE),0),
IF($C96="WS SF",VLOOKUP("GOAL",'2) หลักการคำนวน Table'!$D$32:$M$32,HLOOKUP(AI96,'2) หลักการคำนวน Table'!$D$1:$M$5,5,TRUE),0),
IF($C96="WS WH",VLOOKUP("GOAL",'2) หลักการคำนวน Table'!$D$62:$M$62,HLOOKUP(AI96,'2) หลักการคำนวน Table'!$D$1:$M$5,5,TRUE),0),
IF($C96="SF WH",VLOOKUP("GOAL",'2) หลักการคำนวน Table'!$D$92:$M$92,HLOOKUP(AI96,'2) หลักการคำนวน Table'!$D$1:$M$5,5,TRUE),0))))),0)</f>
        <v>0.9</v>
      </c>
      <c r="AV96" s="232">
        <f>IFERROR(IF($C96="Top WS",VLOOKUP("GOAL",'2) หลักการคำนวน Table'!$D$4:$M$4,HLOOKUP(AP96,'2) หลักการคำนวน Table'!$D$1:$M$5,5,TRUE),0),
IF($C96="WS SF",VLOOKUP("GOAL",'2) หลักการคำนวน Table'!$D$32:$M$32,HLOOKUP(AP96,'2) หลักการคำนวน Table'!$D$1:$M$5,5,TRUE),0),
IF($C96="WS WH",VLOOKUP("GOAL",'2) หลักการคำนวน Table'!$D$62:$M$62,HLOOKUP(AP96,'2) หลักการคำนวน Table'!$D$1:$M$5,5,TRUE),0),
IF($C96="SF WH",VLOOKUP("GOAL",'2) หลักการคำนวน Table'!$D$92:$M$92,HLOOKUP(AP96,'2) หลักการคำนวน Table'!$D$1:$M$5,5,TRUE),0))))),0)</f>
        <v>0.9</v>
      </c>
      <c r="AW96" s="232">
        <f>IFERROR(IF($C96="Top WS",VLOOKUP("GOAL",'2) หลักการคำนวน Table'!$D$4:$M$4,HLOOKUP(AK96,'2) หลักการคำนวน Table'!$D$1:$M$5,5,TRUE),0),
IF($C96="WS SF",VLOOKUP("GOAL",'2) หลักการคำนวน Table'!$D$32:$M$32,HLOOKUP(AK96,'2) หลักการคำนวน Table'!$D$1:$M$5,5,TRUE),0),
IF($C96="WS WH",VLOOKUP("GOAL",'2) หลักการคำนวน Table'!$D$62:$M$62,HLOOKUP(AK96,'2) หลักการคำนวน Table'!$D$1:$M$5,5,TRUE),0),
IF($C96="SF WH",VLOOKUP("GOAL",'2) หลักการคำนวน Table'!$D$92:$M$92,HLOOKUP(AK96,'2) หลักการคำนวน Table'!$D$1:$M$5,5,TRUE),0))))),0)</f>
        <v>0.9</v>
      </c>
      <c r="AX96" s="232">
        <f>IFERROR(IF($C96="Top WS",VLOOKUP("GOAL",'2) หลักการคำนวน Table'!$D$4:$M$4,HLOOKUP(AL96,'2) หลักการคำนวน Table'!$D$1:$M$5,5,TRUE),0),
IF($C96="WS SF",VLOOKUP("GOAL",'2) หลักการคำนวน Table'!$D$32:$M$32,HLOOKUP(AL96,'2) หลักการคำนวน Table'!$D$1:$M$5,5,TRUE),0),
IF($C96="WS WH",VLOOKUP("GOAL",'2) หลักการคำนวน Table'!$D$62:$M$62,HLOOKUP(AL96,'2) หลักการคำนวน Table'!$D$1:$M$5,5,TRUE),0),
IF($C96="SF WH",VLOOKUP("GOAL",'2) หลักการคำนวน Table'!$D$92:$M$92,HLOOKUP(AL96,'2) หลักการคำนวน Table'!$D$1:$M$5,5,TRUE),0))))),0)</f>
        <v>0.9</v>
      </c>
      <c r="AY96" s="232">
        <f>IFERROR(IF($C96="Top WS",VLOOKUP("GOAL",'2) หลักการคำนวน Table'!$D$4:$M$4,HLOOKUP(AM96,'2) หลักการคำนวน Table'!$D$1:$M$5,5,TRUE),0),
IF($C96="WS SF",VLOOKUP("GOAL",'2) หลักการคำนวน Table'!$D$32:$M$32,HLOOKUP(AM96,'2) หลักการคำนวน Table'!$D$1:$M$5,5,TRUE),0),
IF($C96="WS WH",VLOOKUP("GOAL",'2) หลักการคำนวน Table'!$D$62:$M$62,HLOOKUP(AM96,'2) หลักการคำนวน Table'!$D$1:$M$5,5,TRUE),0),
IF($C96="SF WH",VLOOKUP("GOAL",'2) หลักการคำนวน Table'!$D$92:$M$92,HLOOKUP(AM96,'2) หลักการคำนวน Table'!$D$1:$M$5,5,TRUE),0))))),0)</f>
        <v>0.9</v>
      </c>
      <c r="AZ96" s="167">
        <f>IFERROR(IF($C96="Top WS",VLOOKUP($B96,'2) หลักการคำนวน Table'!$D$5:$M$20,HLOOKUP(AB96,'2) หลักการคำนวน Table'!$D$1:$M$5,5,TRUE),0),
IF($C96="WS SF",VLOOKUP($B96,'2) หลักการคำนวน Table'!$D$33:$M$48,HLOOKUP(AB96,'2) หลักการคำนวน Table'!$D$1:$M$5,5,TRUE),0),
IF($C96="WS WH",VLOOKUP($B96,'2) หลักการคำนวน Table'!$D$63:$M$78,HLOOKUP(AB96,'2) หลักการคำนวน Table'!$D$1:$M$5,5,TRUE),0),
IF($C96="SF WH",VLOOKUP($B96,'2) หลักการคำนวน Table'!$D$93:$M$108,HLOOKUP(AB96,'2) หลักการคำนวน Table'!$D$1:$M$5,5,TRUE),0))))),0)</f>
        <v>227.5</v>
      </c>
      <c r="BA96" s="167">
        <f>IFERROR(IF($C96="Top WS",VLOOKUP($B96,'2) หลักการคำนวน Table'!$D$5:$M$20,HLOOKUP(AC96,'2) หลักการคำนวน Table'!$D$1:$M$5,5,TRUE),0),
IF($C96="WS SF",VLOOKUP($B96,'2) หลักการคำนวน Table'!$D$33:$M$48,HLOOKUP(AC96,'2) หลักการคำนวน Table'!$D$1:$M$5,5,TRUE),0),
IF($C96="WS WH",VLOOKUP($B96,'2) หลักการคำนวน Table'!$D$63:$M$78,HLOOKUP(AC96,'2) หลักการคำนวน Table'!$D$1:$M$5,5,TRUE),0),
IF($C96="SF WH",VLOOKUP($B96,'2) หลักการคำนวน Table'!$D$93:$M$108,HLOOKUP(AC96,'2) หลักการคำนวน Table'!$D$1:$M$5,5,TRUE),0))))),0)</f>
        <v>227.5</v>
      </c>
      <c r="BB96" s="167">
        <f>IFERROR(IF($C96="Top WS",VLOOKUP($B96,'2) หลักการคำนวน Table'!$D$5:$M$20,HLOOKUP(AD96,'2) หลักการคำนวน Table'!$D$1:$M$5,5,TRUE),0),
IF($C96="WS SF",VLOOKUP($B96,'2) หลักการคำนวน Table'!$D$33:$M$48,HLOOKUP(AD96,'2) หลักการคำนวน Table'!$D$1:$M$5,5,TRUE),0),
IF($C96="WS WH",VLOOKUP($B96,'2) หลักการคำนวน Table'!$D$63:$M$78,HLOOKUP(AD96,'2) หลักการคำนวน Table'!$D$1:$M$5,5,TRUE),0),
IF($C96="SF WH",VLOOKUP($B96,'2) หลักการคำนวน Table'!$D$93:$M$108,HLOOKUP(AD96,'2) หลักการคำนวน Table'!$D$1:$M$5,5,TRUE),0))))),0)</f>
        <v>157.5</v>
      </c>
      <c r="BC96" s="167">
        <f>IFERROR(IF($C96="Top WS",VLOOKUP($B96,'2) หลักการคำนวน Table'!$D$5:$M$20,HLOOKUP(AE96,'2) หลักการคำนวน Table'!$D$1:$M$5,5,TRUE),0),
IF($C96="WS SF",VLOOKUP($B96,'2) หลักการคำนวน Table'!$D$33:$M$48,HLOOKUP(AE96,'2) หลักการคำนวน Table'!$D$1:$M$5,5,TRUE),0),
IF($C96="WS WH",VLOOKUP($B96,'2) หลักการคำนวน Table'!$D$63:$M$78,HLOOKUP(AE96,'2) หลักการคำนวน Table'!$D$1:$M$5,5,TRUE),0),
IF($C96="SF WH",VLOOKUP($B96,'2) หลักการคำนวน Table'!$D$93:$M$108,HLOOKUP(AE96,'2) หลักการคำนวน Table'!$D$1:$M$5,5,TRUE),0))))),0)</f>
        <v>157.5</v>
      </c>
      <c r="BD96" s="167">
        <f>IFERROR(IF($C96="Top WS",VLOOKUP($B96,'2) หลักการคำนวน Table'!$D$5:$M$20,HLOOKUP(AF96,'2) หลักการคำนวน Table'!$D$1:$M$5,5,TRUE),0),
IF($C96="WS SF",VLOOKUP($B96,'2) หลักการคำนวน Table'!$D$33:$M$48,HLOOKUP(AF96,'2) หลักการคำนวน Table'!$D$1:$M$5,5,TRUE),0),
IF($C96="WS WH",VLOOKUP($B96,'2) หลักการคำนวน Table'!$D$63:$M$78,HLOOKUP(AF96,'2) หลักการคำนวน Table'!$D$1:$M$5,5,TRUE),0),
IF($C96="SF WH",VLOOKUP($B96,'2) หลักการคำนวน Table'!$D$93:$M$108,HLOOKUP(AF96,'2) หลักการคำนวน Table'!$D$1:$M$5,5,TRUE),0))))),0)</f>
        <v>157.5</v>
      </c>
      <c r="BE96" s="167">
        <f>IFERROR(IF($C96="Top WS",VLOOKUP($B96,'2) หลักการคำนวน Table'!$D$5:$M$20,HLOOKUP(AG96,'2) หลักการคำนวน Table'!$D$1:$M$5,5,TRUE),0),
IF($C96="WS SF",VLOOKUP($B96,'2) หลักการคำนวน Table'!$D$33:$M$48,HLOOKUP(AG96,'2) หลักการคำนวน Table'!$D$1:$M$5,5,TRUE),0),
IF($C96="WS WH",VLOOKUP($B96,'2) หลักการคำนวน Table'!$D$63:$M$78,HLOOKUP(AG96,'2) หลักการคำนวน Table'!$D$1:$M$5,5,TRUE),0),
IF($C96="SF WH",VLOOKUP($B96,'2) หลักการคำนวน Table'!$D$93:$M$108,HLOOKUP(AG96,'2) หลักการคำนวน Table'!$D$1:$M$5,5,TRUE),0))))),0)</f>
        <v>157.5</v>
      </c>
      <c r="BF96" s="167">
        <f>IFERROR(IF($C96="Top WS",VLOOKUP($B96,'2) หลักการคำนวน Table'!$D$5:$M$20,HLOOKUP(AH96,'2) หลักการคำนวน Table'!$D$1:$M$5,5,TRUE),0),
IF($C96="WS SF",VLOOKUP($B96,'2) หลักการคำนวน Table'!$D$33:$M$48,HLOOKUP(AH96,'2) หลักการคำนวน Table'!$D$1:$M$5,5,TRUE),0),
IF($C96="WS WH",VLOOKUP($B96,'2) หลักการคำนวน Table'!$D$63:$M$78,HLOOKUP(AH96,'2) หลักการคำนวน Table'!$D$1:$M$5,5,TRUE),0),
IF($C96="SF WH",VLOOKUP($B96,'2) หลักการคำนวน Table'!$D$93:$M$108,HLOOKUP(AH96,'2) หลักการคำนวน Table'!$D$1:$M$5,5,TRUE),0))))),0)</f>
        <v>157.5</v>
      </c>
      <c r="BG96" s="167">
        <f>IFERROR(IF($C96="Top WS",VLOOKUP($B96,'2) หลักการคำนวน Table'!$D$5:$M$20,HLOOKUP(AI96,'2) หลักการคำนวน Table'!$D$1:$M$5,5,TRUE),0),
IF($C96="WS SF",VLOOKUP($B96,'2) หลักการคำนวน Table'!$D$33:$M$48,HLOOKUP(AI96,'2) หลักการคำนวน Table'!$D$1:$M$5,5,TRUE),0),
IF($C96="WS WH",VLOOKUP($B96,'2) หลักการคำนวน Table'!$D$63:$M$78,HLOOKUP(AI96,'2) หลักการคำนวน Table'!$D$1:$M$5,5,TRUE),0),
IF($C96="SF WH",VLOOKUP($B96,'2) หลักการคำนวน Table'!$D$93:$M$108,HLOOKUP(AI96,'2) หลักการคำนวน Table'!$D$1:$M$5,5,TRUE),0))))),0)</f>
        <v>157.5</v>
      </c>
      <c r="BH96" s="167">
        <f>IFERROR(IF($C96="Top WS",VLOOKUP($B96,'2) หลักการคำนวน Table'!$D$5:$M$20,HLOOKUP(AP96,'2) หลักการคำนวน Table'!$D$1:$M$5,5,TRUE),0),
IF($C96="WS SF",VLOOKUP($B96,'2) หลักการคำนวน Table'!$D$33:$M$48,HLOOKUP(AP96,'2) หลักการคำนวน Table'!$D$1:$M$5,5,TRUE),0),
IF($C96="WS WH",VLOOKUP($B96,'2) หลักการคำนวน Table'!$D$63:$M$78,HLOOKUP(AP96,'2) หลักการคำนวน Table'!$D$1:$M$5,5,TRUE),0),
IF($C96="SF WH",VLOOKUP($B96,'2) หลักการคำนวน Table'!$D$93:$M$108,HLOOKUP(AP96,'2) หลักการคำนวน Table'!$D$1:$M$5,5,TRUE),0))))),0)</f>
        <v>157.5</v>
      </c>
      <c r="BI96" s="167">
        <f>IFERROR(IF($C96="Top WS",VLOOKUP($B96,'2) หลักการคำนวน Table'!$D$5:$M$20,HLOOKUP(AK96,'2) หลักการคำนวน Table'!$D$1:$M$5,5,TRUE),0),
IF($C96="WS SF",VLOOKUP($B96,'2) หลักการคำนวน Table'!$D$33:$M$48,HLOOKUP(AK96,'2) หลักการคำนวน Table'!$D$1:$M$5,5,TRUE),0),
IF($C96="WS WH",VLOOKUP($B96,'2) หลักการคำนวน Table'!$D$63:$M$78,HLOOKUP(AK96,'2) หลักการคำนวน Table'!$D$1:$M$5,5,TRUE),0),
IF($C96="SF WH",VLOOKUP($B96,'2) หลักการคำนวน Table'!$D$93:$M$108,HLOOKUP(AK96,'2) หลักการคำนวน Table'!$D$1:$M$5,5,TRUE),0))))),0)</f>
        <v>157.5</v>
      </c>
      <c r="BJ96" s="167">
        <f>IFERROR(IF($C96="Top WS",VLOOKUP($B96,'2) หลักการคำนวน Table'!$D$5:$M$20,HLOOKUP(AL96,'2) หลักการคำนวน Table'!$D$1:$M$5,5,TRUE),0),
IF($C96="WS SF",VLOOKUP($B96,'2) หลักการคำนวน Table'!$D$33:$M$48,HLOOKUP(AL96,'2) หลักการคำนวน Table'!$D$1:$M$5,5,TRUE),0),
IF($C96="WS WH",VLOOKUP($B96,'2) หลักการคำนวน Table'!$D$63:$M$78,HLOOKUP(AL96,'2) หลักการคำนวน Table'!$D$1:$M$5,5,TRUE),0),
IF($C96="SF WH",VLOOKUP($B96,'2) หลักการคำนวน Table'!$D$93:$M$108,HLOOKUP(AL96,'2) หลักการคำนวน Table'!$D$1:$M$5,5,TRUE),0))))),0)</f>
        <v>157.5</v>
      </c>
      <c r="BK96" s="167">
        <f>IFERROR(IF($C96="Top WS",VLOOKUP($B96,'2) หลักการคำนวน Table'!$D$5:$M$20,HLOOKUP(AM96,'2) หลักการคำนวน Table'!$D$1:$M$5,5,TRUE),0),
IF($C96="WS SF",VLOOKUP($B96,'2) หลักการคำนวน Table'!$D$33:$M$48,HLOOKUP(AM96,'2) หลักการคำนวน Table'!$D$1:$M$5,5,TRUE),0),
IF($C96="WS WH",VLOOKUP($B96,'2) หลักการคำนวน Table'!$D$63:$M$78,HLOOKUP(AM96,'2) หลักการคำนวน Table'!$D$1:$M$5,5,TRUE),0),
IF($C96="SF WH",VLOOKUP($B96,'2) หลักการคำนวน Table'!$D$93:$M$108,HLOOKUP(AM96,'2) หลักการคำนวน Table'!$D$1:$M$5,5,TRUE),0))))),0)</f>
        <v>157.5</v>
      </c>
      <c r="BM96" s="119">
        <f>VLOOKUP(VLOOKUP(A96,ASTBase!E:S,13,FALSE),ASTBase!F:P,11,FALSE)</f>
        <v>110000</v>
      </c>
      <c r="BN96" s="196" cm="1">
        <f t="array" ref="BN96">INDEX(AN96:AY96,,Period!$D$2)</f>
        <v>1.3</v>
      </c>
    </row>
    <row r="97" spans="1:66" x14ac:dyDescent="0.25">
      <c r="A97" s="388">
        <v>110002</v>
      </c>
      <c r="B97" s="388" t="s">
        <v>402</v>
      </c>
      <c r="C97" s="388" t="s">
        <v>179</v>
      </c>
      <c r="D97" s="118">
        <v>36</v>
      </c>
      <c r="E97" s="118">
        <v>40</v>
      </c>
      <c r="F97" s="118">
        <v>31</v>
      </c>
      <c r="G97" s="118">
        <v>33</v>
      </c>
      <c r="H97" s="118">
        <v>34</v>
      </c>
      <c r="I97" s="118">
        <v>35</v>
      </c>
      <c r="J97" s="118">
        <v>38</v>
      </c>
      <c r="K97" s="118">
        <v>48</v>
      </c>
      <c r="L97" s="118">
        <v>38</v>
      </c>
      <c r="M97" s="118">
        <v>36</v>
      </c>
      <c r="N97" s="118">
        <v>34</v>
      </c>
      <c r="O97" s="118">
        <v>34</v>
      </c>
      <c r="P97" s="117">
        <f>SUMIFS(Actual!C:C,Actual!$A:$A,'3)Target &amp; Cal'!$A97,Actual!$B:$B,'3)Target &amp; Cal'!$B97)</f>
        <v>83</v>
      </c>
      <c r="Q97" s="117">
        <f>SUMIFS(Actual!D:D,Actual!$A:$A,'3)Target &amp; Cal'!$A97,Actual!$B:$B,'3)Target &amp; Cal'!$B97)</f>
        <v>67.400000000000006</v>
      </c>
      <c r="R97" s="117">
        <f>SUMIFS(Actual!E:E,Actual!$A:$A,'3)Target &amp; Cal'!$A97,Actual!$B:$B,'3)Target &amp; Cal'!$B97)</f>
        <v>0</v>
      </c>
      <c r="S97" s="117">
        <f>SUMIFS(Actual!F:F,Actual!$A:$A,'3)Target &amp; Cal'!$A97,Actual!$B:$B,'3)Target &amp; Cal'!$B97)</f>
        <v>0</v>
      </c>
      <c r="T97" s="117">
        <f>SUMIFS(Actual!G:G,Actual!$A:$A,'3)Target &amp; Cal'!$A97,Actual!$B:$B,'3)Target &amp; Cal'!$B97)</f>
        <v>0</v>
      </c>
      <c r="U97" s="117">
        <f>SUMIFS(Actual!H:H,Actual!$A:$A,'3)Target &amp; Cal'!$A97,Actual!$B:$B,'3)Target &amp; Cal'!$B97)</f>
        <v>0</v>
      </c>
      <c r="V97" s="117">
        <f>SUMIFS(Actual!I:I,Actual!$A:$A,'3)Target &amp; Cal'!$A97,Actual!$B:$B,'3)Target &amp; Cal'!$B97)</f>
        <v>0</v>
      </c>
      <c r="W97" s="117">
        <f>SUMIFS(Actual!J:J,Actual!$A:$A,'3)Target &amp; Cal'!$A97,Actual!$B:$B,'3)Target &amp; Cal'!$B97)</f>
        <v>0</v>
      </c>
      <c r="X97" s="117">
        <f>SUMIFS(Actual!K:K,Actual!$A:$A,'3)Target &amp; Cal'!$A97,Actual!$B:$B,'3)Target &amp; Cal'!$B97)</f>
        <v>0</v>
      </c>
      <c r="Y97" s="117">
        <f>SUMIFS(Actual!L:L,Actual!$A:$A,'3)Target &amp; Cal'!$A97,Actual!$B:$B,'3)Target &amp; Cal'!$B97)</f>
        <v>0</v>
      </c>
      <c r="Z97" s="117">
        <f>SUMIFS(Actual!M:M,Actual!$A:$A,'3)Target &amp; Cal'!$A97,Actual!$B:$B,'3)Target &amp; Cal'!$B97)</f>
        <v>0</v>
      </c>
      <c r="AA97" s="117">
        <f>SUMIFS(Actual!N:N,Actual!$A:$A,'3)Target &amp; Cal'!$A97,Actual!$B:$B,'3)Target &amp; Cal'!$B97)</f>
        <v>0</v>
      </c>
      <c r="AB97" s="123">
        <f>IFERROR(IF(VLOOKUP($B97,Shortage!$A:$M,AB$2,FALSE)="Shortage",1,IFERROR(ROUND(P97/D97,4),0)),IFERROR(ROUND(P97/D97,4),0))</f>
        <v>2.3056000000000001</v>
      </c>
      <c r="AC97" s="123">
        <f>IFERROR(IF(VLOOKUP($B97,Shortage!$A:$M,AC$2,FALSE)="Shortage",1,IFERROR(ROUND(Q97/E97,4),0)),IFERROR(ROUND(Q97/E97,4),0))</f>
        <v>1.6850000000000001</v>
      </c>
      <c r="AD97" s="123">
        <f>IFERROR(IF(VLOOKUP($B97,Shortage!$A:$M,AD$2,FALSE)="Shortage",1,IFERROR(ROUND(R97/F97,4),0)),IFERROR(ROUND(R97/F97,4),0))</f>
        <v>0</v>
      </c>
      <c r="AE97" s="123">
        <f>IFERROR(IF(VLOOKUP($B97,Shortage!$A:$M,AE$2,FALSE)="Shortage",1,IFERROR(ROUND(S97/G97,4),0)),IFERROR(ROUND(S97/G97,4),0))</f>
        <v>0</v>
      </c>
      <c r="AF97" s="123">
        <f>IFERROR(IF(VLOOKUP($B97,Shortage!$A:$M,AF$2,FALSE)="Shortage",1,IFERROR(ROUND(T97/H97,4),0)),IFERROR(ROUND(T97/H97,4),0))</f>
        <v>0</v>
      </c>
      <c r="AG97" s="123">
        <f>IFERROR(IF(VLOOKUP($B97,Shortage!$A:$M,AG$2,FALSE)="Shortage",1,IFERROR(ROUND(U97/I97,4),0)),IFERROR(ROUND(U97/I97,4),0))</f>
        <v>0</v>
      </c>
      <c r="AH97" s="123">
        <f>IFERROR(IF(VLOOKUP($B97,Shortage!$A:$M,AH$2,FALSE)="Shortage",1,IFERROR(ROUND(V97/J97,4),0)),IFERROR(ROUND(V97/J97,4),0))</f>
        <v>0</v>
      </c>
      <c r="AI97" s="123">
        <f>IFERROR(IF(VLOOKUP($B97,Shortage!$A:$M,AI$2,FALSE)="Shortage",1,IFERROR(ROUND(W97/K97,4),0)),IFERROR(ROUND(W97/K97,4),0))</f>
        <v>0</v>
      </c>
      <c r="AJ97" s="123">
        <f>IFERROR(IF(VLOOKUP($B97,Shortage!$A:$M,AP$2,FALSE)="Shortage",1,IFERROR(ROUND(X97/L97,4),0)),IFERROR(ROUND(X97/L97,4),0))</f>
        <v>0</v>
      </c>
      <c r="AK97" s="123">
        <f>IFERROR(IF(VLOOKUP($B97,Shortage!$A:$M,AK$2,FALSE)="Shortage",1,IFERROR(ROUND(Y97/M97,4),0)),IFERROR(ROUND(Y97/M97,4),0))</f>
        <v>0</v>
      </c>
      <c r="AL97" s="123">
        <f>IFERROR(IF(VLOOKUP($B97,Shortage!$A:$M,AL$2,FALSE)="Shortage",1,IFERROR(ROUND(Z97/N97,4),0)),IFERROR(ROUND(Z97/N97,4),0))</f>
        <v>0</v>
      </c>
      <c r="AM97" s="123">
        <f>IFERROR(IF(VLOOKUP($B97,Shortage!$A:$M,AM$2,FALSE)="Shortage",1,IFERROR(ROUND(AA97/O97,4),0)),IFERROR(ROUND(AA97/O97,4),0))</f>
        <v>0</v>
      </c>
      <c r="AN97" s="232">
        <f>IFERROR(IF($C97="Top WS",VLOOKUP("GOAL",'2) หลักการคำนวน Table'!$D$4:$M$4,HLOOKUP(AB97,'2) หลักการคำนวน Table'!$D$1:$M$5,5,TRUE),0),
IF($C97="WS SF",VLOOKUP("GOAL",'2) หลักการคำนวน Table'!$D$32:$M$32,HLOOKUP(AB97,'2) หลักการคำนวน Table'!$D$1:$M$5,5,TRUE),0),
IF($C97="WS WH",VLOOKUP("GOAL",'2) หลักการคำนวน Table'!$D$62:$M$62,HLOOKUP(AB97,'2) หลักการคำนวน Table'!$D$1:$M$5,5,TRUE),0),
IF($C97="SF WH",VLOOKUP("GOAL",'2) หลักการคำนวน Table'!$D$92:$M$92,HLOOKUP(AB97,'2) หลักการคำนวน Table'!$D$1:$M$5,5,TRUE),0))))),0)</f>
        <v>1.3</v>
      </c>
      <c r="AO97" s="232">
        <f>IFERROR(IF($C97="Top WS",VLOOKUP("GOAL",'2) หลักการคำนวน Table'!$D$4:$M$4,HLOOKUP(AC97,'2) หลักการคำนวน Table'!$D$1:$M$5,5,TRUE),0),
IF($C97="WS SF",VLOOKUP("GOAL",'2) หลักการคำนวน Table'!$D$32:$M$32,HLOOKUP(AC97,'2) หลักการคำนวน Table'!$D$1:$M$5,5,TRUE),0),
IF($C97="WS WH",VLOOKUP("GOAL",'2) หลักการคำนวน Table'!$D$62:$M$62,HLOOKUP(AC97,'2) หลักการคำนวน Table'!$D$1:$M$5,5,TRUE),0),
IF($C97="SF WH",VLOOKUP("GOAL",'2) หลักการคำนวน Table'!$D$92:$M$92,HLOOKUP(AC97,'2) หลักการคำนวน Table'!$D$1:$M$5,5,TRUE),0))))),0)</f>
        <v>1.3</v>
      </c>
      <c r="AP97" s="232">
        <f>IFERROR(IF($C97="Top WS",VLOOKUP("GOAL",'2) หลักการคำนวน Table'!$D$4:$M$4,HLOOKUP(AD97,'2) หลักการคำนวน Table'!$D$1:$M$5,5,TRUE),0),
IF($C97="WS SF",VLOOKUP("GOAL",'2) หลักการคำนวน Table'!$D$32:$M$32,HLOOKUP(AD97,'2) หลักการคำนวน Table'!$D$1:$M$5,5,TRUE),0),
IF($C97="WS WH",VLOOKUP("GOAL",'2) หลักการคำนวน Table'!$D$62:$M$62,HLOOKUP(AD97,'2) หลักการคำนวน Table'!$D$1:$M$5,5,TRUE),0),
IF($C97="SF WH",VLOOKUP("GOAL",'2) หลักการคำนวน Table'!$D$92:$M$92,HLOOKUP(AD97,'2) หลักการคำนวน Table'!$D$1:$M$5,5,TRUE),0))))),0)</f>
        <v>0.9</v>
      </c>
      <c r="AQ97" s="232">
        <f>IFERROR(IF($C97="Top WS",VLOOKUP("GOAL",'2) หลักการคำนวน Table'!$D$4:$M$4,HLOOKUP(AE97,'2) หลักการคำนวน Table'!$D$1:$M$5,5,TRUE),0),
IF($C97="WS SF",VLOOKUP("GOAL",'2) หลักการคำนวน Table'!$D$32:$M$32,HLOOKUP(AE97,'2) หลักการคำนวน Table'!$D$1:$M$5,5,TRUE),0),
IF($C97="WS WH",VLOOKUP("GOAL",'2) หลักการคำนวน Table'!$D$62:$M$62,HLOOKUP(AE97,'2) หลักการคำนวน Table'!$D$1:$M$5,5,TRUE),0),
IF($C97="SF WH",VLOOKUP("GOAL",'2) หลักการคำนวน Table'!$D$92:$M$92,HLOOKUP(AE97,'2) หลักการคำนวน Table'!$D$1:$M$5,5,TRUE),0))))),0)</f>
        <v>0.9</v>
      </c>
      <c r="AR97" s="232">
        <f>IFERROR(IF($C97="Top WS",VLOOKUP("GOAL",'2) หลักการคำนวน Table'!$D$4:$M$4,HLOOKUP(AF97,'2) หลักการคำนวน Table'!$D$1:$M$5,5,TRUE),0),
IF($C97="WS SF",VLOOKUP("GOAL",'2) หลักการคำนวน Table'!$D$32:$M$32,HLOOKUP(AF97,'2) หลักการคำนวน Table'!$D$1:$M$5,5,TRUE),0),
IF($C97="WS WH",VLOOKUP("GOAL",'2) หลักการคำนวน Table'!$D$62:$M$62,HLOOKUP(AF97,'2) หลักการคำนวน Table'!$D$1:$M$5,5,TRUE),0),
IF($C97="SF WH",VLOOKUP("GOAL",'2) หลักการคำนวน Table'!$D$92:$M$92,HLOOKUP(AF97,'2) หลักการคำนวน Table'!$D$1:$M$5,5,TRUE),0))))),0)</f>
        <v>0.9</v>
      </c>
      <c r="AS97" s="232">
        <f>IFERROR(IF($C97="Top WS",VLOOKUP("GOAL",'2) หลักการคำนวน Table'!$D$4:$M$4,HLOOKUP(AG97,'2) หลักการคำนวน Table'!$D$1:$M$5,5,TRUE),0),
IF($C97="WS SF",VLOOKUP("GOAL",'2) หลักการคำนวน Table'!$D$32:$M$32,HLOOKUP(AG97,'2) หลักการคำนวน Table'!$D$1:$M$5,5,TRUE),0),
IF($C97="WS WH",VLOOKUP("GOAL",'2) หลักการคำนวน Table'!$D$62:$M$62,HLOOKUP(AG97,'2) หลักการคำนวน Table'!$D$1:$M$5,5,TRUE),0),
IF($C97="SF WH",VLOOKUP("GOAL",'2) หลักการคำนวน Table'!$D$92:$M$92,HLOOKUP(AG97,'2) หลักการคำนวน Table'!$D$1:$M$5,5,TRUE),0))))),0)</f>
        <v>0.9</v>
      </c>
      <c r="AT97" s="232">
        <f>IFERROR(IF($C97="Top WS",VLOOKUP("GOAL",'2) หลักการคำนวน Table'!$D$4:$M$4,HLOOKUP(AH97,'2) หลักการคำนวน Table'!$D$1:$M$5,5,TRUE),0),
IF($C97="WS SF",VLOOKUP("GOAL",'2) หลักการคำนวน Table'!$D$32:$M$32,HLOOKUP(AH97,'2) หลักการคำนวน Table'!$D$1:$M$5,5,TRUE),0),
IF($C97="WS WH",VLOOKUP("GOAL",'2) หลักการคำนวน Table'!$D$62:$M$62,HLOOKUP(AH97,'2) หลักการคำนวน Table'!$D$1:$M$5,5,TRUE),0),
IF($C97="SF WH",VLOOKUP("GOAL",'2) หลักการคำนวน Table'!$D$92:$M$92,HLOOKUP(AH97,'2) หลักการคำนวน Table'!$D$1:$M$5,5,TRUE),0))))),0)</f>
        <v>0.9</v>
      </c>
      <c r="AU97" s="232">
        <f>IFERROR(IF($C97="Top WS",VLOOKUP("GOAL",'2) หลักการคำนวน Table'!$D$4:$M$4,HLOOKUP(AI97,'2) หลักการคำนวน Table'!$D$1:$M$5,5,TRUE),0),
IF($C97="WS SF",VLOOKUP("GOAL",'2) หลักการคำนวน Table'!$D$32:$M$32,HLOOKUP(AI97,'2) หลักการคำนวน Table'!$D$1:$M$5,5,TRUE),0),
IF($C97="WS WH",VLOOKUP("GOAL",'2) หลักการคำนวน Table'!$D$62:$M$62,HLOOKUP(AI97,'2) หลักการคำนวน Table'!$D$1:$M$5,5,TRUE),0),
IF($C97="SF WH",VLOOKUP("GOAL",'2) หลักการคำนวน Table'!$D$92:$M$92,HLOOKUP(AI97,'2) หลักการคำนวน Table'!$D$1:$M$5,5,TRUE),0))))),0)</f>
        <v>0.9</v>
      </c>
      <c r="AV97" s="232">
        <f>IFERROR(IF($C97="Top WS",VLOOKUP("GOAL",'2) หลักการคำนวน Table'!$D$4:$M$4,HLOOKUP(AP97,'2) หลักการคำนวน Table'!$D$1:$M$5,5,TRUE),0),
IF($C97="WS SF",VLOOKUP("GOAL",'2) หลักการคำนวน Table'!$D$32:$M$32,HLOOKUP(AP97,'2) หลักการคำนวน Table'!$D$1:$M$5,5,TRUE),0),
IF($C97="WS WH",VLOOKUP("GOAL",'2) หลักการคำนวน Table'!$D$62:$M$62,HLOOKUP(AP97,'2) หลักการคำนวน Table'!$D$1:$M$5,5,TRUE),0),
IF($C97="SF WH",VLOOKUP("GOAL",'2) หลักการคำนวน Table'!$D$92:$M$92,HLOOKUP(AP97,'2) หลักการคำนวน Table'!$D$1:$M$5,5,TRUE),0))))),0)</f>
        <v>0.9</v>
      </c>
      <c r="AW97" s="232">
        <f>IFERROR(IF($C97="Top WS",VLOOKUP("GOAL",'2) หลักการคำนวน Table'!$D$4:$M$4,HLOOKUP(AK97,'2) หลักการคำนวน Table'!$D$1:$M$5,5,TRUE),0),
IF($C97="WS SF",VLOOKUP("GOAL",'2) หลักการคำนวน Table'!$D$32:$M$32,HLOOKUP(AK97,'2) หลักการคำนวน Table'!$D$1:$M$5,5,TRUE),0),
IF($C97="WS WH",VLOOKUP("GOAL",'2) หลักการคำนวน Table'!$D$62:$M$62,HLOOKUP(AK97,'2) หลักการคำนวน Table'!$D$1:$M$5,5,TRUE),0),
IF($C97="SF WH",VLOOKUP("GOAL",'2) หลักการคำนวน Table'!$D$92:$M$92,HLOOKUP(AK97,'2) หลักการคำนวน Table'!$D$1:$M$5,5,TRUE),0))))),0)</f>
        <v>0.9</v>
      </c>
      <c r="AX97" s="232">
        <f>IFERROR(IF($C97="Top WS",VLOOKUP("GOAL",'2) หลักการคำนวน Table'!$D$4:$M$4,HLOOKUP(AL97,'2) หลักการคำนวน Table'!$D$1:$M$5,5,TRUE),0),
IF($C97="WS SF",VLOOKUP("GOAL",'2) หลักการคำนวน Table'!$D$32:$M$32,HLOOKUP(AL97,'2) หลักการคำนวน Table'!$D$1:$M$5,5,TRUE),0),
IF($C97="WS WH",VLOOKUP("GOAL",'2) หลักการคำนวน Table'!$D$62:$M$62,HLOOKUP(AL97,'2) หลักการคำนวน Table'!$D$1:$M$5,5,TRUE),0),
IF($C97="SF WH",VLOOKUP("GOAL",'2) หลักการคำนวน Table'!$D$92:$M$92,HLOOKUP(AL97,'2) หลักการคำนวน Table'!$D$1:$M$5,5,TRUE),0))))),0)</f>
        <v>0.9</v>
      </c>
      <c r="AY97" s="232">
        <f>IFERROR(IF($C97="Top WS",VLOOKUP("GOAL",'2) หลักการคำนวน Table'!$D$4:$M$4,HLOOKUP(AM97,'2) หลักการคำนวน Table'!$D$1:$M$5,5,TRUE),0),
IF($C97="WS SF",VLOOKUP("GOAL",'2) หลักการคำนวน Table'!$D$32:$M$32,HLOOKUP(AM97,'2) หลักการคำนวน Table'!$D$1:$M$5,5,TRUE),0),
IF($C97="WS WH",VLOOKUP("GOAL",'2) หลักการคำนวน Table'!$D$62:$M$62,HLOOKUP(AM97,'2) หลักการคำนวน Table'!$D$1:$M$5,5,TRUE),0),
IF($C97="SF WH",VLOOKUP("GOAL",'2) หลักการคำนวน Table'!$D$92:$M$92,HLOOKUP(AM97,'2) หลักการคำนวน Table'!$D$1:$M$5,5,TRUE),0))))),0)</f>
        <v>0.9</v>
      </c>
      <c r="AZ97" s="167">
        <f>IFERROR(IF($C97="Top WS",VLOOKUP($B97,'2) หลักการคำนวน Table'!$D$5:$M$20,HLOOKUP(AB97,'2) หลักการคำนวน Table'!$D$1:$M$5,5,TRUE),0),
IF($C97="WS SF",VLOOKUP($B97,'2) หลักการคำนวน Table'!$D$33:$M$48,HLOOKUP(AB97,'2) หลักการคำนวน Table'!$D$1:$M$5,5,TRUE),0),
IF($C97="WS WH",VLOOKUP($B97,'2) หลักการคำนวน Table'!$D$63:$M$78,HLOOKUP(AB97,'2) หลักการคำนวน Table'!$D$1:$M$5,5,TRUE),0),
IF($C97="SF WH",VLOOKUP($B97,'2) หลักการคำนวน Table'!$D$93:$M$108,HLOOKUP(AB97,'2) หลักการคำนวน Table'!$D$1:$M$5,5,TRUE),0))))),0)</f>
        <v>455</v>
      </c>
      <c r="BA97" s="167">
        <f>IFERROR(IF($C97="Top WS",VLOOKUP($B97,'2) หลักการคำนวน Table'!$D$5:$M$20,HLOOKUP(AC97,'2) หลักการคำนวน Table'!$D$1:$M$5,5,TRUE),0),
IF($C97="WS SF",VLOOKUP($B97,'2) หลักการคำนวน Table'!$D$33:$M$48,HLOOKUP(AC97,'2) หลักการคำนวน Table'!$D$1:$M$5,5,TRUE),0),
IF($C97="WS WH",VLOOKUP($B97,'2) หลักการคำนวน Table'!$D$63:$M$78,HLOOKUP(AC97,'2) หลักการคำนวน Table'!$D$1:$M$5,5,TRUE),0),
IF($C97="SF WH",VLOOKUP($B97,'2) หลักการคำนวน Table'!$D$93:$M$108,HLOOKUP(AC97,'2) หลักการคำนวน Table'!$D$1:$M$5,5,TRUE),0))))),0)</f>
        <v>455</v>
      </c>
      <c r="BB97" s="167">
        <f>IFERROR(IF($C97="Top WS",VLOOKUP($B97,'2) หลักการคำนวน Table'!$D$5:$M$20,HLOOKUP(AD97,'2) หลักการคำนวน Table'!$D$1:$M$5,5,TRUE),0),
IF($C97="WS SF",VLOOKUP($B97,'2) หลักการคำนวน Table'!$D$33:$M$48,HLOOKUP(AD97,'2) หลักการคำนวน Table'!$D$1:$M$5,5,TRUE),0),
IF($C97="WS WH",VLOOKUP($B97,'2) หลักการคำนวน Table'!$D$63:$M$78,HLOOKUP(AD97,'2) หลักการคำนวน Table'!$D$1:$M$5,5,TRUE),0),
IF($C97="SF WH",VLOOKUP($B97,'2) หลักการคำนวน Table'!$D$93:$M$108,HLOOKUP(AD97,'2) หลักการคำนวน Table'!$D$1:$M$5,5,TRUE),0))))),0)</f>
        <v>315</v>
      </c>
      <c r="BC97" s="167">
        <f>IFERROR(IF($C97="Top WS",VLOOKUP($B97,'2) หลักการคำนวน Table'!$D$5:$M$20,HLOOKUP(AE97,'2) หลักการคำนวน Table'!$D$1:$M$5,5,TRUE),0),
IF($C97="WS SF",VLOOKUP($B97,'2) หลักการคำนวน Table'!$D$33:$M$48,HLOOKUP(AE97,'2) หลักการคำนวน Table'!$D$1:$M$5,5,TRUE),0),
IF($C97="WS WH",VLOOKUP($B97,'2) หลักการคำนวน Table'!$D$63:$M$78,HLOOKUP(AE97,'2) หลักการคำนวน Table'!$D$1:$M$5,5,TRUE),0),
IF($C97="SF WH",VLOOKUP($B97,'2) หลักการคำนวน Table'!$D$93:$M$108,HLOOKUP(AE97,'2) หลักการคำนวน Table'!$D$1:$M$5,5,TRUE),0))))),0)</f>
        <v>315</v>
      </c>
      <c r="BD97" s="167">
        <f>IFERROR(IF($C97="Top WS",VLOOKUP($B97,'2) หลักการคำนวน Table'!$D$5:$M$20,HLOOKUP(AF97,'2) หลักการคำนวน Table'!$D$1:$M$5,5,TRUE),0),
IF($C97="WS SF",VLOOKUP($B97,'2) หลักการคำนวน Table'!$D$33:$M$48,HLOOKUP(AF97,'2) หลักการคำนวน Table'!$D$1:$M$5,5,TRUE),0),
IF($C97="WS WH",VLOOKUP($B97,'2) หลักการคำนวน Table'!$D$63:$M$78,HLOOKUP(AF97,'2) หลักการคำนวน Table'!$D$1:$M$5,5,TRUE),0),
IF($C97="SF WH",VLOOKUP($B97,'2) หลักการคำนวน Table'!$D$93:$M$108,HLOOKUP(AF97,'2) หลักการคำนวน Table'!$D$1:$M$5,5,TRUE),0))))),0)</f>
        <v>315</v>
      </c>
      <c r="BE97" s="167">
        <f>IFERROR(IF($C97="Top WS",VLOOKUP($B97,'2) หลักการคำนวน Table'!$D$5:$M$20,HLOOKUP(AG97,'2) หลักการคำนวน Table'!$D$1:$M$5,5,TRUE),0),
IF($C97="WS SF",VLOOKUP($B97,'2) หลักการคำนวน Table'!$D$33:$M$48,HLOOKUP(AG97,'2) หลักการคำนวน Table'!$D$1:$M$5,5,TRUE),0),
IF($C97="WS WH",VLOOKUP($B97,'2) หลักการคำนวน Table'!$D$63:$M$78,HLOOKUP(AG97,'2) หลักการคำนวน Table'!$D$1:$M$5,5,TRUE),0),
IF($C97="SF WH",VLOOKUP($B97,'2) หลักการคำนวน Table'!$D$93:$M$108,HLOOKUP(AG97,'2) หลักการคำนวน Table'!$D$1:$M$5,5,TRUE),0))))),0)</f>
        <v>315</v>
      </c>
      <c r="BF97" s="167">
        <f>IFERROR(IF($C97="Top WS",VLOOKUP($B97,'2) หลักการคำนวน Table'!$D$5:$M$20,HLOOKUP(AH97,'2) หลักการคำนวน Table'!$D$1:$M$5,5,TRUE),0),
IF($C97="WS SF",VLOOKUP($B97,'2) หลักการคำนวน Table'!$D$33:$M$48,HLOOKUP(AH97,'2) หลักการคำนวน Table'!$D$1:$M$5,5,TRUE),0),
IF($C97="WS WH",VLOOKUP($B97,'2) หลักการคำนวน Table'!$D$63:$M$78,HLOOKUP(AH97,'2) หลักการคำนวน Table'!$D$1:$M$5,5,TRUE),0),
IF($C97="SF WH",VLOOKUP($B97,'2) หลักการคำนวน Table'!$D$93:$M$108,HLOOKUP(AH97,'2) หลักการคำนวน Table'!$D$1:$M$5,5,TRUE),0))))),0)</f>
        <v>315</v>
      </c>
      <c r="BG97" s="167">
        <f>IFERROR(IF($C97="Top WS",VLOOKUP($B97,'2) หลักการคำนวน Table'!$D$5:$M$20,HLOOKUP(AI97,'2) หลักการคำนวน Table'!$D$1:$M$5,5,TRUE),0),
IF($C97="WS SF",VLOOKUP($B97,'2) หลักการคำนวน Table'!$D$33:$M$48,HLOOKUP(AI97,'2) หลักการคำนวน Table'!$D$1:$M$5,5,TRUE),0),
IF($C97="WS WH",VLOOKUP($B97,'2) หลักการคำนวน Table'!$D$63:$M$78,HLOOKUP(AI97,'2) หลักการคำนวน Table'!$D$1:$M$5,5,TRUE),0),
IF($C97="SF WH",VLOOKUP($B97,'2) หลักการคำนวน Table'!$D$93:$M$108,HLOOKUP(AI97,'2) หลักการคำนวน Table'!$D$1:$M$5,5,TRUE),0))))),0)</f>
        <v>315</v>
      </c>
      <c r="BH97" s="167">
        <f>IFERROR(IF($C97="Top WS",VLOOKUP($B97,'2) หลักการคำนวน Table'!$D$5:$M$20,HLOOKUP(AP97,'2) หลักการคำนวน Table'!$D$1:$M$5,5,TRUE),0),
IF($C97="WS SF",VLOOKUP($B97,'2) หลักการคำนวน Table'!$D$33:$M$48,HLOOKUP(AP97,'2) หลักการคำนวน Table'!$D$1:$M$5,5,TRUE),0),
IF($C97="WS WH",VLOOKUP($B97,'2) หลักการคำนวน Table'!$D$63:$M$78,HLOOKUP(AP97,'2) หลักการคำนวน Table'!$D$1:$M$5,5,TRUE),0),
IF($C97="SF WH",VLOOKUP($B97,'2) หลักการคำนวน Table'!$D$93:$M$108,HLOOKUP(AP97,'2) หลักการคำนวน Table'!$D$1:$M$5,5,TRUE),0))))),0)</f>
        <v>315</v>
      </c>
      <c r="BI97" s="167">
        <f>IFERROR(IF($C97="Top WS",VLOOKUP($B97,'2) หลักการคำนวน Table'!$D$5:$M$20,HLOOKUP(AK97,'2) หลักการคำนวน Table'!$D$1:$M$5,5,TRUE),0),
IF($C97="WS SF",VLOOKUP($B97,'2) หลักการคำนวน Table'!$D$33:$M$48,HLOOKUP(AK97,'2) หลักการคำนวน Table'!$D$1:$M$5,5,TRUE),0),
IF($C97="WS WH",VLOOKUP($B97,'2) หลักการคำนวน Table'!$D$63:$M$78,HLOOKUP(AK97,'2) หลักการคำนวน Table'!$D$1:$M$5,5,TRUE),0),
IF($C97="SF WH",VLOOKUP($B97,'2) หลักการคำนวน Table'!$D$93:$M$108,HLOOKUP(AK97,'2) หลักการคำนวน Table'!$D$1:$M$5,5,TRUE),0))))),0)</f>
        <v>315</v>
      </c>
      <c r="BJ97" s="167">
        <f>IFERROR(IF($C97="Top WS",VLOOKUP($B97,'2) หลักการคำนวน Table'!$D$5:$M$20,HLOOKUP(AL97,'2) หลักการคำนวน Table'!$D$1:$M$5,5,TRUE),0),
IF($C97="WS SF",VLOOKUP($B97,'2) หลักการคำนวน Table'!$D$33:$M$48,HLOOKUP(AL97,'2) หลักการคำนวน Table'!$D$1:$M$5,5,TRUE),0),
IF($C97="WS WH",VLOOKUP($B97,'2) หลักการคำนวน Table'!$D$63:$M$78,HLOOKUP(AL97,'2) หลักการคำนวน Table'!$D$1:$M$5,5,TRUE),0),
IF($C97="SF WH",VLOOKUP($B97,'2) หลักการคำนวน Table'!$D$93:$M$108,HLOOKUP(AL97,'2) หลักการคำนวน Table'!$D$1:$M$5,5,TRUE),0))))),0)</f>
        <v>315</v>
      </c>
      <c r="BK97" s="167">
        <f>IFERROR(IF($C97="Top WS",VLOOKUP($B97,'2) หลักการคำนวน Table'!$D$5:$M$20,HLOOKUP(AM97,'2) หลักการคำนวน Table'!$D$1:$M$5,5,TRUE),0),
IF($C97="WS SF",VLOOKUP($B97,'2) หลักการคำนวน Table'!$D$33:$M$48,HLOOKUP(AM97,'2) หลักการคำนวน Table'!$D$1:$M$5,5,TRUE),0),
IF($C97="WS WH",VLOOKUP($B97,'2) หลักการคำนวน Table'!$D$63:$M$78,HLOOKUP(AM97,'2) หลักการคำนวน Table'!$D$1:$M$5,5,TRUE),0),
IF($C97="SF WH",VLOOKUP($B97,'2) หลักการคำนวน Table'!$D$93:$M$108,HLOOKUP(AM97,'2) หลักการคำนวน Table'!$D$1:$M$5,5,TRUE),0))))),0)</f>
        <v>315</v>
      </c>
      <c r="BM97" s="119">
        <f>VLOOKUP(VLOOKUP(A97,ASTBase!E:S,13,FALSE),ASTBase!F:P,11,FALSE)</f>
        <v>110000</v>
      </c>
      <c r="BN97" s="196" cm="1">
        <f t="array" ref="BN97">INDEX(AN97:AY97,,Period!$D$2)</f>
        <v>1.3</v>
      </c>
    </row>
    <row r="98" spans="1:66" x14ac:dyDescent="0.25">
      <c r="A98" s="388">
        <v>110002</v>
      </c>
      <c r="B98" s="388" t="s">
        <v>396</v>
      </c>
      <c r="C98" s="388" t="s">
        <v>179</v>
      </c>
      <c r="D98" s="118">
        <v>22</v>
      </c>
      <c r="E98" s="118">
        <v>25</v>
      </c>
      <c r="F98" s="118">
        <v>26</v>
      </c>
      <c r="G98" s="118">
        <v>19</v>
      </c>
      <c r="H98" s="118">
        <v>23</v>
      </c>
      <c r="I98" s="118">
        <v>30</v>
      </c>
      <c r="J98" s="118">
        <v>21</v>
      </c>
      <c r="K98" s="118">
        <v>37</v>
      </c>
      <c r="L98" s="118">
        <v>34</v>
      </c>
      <c r="M98" s="118">
        <v>31</v>
      </c>
      <c r="N98" s="118">
        <v>48</v>
      </c>
      <c r="O98" s="118">
        <v>52</v>
      </c>
      <c r="P98" s="117">
        <f>SUMIFS(Actual!C:C,Actual!$A:$A,'3)Target &amp; Cal'!$A98,Actual!$B:$B,'3)Target &amp; Cal'!$B98)</f>
        <v>70.271999999999991</v>
      </c>
      <c r="Q98" s="117">
        <f>SUMIFS(Actual!D:D,Actual!$A:$A,'3)Target &amp; Cal'!$A98,Actual!$B:$B,'3)Target &amp; Cal'!$B98)</f>
        <v>0</v>
      </c>
      <c r="R98" s="117">
        <f>SUMIFS(Actual!E:E,Actual!$A:$A,'3)Target &amp; Cal'!$A98,Actual!$B:$B,'3)Target &amp; Cal'!$B98)</f>
        <v>0</v>
      </c>
      <c r="S98" s="117">
        <f>SUMIFS(Actual!F:F,Actual!$A:$A,'3)Target &amp; Cal'!$A98,Actual!$B:$B,'3)Target &amp; Cal'!$B98)</f>
        <v>0</v>
      </c>
      <c r="T98" s="117">
        <f>SUMIFS(Actual!G:G,Actual!$A:$A,'3)Target &amp; Cal'!$A98,Actual!$B:$B,'3)Target &amp; Cal'!$B98)</f>
        <v>0</v>
      </c>
      <c r="U98" s="117">
        <f>SUMIFS(Actual!H:H,Actual!$A:$A,'3)Target &amp; Cal'!$A98,Actual!$B:$B,'3)Target &amp; Cal'!$B98)</f>
        <v>0</v>
      </c>
      <c r="V98" s="117">
        <f>SUMIFS(Actual!I:I,Actual!$A:$A,'3)Target &amp; Cal'!$A98,Actual!$B:$B,'3)Target &amp; Cal'!$B98)</f>
        <v>0</v>
      </c>
      <c r="W98" s="117">
        <f>SUMIFS(Actual!J:J,Actual!$A:$A,'3)Target &amp; Cal'!$A98,Actual!$B:$B,'3)Target &amp; Cal'!$B98)</f>
        <v>0</v>
      </c>
      <c r="X98" s="117">
        <f>SUMIFS(Actual!K:K,Actual!$A:$A,'3)Target &amp; Cal'!$A98,Actual!$B:$B,'3)Target &amp; Cal'!$B98)</f>
        <v>0</v>
      </c>
      <c r="Y98" s="117">
        <f>SUMIFS(Actual!L:L,Actual!$A:$A,'3)Target &amp; Cal'!$A98,Actual!$B:$B,'3)Target &amp; Cal'!$B98)</f>
        <v>0</v>
      </c>
      <c r="Z98" s="117">
        <f>SUMIFS(Actual!M:M,Actual!$A:$A,'3)Target &amp; Cal'!$A98,Actual!$B:$B,'3)Target &amp; Cal'!$B98)</f>
        <v>0</v>
      </c>
      <c r="AA98" s="117">
        <f>SUMIFS(Actual!N:N,Actual!$A:$A,'3)Target &amp; Cal'!$A98,Actual!$B:$B,'3)Target &amp; Cal'!$B98)</f>
        <v>0</v>
      </c>
      <c r="AB98" s="123">
        <f>IFERROR(IF(VLOOKUP($B98,Shortage!$A:$M,AB$2,FALSE)="Shortage",1,IFERROR(ROUND(P98/D98,4),0)),IFERROR(ROUND(P98/D98,4),0))</f>
        <v>3.1941999999999999</v>
      </c>
      <c r="AC98" s="123">
        <f>IFERROR(IF(VLOOKUP($B98,Shortage!$A:$M,AC$2,FALSE)="Shortage",1,IFERROR(ROUND(Q98/E98,4),0)),IFERROR(ROUND(Q98/E98,4),0))</f>
        <v>0</v>
      </c>
      <c r="AD98" s="123">
        <f>IFERROR(IF(VLOOKUP($B98,Shortage!$A:$M,AD$2,FALSE)="Shortage",1,IFERROR(ROUND(R98/F98,4),0)),IFERROR(ROUND(R98/F98,4),0))</f>
        <v>0</v>
      </c>
      <c r="AE98" s="123">
        <f>IFERROR(IF(VLOOKUP($B98,Shortage!$A:$M,AE$2,FALSE)="Shortage",1,IFERROR(ROUND(S98/G98,4),0)),IFERROR(ROUND(S98/G98,4),0))</f>
        <v>0</v>
      </c>
      <c r="AF98" s="123">
        <f>IFERROR(IF(VLOOKUP($B98,Shortage!$A:$M,AF$2,FALSE)="Shortage",1,IFERROR(ROUND(T98/H98,4),0)),IFERROR(ROUND(T98/H98,4),0))</f>
        <v>0</v>
      </c>
      <c r="AG98" s="123">
        <f>IFERROR(IF(VLOOKUP($B98,Shortage!$A:$M,AG$2,FALSE)="Shortage",1,IFERROR(ROUND(U98/I98,4),0)),IFERROR(ROUND(U98/I98,4),0))</f>
        <v>0</v>
      </c>
      <c r="AH98" s="123">
        <f>IFERROR(IF(VLOOKUP($B98,Shortage!$A:$M,AH$2,FALSE)="Shortage",1,IFERROR(ROUND(V98/J98,4),0)),IFERROR(ROUND(V98/J98,4),0))</f>
        <v>0</v>
      </c>
      <c r="AI98" s="123">
        <f>IFERROR(IF(VLOOKUP($B98,Shortage!$A:$M,AI$2,FALSE)="Shortage",1,IFERROR(ROUND(W98/K98,4),0)),IFERROR(ROUND(W98/K98,4),0))</f>
        <v>0</v>
      </c>
      <c r="AJ98" s="123">
        <f>IFERROR(IF(VLOOKUP($B98,Shortage!$A:$M,AP$2,FALSE)="Shortage",1,IFERROR(ROUND(X98/L98,4),0)),IFERROR(ROUND(X98/L98,4),0))</f>
        <v>0</v>
      </c>
      <c r="AK98" s="123">
        <f>IFERROR(IF(VLOOKUP($B98,Shortage!$A:$M,AK$2,FALSE)="Shortage",1,IFERROR(ROUND(Y98/M98,4),0)),IFERROR(ROUND(Y98/M98,4),0))</f>
        <v>0</v>
      </c>
      <c r="AL98" s="123">
        <f>IFERROR(IF(VLOOKUP($B98,Shortage!$A:$M,AL$2,FALSE)="Shortage",1,IFERROR(ROUND(Z98/N98,4),0)),IFERROR(ROUND(Z98/N98,4),0))</f>
        <v>0</v>
      </c>
      <c r="AM98" s="123">
        <f>IFERROR(IF(VLOOKUP($B98,Shortage!$A:$M,AM$2,FALSE)="Shortage",1,IFERROR(ROUND(AA98/O98,4),0)),IFERROR(ROUND(AA98/O98,4),0))</f>
        <v>0</v>
      </c>
      <c r="AN98" s="232">
        <f>IFERROR(IF($C98="Top WS",VLOOKUP("GOAL",'2) หลักการคำนวน Table'!$D$4:$M$4,HLOOKUP(AB98,'2) หลักการคำนวน Table'!$D$1:$M$5,5,TRUE),0),
IF($C98="WS SF",VLOOKUP("GOAL",'2) หลักการคำนวน Table'!$D$32:$M$32,HLOOKUP(AB98,'2) หลักการคำนวน Table'!$D$1:$M$5,5,TRUE),0),
IF($C98="WS WH",VLOOKUP("GOAL",'2) หลักการคำนวน Table'!$D$62:$M$62,HLOOKUP(AB98,'2) หลักการคำนวน Table'!$D$1:$M$5,5,TRUE),0),
IF($C98="SF WH",VLOOKUP("GOAL",'2) หลักการคำนวน Table'!$D$92:$M$92,HLOOKUP(AB98,'2) หลักการคำนวน Table'!$D$1:$M$5,5,TRUE),0))))),0)</f>
        <v>1.3</v>
      </c>
      <c r="AO98" s="232">
        <f>IFERROR(IF($C98="Top WS",VLOOKUP("GOAL",'2) หลักการคำนวน Table'!$D$4:$M$4,HLOOKUP(AC98,'2) หลักการคำนวน Table'!$D$1:$M$5,5,TRUE),0),
IF($C98="WS SF",VLOOKUP("GOAL",'2) หลักการคำนวน Table'!$D$32:$M$32,HLOOKUP(AC98,'2) หลักการคำนวน Table'!$D$1:$M$5,5,TRUE),0),
IF($C98="WS WH",VLOOKUP("GOAL",'2) หลักการคำนวน Table'!$D$62:$M$62,HLOOKUP(AC98,'2) หลักการคำนวน Table'!$D$1:$M$5,5,TRUE),0),
IF($C98="SF WH",VLOOKUP("GOAL",'2) หลักการคำนวน Table'!$D$92:$M$92,HLOOKUP(AC98,'2) หลักการคำนวน Table'!$D$1:$M$5,5,TRUE),0))))),0)</f>
        <v>0.9</v>
      </c>
      <c r="AP98" s="232">
        <f>IFERROR(IF($C98="Top WS",VLOOKUP("GOAL",'2) หลักการคำนวน Table'!$D$4:$M$4,HLOOKUP(AD98,'2) หลักการคำนวน Table'!$D$1:$M$5,5,TRUE),0),
IF($C98="WS SF",VLOOKUP("GOAL",'2) หลักการคำนวน Table'!$D$32:$M$32,HLOOKUP(AD98,'2) หลักการคำนวน Table'!$D$1:$M$5,5,TRUE),0),
IF($C98="WS WH",VLOOKUP("GOAL",'2) หลักการคำนวน Table'!$D$62:$M$62,HLOOKUP(AD98,'2) หลักการคำนวน Table'!$D$1:$M$5,5,TRUE),0),
IF($C98="SF WH",VLOOKUP("GOAL",'2) หลักการคำนวน Table'!$D$92:$M$92,HLOOKUP(AD98,'2) หลักการคำนวน Table'!$D$1:$M$5,5,TRUE),0))))),0)</f>
        <v>0.9</v>
      </c>
      <c r="AQ98" s="232">
        <f>IFERROR(IF($C98="Top WS",VLOOKUP("GOAL",'2) หลักการคำนวน Table'!$D$4:$M$4,HLOOKUP(AE98,'2) หลักการคำนวน Table'!$D$1:$M$5,5,TRUE),0),
IF($C98="WS SF",VLOOKUP("GOAL",'2) หลักการคำนวน Table'!$D$32:$M$32,HLOOKUP(AE98,'2) หลักการคำนวน Table'!$D$1:$M$5,5,TRUE),0),
IF($C98="WS WH",VLOOKUP("GOAL",'2) หลักการคำนวน Table'!$D$62:$M$62,HLOOKUP(AE98,'2) หลักการคำนวน Table'!$D$1:$M$5,5,TRUE),0),
IF($C98="SF WH",VLOOKUP("GOAL",'2) หลักการคำนวน Table'!$D$92:$M$92,HLOOKUP(AE98,'2) หลักการคำนวน Table'!$D$1:$M$5,5,TRUE),0))))),0)</f>
        <v>0.9</v>
      </c>
      <c r="AR98" s="232">
        <f>IFERROR(IF($C98="Top WS",VLOOKUP("GOAL",'2) หลักการคำนวน Table'!$D$4:$M$4,HLOOKUP(AF98,'2) หลักการคำนวน Table'!$D$1:$M$5,5,TRUE),0),
IF($C98="WS SF",VLOOKUP("GOAL",'2) หลักการคำนวน Table'!$D$32:$M$32,HLOOKUP(AF98,'2) หลักการคำนวน Table'!$D$1:$M$5,5,TRUE),0),
IF($C98="WS WH",VLOOKUP("GOAL",'2) หลักการคำนวน Table'!$D$62:$M$62,HLOOKUP(AF98,'2) หลักการคำนวน Table'!$D$1:$M$5,5,TRUE),0),
IF($C98="SF WH",VLOOKUP("GOAL",'2) หลักการคำนวน Table'!$D$92:$M$92,HLOOKUP(AF98,'2) หลักการคำนวน Table'!$D$1:$M$5,5,TRUE),0))))),0)</f>
        <v>0.9</v>
      </c>
      <c r="AS98" s="232">
        <f>IFERROR(IF($C98="Top WS",VLOOKUP("GOAL",'2) หลักการคำนวน Table'!$D$4:$M$4,HLOOKUP(AG98,'2) หลักการคำนวน Table'!$D$1:$M$5,5,TRUE),0),
IF($C98="WS SF",VLOOKUP("GOAL",'2) หลักการคำนวน Table'!$D$32:$M$32,HLOOKUP(AG98,'2) หลักการคำนวน Table'!$D$1:$M$5,5,TRUE),0),
IF($C98="WS WH",VLOOKUP("GOAL",'2) หลักการคำนวน Table'!$D$62:$M$62,HLOOKUP(AG98,'2) หลักการคำนวน Table'!$D$1:$M$5,5,TRUE),0),
IF($C98="SF WH",VLOOKUP("GOAL",'2) หลักการคำนวน Table'!$D$92:$M$92,HLOOKUP(AG98,'2) หลักการคำนวน Table'!$D$1:$M$5,5,TRUE),0))))),0)</f>
        <v>0.9</v>
      </c>
      <c r="AT98" s="232">
        <f>IFERROR(IF($C98="Top WS",VLOOKUP("GOAL",'2) หลักการคำนวน Table'!$D$4:$M$4,HLOOKUP(AH98,'2) หลักการคำนวน Table'!$D$1:$M$5,5,TRUE),0),
IF($C98="WS SF",VLOOKUP("GOAL",'2) หลักการคำนวน Table'!$D$32:$M$32,HLOOKUP(AH98,'2) หลักการคำนวน Table'!$D$1:$M$5,5,TRUE),0),
IF($C98="WS WH",VLOOKUP("GOAL",'2) หลักการคำนวน Table'!$D$62:$M$62,HLOOKUP(AH98,'2) หลักการคำนวน Table'!$D$1:$M$5,5,TRUE),0),
IF($C98="SF WH",VLOOKUP("GOAL",'2) หลักการคำนวน Table'!$D$92:$M$92,HLOOKUP(AH98,'2) หลักการคำนวน Table'!$D$1:$M$5,5,TRUE),0))))),0)</f>
        <v>0.9</v>
      </c>
      <c r="AU98" s="232">
        <f>IFERROR(IF($C98="Top WS",VLOOKUP("GOAL",'2) หลักการคำนวน Table'!$D$4:$M$4,HLOOKUP(AI98,'2) หลักการคำนวน Table'!$D$1:$M$5,5,TRUE),0),
IF($C98="WS SF",VLOOKUP("GOAL",'2) หลักการคำนวน Table'!$D$32:$M$32,HLOOKUP(AI98,'2) หลักการคำนวน Table'!$D$1:$M$5,5,TRUE),0),
IF($C98="WS WH",VLOOKUP("GOAL",'2) หลักการคำนวน Table'!$D$62:$M$62,HLOOKUP(AI98,'2) หลักการคำนวน Table'!$D$1:$M$5,5,TRUE),0),
IF($C98="SF WH",VLOOKUP("GOAL",'2) หลักการคำนวน Table'!$D$92:$M$92,HLOOKUP(AI98,'2) หลักการคำนวน Table'!$D$1:$M$5,5,TRUE),0))))),0)</f>
        <v>0.9</v>
      </c>
      <c r="AV98" s="232">
        <f>IFERROR(IF($C98="Top WS",VLOOKUP("GOAL",'2) หลักการคำนวน Table'!$D$4:$M$4,HLOOKUP(AP98,'2) หลักการคำนวน Table'!$D$1:$M$5,5,TRUE),0),
IF($C98="WS SF",VLOOKUP("GOAL",'2) หลักการคำนวน Table'!$D$32:$M$32,HLOOKUP(AP98,'2) หลักการคำนวน Table'!$D$1:$M$5,5,TRUE),0),
IF($C98="WS WH",VLOOKUP("GOAL",'2) หลักการคำนวน Table'!$D$62:$M$62,HLOOKUP(AP98,'2) หลักการคำนวน Table'!$D$1:$M$5,5,TRUE),0),
IF($C98="SF WH",VLOOKUP("GOAL",'2) หลักการคำนวน Table'!$D$92:$M$92,HLOOKUP(AP98,'2) หลักการคำนวน Table'!$D$1:$M$5,5,TRUE),0))))),0)</f>
        <v>0.9</v>
      </c>
      <c r="AW98" s="232">
        <f>IFERROR(IF($C98="Top WS",VLOOKUP("GOAL",'2) หลักการคำนวน Table'!$D$4:$M$4,HLOOKUP(AK98,'2) หลักการคำนวน Table'!$D$1:$M$5,5,TRUE),0),
IF($C98="WS SF",VLOOKUP("GOAL",'2) หลักการคำนวน Table'!$D$32:$M$32,HLOOKUP(AK98,'2) หลักการคำนวน Table'!$D$1:$M$5,5,TRUE),0),
IF($C98="WS WH",VLOOKUP("GOAL",'2) หลักการคำนวน Table'!$D$62:$M$62,HLOOKUP(AK98,'2) หลักการคำนวน Table'!$D$1:$M$5,5,TRUE),0),
IF($C98="SF WH",VLOOKUP("GOAL",'2) หลักการคำนวน Table'!$D$92:$M$92,HLOOKUP(AK98,'2) หลักการคำนวน Table'!$D$1:$M$5,5,TRUE),0))))),0)</f>
        <v>0.9</v>
      </c>
      <c r="AX98" s="232">
        <f>IFERROR(IF($C98="Top WS",VLOOKUP("GOAL",'2) หลักการคำนวน Table'!$D$4:$M$4,HLOOKUP(AL98,'2) หลักการคำนวน Table'!$D$1:$M$5,5,TRUE),0),
IF($C98="WS SF",VLOOKUP("GOAL",'2) หลักการคำนวน Table'!$D$32:$M$32,HLOOKUP(AL98,'2) หลักการคำนวน Table'!$D$1:$M$5,5,TRUE),0),
IF($C98="WS WH",VLOOKUP("GOAL",'2) หลักการคำนวน Table'!$D$62:$M$62,HLOOKUP(AL98,'2) หลักการคำนวน Table'!$D$1:$M$5,5,TRUE),0),
IF($C98="SF WH",VLOOKUP("GOAL",'2) หลักการคำนวน Table'!$D$92:$M$92,HLOOKUP(AL98,'2) หลักการคำนวน Table'!$D$1:$M$5,5,TRUE),0))))),0)</f>
        <v>0.9</v>
      </c>
      <c r="AY98" s="232">
        <f>IFERROR(IF($C98="Top WS",VLOOKUP("GOAL",'2) หลักการคำนวน Table'!$D$4:$M$4,HLOOKUP(AM98,'2) หลักการคำนวน Table'!$D$1:$M$5,5,TRUE),0),
IF($C98="WS SF",VLOOKUP("GOAL",'2) หลักการคำนวน Table'!$D$32:$M$32,HLOOKUP(AM98,'2) หลักการคำนวน Table'!$D$1:$M$5,5,TRUE),0),
IF($C98="WS WH",VLOOKUP("GOAL",'2) หลักการคำนวน Table'!$D$62:$M$62,HLOOKUP(AM98,'2) หลักการคำนวน Table'!$D$1:$M$5,5,TRUE),0),
IF($C98="SF WH",VLOOKUP("GOAL",'2) หลักการคำนวน Table'!$D$92:$M$92,HLOOKUP(AM98,'2) หลักการคำนวน Table'!$D$1:$M$5,5,TRUE),0))))),0)</f>
        <v>0.9</v>
      </c>
      <c r="AZ98" s="167">
        <f>IFERROR(IF($C98="Top WS",VLOOKUP($B98,'2) หลักการคำนวน Table'!$D$5:$M$20,HLOOKUP(AB98,'2) หลักการคำนวน Table'!$D$1:$M$5,5,TRUE),0),
IF($C98="WS SF",VLOOKUP($B98,'2) หลักการคำนวน Table'!$D$33:$M$48,HLOOKUP(AB98,'2) หลักการคำนวน Table'!$D$1:$M$5,5,TRUE),0),
IF($C98="WS WH",VLOOKUP($B98,'2) หลักการคำนวน Table'!$D$63:$M$78,HLOOKUP(AB98,'2) หลักการคำนวน Table'!$D$1:$M$5,5,TRUE),0),
IF($C98="SF WH",VLOOKUP($B98,'2) หลักการคำนวน Table'!$D$93:$M$108,HLOOKUP(AB98,'2) หลักการคำนวน Table'!$D$1:$M$5,5,TRUE),0))))),0)</f>
        <v>455</v>
      </c>
      <c r="BA98" s="167">
        <f>IFERROR(IF($C98="Top WS",VLOOKUP($B98,'2) หลักการคำนวน Table'!$D$5:$M$20,HLOOKUP(AC98,'2) หลักการคำนวน Table'!$D$1:$M$5,5,TRUE),0),
IF($C98="WS SF",VLOOKUP($B98,'2) หลักการคำนวน Table'!$D$33:$M$48,HLOOKUP(AC98,'2) หลักการคำนวน Table'!$D$1:$M$5,5,TRUE),0),
IF($C98="WS WH",VLOOKUP($B98,'2) หลักการคำนวน Table'!$D$63:$M$78,HLOOKUP(AC98,'2) หลักการคำนวน Table'!$D$1:$M$5,5,TRUE),0),
IF($C98="SF WH",VLOOKUP($B98,'2) หลักการคำนวน Table'!$D$93:$M$108,HLOOKUP(AC98,'2) หลักการคำนวน Table'!$D$1:$M$5,5,TRUE),0))))),0)</f>
        <v>315</v>
      </c>
      <c r="BB98" s="167">
        <f>IFERROR(IF($C98="Top WS",VLOOKUP($B98,'2) หลักการคำนวน Table'!$D$5:$M$20,HLOOKUP(AD98,'2) หลักการคำนวน Table'!$D$1:$M$5,5,TRUE),0),
IF($C98="WS SF",VLOOKUP($B98,'2) หลักการคำนวน Table'!$D$33:$M$48,HLOOKUP(AD98,'2) หลักการคำนวน Table'!$D$1:$M$5,5,TRUE),0),
IF($C98="WS WH",VLOOKUP($B98,'2) หลักการคำนวน Table'!$D$63:$M$78,HLOOKUP(AD98,'2) หลักการคำนวน Table'!$D$1:$M$5,5,TRUE),0),
IF($C98="SF WH",VLOOKUP($B98,'2) หลักการคำนวน Table'!$D$93:$M$108,HLOOKUP(AD98,'2) หลักการคำนวน Table'!$D$1:$M$5,5,TRUE),0))))),0)</f>
        <v>315</v>
      </c>
      <c r="BC98" s="167">
        <f>IFERROR(IF($C98="Top WS",VLOOKUP($B98,'2) หลักการคำนวน Table'!$D$5:$M$20,HLOOKUP(AE98,'2) หลักการคำนวน Table'!$D$1:$M$5,5,TRUE),0),
IF($C98="WS SF",VLOOKUP($B98,'2) หลักการคำนวน Table'!$D$33:$M$48,HLOOKUP(AE98,'2) หลักการคำนวน Table'!$D$1:$M$5,5,TRUE),0),
IF($C98="WS WH",VLOOKUP($B98,'2) หลักการคำนวน Table'!$D$63:$M$78,HLOOKUP(AE98,'2) หลักการคำนวน Table'!$D$1:$M$5,5,TRUE),0),
IF($C98="SF WH",VLOOKUP($B98,'2) หลักการคำนวน Table'!$D$93:$M$108,HLOOKUP(AE98,'2) หลักการคำนวน Table'!$D$1:$M$5,5,TRUE),0))))),0)</f>
        <v>315</v>
      </c>
      <c r="BD98" s="167">
        <f>IFERROR(IF($C98="Top WS",VLOOKUP($B98,'2) หลักการคำนวน Table'!$D$5:$M$20,HLOOKUP(AF98,'2) หลักการคำนวน Table'!$D$1:$M$5,5,TRUE),0),
IF($C98="WS SF",VLOOKUP($B98,'2) หลักการคำนวน Table'!$D$33:$M$48,HLOOKUP(AF98,'2) หลักการคำนวน Table'!$D$1:$M$5,5,TRUE),0),
IF($C98="WS WH",VLOOKUP($B98,'2) หลักการคำนวน Table'!$D$63:$M$78,HLOOKUP(AF98,'2) หลักการคำนวน Table'!$D$1:$M$5,5,TRUE),0),
IF($C98="SF WH",VLOOKUP($B98,'2) หลักการคำนวน Table'!$D$93:$M$108,HLOOKUP(AF98,'2) หลักการคำนวน Table'!$D$1:$M$5,5,TRUE),0))))),0)</f>
        <v>315</v>
      </c>
      <c r="BE98" s="167">
        <f>IFERROR(IF($C98="Top WS",VLOOKUP($B98,'2) หลักการคำนวน Table'!$D$5:$M$20,HLOOKUP(AG98,'2) หลักการคำนวน Table'!$D$1:$M$5,5,TRUE),0),
IF($C98="WS SF",VLOOKUP($B98,'2) หลักการคำนวน Table'!$D$33:$M$48,HLOOKUP(AG98,'2) หลักการคำนวน Table'!$D$1:$M$5,5,TRUE),0),
IF($C98="WS WH",VLOOKUP($B98,'2) หลักการคำนวน Table'!$D$63:$M$78,HLOOKUP(AG98,'2) หลักการคำนวน Table'!$D$1:$M$5,5,TRUE),0),
IF($C98="SF WH",VLOOKUP($B98,'2) หลักการคำนวน Table'!$D$93:$M$108,HLOOKUP(AG98,'2) หลักการคำนวน Table'!$D$1:$M$5,5,TRUE),0))))),0)</f>
        <v>315</v>
      </c>
      <c r="BF98" s="167">
        <f>IFERROR(IF($C98="Top WS",VLOOKUP($B98,'2) หลักการคำนวน Table'!$D$5:$M$20,HLOOKUP(AH98,'2) หลักการคำนวน Table'!$D$1:$M$5,5,TRUE),0),
IF($C98="WS SF",VLOOKUP($B98,'2) หลักการคำนวน Table'!$D$33:$M$48,HLOOKUP(AH98,'2) หลักการคำนวน Table'!$D$1:$M$5,5,TRUE),0),
IF($C98="WS WH",VLOOKUP($B98,'2) หลักการคำนวน Table'!$D$63:$M$78,HLOOKUP(AH98,'2) หลักการคำนวน Table'!$D$1:$M$5,5,TRUE),0),
IF($C98="SF WH",VLOOKUP($B98,'2) หลักการคำนวน Table'!$D$93:$M$108,HLOOKUP(AH98,'2) หลักการคำนวน Table'!$D$1:$M$5,5,TRUE),0))))),0)</f>
        <v>315</v>
      </c>
      <c r="BG98" s="167">
        <f>IFERROR(IF($C98="Top WS",VLOOKUP($B98,'2) หลักการคำนวน Table'!$D$5:$M$20,HLOOKUP(AI98,'2) หลักการคำนวน Table'!$D$1:$M$5,5,TRUE),0),
IF($C98="WS SF",VLOOKUP($B98,'2) หลักการคำนวน Table'!$D$33:$M$48,HLOOKUP(AI98,'2) หลักการคำนวน Table'!$D$1:$M$5,5,TRUE),0),
IF($C98="WS WH",VLOOKUP($B98,'2) หลักการคำนวน Table'!$D$63:$M$78,HLOOKUP(AI98,'2) หลักการคำนวน Table'!$D$1:$M$5,5,TRUE),0),
IF($C98="SF WH",VLOOKUP($B98,'2) หลักการคำนวน Table'!$D$93:$M$108,HLOOKUP(AI98,'2) หลักการคำนวน Table'!$D$1:$M$5,5,TRUE),0))))),0)</f>
        <v>315</v>
      </c>
      <c r="BH98" s="167">
        <f>IFERROR(IF($C98="Top WS",VLOOKUP($B98,'2) หลักการคำนวน Table'!$D$5:$M$20,HLOOKUP(AP98,'2) หลักการคำนวน Table'!$D$1:$M$5,5,TRUE),0),
IF($C98="WS SF",VLOOKUP($B98,'2) หลักการคำนวน Table'!$D$33:$M$48,HLOOKUP(AP98,'2) หลักการคำนวน Table'!$D$1:$M$5,5,TRUE),0),
IF($C98="WS WH",VLOOKUP($B98,'2) หลักการคำนวน Table'!$D$63:$M$78,HLOOKUP(AP98,'2) หลักการคำนวน Table'!$D$1:$M$5,5,TRUE),0),
IF($C98="SF WH",VLOOKUP($B98,'2) หลักการคำนวน Table'!$D$93:$M$108,HLOOKUP(AP98,'2) หลักการคำนวน Table'!$D$1:$M$5,5,TRUE),0))))),0)</f>
        <v>315</v>
      </c>
      <c r="BI98" s="167">
        <f>IFERROR(IF($C98="Top WS",VLOOKUP($B98,'2) หลักการคำนวน Table'!$D$5:$M$20,HLOOKUP(AK98,'2) หลักการคำนวน Table'!$D$1:$M$5,5,TRUE),0),
IF($C98="WS SF",VLOOKUP($B98,'2) หลักการคำนวน Table'!$D$33:$M$48,HLOOKUP(AK98,'2) หลักการคำนวน Table'!$D$1:$M$5,5,TRUE),0),
IF($C98="WS WH",VLOOKUP($B98,'2) หลักการคำนวน Table'!$D$63:$M$78,HLOOKUP(AK98,'2) หลักการคำนวน Table'!$D$1:$M$5,5,TRUE),0),
IF($C98="SF WH",VLOOKUP($B98,'2) หลักการคำนวน Table'!$D$93:$M$108,HLOOKUP(AK98,'2) หลักการคำนวน Table'!$D$1:$M$5,5,TRUE),0))))),0)</f>
        <v>315</v>
      </c>
      <c r="BJ98" s="167">
        <f>IFERROR(IF($C98="Top WS",VLOOKUP($B98,'2) หลักการคำนวน Table'!$D$5:$M$20,HLOOKUP(AL98,'2) หลักการคำนวน Table'!$D$1:$M$5,5,TRUE),0),
IF($C98="WS SF",VLOOKUP($B98,'2) หลักการคำนวน Table'!$D$33:$M$48,HLOOKUP(AL98,'2) หลักการคำนวน Table'!$D$1:$M$5,5,TRUE),0),
IF($C98="WS WH",VLOOKUP($B98,'2) หลักการคำนวน Table'!$D$63:$M$78,HLOOKUP(AL98,'2) หลักการคำนวน Table'!$D$1:$M$5,5,TRUE),0),
IF($C98="SF WH",VLOOKUP($B98,'2) หลักการคำนวน Table'!$D$93:$M$108,HLOOKUP(AL98,'2) หลักการคำนวน Table'!$D$1:$M$5,5,TRUE),0))))),0)</f>
        <v>315</v>
      </c>
      <c r="BK98" s="167">
        <f>IFERROR(IF($C98="Top WS",VLOOKUP($B98,'2) หลักการคำนวน Table'!$D$5:$M$20,HLOOKUP(AM98,'2) หลักการคำนวน Table'!$D$1:$M$5,5,TRUE),0),
IF($C98="WS SF",VLOOKUP($B98,'2) หลักการคำนวน Table'!$D$33:$M$48,HLOOKUP(AM98,'2) หลักการคำนวน Table'!$D$1:$M$5,5,TRUE),0),
IF($C98="WS WH",VLOOKUP($B98,'2) หลักการคำนวน Table'!$D$63:$M$78,HLOOKUP(AM98,'2) หลักการคำนวน Table'!$D$1:$M$5,5,TRUE),0),
IF($C98="SF WH",VLOOKUP($B98,'2) หลักการคำนวน Table'!$D$93:$M$108,HLOOKUP(AM98,'2) หลักการคำนวน Table'!$D$1:$M$5,5,TRUE),0))))),0)</f>
        <v>315</v>
      </c>
      <c r="BM98" s="119">
        <f>VLOOKUP(VLOOKUP(A98,ASTBase!E:S,13,FALSE),ASTBase!F:P,11,FALSE)</f>
        <v>110000</v>
      </c>
      <c r="BN98" s="196" cm="1">
        <f t="array" ref="BN98">INDEX(AN98:AY98,,Period!$D$2)</f>
        <v>0.9</v>
      </c>
    </row>
    <row r="99" spans="1:66" x14ac:dyDescent="0.25">
      <c r="A99" s="388">
        <v>110002</v>
      </c>
      <c r="B99" s="388" t="s">
        <v>394</v>
      </c>
      <c r="C99" s="388" t="s">
        <v>179</v>
      </c>
      <c r="D99" s="118">
        <v>57</v>
      </c>
      <c r="E99" s="118">
        <v>80</v>
      </c>
      <c r="F99" s="118">
        <v>25</v>
      </c>
      <c r="G99" s="118">
        <v>17</v>
      </c>
      <c r="H99" s="118">
        <v>27</v>
      </c>
      <c r="I99" s="118">
        <v>67</v>
      </c>
      <c r="J99" s="118">
        <v>66</v>
      </c>
      <c r="K99" s="118">
        <v>98</v>
      </c>
      <c r="L99" s="118">
        <v>72</v>
      </c>
      <c r="M99" s="118">
        <v>66</v>
      </c>
      <c r="N99" s="118">
        <v>70</v>
      </c>
      <c r="O99" s="118">
        <v>75</v>
      </c>
      <c r="P99" s="117">
        <f>SUMIFS(Actual!C:C,Actual!$A:$A,'3)Target &amp; Cal'!$A99,Actual!$B:$B,'3)Target &amp; Cal'!$B99)</f>
        <v>32.4</v>
      </c>
      <c r="Q99" s="117">
        <f>SUMIFS(Actual!D:D,Actual!$A:$A,'3)Target &amp; Cal'!$A99,Actual!$B:$B,'3)Target &amp; Cal'!$B99)</f>
        <v>97.2</v>
      </c>
      <c r="R99" s="117">
        <f>SUMIFS(Actual!E:E,Actual!$A:$A,'3)Target &amp; Cal'!$A99,Actual!$B:$B,'3)Target &amp; Cal'!$B99)</f>
        <v>0</v>
      </c>
      <c r="S99" s="117">
        <f>SUMIFS(Actual!F:F,Actual!$A:$A,'3)Target &amp; Cal'!$A99,Actual!$B:$B,'3)Target &amp; Cal'!$B99)</f>
        <v>0</v>
      </c>
      <c r="T99" s="117">
        <f>SUMIFS(Actual!G:G,Actual!$A:$A,'3)Target &amp; Cal'!$A99,Actual!$B:$B,'3)Target &amp; Cal'!$B99)</f>
        <v>0</v>
      </c>
      <c r="U99" s="117">
        <f>SUMIFS(Actual!H:H,Actual!$A:$A,'3)Target &amp; Cal'!$A99,Actual!$B:$B,'3)Target &amp; Cal'!$B99)</f>
        <v>0</v>
      </c>
      <c r="V99" s="117">
        <f>SUMIFS(Actual!I:I,Actual!$A:$A,'3)Target &amp; Cal'!$A99,Actual!$B:$B,'3)Target &amp; Cal'!$B99)</f>
        <v>0</v>
      </c>
      <c r="W99" s="117">
        <f>SUMIFS(Actual!J:J,Actual!$A:$A,'3)Target &amp; Cal'!$A99,Actual!$B:$B,'3)Target &amp; Cal'!$B99)</f>
        <v>0</v>
      </c>
      <c r="X99" s="117">
        <f>SUMIFS(Actual!K:K,Actual!$A:$A,'3)Target &amp; Cal'!$A99,Actual!$B:$B,'3)Target &amp; Cal'!$B99)</f>
        <v>0</v>
      </c>
      <c r="Y99" s="117">
        <f>SUMIFS(Actual!L:L,Actual!$A:$A,'3)Target &amp; Cal'!$A99,Actual!$B:$B,'3)Target &amp; Cal'!$B99)</f>
        <v>0</v>
      </c>
      <c r="Z99" s="117">
        <f>SUMIFS(Actual!M:M,Actual!$A:$A,'3)Target &amp; Cal'!$A99,Actual!$B:$B,'3)Target &amp; Cal'!$B99)</f>
        <v>0</v>
      </c>
      <c r="AA99" s="117">
        <f>SUMIFS(Actual!N:N,Actual!$A:$A,'3)Target &amp; Cal'!$A99,Actual!$B:$B,'3)Target &amp; Cal'!$B99)</f>
        <v>0</v>
      </c>
      <c r="AB99" s="123">
        <f>IFERROR(IF(VLOOKUP($B99,Shortage!$A:$M,AB$2,FALSE)="Shortage",1,IFERROR(ROUND(P99/D99,4),0)),IFERROR(ROUND(P99/D99,4),0))</f>
        <v>0.56840000000000002</v>
      </c>
      <c r="AC99" s="123">
        <f>IFERROR(IF(VLOOKUP($B99,Shortage!$A:$M,AC$2,FALSE)="Shortage",1,IFERROR(ROUND(Q99/E99,4),0)),IFERROR(ROUND(Q99/E99,4),0))</f>
        <v>1.2150000000000001</v>
      </c>
      <c r="AD99" s="123">
        <f>IFERROR(IF(VLOOKUP($B99,Shortage!$A:$M,AD$2,FALSE)="Shortage",1,IFERROR(ROUND(R99/F99,4),0)),IFERROR(ROUND(R99/F99,4),0))</f>
        <v>0</v>
      </c>
      <c r="AE99" s="123">
        <f>IFERROR(IF(VLOOKUP($B99,Shortage!$A:$M,AE$2,FALSE)="Shortage",1,IFERROR(ROUND(S99/G99,4),0)),IFERROR(ROUND(S99/G99,4),0))</f>
        <v>0</v>
      </c>
      <c r="AF99" s="123">
        <f>IFERROR(IF(VLOOKUP($B99,Shortage!$A:$M,AF$2,FALSE)="Shortage",1,IFERROR(ROUND(T99/H99,4),0)),IFERROR(ROUND(T99/H99,4),0))</f>
        <v>0</v>
      </c>
      <c r="AG99" s="123">
        <f>IFERROR(IF(VLOOKUP($B99,Shortage!$A:$M,AG$2,FALSE)="Shortage",1,IFERROR(ROUND(U99/I99,4),0)),IFERROR(ROUND(U99/I99,4),0))</f>
        <v>0</v>
      </c>
      <c r="AH99" s="123">
        <f>IFERROR(IF(VLOOKUP($B99,Shortage!$A:$M,AH$2,FALSE)="Shortage",1,IFERROR(ROUND(V99/J99,4),0)),IFERROR(ROUND(V99/J99,4),0))</f>
        <v>0</v>
      </c>
      <c r="AI99" s="123">
        <f>IFERROR(IF(VLOOKUP($B99,Shortage!$A:$M,AI$2,FALSE)="Shortage",1,IFERROR(ROUND(W99/K99,4),0)),IFERROR(ROUND(W99/K99,4),0))</f>
        <v>0</v>
      </c>
      <c r="AJ99" s="123">
        <f>IFERROR(IF(VLOOKUP($B99,Shortage!$A:$M,AP$2,FALSE)="Shortage",1,IFERROR(ROUND(X99/L99,4),0)),IFERROR(ROUND(X99/L99,4),0))</f>
        <v>0</v>
      </c>
      <c r="AK99" s="123">
        <f>IFERROR(IF(VLOOKUP($B99,Shortage!$A:$M,AK$2,FALSE)="Shortage",1,IFERROR(ROUND(Y99/M99,4),0)),IFERROR(ROUND(Y99/M99,4),0))</f>
        <v>0</v>
      </c>
      <c r="AL99" s="123">
        <f>IFERROR(IF(VLOOKUP($B99,Shortage!$A:$M,AL$2,FALSE)="Shortage",1,IFERROR(ROUND(Z99/N99,4),0)),IFERROR(ROUND(Z99/N99,4),0))</f>
        <v>0</v>
      </c>
      <c r="AM99" s="123">
        <f>IFERROR(IF(VLOOKUP($B99,Shortage!$A:$M,AM$2,FALSE)="Shortage",1,IFERROR(ROUND(AA99/O99,4),0)),IFERROR(ROUND(AA99/O99,4),0))</f>
        <v>0</v>
      </c>
      <c r="AN99" s="232">
        <f>IFERROR(IF($C99="Top WS",VLOOKUP("GOAL",'2) หลักการคำนวน Table'!$D$4:$M$4,HLOOKUP(AB99,'2) หลักการคำนวน Table'!$D$1:$M$5,5,TRUE),0),
IF($C99="WS SF",VLOOKUP("GOAL",'2) หลักการคำนวน Table'!$D$32:$M$32,HLOOKUP(AB99,'2) หลักการคำนวน Table'!$D$1:$M$5,5,TRUE),0),
IF($C99="WS WH",VLOOKUP("GOAL",'2) หลักการคำนวน Table'!$D$62:$M$62,HLOOKUP(AB99,'2) หลักการคำนวน Table'!$D$1:$M$5,5,TRUE),0),
IF($C99="SF WH",VLOOKUP("GOAL",'2) หลักการคำนวน Table'!$D$92:$M$92,HLOOKUP(AB99,'2) หลักการคำนวน Table'!$D$1:$M$5,5,TRUE),0))))),0)</f>
        <v>0.9</v>
      </c>
      <c r="AO99" s="232">
        <f>IFERROR(IF($C99="Top WS",VLOOKUP("GOAL",'2) หลักการคำนวน Table'!$D$4:$M$4,HLOOKUP(AC99,'2) หลักการคำนวน Table'!$D$1:$M$5,5,TRUE),0),
IF($C99="WS SF",VLOOKUP("GOAL",'2) หลักการคำนวน Table'!$D$32:$M$32,HLOOKUP(AC99,'2) หลักการคำนวน Table'!$D$1:$M$5,5,TRUE),0),
IF($C99="WS WH",VLOOKUP("GOAL",'2) หลักการคำนวน Table'!$D$62:$M$62,HLOOKUP(AC99,'2) หลักการคำนวน Table'!$D$1:$M$5,5,TRUE),0),
IF($C99="SF WH",VLOOKUP("GOAL",'2) หลักการคำนวน Table'!$D$92:$M$92,HLOOKUP(AC99,'2) หลักการคำนวน Table'!$D$1:$M$5,5,TRUE),0))))),0)</f>
        <v>1.3</v>
      </c>
      <c r="AP99" s="232">
        <f>IFERROR(IF($C99="Top WS",VLOOKUP("GOAL",'2) หลักการคำนวน Table'!$D$4:$M$4,HLOOKUP(AD99,'2) หลักการคำนวน Table'!$D$1:$M$5,5,TRUE),0),
IF($C99="WS SF",VLOOKUP("GOAL",'2) หลักการคำนวน Table'!$D$32:$M$32,HLOOKUP(AD99,'2) หลักการคำนวน Table'!$D$1:$M$5,5,TRUE),0),
IF($C99="WS WH",VLOOKUP("GOAL",'2) หลักการคำนวน Table'!$D$62:$M$62,HLOOKUP(AD99,'2) หลักการคำนวน Table'!$D$1:$M$5,5,TRUE),0),
IF($C99="SF WH",VLOOKUP("GOAL",'2) หลักการคำนวน Table'!$D$92:$M$92,HLOOKUP(AD99,'2) หลักการคำนวน Table'!$D$1:$M$5,5,TRUE),0))))),0)</f>
        <v>0.9</v>
      </c>
      <c r="AQ99" s="232">
        <f>IFERROR(IF($C99="Top WS",VLOOKUP("GOAL",'2) หลักการคำนวน Table'!$D$4:$M$4,HLOOKUP(AE99,'2) หลักการคำนวน Table'!$D$1:$M$5,5,TRUE),0),
IF($C99="WS SF",VLOOKUP("GOAL",'2) หลักการคำนวน Table'!$D$32:$M$32,HLOOKUP(AE99,'2) หลักการคำนวน Table'!$D$1:$M$5,5,TRUE),0),
IF($C99="WS WH",VLOOKUP("GOAL",'2) หลักการคำนวน Table'!$D$62:$M$62,HLOOKUP(AE99,'2) หลักการคำนวน Table'!$D$1:$M$5,5,TRUE),0),
IF($C99="SF WH",VLOOKUP("GOAL",'2) หลักการคำนวน Table'!$D$92:$M$92,HLOOKUP(AE99,'2) หลักการคำนวน Table'!$D$1:$M$5,5,TRUE),0))))),0)</f>
        <v>0.9</v>
      </c>
      <c r="AR99" s="232">
        <f>IFERROR(IF($C99="Top WS",VLOOKUP("GOAL",'2) หลักการคำนวน Table'!$D$4:$M$4,HLOOKUP(AF99,'2) หลักการคำนวน Table'!$D$1:$M$5,5,TRUE),0),
IF($C99="WS SF",VLOOKUP("GOAL",'2) หลักการคำนวน Table'!$D$32:$M$32,HLOOKUP(AF99,'2) หลักการคำนวน Table'!$D$1:$M$5,5,TRUE),0),
IF($C99="WS WH",VLOOKUP("GOAL",'2) หลักการคำนวน Table'!$D$62:$M$62,HLOOKUP(AF99,'2) หลักการคำนวน Table'!$D$1:$M$5,5,TRUE),0),
IF($C99="SF WH",VLOOKUP("GOAL",'2) หลักการคำนวน Table'!$D$92:$M$92,HLOOKUP(AF99,'2) หลักการคำนวน Table'!$D$1:$M$5,5,TRUE),0))))),0)</f>
        <v>0.9</v>
      </c>
      <c r="AS99" s="232">
        <f>IFERROR(IF($C99="Top WS",VLOOKUP("GOAL",'2) หลักการคำนวน Table'!$D$4:$M$4,HLOOKUP(AG99,'2) หลักการคำนวน Table'!$D$1:$M$5,5,TRUE),0),
IF($C99="WS SF",VLOOKUP("GOAL",'2) หลักการคำนวน Table'!$D$32:$M$32,HLOOKUP(AG99,'2) หลักการคำนวน Table'!$D$1:$M$5,5,TRUE),0),
IF($C99="WS WH",VLOOKUP("GOAL",'2) หลักการคำนวน Table'!$D$62:$M$62,HLOOKUP(AG99,'2) หลักการคำนวน Table'!$D$1:$M$5,5,TRUE),0),
IF($C99="SF WH",VLOOKUP("GOAL",'2) หลักการคำนวน Table'!$D$92:$M$92,HLOOKUP(AG99,'2) หลักการคำนวน Table'!$D$1:$M$5,5,TRUE),0))))),0)</f>
        <v>0.9</v>
      </c>
      <c r="AT99" s="232">
        <f>IFERROR(IF($C99="Top WS",VLOOKUP("GOAL",'2) หลักการคำนวน Table'!$D$4:$M$4,HLOOKUP(AH99,'2) หลักการคำนวน Table'!$D$1:$M$5,5,TRUE),0),
IF($C99="WS SF",VLOOKUP("GOAL",'2) หลักการคำนวน Table'!$D$32:$M$32,HLOOKUP(AH99,'2) หลักการคำนวน Table'!$D$1:$M$5,5,TRUE),0),
IF($C99="WS WH",VLOOKUP("GOAL",'2) หลักการคำนวน Table'!$D$62:$M$62,HLOOKUP(AH99,'2) หลักการคำนวน Table'!$D$1:$M$5,5,TRUE),0),
IF($C99="SF WH",VLOOKUP("GOAL",'2) หลักการคำนวน Table'!$D$92:$M$92,HLOOKUP(AH99,'2) หลักการคำนวน Table'!$D$1:$M$5,5,TRUE),0))))),0)</f>
        <v>0.9</v>
      </c>
      <c r="AU99" s="232">
        <f>IFERROR(IF($C99="Top WS",VLOOKUP("GOAL",'2) หลักการคำนวน Table'!$D$4:$M$4,HLOOKUP(AI99,'2) หลักการคำนวน Table'!$D$1:$M$5,5,TRUE),0),
IF($C99="WS SF",VLOOKUP("GOAL",'2) หลักการคำนวน Table'!$D$32:$M$32,HLOOKUP(AI99,'2) หลักการคำนวน Table'!$D$1:$M$5,5,TRUE),0),
IF($C99="WS WH",VLOOKUP("GOAL",'2) หลักการคำนวน Table'!$D$62:$M$62,HLOOKUP(AI99,'2) หลักการคำนวน Table'!$D$1:$M$5,5,TRUE),0),
IF($C99="SF WH",VLOOKUP("GOAL",'2) หลักการคำนวน Table'!$D$92:$M$92,HLOOKUP(AI99,'2) หลักการคำนวน Table'!$D$1:$M$5,5,TRUE),0))))),0)</f>
        <v>0.9</v>
      </c>
      <c r="AV99" s="232">
        <f>IFERROR(IF($C99="Top WS",VLOOKUP("GOAL",'2) หลักการคำนวน Table'!$D$4:$M$4,HLOOKUP(AP99,'2) หลักการคำนวน Table'!$D$1:$M$5,5,TRUE),0),
IF($C99="WS SF",VLOOKUP("GOAL",'2) หลักการคำนวน Table'!$D$32:$M$32,HLOOKUP(AP99,'2) หลักการคำนวน Table'!$D$1:$M$5,5,TRUE),0),
IF($C99="WS WH",VLOOKUP("GOAL",'2) หลักการคำนวน Table'!$D$62:$M$62,HLOOKUP(AP99,'2) หลักการคำนวน Table'!$D$1:$M$5,5,TRUE),0),
IF($C99="SF WH",VLOOKUP("GOAL",'2) หลักการคำนวน Table'!$D$92:$M$92,HLOOKUP(AP99,'2) หลักการคำนวน Table'!$D$1:$M$5,5,TRUE),0))))),0)</f>
        <v>0.9</v>
      </c>
      <c r="AW99" s="232">
        <f>IFERROR(IF($C99="Top WS",VLOOKUP("GOAL",'2) หลักการคำนวน Table'!$D$4:$M$4,HLOOKUP(AK99,'2) หลักการคำนวน Table'!$D$1:$M$5,5,TRUE),0),
IF($C99="WS SF",VLOOKUP("GOAL",'2) หลักการคำนวน Table'!$D$32:$M$32,HLOOKUP(AK99,'2) หลักการคำนวน Table'!$D$1:$M$5,5,TRUE),0),
IF($C99="WS WH",VLOOKUP("GOAL",'2) หลักการคำนวน Table'!$D$62:$M$62,HLOOKUP(AK99,'2) หลักการคำนวน Table'!$D$1:$M$5,5,TRUE),0),
IF($C99="SF WH",VLOOKUP("GOAL",'2) หลักการคำนวน Table'!$D$92:$M$92,HLOOKUP(AK99,'2) หลักการคำนวน Table'!$D$1:$M$5,5,TRUE),0))))),0)</f>
        <v>0.9</v>
      </c>
      <c r="AX99" s="232">
        <f>IFERROR(IF($C99="Top WS",VLOOKUP("GOAL",'2) หลักการคำนวน Table'!$D$4:$M$4,HLOOKUP(AL99,'2) หลักการคำนวน Table'!$D$1:$M$5,5,TRUE),0),
IF($C99="WS SF",VLOOKUP("GOAL",'2) หลักการคำนวน Table'!$D$32:$M$32,HLOOKUP(AL99,'2) หลักการคำนวน Table'!$D$1:$M$5,5,TRUE),0),
IF($C99="WS WH",VLOOKUP("GOAL",'2) หลักการคำนวน Table'!$D$62:$M$62,HLOOKUP(AL99,'2) หลักการคำนวน Table'!$D$1:$M$5,5,TRUE),0),
IF($C99="SF WH",VLOOKUP("GOAL",'2) หลักการคำนวน Table'!$D$92:$M$92,HLOOKUP(AL99,'2) หลักการคำนวน Table'!$D$1:$M$5,5,TRUE),0))))),0)</f>
        <v>0.9</v>
      </c>
      <c r="AY99" s="232">
        <f>IFERROR(IF($C99="Top WS",VLOOKUP("GOAL",'2) หลักการคำนวน Table'!$D$4:$M$4,HLOOKUP(AM99,'2) หลักการคำนวน Table'!$D$1:$M$5,5,TRUE),0),
IF($C99="WS SF",VLOOKUP("GOAL",'2) หลักการคำนวน Table'!$D$32:$M$32,HLOOKUP(AM99,'2) หลักการคำนวน Table'!$D$1:$M$5,5,TRUE),0),
IF($C99="WS WH",VLOOKUP("GOAL",'2) หลักการคำนวน Table'!$D$62:$M$62,HLOOKUP(AM99,'2) หลักการคำนวน Table'!$D$1:$M$5,5,TRUE),0),
IF($C99="SF WH",VLOOKUP("GOAL",'2) หลักการคำนวน Table'!$D$92:$M$92,HLOOKUP(AM99,'2) หลักการคำนวน Table'!$D$1:$M$5,5,TRUE),0))))),0)</f>
        <v>0.9</v>
      </c>
      <c r="AZ99" s="167">
        <f>IFERROR(IF($C99="Top WS",VLOOKUP($B99,'2) หลักการคำนวน Table'!$D$5:$M$20,HLOOKUP(AB99,'2) หลักการคำนวน Table'!$D$1:$M$5,5,TRUE),0),
IF($C99="WS SF",VLOOKUP($B99,'2) หลักการคำนวน Table'!$D$33:$M$48,HLOOKUP(AB99,'2) หลักการคำนวน Table'!$D$1:$M$5,5,TRUE),0),
IF($C99="WS WH",VLOOKUP($B99,'2) หลักการคำนวน Table'!$D$63:$M$78,HLOOKUP(AB99,'2) หลักการคำนวน Table'!$D$1:$M$5,5,TRUE),0),
IF($C99="SF WH",VLOOKUP($B99,'2) หลักการคำนวน Table'!$D$93:$M$108,HLOOKUP(AB99,'2) หลักการคำนวน Table'!$D$1:$M$5,5,TRUE),0))))),0)</f>
        <v>157.5</v>
      </c>
      <c r="BA99" s="167">
        <f>IFERROR(IF($C99="Top WS",VLOOKUP($B99,'2) หลักการคำนวน Table'!$D$5:$M$20,HLOOKUP(AC99,'2) หลักการคำนวน Table'!$D$1:$M$5,5,TRUE),0),
IF($C99="WS SF",VLOOKUP($B99,'2) หลักการคำนวน Table'!$D$33:$M$48,HLOOKUP(AC99,'2) หลักการคำนวน Table'!$D$1:$M$5,5,TRUE),0),
IF($C99="WS WH",VLOOKUP($B99,'2) หลักการคำนวน Table'!$D$63:$M$78,HLOOKUP(AC99,'2) หลักการคำนวน Table'!$D$1:$M$5,5,TRUE),0),
IF($C99="SF WH",VLOOKUP($B99,'2) หลักการคำนวน Table'!$D$93:$M$108,HLOOKUP(AC99,'2) หลักการคำนวน Table'!$D$1:$M$5,5,TRUE),0))))),0)</f>
        <v>227.5</v>
      </c>
      <c r="BB99" s="167">
        <f>IFERROR(IF($C99="Top WS",VLOOKUP($B99,'2) หลักการคำนวน Table'!$D$5:$M$20,HLOOKUP(AD99,'2) หลักการคำนวน Table'!$D$1:$M$5,5,TRUE),0),
IF($C99="WS SF",VLOOKUP($B99,'2) หลักการคำนวน Table'!$D$33:$M$48,HLOOKUP(AD99,'2) หลักการคำนวน Table'!$D$1:$M$5,5,TRUE),0),
IF($C99="WS WH",VLOOKUP($B99,'2) หลักการคำนวน Table'!$D$63:$M$78,HLOOKUP(AD99,'2) หลักการคำนวน Table'!$D$1:$M$5,5,TRUE),0),
IF($C99="SF WH",VLOOKUP($B99,'2) หลักการคำนวน Table'!$D$93:$M$108,HLOOKUP(AD99,'2) หลักการคำนวน Table'!$D$1:$M$5,5,TRUE),0))))),0)</f>
        <v>157.5</v>
      </c>
      <c r="BC99" s="167">
        <f>IFERROR(IF($C99="Top WS",VLOOKUP($B99,'2) หลักการคำนวน Table'!$D$5:$M$20,HLOOKUP(AE99,'2) หลักการคำนวน Table'!$D$1:$M$5,5,TRUE),0),
IF($C99="WS SF",VLOOKUP($B99,'2) หลักการคำนวน Table'!$D$33:$M$48,HLOOKUP(AE99,'2) หลักการคำนวน Table'!$D$1:$M$5,5,TRUE),0),
IF($C99="WS WH",VLOOKUP($B99,'2) หลักการคำนวน Table'!$D$63:$M$78,HLOOKUP(AE99,'2) หลักการคำนวน Table'!$D$1:$M$5,5,TRUE),0),
IF($C99="SF WH",VLOOKUP($B99,'2) หลักการคำนวน Table'!$D$93:$M$108,HLOOKUP(AE99,'2) หลักการคำนวน Table'!$D$1:$M$5,5,TRUE),0))))),0)</f>
        <v>157.5</v>
      </c>
      <c r="BD99" s="167">
        <f>IFERROR(IF($C99="Top WS",VLOOKUP($B99,'2) หลักการคำนวน Table'!$D$5:$M$20,HLOOKUP(AF99,'2) หลักการคำนวน Table'!$D$1:$M$5,5,TRUE),0),
IF($C99="WS SF",VLOOKUP($B99,'2) หลักการคำนวน Table'!$D$33:$M$48,HLOOKUP(AF99,'2) หลักการคำนวน Table'!$D$1:$M$5,5,TRUE),0),
IF($C99="WS WH",VLOOKUP($B99,'2) หลักการคำนวน Table'!$D$63:$M$78,HLOOKUP(AF99,'2) หลักการคำนวน Table'!$D$1:$M$5,5,TRUE),0),
IF($C99="SF WH",VLOOKUP($B99,'2) หลักการคำนวน Table'!$D$93:$M$108,HLOOKUP(AF99,'2) หลักการคำนวน Table'!$D$1:$M$5,5,TRUE),0))))),0)</f>
        <v>157.5</v>
      </c>
      <c r="BE99" s="167">
        <f>IFERROR(IF($C99="Top WS",VLOOKUP($B99,'2) หลักการคำนวน Table'!$D$5:$M$20,HLOOKUP(AG99,'2) หลักการคำนวน Table'!$D$1:$M$5,5,TRUE),0),
IF($C99="WS SF",VLOOKUP($B99,'2) หลักการคำนวน Table'!$D$33:$M$48,HLOOKUP(AG99,'2) หลักการคำนวน Table'!$D$1:$M$5,5,TRUE),0),
IF($C99="WS WH",VLOOKUP($B99,'2) หลักการคำนวน Table'!$D$63:$M$78,HLOOKUP(AG99,'2) หลักการคำนวน Table'!$D$1:$M$5,5,TRUE),0),
IF($C99="SF WH",VLOOKUP($B99,'2) หลักการคำนวน Table'!$D$93:$M$108,HLOOKUP(AG99,'2) หลักการคำนวน Table'!$D$1:$M$5,5,TRUE),0))))),0)</f>
        <v>157.5</v>
      </c>
      <c r="BF99" s="167">
        <f>IFERROR(IF($C99="Top WS",VLOOKUP($B99,'2) หลักการคำนวน Table'!$D$5:$M$20,HLOOKUP(AH99,'2) หลักการคำนวน Table'!$D$1:$M$5,5,TRUE),0),
IF($C99="WS SF",VLOOKUP($B99,'2) หลักการคำนวน Table'!$D$33:$M$48,HLOOKUP(AH99,'2) หลักการคำนวน Table'!$D$1:$M$5,5,TRUE),0),
IF($C99="WS WH",VLOOKUP($B99,'2) หลักการคำนวน Table'!$D$63:$M$78,HLOOKUP(AH99,'2) หลักการคำนวน Table'!$D$1:$M$5,5,TRUE),0),
IF($C99="SF WH",VLOOKUP($B99,'2) หลักการคำนวน Table'!$D$93:$M$108,HLOOKUP(AH99,'2) หลักการคำนวน Table'!$D$1:$M$5,5,TRUE),0))))),0)</f>
        <v>157.5</v>
      </c>
      <c r="BG99" s="167">
        <f>IFERROR(IF($C99="Top WS",VLOOKUP($B99,'2) หลักการคำนวน Table'!$D$5:$M$20,HLOOKUP(AI99,'2) หลักการคำนวน Table'!$D$1:$M$5,5,TRUE),0),
IF($C99="WS SF",VLOOKUP($B99,'2) หลักการคำนวน Table'!$D$33:$M$48,HLOOKUP(AI99,'2) หลักการคำนวน Table'!$D$1:$M$5,5,TRUE),0),
IF($C99="WS WH",VLOOKUP($B99,'2) หลักการคำนวน Table'!$D$63:$M$78,HLOOKUP(AI99,'2) หลักการคำนวน Table'!$D$1:$M$5,5,TRUE),0),
IF($C99="SF WH",VLOOKUP($B99,'2) หลักการคำนวน Table'!$D$93:$M$108,HLOOKUP(AI99,'2) หลักการคำนวน Table'!$D$1:$M$5,5,TRUE),0))))),0)</f>
        <v>157.5</v>
      </c>
      <c r="BH99" s="167">
        <f>IFERROR(IF($C99="Top WS",VLOOKUP($B99,'2) หลักการคำนวน Table'!$D$5:$M$20,HLOOKUP(AP99,'2) หลักการคำนวน Table'!$D$1:$M$5,5,TRUE),0),
IF($C99="WS SF",VLOOKUP($B99,'2) หลักการคำนวน Table'!$D$33:$M$48,HLOOKUP(AP99,'2) หลักการคำนวน Table'!$D$1:$M$5,5,TRUE),0),
IF($C99="WS WH",VLOOKUP($B99,'2) หลักการคำนวน Table'!$D$63:$M$78,HLOOKUP(AP99,'2) หลักการคำนวน Table'!$D$1:$M$5,5,TRUE),0),
IF($C99="SF WH",VLOOKUP($B99,'2) หลักการคำนวน Table'!$D$93:$M$108,HLOOKUP(AP99,'2) หลักการคำนวน Table'!$D$1:$M$5,5,TRUE),0))))),0)</f>
        <v>157.5</v>
      </c>
      <c r="BI99" s="167">
        <f>IFERROR(IF($C99="Top WS",VLOOKUP($B99,'2) หลักการคำนวน Table'!$D$5:$M$20,HLOOKUP(AK99,'2) หลักการคำนวน Table'!$D$1:$M$5,5,TRUE),0),
IF($C99="WS SF",VLOOKUP($B99,'2) หลักการคำนวน Table'!$D$33:$M$48,HLOOKUP(AK99,'2) หลักการคำนวน Table'!$D$1:$M$5,5,TRUE),0),
IF($C99="WS WH",VLOOKUP($B99,'2) หลักการคำนวน Table'!$D$63:$M$78,HLOOKUP(AK99,'2) หลักการคำนวน Table'!$D$1:$M$5,5,TRUE),0),
IF($C99="SF WH",VLOOKUP($B99,'2) หลักการคำนวน Table'!$D$93:$M$108,HLOOKUP(AK99,'2) หลักการคำนวน Table'!$D$1:$M$5,5,TRUE),0))))),0)</f>
        <v>157.5</v>
      </c>
      <c r="BJ99" s="167">
        <f>IFERROR(IF($C99="Top WS",VLOOKUP($B99,'2) หลักการคำนวน Table'!$D$5:$M$20,HLOOKUP(AL99,'2) หลักการคำนวน Table'!$D$1:$M$5,5,TRUE),0),
IF($C99="WS SF",VLOOKUP($B99,'2) หลักการคำนวน Table'!$D$33:$M$48,HLOOKUP(AL99,'2) หลักการคำนวน Table'!$D$1:$M$5,5,TRUE),0),
IF($C99="WS WH",VLOOKUP($B99,'2) หลักการคำนวน Table'!$D$63:$M$78,HLOOKUP(AL99,'2) หลักการคำนวน Table'!$D$1:$M$5,5,TRUE),0),
IF($C99="SF WH",VLOOKUP($B99,'2) หลักการคำนวน Table'!$D$93:$M$108,HLOOKUP(AL99,'2) หลักการคำนวน Table'!$D$1:$M$5,5,TRUE),0))))),0)</f>
        <v>157.5</v>
      </c>
      <c r="BK99" s="167">
        <f>IFERROR(IF($C99="Top WS",VLOOKUP($B99,'2) หลักการคำนวน Table'!$D$5:$M$20,HLOOKUP(AM99,'2) หลักการคำนวน Table'!$D$1:$M$5,5,TRUE),0),
IF($C99="WS SF",VLOOKUP($B99,'2) หลักการคำนวน Table'!$D$33:$M$48,HLOOKUP(AM99,'2) หลักการคำนวน Table'!$D$1:$M$5,5,TRUE),0),
IF($C99="WS WH",VLOOKUP($B99,'2) หลักการคำนวน Table'!$D$63:$M$78,HLOOKUP(AM99,'2) หลักการคำนวน Table'!$D$1:$M$5,5,TRUE),0),
IF($C99="SF WH",VLOOKUP($B99,'2) หลักการคำนวน Table'!$D$93:$M$108,HLOOKUP(AM99,'2) หลักการคำนวน Table'!$D$1:$M$5,5,TRUE),0))))),0)</f>
        <v>157.5</v>
      </c>
      <c r="BM99" s="119">
        <f>VLOOKUP(VLOOKUP(A99,ASTBase!E:S,13,FALSE),ASTBase!F:P,11,FALSE)</f>
        <v>110000</v>
      </c>
      <c r="BN99" s="196" cm="1">
        <f t="array" ref="BN99">INDEX(AN99:AY99,,Period!$D$2)</f>
        <v>1.3</v>
      </c>
    </row>
    <row r="100" spans="1:66" x14ac:dyDescent="0.25">
      <c r="A100" s="388">
        <v>110002</v>
      </c>
      <c r="B100" s="388" t="s">
        <v>405</v>
      </c>
      <c r="C100" s="388" t="s">
        <v>179</v>
      </c>
      <c r="D100" s="118">
        <v>19</v>
      </c>
      <c r="E100" s="118">
        <v>18</v>
      </c>
      <c r="F100" s="118">
        <v>19</v>
      </c>
      <c r="G100" s="118">
        <v>14</v>
      </c>
      <c r="H100" s="118">
        <v>12</v>
      </c>
      <c r="I100" s="118">
        <v>19</v>
      </c>
      <c r="J100" s="118">
        <v>14</v>
      </c>
      <c r="K100" s="118">
        <v>14</v>
      </c>
      <c r="L100" s="118">
        <v>11</v>
      </c>
      <c r="M100" s="118">
        <v>14</v>
      </c>
      <c r="N100" s="118">
        <v>18</v>
      </c>
      <c r="O100" s="118">
        <v>19</v>
      </c>
      <c r="P100" s="117">
        <f>SUMIFS(Actual!C:C,Actual!$A:$A,'3)Target &amp; Cal'!$A100,Actual!$B:$B,'3)Target &amp; Cal'!$B100)</f>
        <v>50.4</v>
      </c>
      <c r="Q100" s="117">
        <f>SUMIFS(Actual!D:D,Actual!$A:$A,'3)Target &amp; Cal'!$A100,Actual!$B:$B,'3)Target &amp; Cal'!$B100)</f>
        <v>24.48</v>
      </c>
      <c r="R100" s="117">
        <f>SUMIFS(Actual!E:E,Actual!$A:$A,'3)Target &amp; Cal'!$A100,Actual!$B:$B,'3)Target &amp; Cal'!$B100)</f>
        <v>0</v>
      </c>
      <c r="S100" s="117">
        <f>SUMIFS(Actual!F:F,Actual!$A:$A,'3)Target &amp; Cal'!$A100,Actual!$B:$B,'3)Target &amp; Cal'!$B100)</f>
        <v>0</v>
      </c>
      <c r="T100" s="117">
        <f>SUMIFS(Actual!G:G,Actual!$A:$A,'3)Target &amp; Cal'!$A100,Actual!$B:$B,'3)Target &amp; Cal'!$B100)</f>
        <v>0</v>
      </c>
      <c r="U100" s="117">
        <f>SUMIFS(Actual!H:H,Actual!$A:$A,'3)Target &amp; Cal'!$A100,Actual!$B:$B,'3)Target &amp; Cal'!$B100)</f>
        <v>0</v>
      </c>
      <c r="V100" s="117">
        <f>SUMIFS(Actual!I:I,Actual!$A:$A,'3)Target &amp; Cal'!$A100,Actual!$B:$B,'3)Target &amp; Cal'!$B100)</f>
        <v>0</v>
      </c>
      <c r="W100" s="117">
        <f>SUMIFS(Actual!J:J,Actual!$A:$A,'3)Target &amp; Cal'!$A100,Actual!$B:$B,'3)Target &amp; Cal'!$B100)</f>
        <v>0</v>
      </c>
      <c r="X100" s="117">
        <f>SUMIFS(Actual!K:K,Actual!$A:$A,'3)Target &amp; Cal'!$A100,Actual!$B:$B,'3)Target &amp; Cal'!$B100)</f>
        <v>0</v>
      </c>
      <c r="Y100" s="117">
        <f>SUMIFS(Actual!L:L,Actual!$A:$A,'3)Target &amp; Cal'!$A100,Actual!$B:$B,'3)Target &amp; Cal'!$B100)</f>
        <v>0</v>
      </c>
      <c r="Z100" s="117">
        <f>SUMIFS(Actual!M:M,Actual!$A:$A,'3)Target &amp; Cal'!$A100,Actual!$B:$B,'3)Target &amp; Cal'!$B100)</f>
        <v>0</v>
      </c>
      <c r="AA100" s="117">
        <f>SUMIFS(Actual!N:N,Actual!$A:$A,'3)Target &amp; Cal'!$A100,Actual!$B:$B,'3)Target &amp; Cal'!$B100)</f>
        <v>0</v>
      </c>
      <c r="AB100" s="123">
        <f>IFERROR(IF(VLOOKUP($B100,Shortage!$A:$M,AB$2,FALSE)="Shortage",1,IFERROR(ROUND(P100/D100,4),0)),IFERROR(ROUND(P100/D100,4),0))</f>
        <v>2.6526000000000001</v>
      </c>
      <c r="AC100" s="123">
        <f>IFERROR(IF(VLOOKUP($B100,Shortage!$A:$M,AC$2,FALSE)="Shortage",1,IFERROR(ROUND(Q100/E100,4),0)),IFERROR(ROUND(Q100/E100,4),0))</f>
        <v>1.36</v>
      </c>
      <c r="AD100" s="123">
        <f>IFERROR(IF(VLOOKUP($B100,Shortage!$A:$M,AD$2,FALSE)="Shortage",1,IFERROR(ROUND(R100/F100,4),0)),IFERROR(ROUND(R100/F100,4),0))</f>
        <v>0</v>
      </c>
      <c r="AE100" s="123">
        <f>IFERROR(IF(VLOOKUP($B100,Shortage!$A:$M,AE$2,FALSE)="Shortage",1,IFERROR(ROUND(S100/G100,4),0)),IFERROR(ROUND(S100/G100,4),0))</f>
        <v>0</v>
      </c>
      <c r="AF100" s="123">
        <f>IFERROR(IF(VLOOKUP($B100,Shortage!$A:$M,AF$2,FALSE)="Shortage",1,IFERROR(ROUND(T100/H100,4),0)),IFERROR(ROUND(T100/H100,4),0))</f>
        <v>0</v>
      </c>
      <c r="AG100" s="123">
        <f>IFERROR(IF(VLOOKUP($B100,Shortage!$A:$M,AG$2,FALSE)="Shortage",1,IFERROR(ROUND(U100/I100,4),0)),IFERROR(ROUND(U100/I100,4),0))</f>
        <v>0</v>
      </c>
      <c r="AH100" s="123">
        <f>IFERROR(IF(VLOOKUP($B100,Shortage!$A:$M,AH$2,FALSE)="Shortage",1,IFERROR(ROUND(V100/J100,4),0)),IFERROR(ROUND(V100/J100,4),0))</f>
        <v>0</v>
      </c>
      <c r="AI100" s="123">
        <f>IFERROR(IF(VLOOKUP($B100,Shortage!$A:$M,AI$2,FALSE)="Shortage",1,IFERROR(ROUND(W100/K100,4),0)),IFERROR(ROUND(W100/K100,4),0))</f>
        <v>0</v>
      </c>
      <c r="AJ100" s="123">
        <f>IFERROR(IF(VLOOKUP($B100,Shortage!$A:$M,AP$2,FALSE)="Shortage",1,IFERROR(ROUND(X100/L100,4),0)),IFERROR(ROUND(X100/L100,4),0))</f>
        <v>0</v>
      </c>
      <c r="AK100" s="123">
        <f>IFERROR(IF(VLOOKUP($B100,Shortage!$A:$M,AK$2,FALSE)="Shortage",1,IFERROR(ROUND(Y100/M100,4),0)),IFERROR(ROUND(Y100/M100,4),0))</f>
        <v>0</v>
      </c>
      <c r="AL100" s="123">
        <f>IFERROR(IF(VLOOKUP($B100,Shortage!$A:$M,AL$2,FALSE)="Shortage",1,IFERROR(ROUND(Z100/N100,4),0)),IFERROR(ROUND(Z100/N100,4),0))</f>
        <v>0</v>
      </c>
      <c r="AM100" s="123">
        <f>IFERROR(IF(VLOOKUP($B100,Shortage!$A:$M,AM$2,FALSE)="Shortage",1,IFERROR(ROUND(AA100/O100,4),0)),IFERROR(ROUND(AA100/O100,4),0))</f>
        <v>0</v>
      </c>
      <c r="AN100" s="232">
        <f>IFERROR(IF($C100="Top WS",VLOOKUP("GOAL",'2) หลักการคำนวน Table'!$D$4:$M$4,HLOOKUP(AB100,'2) หลักการคำนวน Table'!$D$1:$M$5,5,TRUE),0),
IF($C100="WS SF",VLOOKUP("GOAL",'2) หลักการคำนวน Table'!$D$32:$M$32,HLOOKUP(AB100,'2) หลักการคำนวน Table'!$D$1:$M$5,5,TRUE),0),
IF($C100="WS WH",VLOOKUP("GOAL",'2) หลักการคำนวน Table'!$D$62:$M$62,HLOOKUP(AB100,'2) หลักการคำนวน Table'!$D$1:$M$5,5,TRUE),0),
IF($C100="SF WH",VLOOKUP("GOAL",'2) หลักการคำนวน Table'!$D$92:$M$92,HLOOKUP(AB100,'2) หลักการคำนวน Table'!$D$1:$M$5,5,TRUE),0))))),0)</f>
        <v>1.3</v>
      </c>
      <c r="AO100" s="232">
        <f>IFERROR(IF($C100="Top WS",VLOOKUP("GOAL",'2) หลักการคำนวน Table'!$D$4:$M$4,HLOOKUP(AC100,'2) หลักการคำนวน Table'!$D$1:$M$5,5,TRUE),0),
IF($C100="WS SF",VLOOKUP("GOAL",'2) หลักการคำนวน Table'!$D$32:$M$32,HLOOKUP(AC100,'2) หลักการคำนวน Table'!$D$1:$M$5,5,TRUE),0),
IF($C100="WS WH",VLOOKUP("GOAL",'2) หลักการคำนวน Table'!$D$62:$M$62,HLOOKUP(AC100,'2) หลักการคำนวน Table'!$D$1:$M$5,5,TRUE),0),
IF($C100="SF WH",VLOOKUP("GOAL",'2) หลักการคำนวน Table'!$D$92:$M$92,HLOOKUP(AC100,'2) หลักการคำนวน Table'!$D$1:$M$5,5,TRUE),0))))),0)</f>
        <v>1.3</v>
      </c>
      <c r="AP100" s="232">
        <f>IFERROR(IF($C100="Top WS",VLOOKUP("GOAL",'2) หลักการคำนวน Table'!$D$4:$M$4,HLOOKUP(AD100,'2) หลักการคำนวน Table'!$D$1:$M$5,5,TRUE),0),
IF($C100="WS SF",VLOOKUP("GOAL",'2) หลักการคำนวน Table'!$D$32:$M$32,HLOOKUP(AD100,'2) หลักการคำนวน Table'!$D$1:$M$5,5,TRUE),0),
IF($C100="WS WH",VLOOKUP("GOAL",'2) หลักการคำนวน Table'!$D$62:$M$62,HLOOKUP(AD100,'2) หลักการคำนวน Table'!$D$1:$M$5,5,TRUE),0),
IF($C100="SF WH",VLOOKUP("GOAL",'2) หลักการคำนวน Table'!$D$92:$M$92,HLOOKUP(AD100,'2) หลักการคำนวน Table'!$D$1:$M$5,5,TRUE),0))))),0)</f>
        <v>0.9</v>
      </c>
      <c r="AQ100" s="232">
        <f>IFERROR(IF($C100="Top WS",VLOOKUP("GOAL",'2) หลักการคำนวน Table'!$D$4:$M$4,HLOOKUP(AE100,'2) หลักการคำนวน Table'!$D$1:$M$5,5,TRUE),0),
IF($C100="WS SF",VLOOKUP("GOAL",'2) หลักการคำนวน Table'!$D$32:$M$32,HLOOKUP(AE100,'2) หลักการคำนวน Table'!$D$1:$M$5,5,TRUE),0),
IF($C100="WS WH",VLOOKUP("GOAL",'2) หลักการคำนวน Table'!$D$62:$M$62,HLOOKUP(AE100,'2) หลักการคำนวน Table'!$D$1:$M$5,5,TRUE),0),
IF($C100="SF WH",VLOOKUP("GOAL",'2) หลักการคำนวน Table'!$D$92:$M$92,HLOOKUP(AE100,'2) หลักการคำนวน Table'!$D$1:$M$5,5,TRUE),0))))),0)</f>
        <v>0.9</v>
      </c>
      <c r="AR100" s="232">
        <f>IFERROR(IF($C100="Top WS",VLOOKUP("GOAL",'2) หลักการคำนวน Table'!$D$4:$M$4,HLOOKUP(AF100,'2) หลักการคำนวน Table'!$D$1:$M$5,5,TRUE),0),
IF($C100="WS SF",VLOOKUP("GOAL",'2) หลักการคำนวน Table'!$D$32:$M$32,HLOOKUP(AF100,'2) หลักการคำนวน Table'!$D$1:$M$5,5,TRUE),0),
IF($C100="WS WH",VLOOKUP("GOAL",'2) หลักการคำนวน Table'!$D$62:$M$62,HLOOKUP(AF100,'2) หลักการคำนวน Table'!$D$1:$M$5,5,TRUE),0),
IF($C100="SF WH",VLOOKUP("GOAL",'2) หลักการคำนวน Table'!$D$92:$M$92,HLOOKUP(AF100,'2) หลักการคำนวน Table'!$D$1:$M$5,5,TRUE),0))))),0)</f>
        <v>0.9</v>
      </c>
      <c r="AS100" s="232">
        <f>IFERROR(IF($C100="Top WS",VLOOKUP("GOAL",'2) หลักการคำนวน Table'!$D$4:$M$4,HLOOKUP(AG100,'2) หลักการคำนวน Table'!$D$1:$M$5,5,TRUE),0),
IF($C100="WS SF",VLOOKUP("GOAL",'2) หลักการคำนวน Table'!$D$32:$M$32,HLOOKUP(AG100,'2) หลักการคำนวน Table'!$D$1:$M$5,5,TRUE),0),
IF($C100="WS WH",VLOOKUP("GOAL",'2) หลักการคำนวน Table'!$D$62:$M$62,HLOOKUP(AG100,'2) หลักการคำนวน Table'!$D$1:$M$5,5,TRUE),0),
IF($C100="SF WH",VLOOKUP("GOAL",'2) หลักการคำนวน Table'!$D$92:$M$92,HLOOKUP(AG100,'2) หลักการคำนวน Table'!$D$1:$M$5,5,TRUE),0))))),0)</f>
        <v>0.9</v>
      </c>
      <c r="AT100" s="232">
        <f>IFERROR(IF($C100="Top WS",VLOOKUP("GOAL",'2) หลักการคำนวน Table'!$D$4:$M$4,HLOOKUP(AH100,'2) หลักการคำนวน Table'!$D$1:$M$5,5,TRUE),0),
IF($C100="WS SF",VLOOKUP("GOAL",'2) หลักการคำนวน Table'!$D$32:$M$32,HLOOKUP(AH100,'2) หลักการคำนวน Table'!$D$1:$M$5,5,TRUE),0),
IF($C100="WS WH",VLOOKUP("GOAL",'2) หลักการคำนวน Table'!$D$62:$M$62,HLOOKUP(AH100,'2) หลักการคำนวน Table'!$D$1:$M$5,5,TRUE),0),
IF($C100="SF WH",VLOOKUP("GOAL",'2) หลักการคำนวน Table'!$D$92:$M$92,HLOOKUP(AH100,'2) หลักการคำนวน Table'!$D$1:$M$5,5,TRUE),0))))),0)</f>
        <v>0.9</v>
      </c>
      <c r="AU100" s="232">
        <f>IFERROR(IF($C100="Top WS",VLOOKUP("GOAL",'2) หลักการคำนวน Table'!$D$4:$M$4,HLOOKUP(AI100,'2) หลักการคำนวน Table'!$D$1:$M$5,5,TRUE),0),
IF($C100="WS SF",VLOOKUP("GOAL",'2) หลักการคำนวน Table'!$D$32:$M$32,HLOOKUP(AI100,'2) หลักการคำนวน Table'!$D$1:$M$5,5,TRUE),0),
IF($C100="WS WH",VLOOKUP("GOAL",'2) หลักการคำนวน Table'!$D$62:$M$62,HLOOKUP(AI100,'2) หลักการคำนวน Table'!$D$1:$M$5,5,TRUE),0),
IF($C100="SF WH",VLOOKUP("GOAL",'2) หลักการคำนวน Table'!$D$92:$M$92,HLOOKUP(AI100,'2) หลักการคำนวน Table'!$D$1:$M$5,5,TRUE),0))))),0)</f>
        <v>0.9</v>
      </c>
      <c r="AV100" s="232">
        <f>IFERROR(IF($C100="Top WS",VLOOKUP("GOAL",'2) หลักการคำนวน Table'!$D$4:$M$4,HLOOKUP(AP100,'2) หลักการคำนวน Table'!$D$1:$M$5,5,TRUE),0),
IF($C100="WS SF",VLOOKUP("GOAL",'2) หลักการคำนวน Table'!$D$32:$M$32,HLOOKUP(AP100,'2) หลักการคำนวน Table'!$D$1:$M$5,5,TRUE),0),
IF($C100="WS WH",VLOOKUP("GOAL",'2) หลักการคำนวน Table'!$D$62:$M$62,HLOOKUP(AP100,'2) หลักการคำนวน Table'!$D$1:$M$5,5,TRUE),0),
IF($C100="SF WH",VLOOKUP("GOAL",'2) หลักการคำนวน Table'!$D$92:$M$92,HLOOKUP(AP100,'2) หลักการคำนวน Table'!$D$1:$M$5,5,TRUE),0))))),0)</f>
        <v>0.9</v>
      </c>
      <c r="AW100" s="232">
        <f>IFERROR(IF($C100="Top WS",VLOOKUP("GOAL",'2) หลักการคำนวน Table'!$D$4:$M$4,HLOOKUP(AK100,'2) หลักการคำนวน Table'!$D$1:$M$5,5,TRUE),0),
IF($C100="WS SF",VLOOKUP("GOAL",'2) หลักการคำนวน Table'!$D$32:$M$32,HLOOKUP(AK100,'2) หลักการคำนวน Table'!$D$1:$M$5,5,TRUE),0),
IF($C100="WS WH",VLOOKUP("GOAL",'2) หลักการคำนวน Table'!$D$62:$M$62,HLOOKUP(AK100,'2) หลักการคำนวน Table'!$D$1:$M$5,5,TRUE),0),
IF($C100="SF WH",VLOOKUP("GOAL",'2) หลักการคำนวน Table'!$D$92:$M$92,HLOOKUP(AK100,'2) หลักการคำนวน Table'!$D$1:$M$5,5,TRUE),0))))),0)</f>
        <v>0.9</v>
      </c>
      <c r="AX100" s="232">
        <f>IFERROR(IF($C100="Top WS",VLOOKUP("GOAL",'2) หลักการคำนวน Table'!$D$4:$M$4,HLOOKUP(AL100,'2) หลักการคำนวน Table'!$D$1:$M$5,5,TRUE),0),
IF($C100="WS SF",VLOOKUP("GOAL",'2) หลักการคำนวน Table'!$D$32:$M$32,HLOOKUP(AL100,'2) หลักการคำนวน Table'!$D$1:$M$5,5,TRUE),0),
IF($C100="WS WH",VLOOKUP("GOAL",'2) หลักการคำนวน Table'!$D$62:$M$62,HLOOKUP(AL100,'2) หลักการคำนวน Table'!$D$1:$M$5,5,TRUE),0),
IF($C100="SF WH",VLOOKUP("GOAL",'2) หลักการคำนวน Table'!$D$92:$M$92,HLOOKUP(AL100,'2) หลักการคำนวน Table'!$D$1:$M$5,5,TRUE),0))))),0)</f>
        <v>0.9</v>
      </c>
      <c r="AY100" s="232">
        <f>IFERROR(IF($C100="Top WS",VLOOKUP("GOAL",'2) หลักการคำนวน Table'!$D$4:$M$4,HLOOKUP(AM100,'2) หลักการคำนวน Table'!$D$1:$M$5,5,TRUE),0),
IF($C100="WS SF",VLOOKUP("GOAL",'2) หลักการคำนวน Table'!$D$32:$M$32,HLOOKUP(AM100,'2) หลักการคำนวน Table'!$D$1:$M$5,5,TRUE),0),
IF($C100="WS WH",VLOOKUP("GOAL",'2) หลักการคำนวน Table'!$D$62:$M$62,HLOOKUP(AM100,'2) หลักการคำนวน Table'!$D$1:$M$5,5,TRUE),0),
IF($C100="SF WH",VLOOKUP("GOAL",'2) หลักการคำนวน Table'!$D$92:$M$92,HLOOKUP(AM100,'2) หลักการคำนวน Table'!$D$1:$M$5,5,TRUE),0))))),0)</f>
        <v>0.9</v>
      </c>
      <c r="AZ100" s="167">
        <f>IFERROR(IF($C100="Top WS",VLOOKUP($B100,'2) หลักการคำนวน Table'!$D$5:$M$20,HLOOKUP(AB100,'2) หลักการคำนวน Table'!$D$1:$M$5,5,TRUE),0),
IF($C100="WS SF",VLOOKUP($B100,'2) หลักการคำนวน Table'!$D$33:$M$48,HLOOKUP(AB100,'2) หลักการคำนวน Table'!$D$1:$M$5,5,TRUE),0),
IF($C100="WS WH",VLOOKUP($B100,'2) หลักการคำนวน Table'!$D$63:$M$78,HLOOKUP(AB100,'2) หลักการคำนวน Table'!$D$1:$M$5,5,TRUE),0),
IF($C100="SF WH",VLOOKUP($B100,'2) หลักการคำนวน Table'!$D$93:$M$108,HLOOKUP(AB100,'2) หลักการคำนวน Table'!$D$1:$M$5,5,TRUE),0))))),0)</f>
        <v>455</v>
      </c>
      <c r="BA100" s="167">
        <f>IFERROR(IF($C100="Top WS",VLOOKUP($B100,'2) หลักการคำนวน Table'!$D$5:$M$20,HLOOKUP(AC100,'2) หลักการคำนวน Table'!$D$1:$M$5,5,TRUE),0),
IF($C100="WS SF",VLOOKUP($B100,'2) หลักการคำนวน Table'!$D$33:$M$48,HLOOKUP(AC100,'2) หลักการคำนวน Table'!$D$1:$M$5,5,TRUE),0),
IF($C100="WS WH",VLOOKUP($B100,'2) หลักการคำนวน Table'!$D$63:$M$78,HLOOKUP(AC100,'2) หลักการคำนวน Table'!$D$1:$M$5,5,TRUE),0),
IF($C100="SF WH",VLOOKUP($B100,'2) หลักการคำนวน Table'!$D$93:$M$108,HLOOKUP(AC100,'2) หลักการคำนวน Table'!$D$1:$M$5,5,TRUE),0))))),0)</f>
        <v>455</v>
      </c>
      <c r="BB100" s="167">
        <f>IFERROR(IF($C100="Top WS",VLOOKUP($B100,'2) หลักการคำนวน Table'!$D$5:$M$20,HLOOKUP(AD100,'2) หลักการคำนวน Table'!$D$1:$M$5,5,TRUE),0),
IF($C100="WS SF",VLOOKUP($B100,'2) หลักการคำนวน Table'!$D$33:$M$48,HLOOKUP(AD100,'2) หลักการคำนวน Table'!$D$1:$M$5,5,TRUE),0),
IF($C100="WS WH",VLOOKUP($B100,'2) หลักการคำนวน Table'!$D$63:$M$78,HLOOKUP(AD100,'2) หลักการคำนวน Table'!$D$1:$M$5,5,TRUE),0),
IF($C100="SF WH",VLOOKUP($B100,'2) หลักการคำนวน Table'!$D$93:$M$108,HLOOKUP(AD100,'2) หลักการคำนวน Table'!$D$1:$M$5,5,TRUE),0))))),0)</f>
        <v>315</v>
      </c>
      <c r="BC100" s="167">
        <f>IFERROR(IF($C100="Top WS",VLOOKUP($B100,'2) หลักการคำนวน Table'!$D$5:$M$20,HLOOKUP(AE100,'2) หลักการคำนวน Table'!$D$1:$M$5,5,TRUE),0),
IF($C100="WS SF",VLOOKUP($B100,'2) หลักการคำนวน Table'!$D$33:$M$48,HLOOKUP(AE100,'2) หลักการคำนวน Table'!$D$1:$M$5,5,TRUE),0),
IF($C100="WS WH",VLOOKUP($B100,'2) หลักการคำนวน Table'!$D$63:$M$78,HLOOKUP(AE100,'2) หลักการคำนวน Table'!$D$1:$M$5,5,TRUE),0),
IF($C100="SF WH",VLOOKUP($B100,'2) หลักการคำนวน Table'!$D$93:$M$108,HLOOKUP(AE100,'2) หลักการคำนวน Table'!$D$1:$M$5,5,TRUE),0))))),0)</f>
        <v>315</v>
      </c>
      <c r="BD100" s="167">
        <f>IFERROR(IF($C100="Top WS",VLOOKUP($B100,'2) หลักการคำนวน Table'!$D$5:$M$20,HLOOKUP(AF100,'2) หลักการคำนวน Table'!$D$1:$M$5,5,TRUE),0),
IF($C100="WS SF",VLOOKUP($B100,'2) หลักการคำนวน Table'!$D$33:$M$48,HLOOKUP(AF100,'2) หลักการคำนวน Table'!$D$1:$M$5,5,TRUE),0),
IF($C100="WS WH",VLOOKUP($B100,'2) หลักการคำนวน Table'!$D$63:$M$78,HLOOKUP(AF100,'2) หลักการคำนวน Table'!$D$1:$M$5,5,TRUE),0),
IF($C100="SF WH",VLOOKUP($B100,'2) หลักการคำนวน Table'!$D$93:$M$108,HLOOKUP(AF100,'2) หลักการคำนวน Table'!$D$1:$M$5,5,TRUE),0))))),0)</f>
        <v>315</v>
      </c>
      <c r="BE100" s="167">
        <f>IFERROR(IF($C100="Top WS",VLOOKUP($B100,'2) หลักการคำนวน Table'!$D$5:$M$20,HLOOKUP(AG100,'2) หลักการคำนวน Table'!$D$1:$M$5,5,TRUE),0),
IF($C100="WS SF",VLOOKUP($B100,'2) หลักการคำนวน Table'!$D$33:$M$48,HLOOKUP(AG100,'2) หลักการคำนวน Table'!$D$1:$M$5,5,TRUE),0),
IF($C100="WS WH",VLOOKUP($B100,'2) หลักการคำนวน Table'!$D$63:$M$78,HLOOKUP(AG100,'2) หลักการคำนวน Table'!$D$1:$M$5,5,TRUE),0),
IF($C100="SF WH",VLOOKUP($B100,'2) หลักการคำนวน Table'!$D$93:$M$108,HLOOKUP(AG100,'2) หลักการคำนวน Table'!$D$1:$M$5,5,TRUE),0))))),0)</f>
        <v>315</v>
      </c>
      <c r="BF100" s="167">
        <f>IFERROR(IF($C100="Top WS",VLOOKUP($B100,'2) หลักการคำนวน Table'!$D$5:$M$20,HLOOKUP(AH100,'2) หลักการคำนวน Table'!$D$1:$M$5,5,TRUE),0),
IF($C100="WS SF",VLOOKUP($B100,'2) หลักการคำนวน Table'!$D$33:$M$48,HLOOKUP(AH100,'2) หลักการคำนวน Table'!$D$1:$M$5,5,TRUE),0),
IF($C100="WS WH",VLOOKUP($B100,'2) หลักการคำนวน Table'!$D$63:$M$78,HLOOKUP(AH100,'2) หลักการคำนวน Table'!$D$1:$M$5,5,TRUE),0),
IF($C100="SF WH",VLOOKUP($B100,'2) หลักการคำนวน Table'!$D$93:$M$108,HLOOKUP(AH100,'2) หลักการคำนวน Table'!$D$1:$M$5,5,TRUE),0))))),0)</f>
        <v>315</v>
      </c>
      <c r="BG100" s="167">
        <f>IFERROR(IF($C100="Top WS",VLOOKUP($B100,'2) หลักการคำนวน Table'!$D$5:$M$20,HLOOKUP(AI100,'2) หลักการคำนวน Table'!$D$1:$M$5,5,TRUE),0),
IF($C100="WS SF",VLOOKUP($B100,'2) หลักการคำนวน Table'!$D$33:$M$48,HLOOKUP(AI100,'2) หลักการคำนวน Table'!$D$1:$M$5,5,TRUE),0),
IF($C100="WS WH",VLOOKUP($B100,'2) หลักการคำนวน Table'!$D$63:$M$78,HLOOKUP(AI100,'2) หลักการคำนวน Table'!$D$1:$M$5,5,TRUE),0),
IF($C100="SF WH",VLOOKUP($B100,'2) หลักการคำนวน Table'!$D$93:$M$108,HLOOKUP(AI100,'2) หลักการคำนวน Table'!$D$1:$M$5,5,TRUE),0))))),0)</f>
        <v>315</v>
      </c>
      <c r="BH100" s="167">
        <f>IFERROR(IF($C100="Top WS",VLOOKUP($B100,'2) หลักการคำนวน Table'!$D$5:$M$20,HLOOKUP(AP100,'2) หลักการคำนวน Table'!$D$1:$M$5,5,TRUE),0),
IF($C100="WS SF",VLOOKUP($B100,'2) หลักการคำนวน Table'!$D$33:$M$48,HLOOKUP(AP100,'2) หลักการคำนวน Table'!$D$1:$M$5,5,TRUE),0),
IF($C100="WS WH",VLOOKUP($B100,'2) หลักการคำนวน Table'!$D$63:$M$78,HLOOKUP(AP100,'2) หลักการคำนวน Table'!$D$1:$M$5,5,TRUE),0),
IF($C100="SF WH",VLOOKUP($B100,'2) หลักการคำนวน Table'!$D$93:$M$108,HLOOKUP(AP100,'2) หลักการคำนวน Table'!$D$1:$M$5,5,TRUE),0))))),0)</f>
        <v>315</v>
      </c>
      <c r="BI100" s="167">
        <f>IFERROR(IF($C100="Top WS",VLOOKUP($B100,'2) หลักการคำนวน Table'!$D$5:$M$20,HLOOKUP(AK100,'2) หลักการคำนวน Table'!$D$1:$M$5,5,TRUE),0),
IF($C100="WS SF",VLOOKUP($B100,'2) หลักการคำนวน Table'!$D$33:$M$48,HLOOKUP(AK100,'2) หลักการคำนวน Table'!$D$1:$M$5,5,TRUE),0),
IF($C100="WS WH",VLOOKUP($B100,'2) หลักการคำนวน Table'!$D$63:$M$78,HLOOKUP(AK100,'2) หลักการคำนวน Table'!$D$1:$M$5,5,TRUE),0),
IF($C100="SF WH",VLOOKUP($B100,'2) หลักการคำนวน Table'!$D$93:$M$108,HLOOKUP(AK100,'2) หลักการคำนวน Table'!$D$1:$M$5,5,TRUE),0))))),0)</f>
        <v>315</v>
      </c>
      <c r="BJ100" s="167">
        <f>IFERROR(IF($C100="Top WS",VLOOKUP($B100,'2) หลักการคำนวน Table'!$D$5:$M$20,HLOOKUP(AL100,'2) หลักการคำนวน Table'!$D$1:$M$5,5,TRUE),0),
IF($C100="WS SF",VLOOKUP($B100,'2) หลักการคำนวน Table'!$D$33:$M$48,HLOOKUP(AL100,'2) หลักการคำนวน Table'!$D$1:$M$5,5,TRUE),0),
IF($C100="WS WH",VLOOKUP($B100,'2) หลักการคำนวน Table'!$D$63:$M$78,HLOOKUP(AL100,'2) หลักการคำนวน Table'!$D$1:$M$5,5,TRUE),0),
IF($C100="SF WH",VLOOKUP($B100,'2) หลักการคำนวน Table'!$D$93:$M$108,HLOOKUP(AL100,'2) หลักการคำนวน Table'!$D$1:$M$5,5,TRUE),0))))),0)</f>
        <v>315</v>
      </c>
      <c r="BK100" s="167">
        <f>IFERROR(IF($C100="Top WS",VLOOKUP($B100,'2) หลักการคำนวน Table'!$D$5:$M$20,HLOOKUP(AM100,'2) หลักการคำนวน Table'!$D$1:$M$5,5,TRUE),0),
IF($C100="WS SF",VLOOKUP($B100,'2) หลักการคำนวน Table'!$D$33:$M$48,HLOOKUP(AM100,'2) หลักการคำนวน Table'!$D$1:$M$5,5,TRUE),0),
IF($C100="WS WH",VLOOKUP($B100,'2) หลักการคำนวน Table'!$D$63:$M$78,HLOOKUP(AM100,'2) หลักการคำนวน Table'!$D$1:$M$5,5,TRUE),0),
IF($C100="SF WH",VLOOKUP($B100,'2) หลักการคำนวน Table'!$D$93:$M$108,HLOOKUP(AM100,'2) หลักการคำนวน Table'!$D$1:$M$5,5,TRUE),0))))),0)</f>
        <v>315</v>
      </c>
      <c r="BM100" s="119">
        <f>VLOOKUP(VLOOKUP(A100,ASTBase!E:S,13,FALSE),ASTBase!F:P,11,FALSE)</f>
        <v>110000</v>
      </c>
      <c r="BN100" s="196" cm="1">
        <f t="array" ref="BN100">INDEX(AN100:AY100,,Period!$D$2)</f>
        <v>1.3</v>
      </c>
    </row>
    <row r="101" spans="1:66" x14ac:dyDescent="0.25">
      <c r="A101" s="388">
        <v>110002</v>
      </c>
      <c r="B101" s="388" t="s">
        <v>393</v>
      </c>
      <c r="C101" s="388" t="s">
        <v>179</v>
      </c>
      <c r="D101" s="118">
        <v>317</v>
      </c>
      <c r="E101" s="118">
        <v>227</v>
      </c>
      <c r="F101" s="118">
        <v>242</v>
      </c>
      <c r="G101" s="118">
        <v>246</v>
      </c>
      <c r="H101" s="118">
        <v>201</v>
      </c>
      <c r="I101" s="118">
        <v>236</v>
      </c>
      <c r="J101" s="118">
        <v>300</v>
      </c>
      <c r="K101" s="118">
        <v>311</v>
      </c>
      <c r="L101" s="118">
        <v>297</v>
      </c>
      <c r="M101" s="118">
        <v>308</v>
      </c>
      <c r="N101" s="118">
        <v>237</v>
      </c>
      <c r="O101" s="118">
        <v>242</v>
      </c>
      <c r="P101" s="117">
        <f>SUMIFS(Actual!C:C,Actual!$A:$A,'3)Target &amp; Cal'!$A101,Actual!$B:$B,'3)Target &amp; Cal'!$B101)</f>
        <v>272.40000000000009</v>
      </c>
      <c r="Q101" s="117">
        <f>SUMIFS(Actual!D:D,Actual!$A:$A,'3)Target &amp; Cal'!$A101,Actual!$B:$B,'3)Target &amp; Cal'!$B101)</f>
        <v>231.6</v>
      </c>
      <c r="R101" s="117">
        <f>SUMIFS(Actual!E:E,Actual!$A:$A,'3)Target &amp; Cal'!$A101,Actual!$B:$B,'3)Target &amp; Cal'!$B101)</f>
        <v>0</v>
      </c>
      <c r="S101" s="117">
        <f>SUMIFS(Actual!F:F,Actual!$A:$A,'3)Target &amp; Cal'!$A101,Actual!$B:$B,'3)Target &amp; Cal'!$B101)</f>
        <v>0</v>
      </c>
      <c r="T101" s="117">
        <f>SUMIFS(Actual!G:G,Actual!$A:$A,'3)Target &amp; Cal'!$A101,Actual!$B:$B,'3)Target &amp; Cal'!$B101)</f>
        <v>0</v>
      </c>
      <c r="U101" s="117">
        <f>SUMIFS(Actual!H:H,Actual!$A:$A,'3)Target &amp; Cal'!$A101,Actual!$B:$B,'3)Target &amp; Cal'!$B101)</f>
        <v>0</v>
      </c>
      <c r="V101" s="117">
        <f>SUMIFS(Actual!I:I,Actual!$A:$A,'3)Target &amp; Cal'!$A101,Actual!$B:$B,'3)Target &amp; Cal'!$B101)</f>
        <v>0</v>
      </c>
      <c r="W101" s="117">
        <f>SUMIFS(Actual!J:J,Actual!$A:$A,'3)Target &amp; Cal'!$A101,Actual!$B:$B,'3)Target &amp; Cal'!$B101)</f>
        <v>0</v>
      </c>
      <c r="X101" s="117">
        <f>SUMIFS(Actual!K:K,Actual!$A:$A,'3)Target &amp; Cal'!$A101,Actual!$B:$B,'3)Target &amp; Cal'!$B101)</f>
        <v>0</v>
      </c>
      <c r="Y101" s="117">
        <f>SUMIFS(Actual!L:L,Actual!$A:$A,'3)Target &amp; Cal'!$A101,Actual!$B:$B,'3)Target &amp; Cal'!$B101)</f>
        <v>0</v>
      </c>
      <c r="Z101" s="117">
        <f>SUMIFS(Actual!M:M,Actual!$A:$A,'3)Target &amp; Cal'!$A101,Actual!$B:$B,'3)Target &amp; Cal'!$B101)</f>
        <v>0</v>
      </c>
      <c r="AA101" s="117">
        <f>SUMIFS(Actual!N:N,Actual!$A:$A,'3)Target &amp; Cal'!$A101,Actual!$B:$B,'3)Target &amp; Cal'!$B101)</f>
        <v>0</v>
      </c>
      <c r="AB101" s="123">
        <f>IFERROR(IF(VLOOKUP($B101,Shortage!$A:$M,AB$2,FALSE)="Shortage",1,IFERROR(ROUND(P101/D101,4),0)),IFERROR(ROUND(P101/D101,4),0))</f>
        <v>0.85929999999999995</v>
      </c>
      <c r="AC101" s="123">
        <f>IFERROR(IF(VLOOKUP($B101,Shortage!$A:$M,AC$2,FALSE)="Shortage",1,IFERROR(ROUND(Q101/E101,4),0)),IFERROR(ROUND(Q101/E101,4),0))</f>
        <v>1.0203</v>
      </c>
      <c r="AD101" s="123">
        <f>IFERROR(IF(VLOOKUP($B101,Shortage!$A:$M,AD$2,FALSE)="Shortage",1,IFERROR(ROUND(R101/F101,4),0)),IFERROR(ROUND(R101/F101,4),0))</f>
        <v>0</v>
      </c>
      <c r="AE101" s="123">
        <f>IFERROR(IF(VLOOKUP($B101,Shortage!$A:$M,AE$2,FALSE)="Shortage",1,IFERROR(ROUND(S101/G101,4),0)),IFERROR(ROUND(S101/G101,4),0))</f>
        <v>0</v>
      </c>
      <c r="AF101" s="123">
        <f>IFERROR(IF(VLOOKUP($B101,Shortage!$A:$M,AF$2,FALSE)="Shortage",1,IFERROR(ROUND(T101/H101,4),0)),IFERROR(ROUND(T101/H101,4),0))</f>
        <v>0</v>
      </c>
      <c r="AG101" s="123">
        <f>IFERROR(IF(VLOOKUP($B101,Shortage!$A:$M,AG$2,FALSE)="Shortage",1,IFERROR(ROUND(U101/I101,4),0)),IFERROR(ROUND(U101/I101,4),0))</f>
        <v>0</v>
      </c>
      <c r="AH101" s="123">
        <f>IFERROR(IF(VLOOKUP($B101,Shortage!$A:$M,AH$2,FALSE)="Shortage",1,IFERROR(ROUND(V101/J101,4),0)),IFERROR(ROUND(V101/J101,4),0))</f>
        <v>0</v>
      </c>
      <c r="AI101" s="123">
        <f>IFERROR(IF(VLOOKUP($B101,Shortage!$A:$M,AI$2,FALSE)="Shortage",1,IFERROR(ROUND(W101/K101,4),0)),IFERROR(ROUND(W101/K101,4),0))</f>
        <v>0</v>
      </c>
      <c r="AJ101" s="123">
        <f>IFERROR(IF(VLOOKUP($B101,Shortage!$A:$M,AP$2,FALSE)="Shortage",1,IFERROR(ROUND(X101/L101,4),0)),IFERROR(ROUND(X101/L101,4),0))</f>
        <v>0</v>
      </c>
      <c r="AK101" s="123">
        <f>IFERROR(IF(VLOOKUP($B101,Shortage!$A:$M,AK$2,FALSE)="Shortage",1,IFERROR(ROUND(Y101/M101,4),0)),IFERROR(ROUND(Y101/M101,4),0))</f>
        <v>0</v>
      </c>
      <c r="AL101" s="123">
        <f>IFERROR(IF(VLOOKUP($B101,Shortage!$A:$M,AL$2,FALSE)="Shortage",1,IFERROR(ROUND(Z101/N101,4),0)),IFERROR(ROUND(Z101/N101,4),0))</f>
        <v>0</v>
      </c>
      <c r="AM101" s="123">
        <f>IFERROR(IF(VLOOKUP($B101,Shortage!$A:$M,AM$2,FALSE)="Shortage",1,IFERROR(ROUND(AA101/O101,4),0)),IFERROR(ROUND(AA101/O101,4),0))</f>
        <v>0</v>
      </c>
      <c r="AN101" s="232">
        <f>IFERROR(IF($C101="Top WS",VLOOKUP("GOAL",'2) หลักการคำนวน Table'!$D$4:$M$4,HLOOKUP(AB101,'2) หลักการคำนวน Table'!$D$1:$M$5,5,TRUE),0),
IF($C101="WS SF",VLOOKUP("GOAL",'2) หลักการคำนวน Table'!$D$32:$M$32,HLOOKUP(AB101,'2) หลักการคำนวน Table'!$D$1:$M$5,5,TRUE),0),
IF($C101="WS WH",VLOOKUP("GOAL",'2) หลักการคำนวน Table'!$D$62:$M$62,HLOOKUP(AB101,'2) หลักการคำนวน Table'!$D$1:$M$5,5,TRUE),0),
IF($C101="SF WH",VLOOKUP("GOAL",'2) หลักการคำนวน Table'!$D$92:$M$92,HLOOKUP(AB101,'2) หลักการคำนวน Table'!$D$1:$M$5,5,TRUE),0))))),0)</f>
        <v>0.9</v>
      </c>
      <c r="AO101" s="232">
        <f>IFERROR(IF($C101="Top WS",VLOOKUP("GOAL",'2) หลักการคำนวน Table'!$D$4:$M$4,HLOOKUP(AC101,'2) หลักการคำนวน Table'!$D$1:$M$5,5,TRUE),0),
IF($C101="WS SF",VLOOKUP("GOAL",'2) หลักการคำนวน Table'!$D$32:$M$32,HLOOKUP(AC101,'2) หลักการคำนวน Table'!$D$1:$M$5,5,TRUE),0),
IF($C101="WS WH",VLOOKUP("GOAL",'2) หลักการคำนวน Table'!$D$62:$M$62,HLOOKUP(AC101,'2) หลักการคำนวน Table'!$D$1:$M$5,5,TRUE),0),
IF($C101="SF WH",VLOOKUP("GOAL",'2) หลักการคำนวน Table'!$D$92:$M$92,HLOOKUP(AC101,'2) หลักการคำนวน Table'!$D$1:$M$5,5,TRUE),0))))),0)</f>
        <v>1.03</v>
      </c>
      <c r="AP101" s="232">
        <f>IFERROR(IF($C101="Top WS",VLOOKUP("GOAL",'2) หลักการคำนวน Table'!$D$4:$M$4,HLOOKUP(AD101,'2) หลักการคำนวน Table'!$D$1:$M$5,5,TRUE),0),
IF($C101="WS SF",VLOOKUP("GOAL",'2) หลักการคำนวน Table'!$D$32:$M$32,HLOOKUP(AD101,'2) หลักการคำนวน Table'!$D$1:$M$5,5,TRUE),0),
IF($C101="WS WH",VLOOKUP("GOAL",'2) หลักการคำนวน Table'!$D$62:$M$62,HLOOKUP(AD101,'2) หลักการคำนวน Table'!$D$1:$M$5,5,TRUE),0),
IF($C101="SF WH",VLOOKUP("GOAL",'2) หลักการคำนวน Table'!$D$92:$M$92,HLOOKUP(AD101,'2) หลักการคำนวน Table'!$D$1:$M$5,5,TRUE),0))))),0)</f>
        <v>0.9</v>
      </c>
      <c r="AQ101" s="232">
        <f>IFERROR(IF($C101="Top WS",VLOOKUP("GOAL",'2) หลักการคำนวน Table'!$D$4:$M$4,HLOOKUP(AE101,'2) หลักการคำนวน Table'!$D$1:$M$5,5,TRUE),0),
IF($C101="WS SF",VLOOKUP("GOAL",'2) หลักการคำนวน Table'!$D$32:$M$32,HLOOKUP(AE101,'2) หลักการคำนวน Table'!$D$1:$M$5,5,TRUE),0),
IF($C101="WS WH",VLOOKUP("GOAL",'2) หลักการคำนวน Table'!$D$62:$M$62,HLOOKUP(AE101,'2) หลักการคำนวน Table'!$D$1:$M$5,5,TRUE),0),
IF($C101="SF WH",VLOOKUP("GOAL",'2) หลักการคำนวน Table'!$D$92:$M$92,HLOOKUP(AE101,'2) หลักการคำนวน Table'!$D$1:$M$5,5,TRUE),0))))),0)</f>
        <v>0.9</v>
      </c>
      <c r="AR101" s="232">
        <f>IFERROR(IF($C101="Top WS",VLOOKUP("GOAL",'2) หลักการคำนวน Table'!$D$4:$M$4,HLOOKUP(AF101,'2) หลักการคำนวน Table'!$D$1:$M$5,5,TRUE),0),
IF($C101="WS SF",VLOOKUP("GOAL",'2) หลักการคำนวน Table'!$D$32:$M$32,HLOOKUP(AF101,'2) หลักการคำนวน Table'!$D$1:$M$5,5,TRUE),0),
IF($C101="WS WH",VLOOKUP("GOAL",'2) หลักการคำนวน Table'!$D$62:$M$62,HLOOKUP(AF101,'2) หลักการคำนวน Table'!$D$1:$M$5,5,TRUE),0),
IF($C101="SF WH",VLOOKUP("GOAL",'2) หลักการคำนวน Table'!$D$92:$M$92,HLOOKUP(AF101,'2) หลักการคำนวน Table'!$D$1:$M$5,5,TRUE),0))))),0)</f>
        <v>0.9</v>
      </c>
      <c r="AS101" s="232">
        <f>IFERROR(IF($C101="Top WS",VLOOKUP("GOAL",'2) หลักการคำนวน Table'!$D$4:$M$4,HLOOKUP(AG101,'2) หลักการคำนวน Table'!$D$1:$M$5,5,TRUE),0),
IF($C101="WS SF",VLOOKUP("GOAL",'2) หลักการคำนวน Table'!$D$32:$M$32,HLOOKUP(AG101,'2) หลักการคำนวน Table'!$D$1:$M$5,5,TRUE),0),
IF($C101="WS WH",VLOOKUP("GOAL",'2) หลักการคำนวน Table'!$D$62:$M$62,HLOOKUP(AG101,'2) หลักการคำนวน Table'!$D$1:$M$5,5,TRUE),0),
IF($C101="SF WH",VLOOKUP("GOAL",'2) หลักการคำนวน Table'!$D$92:$M$92,HLOOKUP(AG101,'2) หลักการคำนวน Table'!$D$1:$M$5,5,TRUE),0))))),0)</f>
        <v>0.9</v>
      </c>
      <c r="AT101" s="232">
        <f>IFERROR(IF($C101="Top WS",VLOOKUP("GOAL",'2) หลักการคำนวน Table'!$D$4:$M$4,HLOOKUP(AH101,'2) หลักการคำนวน Table'!$D$1:$M$5,5,TRUE),0),
IF($C101="WS SF",VLOOKUP("GOAL",'2) หลักการคำนวน Table'!$D$32:$M$32,HLOOKUP(AH101,'2) หลักการคำนวน Table'!$D$1:$M$5,5,TRUE),0),
IF($C101="WS WH",VLOOKUP("GOAL",'2) หลักการคำนวน Table'!$D$62:$M$62,HLOOKUP(AH101,'2) หลักการคำนวน Table'!$D$1:$M$5,5,TRUE),0),
IF($C101="SF WH",VLOOKUP("GOAL",'2) หลักการคำนวน Table'!$D$92:$M$92,HLOOKUP(AH101,'2) หลักการคำนวน Table'!$D$1:$M$5,5,TRUE),0))))),0)</f>
        <v>0.9</v>
      </c>
      <c r="AU101" s="232">
        <f>IFERROR(IF($C101="Top WS",VLOOKUP("GOAL",'2) หลักการคำนวน Table'!$D$4:$M$4,HLOOKUP(AI101,'2) หลักการคำนวน Table'!$D$1:$M$5,5,TRUE),0),
IF($C101="WS SF",VLOOKUP("GOAL",'2) หลักการคำนวน Table'!$D$32:$M$32,HLOOKUP(AI101,'2) หลักการคำนวน Table'!$D$1:$M$5,5,TRUE),0),
IF($C101="WS WH",VLOOKUP("GOAL",'2) หลักการคำนวน Table'!$D$62:$M$62,HLOOKUP(AI101,'2) หลักการคำนวน Table'!$D$1:$M$5,5,TRUE),0),
IF($C101="SF WH",VLOOKUP("GOAL",'2) หลักการคำนวน Table'!$D$92:$M$92,HLOOKUP(AI101,'2) หลักการคำนวน Table'!$D$1:$M$5,5,TRUE),0))))),0)</f>
        <v>0.9</v>
      </c>
      <c r="AV101" s="232">
        <f>IFERROR(IF($C101="Top WS",VLOOKUP("GOAL",'2) หลักการคำนวน Table'!$D$4:$M$4,HLOOKUP(AP101,'2) หลักการคำนวน Table'!$D$1:$M$5,5,TRUE),0),
IF($C101="WS SF",VLOOKUP("GOAL",'2) หลักการคำนวน Table'!$D$32:$M$32,HLOOKUP(AP101,'2) หลักการคำนวน Table'!$D$1:$M$5,5,TRUE),0),
IF($C101="WS WH",VLOOKUP("GOAL",'2) หลักการคำนวน Table'!$D$62:$M$62,HLOOKUP(AP101,'2) หลักการคำนวน Table'!$D$1:$M$5,5,TRUE),0),
IF($C101="SF WH",VLOOKUP("GOAL",'2) หลักการคำนวน Table'!$D$92:$M$92,HLOOKUP(AP101,'2) หลักการคำนวน Table'!$D$1:$M$5,5,TRUE),0))))),0)</f>
        <v>0.9</v>
      </c>
      <c r="AW101" s="232">
        <f>IFERROR(IF($C101="Top WS",VLOOKUP("GOAL",'2) หลักการคำนวน Table'!$D$4:$M$4,HLOOKUP(AK101,'2) หลักการคำนวน Table'!$D$1:$M$5,5,TRUE),0),
IF($C101="WS SF",VLOOKUP("GOAL",'2) หลักการคำนวน Table'!$D$32:$M$32,HLOOKUP(AK101,'2) หลักการคำนวน Table'!$D$1:$M$5,5,TRUE),0),
IF($C101="WS WH",VLOOKUP("GOAL",'2) หลักการคำนวน Table'!$D$62:$M$62,HLOOKUP(AK101,'2) หลักการคำนวน Table'!$D$1:$M$5,5,TRUE),0),
IF($C101="SF WH",VLOOKUP("GOAL",'2) หลักการคำนวน Table'!$D$92:$M$92,HLOOKUP(AK101,'2) หลักการคำนวน Table'!$D$1:$M$5,5,TRUE),0))))),0)</f>
        <v>0.9</v>
      </c>
      <c r="AX101" s="232">
        <f>IFERROR(IF($C101="Top WS",VLOOKUP("GOAL",'2) หลักการคำนวน Table'!$D$4:$M$4,HLOOKUP(AL101,'2) หลักการคำนวน Table'!$D$1:$M$5,5,TRUE),0),
IF($C101="WS SF",VLOOKUP("GOAL",'2) หลักการคำนวน Table'!$D$32:$M$32,HLOOKUP(AL101,'2) หลักการคำนวน Table'!$D$1:$M$5,5,TRUE),0),
IF($C101="WS WH",VLOOKUP("GOAL",'2) หลักการคำนวน Table'!$D$62:$M$62,HLOOKUP(AL101,'2) หลักการคำนวน Table'!$D$1:$M$5,5,TRUE),0),
IF($C101="SF WH",VLOOKUP("GOAL",'2) หลักการคำนวน Table'!$D$92:$M$92,HLOOKUP(AL101,'2) หลักการคำนวน Table'!$D$1:$M$5,5,TRUE),0))))),0)</f>
        <v>0.9</v>
      </c>
      <c r="AY101" s="232">
        <f>IFERROR(IF($C101="Top WS",VLOOKUP("GOAL",'2) หลักการคำนวน Table'!$D$4:$M$4,HLOOKUP(AM101,'2) หลักการคำนวน Table'!$D$1:$M$5,5,TRUE),0),
IF($C101="WS SF",VLOOKUP("GOAL",'2) หลักการคำนวน Table'!$D$32:$M$32,HLOOKUP(AM101,'2) หลักการคำนวน Table'!$D$1:$M$5,5,TRUE),0),
IF($C101="WS WH",VLOOKUP("GOAL",'2) หลักการคำนวน Table'!$D$62:$M$62,HLOOKUP(AM101,'2) หลักการคำนวน Table'!$D$1:$M$5,5,TRUE),0),
IF($C101="SF WH",VLOOKUP("GOAL",'2) หลักการคำนวน Table'!$D$92:$M$92,HLOOKUP(AM101,'2) หลักการคำนวน Table'!$D$1:$M$5,5,TRUE),0))))),0)</f>
        <v>0.9</v>
      </c>
      <c r="AZ101" s="167">
        <f>IFERROR(IF($C101="Top WS",VLOOKUP($B101,'2) หลักการคำนวน Table'!$D$5:$M$20,HLOOKUP(AB101,'2) หลักการคำนวน Table'!$D$1:$M$5,5,TRUE),0),
IF($C101="WS SF",VLOOKUP($B101,'2) หลักการคำนวน Table'!$D$33:$M$48,HLOOKUP(AB101,'2) หลักการคำนวน Table'!$D$1:$M$5,5,TRUE),0),
IF($C101="WS WH",VLOOKUP($B101,'2) หลักการคำนวน Table'!$D$63:$M$78,HLOOKUP(AB101,'2) หลักการคำนวน Table'!$D$1:$M$5,5,TRUE),0),
IF($C101="SF WH",VLOOKUP($B101,'2) หลักการคำนวน Table'!$D$93:$M$108,HLOOKUP(AB101,'2) หลักการคำนวน Table'!$D$1:$M$5,5,TRUE),0))))),0)</f>
        <v>157.5</v>
      </c>
      <c r="BA101" s="167">
        <f>IFERROR(IF($C101="Top WS",VLOOKUP($B101,'2) หลักการคำนวน Table'!$D$5:$M$20,HLOOKUP(AC101,'2) หลักการคำนวน Table'!$D$1:$M$5,5,TRUE),0),
IF($C101="WS SF",VLOOKUP($B101,'2) หลักการคำนวน Table'!$D$33:$M$48,HLOOKUP(AC101,'2) หลักการคำนวน Table'!$D$1:$M$5,5,TRUE),0),
IF($C101="WS WH",VLOOKUP($B101,'2) หลักการคำนวน Table'!$D$63:$M$78,HLOOKUP(AC101,'2) หลักการคำนวน Table'!$D$1:$M$5,5,TRUE),0),
IF($C101="SF WH",VLOOKUP($B101,'2) หลักการคำนวน Table'!$D$93:$M$108,HLOOKUP(AC101,'2) หลักการคำนวน Table'!$D$1:$M$5,5,TRUE),0))))),0)</f>
        <v>180.25</v>
      </c>
      <c r="BB101" s="167">
        <f>IFERROR(IF($C101="Top WS",VLOOKUP($B101,'2) หลักการคำนวน Table'!$D$5:$M$20,HLOOKUP(AD101,'2) หลักการคำนวน Table'!$D$1:$M$5,5,TRUE),0),
IF($C101="WS SF",VLOOKUP($B101,'2) หลักการคำนวน Table'!$D$33:$M$48,HLOOKUP(AD101,'2) หลักการคำนวน Table'!$D$1:$M$5,5,TRUE),0),
IF($C101="WS WH",VLOOKUP($B101,'2) หลักการคำนวน Table'!$D$63:$M$78,HLOOKUP(AD101,'2) หลักการคำนวน Table'!$D$1:$M$5,5,TRUE),0),
IF($C101="SF WH",VLOOKUP($B101,'2) หลักการคำนวน Table'!$D$93:$M$108,HLOOKUP(AD101,'2) หลักการคำนวน Table'!$D$1:$M$5,5,TRUE),0))))),0)</f>
        <v>157.5</v>
      </c>
      <c r="BC101" s="167">
        <f>IFERROR(IF($C101="Top WS",VLOOKUP($B101,'2) หลักการคำนวน Table'!$D$5:$M$20,HLOOKUP(AE101,'2) หลักการคำนวน Table'!$D$1:$M$5,5,TRUE),0),
IF($C101="WS SF",VLOOKUP($B101,'2) หลักการคำนวน Table'!$D$33:$M$48,HLOOKUP(AE101,'2) หลักการคำนวน Table'!$D$1:$M$5,5,TRUE),0),
IF($C101="WS WH",VLOOKUP($B101,'2) หลักการคำนวน Table'!$D$63:$M$78,HLOOKUP(AE101,'2) หลักการคำนวน Table'!$D$1:$M$5,5,TRUE),0),
IF($C101="SF WH",VLOOKUP($B101,'2) หลักการคำนวน Table'!$D$93:$M$108,HLOOKUP(AE101,'2) หลักการคำนวน Table'!$D$1:$M$5,5,TRUE),0))))),0)</f>
        <v>157.5</v>
      </c>
      <c r="BD101" s="167">
        <f>IFERROR(IF($C101="Top WS",VLOOKUP($B101,'2) หลักการคำนวน Table'!$D$5:$M$20,HLOOKUP(AF101,'2) หลักการคำนวน Table'!$D$1:$M$5,5,TRUE),0),
IF($C101="WS SF",VLOOKUP($B101,'2) หลักการคำนวน Table'!$D$33:$M$48,HLOOKUP(AF101,'2) หลักการคำนวน Table'!$D$1:$M$5,5,TRUE),0),
IF($C101="WS WH",VLOOKUP($B101,'2) หลักการคำนวน Table'!$D$63:$M$78,HLOOKUP(AF101,'2) หลักการคำนวน Table'!$D$1:$M$5,5,TRUE),0),
IF($C101="SF WH",VLOOKUP($B101,'2) หลักการคำนวน Table'!$D$93:$M$108,HLOOKUP(AF101,'2) หลักการคำนวน Table'!$D$1:$M$5,5,TRUE),0))))),0)</f>
        <v>157.5</v>
      </c>
      <c r="BE101" s="167">
        <f>IFERROR(IF($C101="Top WS",VLOOKUP($B101,'2) หลักการคำนวน Table'!$D$5:$M$20,HLOOKUP(AG101,'2) หลักการคำนวน Table'!$D$1:$M$5,5,TRUE),0),
IF($C101="WS SF",VLOOKUP($B101,'2) หลักการคำนวน Table'!$D$33:$M$48,HLOOKUP(AG101,'2) หลักการคำนวน Table'!$D$1:$M$5,5,TRUE),0),
IF($C101="WS WH",VLOOKUP($B101,'2) หลักการคำนวน Table'!$D$63:$M$78,HLOOKUP(AG101,'2) หลักการคำนวน Table'!$D$1:$M$5,5,TRUE),0),
IF($C101="SF WH",VLOOKUP($B101,'2) หลักการคำนวน Table'!$D$93:$M$108,HLOOKUP(AG101,'2) หลักการคำนวน Table'!$D$1:$M$5,5,TRUE),0))))),0)</f>
        <v>157.5</v>
      </c>
      <c r="BF101" s="167">
        <f>IFERROR(IF($C101="Top WS",VLOOKUP($B101,'2) หลักการคำนวน Table'!$D$5:$M$20,HLOOKUP(AH101,'2) หลักการคำนวน Table'!$D$1:$M$5,5,TRUE),0),
IF($C101="WS SF",VLOOKUP($B101,'2) หลักการคำนวน Table'!$D$33:$M$48,HLOOKUP(AH101,'2) หลักการคำนวน Table'!$D$1:$M$5,5,TRUE),0),
IF($C101="WS WH",VLOOKUP($B101,'2) หลักการคำนวน Table'!$D$63:$M$78,HLOOKUP(AH101,'2) หลักการคำนวน Table'!$D$1:$M$5,5,TRUE),0),
IF($C101="SF WH",VLOOKUP($B101,'2) หลักการคำนวน Table'!$D$93:$M$108,HLOOKUP(AH101,'2) หลักการคำนวน Table'!$D$1:$M$5,5,TRUE),0))))),0)</f>
        <v>157.5</v>
      </c>
      <c r="BG101" s="167">
        <f>IFERROR(IF($C101="Top WS",VLOOKUP($B101,'2) หลักการคำนวน Table'!$D$5:$M$20,HLOOKUP(AI101,'2) หลักการคำนวน Table'!$D$1:$M$5,5,TRUE),0),
IF($C101="WS SF",VLOOKUP($B101,'2) หลักการคำนวน Table'!$D$33:$M$48,HLOOKUP(AI101,'2) หลักการคำนวน Table'!$D$1:$M$5,5,TRUE),0),
IF($C101="WS WH",VLOOKUP($B101,'2) หลักการคำนวน Table'!$D$63:$M$78,HLOOKUP(AI101,'2) หลักการคำนวน Table'!$D$1:$M$5,5,TRUE),0),
IF($C101="SF WH",VLOOKUP($B101,'2) หลักการคำนวน Table'!$D$93:$M$108,HLOOKUP(AI101,'2) หลักการคำนวน Table'!$D$1:$M$5,5,TRUE),0))))),0)</f>
        <v>157.5</v>
      </c>
      <c r="BH101" s="167">
        <f>IFERROR(IF($C101="Top WS",VLOOKUP($B101,'2) หลักการคำนวน Table'!$D$5:$M$20,HLOOKUP(AP101,'2) หลักการคำนวน Table'!$D$1:$M$5,5,TRUE),0),
IF($C101="WS SF",VLOOKUP($B101,'2) หลักการคำนวน Table'!$D$33:$M$48,HLOOKUP(AP101,'2) หลักการคำนวน Table'!$D$1:$M$5,5,TRUE),0),
IF($C101="WS WH",VLOOKUP($B101,'2) หลักการคำนวน Table'!$D$63:$M$78,HLOOKUP(AP101,'2) หลักการคำนวน Table'!$D$1:$M$5,5,TRUE),0),
IF($C101="SF WH",VLOOKUP($B101,'2) หลักการคำนวน Table'!$D$93:$M$108,HLOOKUP(AP101,'2) หลักการคำนวน Table'!$D$1:$M$5,5,TRUE),0))))),0)</f>
        <v>157.5</v>
      </c>
      <c r="BI101" s="167">
        <f>IFERROR(IF($C101="Top WS",VLOOKUP($B101,'2) หลักการคำนวน Table'!$D$5:$M$20,HLOOKUP(AK101,'2) หลักการคำนวน Table'!$D$1:$M$5,5,TRUE),0),
IF($C101="WS SF",VLOOKUP($B101,'2) หลักการคำนวน Table'!$D$33:$M$48,HLOOKUP(AK101,'2) หลักการคำนวน Table'!$D$1:$M$5,5,TRUE),0),
IF($C101="WS WH",VLOOKUP($B101,'2) หลักการคำนวน Table'!$D$63:$M$78,HLOOKUP(AK101,'2) หลักการคำนวน Table'!$D$1:$M$5,5,TRUE),0),
IF($C101="SF WH",VLOOKUP($B101,'2) หลักการคำนวน Table'!$D$93:$M$108,HLOOKUP(AK101,'2) หลักการคำนวน Table'!$D$1:$M$5,5,TRUE),0))))),0)</f>
        <v>157.5</v>
      </c>
      <c r="BJ101" s="167">
        <f>IFERROR(IF($C101="Top WS",VLOOKUP($B101,'2) หลักการคำนวน Table'!$D$5:$M$20,HLOOKUP(AL101,'2) หลักการคำนวน Table'!$D$1:$M$5,5,TRUE),0),
IF($C101="WS SF",VLOOKUP($B101,'2) หลักการคำนวน Table'!$D$33:$M$48,HLOOKUP(AL101,'2) หลักการคำนวน Table'!$D$1:$M$5,5,TRUE),0),
IF($C101="WS WH",VLOOKUP($B101,'2) หลักการคำนวน Table'!$D$63:$M$78,HLOOKUP(AL101,'2) หลักการคำนวน Table'!$D$1:$M$5,5,TRUE),0),
IF($C101="SF WH",VLOOKUP($B101,'2) หลักการคำนวน Table'!$D$93:$M$108,HLOOKUP(AL101,'2) หลักการคำนวน Table'!$D$1:$M$5,5,TRUE),0))))),0)</f>
        <v>157.5</v>
      </c>
      <c r="BK101" s="167">
        <f>IFERROR(IF($C101="Top WS",VLOOKUP($B101,'2) หลักการคำนวน Table'!$D$5:$M$20,HLOOKUP(AM101,'2) หลักการคำนวน Table'!$D$1:$M$5,5,TRUE),0),
IF($C101="WS SF",VLOOKUP($B101,'2) หลักการคำนวน Table'!$D$33:$M$48,HLOOKUP(AM101,'2) หลักการคำนวน Table'!$D$1:$M$5,5,TRUE),0),
IF($C101="WS WH",VLOOKUP($B101,'2) หลักการคำนวน Table'!$D$63:$M$78,HLOOKUP(AM101,'2) หลักการคำนวน Table'!$D$1:$M$5,5,TRUE),0),
IF($C101="SF WH",VLOOKUP($B101,'2) หลักการคำนวน Table'!$D$93:$M$108,HLOOKUP(AM101,'2) หลักการคำนวน Table'!$D$1:$M$5,5,TRUE),0))))),0)</f>
        <v>157.5</v>
      </c>
      <c r="BM101" s="119">
        <f>VLOOKUP(VLOOKUP(A101,ASTBase!E:S,13,FALSE),ASTBase!F:P,11,FALSE)</f>
        <v>110000</v>
      </c>
      <c r="BN101" s="196" cm="1">
        <f t="array" ref="BN101">INDEX(AN101:AY101,,Period!$D$2)</f>
        <v>1.03</v>
      </c>
    </row>
    <row r="102" spans="1:66" x14ac:dyDescent="0.25">
      <c r="A102" s="388">
        <v>110003</v>
      </c>
      <c r="B102" s="388" t="s">
        <v>388</v>
      </c>
      <c r="C102" s="388" t="s">
        <v>180</v>
      </c>
      <c r="D102" s="118">
        <v>12065</v>
      </c>
      <c r="E102" s="118">
        <v>13563</v>
      </c>
      <c r="F102" s="118">
        <v>13359</v>
      </c>
      <c r="G102" s="118">
        <v>12500</v>
      </c>
      <c r="H102" s="118">
        <v>13413</v>
      </c>
      <c r="I102" s="118">
        <v>13648</v>
      </c>
      <c r="J102" s="118">
        <v>13336</v>
      </c>
      <c r="K102" s="118">
        <v>14154</v>
      </c>
      <c r="L102" s="118">
        <v>13870</v>
      </c>
      <c r="M102" s="118">
        <v>15482</v>
      </c>
      <c r="N102" s="118">
        <v>13540</v>
      </c>
      <c r="O102" s="118">
        <v>13530</v>
      </c>
      <c r="P102" s="117">
        <f>SUMIFS(Actual!C:C,Actual!$A:$A,'3)Target &amp; Cal'!$A102,Actual!$B:$B,'3)Target &amp; Cal'!$B102)</f>
        <v>8033.6</v>
      </c>
      <c r="Q102" s="117">
        <f>SUMIFS(Actual!D:D,Actual!$A:$A,'3)Target &amp; Cal'!$A102,Actual!$B:$B,'3)Target &amp; Cal'!$B102)</f>
        <v>17348.8</v>
      </c>
      <c r="R102" s="117">
        <f>SUMIFS(Actual!E:E,Actual!$A:$A,'3)Target &amp; Cal'!$A102,Actual!$B:$B,'3)Target &amp; Cal'!$B102)</f>
        <v>0</v>
      </c>
      <c r="S102" s="117">
        <f>SUMIFS(Actual!F:F,Actual!$A:$A,'3)Target &amp; Cal'!$A102,Actual!$B:$B,'3)Target &amp; Cal'!$B102)</f>
        <v>0</v>
      </c>
      <c r="T102" s="117">
        <f>SUMIFS(Actual!G:G,Actual!$A:$A,'3)Target &amp; Cal'!$A102,Actual!$B:$B,'3)Target &amp; Cal'!$B102)</f>
        <v>0</v>
      </c>
      <c r="U102" s="117">
        <f>SUMIFS(Actual!H:H,Actual!$A:$A,'3)Target &amp; Cal'!$A102,Actual!$B:$B,'3)Target &amp; Cal'!$B102)</f>
        <v>0</v>
      </c>
      <c r="V102" s="117">
        <f>SUMIFS(Actual!I:I,Actual!$A:$A,'3)Target &amp; Cal'!$A102,Actual!$B:$B,'3)Target &amp; Cal'!$B102)</f>
        <v>0</v>
      </c>
      <c r="W102" s="117">
        <f>SUMIFS(Actual!J:J,Actual!$A:$A,'3)Target &amp; Cal'!$A102,Actual!$B:$B,'3)Target &amp; Cal'!$B102)</f>
        <v>0</v>
      </c>
      <c r="X102" s="117">
        <f>SUMIFS(Actual!K:K,Actual!$A:$A,'3)Target &amp; Cal'!$A102,Actual!$B:$B,'3)Target &amp; Cal'!$B102)</f>
        <v>0</v>
      </c>
      <c r="Y102" s="117">
        <f>SUMIFS(Actual!L:L,Actual!$A:$A,'3)Target &amp; Cal'!$A102,Actual!$B:$B,'3)Target &amp; Cal'!$B102)</f>
        <v>0</v>
      </c>
      <c r="Z102" s="117">
        <f>SUMIFS(Actual!M:M,Actual!$A:$A,'3)Target &amp; Cal'!$A102,Actual!$B:$B,'3)Target &amp; Cal'!$B102)</f>
        <v>0</v>
      </c>
      <c r="AA102" s="117">
        <f>SUMIFS(Actual!N:N,Actual!$A:$A,'3)Target &amp; Cal'!$A102,Actual!$B:$B,'3)Target &amp; Cal'!$B102)</f>
        <v>0</v>
      </c>
      <c r="AB102" s="123">
        <f>IFERROR(IF(VLOOKUP($B102,Shortage!$A:$M,AB$2,FALSE)="Shortage",1,IFERROR(ROUND(P102/D102,4),0)),IFERROR(ROUND(P102/D102,4),0))</f>
        <v>1</v>
      </c>
      <c r="AC102" s="123">
        <f>IFERROR(IF(VLOOKUP($B102,Shortage!$A:$M,AC$2,FALSE)="Shortage",1,IFERROR(ROUND(Q102/E102,4),0)),IFERROR(ROUND(Q102/E102,4),0))</f>
        <v>1.2790999999999999</v>
      </c>
      <c r="AD102" s="123">
        <f>IFERROR(IF(VLOOKUP($B102,Shortage!$A:$M,AD$2,FALSE)="Shortage",1,IFERROR(ROUND(R102/F102,4),0)),IFERROR(ROUND(R102/F102,4),0))</f>
        <v>0</v>
      </c>
      <c r="AE102" s="123">
        <f>IFERROR(IF(VLOOKUP($B102,Shortage!$A:$M,AE$2,FALSE)="Shortage",1,IFERROR(ROUND(S102/G102,4),0)),IFERROR(ROUND(S102/G102,4),0))</f>
        <v>0</v>
      </c>
      <c r="AF102" s="123">
        <f>IFERROR(IF(VLOOKUP($B102,Shortage!$A:$M,AF$2,FALSE)="Shortage",1,IFERROR(ROUND(T102/H102,4),0)),IFERROR(ROUND(T102/H102,4),0))</f>
        <v>0</v>
      </c>
      <c r="AG102" s="123">
        <f>IFERROR(IF(VLOOKUP($B102,Shortage!$A:$M,AG$2,FALSE)="Shortage",1,IFERROR(ROUND(U102/I102,4),0)),IFERROR(ROUND(U102/I102,4),0))</f>
        <v>0</v>
      </c>
      <c r="AH102" s="123">
        <f>IFERROR(IF(VLOOKUP($B102,Shortage!$A:$M,AH$2,FALSE)="Shortage",1,IFERROR(ROUND(V102/J102,4),0)),IFERROR(ROUND(V102/J102,4),0))</f>
        <v>0</v>
      </c>
      <c r="AI102" s="123">
        <f>IFERROR(IF(VLOOKUP($B102,Shortage!$A:$M,AI$2,FALSE)="Shortage",1,IFERROR(ROUND(W102/K102,4),0)),IFERROR(ROUND(W102/K102,4),0))</f>
        <v>0</v>
      </c>
      <c r="AJ102" s="123">
        <f>IFERROR(IF(VLOOKUP($B102,Shortage!$A:$M,AP$2,FALSE)="Shortage",1,IFERROR(ROUND(X102/L102,4),0)),IFERROR(ROUND(X102/L102,4),0))</f>
        <v>0</v>
      </c>
      <c r="AK102" s="123">
        <f>IFERROR(IF(VLOOKUP($B102,Shortage!$A:$M,AK$2,FALSE)="Shortage",1,IFERROR(ROUND(Y102/M102,4),0)),IFERROR(ROUND(Y102/M102,4),0))</f>
        <v>0</v>
      </c>
      <c r="AL102" s="123">
        <f>IFERROR(IF(VLOOKUP($B102,Shortage!$A:$M,AL$2,FALSE)="Shortage",1,IFERROR(ROUND(Z102/N102,4),0)),IFERROR(ROUND(Z102/N102,4),0))</f>
        <v>0</v>
      </c>
      <c r="AM102" s="123">
        <f>IFERROR(IF(VLOOKUP($B102,Shortage!$A:$M,AM$2,FALSE)="Shortage",1,IFERROR(ROUND(AA102/O102,4),0)),IFERROR(ROUND(AA102/O102,4),0))</f>
        <v>0</v>
      </c>
      <c r="AN102" s="232">
        <f>IFERROR(IF($C102="Top WS",VLOOKUP("GOAL",'2) หลักการคำนวน Table'!$D$4:$M$4,HLOOKUP(AB102,'2) หลักการคำนวน Table'!$D$1:$M$5,5,TRUE),0),
IF($C102="WS SF",VLOOKUP("GOAL",'2) หลักการคำนวน Table'!$D$32:$M$32,HLOOKUP(AB102,'2) หลักการคำนวน Table'!$D$1:$M$5,5,TRUE),0),
IF($C102="WS WH",VLOOKUP("GOAL",'2) หลักการคำนวน Table'!$D$62:$M$62,HLOOKUP(AB102,'2) หลักการคำนวน Table'!$D$1:$M$5,5,TRUE),0),
IF($C102="SF WH",VLOOKUP("GOAL",'2) หลักการคำนวน Table'!$D$92:$M$92,HLOOKUP(AB102,'2) หลักการคำนวน Table'!$D$1:$M$5,5,TRUE),0))))),0)</f>
        <v>1</v>
      </c>
      <c r="AO102" s="232">
        <f>IFERROR(IF($C102="Top WS",VLOOKUP("GOAL",'2) หลักการคำนวน Table'!$D$4:$M$4,HLOOKUP(AC102,'2) หลักการคำนวน Table'!$D$1:$M$5,5,TRUE),0),
IF($C102="WS SF",VLOOKUP("GOAL",'2) หลักการคำนวน Table'!$D$32:$M$32,HLOOKUP(AC102,'2) หลักการคำนวน Table'!$D$1:$M$5,5,TRUE),0),
IF($C102="WS WH",VLOOKUP("GOAL",'2) หลักการคำนวน Table'!$D$62:$M$62,HLOOKUP(AC102,'2) หลักการคำนวน Table'!$D$1:$M$5,5,TRUE),0),
IF($C102="SF WH",VLOOKUP("GOAL",'2) หลักการคำนวน Table'!$D$92:$M$92,HLOOKUP(AC102,'2) หลักการคำนวน Table'!$D$1:$M$5,5,TRUE),0))))),0)</f>
        <v>1.3</v>
      </c>
      <c r="AP102" s="232">
        <f>IFERROR(IF($C102="Top WS",VLOOKUP("GOAL",'2) หลักการคำนวน Table'!$D$4:$M$4,HLOOKUP(AD102,'2) หลักการคำนวน Table'!$D$1:$M$5,5,TRUE),0),
IF($C102="WS SF",VLOOKUP("GOAL",'2) หลักการคำนวน Table'!$D$32:$M$32,HLOOKUP(AD102,'2) หลักการคำนวน Table'!$D$1:$M$5,5,TRUE),0),
IF($C102="WS WH",VLOOKUP("GOAL",'2) หลักการคำนวน Table'!$D$62:$M$62,HLOOKUP(AD102,'2) หลักการคำนวน Table'!$D$1:$M$5,5,TRUE),0),
IF($C102="SF WH",VLOOKUP("GOAL",'2) หลักการคำนวน Table'!$D$92:$M$92,HLOOKUP(AD102,'2) หลักการคำนวน Table'!$D$1:$M$5,5,TRUE),0))))),0)</f>
        <v>0.9</v>
      </c>
      <c r="AQ102" s="232">
        <f>IFERROR(IF($C102="Top WS",VLOOKUP("GOAL",'2) หลักการคำนวน Table'!$D$4:$M$4,HLOOKUP(AE102,'2) หลักการคำนวน Table'!$D$1:$M$5,5,TRUE),0),
IF($C102="WS SF",VLOOKUP("GOAL",'2) หลักการคำนวน Table'!$D$32:$M$32,HLOOKUP(AE102,'2) หลักการคำนวน Table'!$D$1:$M$5,5,TRUE),0),
IF($C102="WS WH",VLOOKUP("GOAL",'2) หลักการคำนวน Table'!$D$62:$M$62,HLOOKUP(AE102,'2) หลักการคำนวน Table'!$D$1:$M$5,5,TRUE),0),
IF($C102="SF WH",VLOOKUP("GOAL",'2) หลักการคำนวน Table'!$D$92:$M$92,HLOOKUP(AE102,'2) หลักการคำนวน Table'!$D$1:$M$5,5,TRUE),0))))),0)</f>
        <v>0.9</v>
      </c>
      <c r="AR102" s="232">
        <f>IFERROR(IF($C102="Top WS",VLOOKUP("GOAL",'2) หลักการคำนวน Table'!$D$4:$M$4,HLOOKUP(AF102,'2) หลักการคำนวน Table'!$D$1:$M$5,5,TRUE),0),
IF($C102="WS SF",VLOOKUP("GOAL",'2) หลักการคำนวน Table'!$D$32:$M$32,HLOOKUP(AF102,'2) หลักการคำนวน Table'!$D$1:$M$5,5,TRUE),0),
IF($C102="WS WH",VLOOKUP("GOAL",'2) หลักการคำนวน Table'!$D$62:$M$62,HLOOKUP(AF102,'2) หลักการคำนวน Table'!$D$1:$M$5,5,TRUE),0),
IF($C102="SF WH",VLOOKUP("GOAL",'2) หลักการคำนวน Table'!$D$92:$M$92,HLOOKUP(AF102,'2) หลักการคำนวน Table'!$D$1:$M$5,5,TRUE),0))))),0)</f>
        <v>0.9</v>
      </c>
      <c r="AS102" s="232">
        <f>IFERROR(IF($C102="Top WS",VLOOKUP("GOAL",'2) หลักการคำนวน Table'!$D$4:$M$4,HLOOKUP(AG102,'2) หลักการคำนวน Table'!$D$1:$M$5,5,TRUE),0),
IF($C102="WS SF",VLOOKUP("GOAL",'2) หลักการคำนวน Table'!$D$32:$M$32,HLOOKUP(AG102,'2) หลักการคำนวน Table'!$D$1:$M$5,5,TRUE),0),
IF($C102="WS WH",VLOOKUP("GOAL",'2) หลักการคำนวน Table'!$D$62:$M$62,HLOOKUP(AG102,'2) หลักการคำนวน Table'!$D$1:$M$5,5,TRUE),0),
IF($C102="SF WH",VLOOKUP("GOAL",'2) หลักการคำนวน Table'!$D$92:$M$92,HLOOKUP(AG102,'2) หลักการคำนวน Table'!$D$1:$M$5,5,TRUE),0))))),0)</f>
        <v>0.9</v>
      </c>
      <c r="AT102" s="232">
        <f>IFERROR(IF($C102="Top WS",VLOOKUP("GOAL",'2) หลักการคำนวน Table'!$D$4:$M$4,HLOOKUP(AH102,'2) หลักการคำนวน Table'!$D$1:$M$5,5,TRUE),0),
IF($C102="WS SF",VLOOKUP("GOAL",'2) หลักการคำนวน Table'!$D$32:$M$32,HLOOKUP(AH102,'2) หลักการคำนวน Table'!$D$1:$M$5,5,TRUE),0),
IF($C102="WS WH",VLOOKUP("GOAL",'2) หลักการคำนวน Table'!$D$62:$M$62,HLOOKUP(AH102,'2) หลักการคำนวน Table'!$D$1:$M$5,5,TRUE),0),
IF($C102="SF WH",VLOOKUP("GOAL",'2) หลักการคำนวน Table'!$D$92:$M$92,HLOOKUP(AH102,'2) หลักการคำนวน Table'!$D$1:$M$5,5,TRUE),0))))),0)</f>
        <v>0.9</v>
      </c>
      <c r="AU102" s="232">
        <f>IFERROR(IF($C102="Top WS",VLOOKUP("GOAL",'2) หลักการคำนวน Table'!$D$4:$M$4,HLOOKUP(AI102,'2) หลักการคำนวน Table'!$D$1:$M$5,5,TRUE),0),
IF($C102="WS SF",VLOOKUP("GOAL",'2) หลักการคำนวน Table'!$D$32:$M$32,HLOOKUP(AI102,'2) หลักการคำนวน Table'!$D$1:$M$5,5,TRUE),0),
IF($C102="WS WH",VLOOKUP("GOAL",'2) หลักการคำนวน Table'!$D$62:$M$62,HLOOKUP(AI102,'2) หลักการคำนวน Table'!$D$1:$M$5,5,TRUE),0),
IF($C102="SF WH",VLOOKUP("GOAL",'2) หลักการคำนวน Table'!$D$92:$M$92,HLOOKUP(AI102,'2) หลักการคำนวน Table'!$D$1:$M$5,5,TRUE),0))))),0)</f>
        <v>0.9</v>
      </c>
      <c r="AV102" s="232">
        <f>IFERROR(IF($C102="Top WS",VLOOKUP("GOAL",'2) หลักการคำนวน Table'!$D$4:$M$4,HLOOKUP(AP102,'2) หลักการคำนวน Table'!$D$1:$M$5,5,TRUE),0),
IF($C102="WS SF",VLOOKUP("GOAL",'2) หลักการคำนวน Table'!$D$32:$M$32,HLOOKUP(AP102,'2) หลักการคำนวน Table'!$D$1:$M$5,5,TRUE),0),
IF($C102="WS WH",VLOOKUP("GOAL",'2) หลักการคำนวน Table'!$D$62:$M$62,HLOOKUP(AP102,'2) หลักการคำนวน Table'!$D$1:$M$5,5,TRUE),0),
IF($C102="SF WH",VLOOKUP("GOAL",'2) หลักการคำนวน Table'!$D$92:$M$92,HLOOKUP(AP102,'2) หลักการคำนวน Table'!$D$1:$M$5,5,TRUE),0))))),0)</f>
        <v>0.9</v>
      </c>
      <c r="AW102" s="232">
        <f>IFERROR(IF($C102="Top WS",VLOOKUP("GOAL",'2) หลักการคำนวน Table'!$D$4:$M$4,HLOOKUP(AK102,'2) หลักการคำนวน Table'!$D$1:$M$5,5,TRUE),0),
IF($C102="WS SF",VLOOKUP("GOAL",'2) หลักการคำนวน Table'!$D$32:$M$32,HLOOKUP(AK102,'2) หลักการคำนวน Table'!$D$1:$M$5,5,TRUE),0),
IF($C102="WS WH",VLOOKUP("GOAL",'2) หลักการคำนวน Table'!$D$62:$M$62,HLOOKUP(AK102,'2) หลักการคำนวน Table'!$D$1:$M$5,5,TRUE),0),
IF($C102="SF WH",VLOOKUP("GOAL",'2) หลักการคำนวน Table'!$D$92:$M$92,HLOOKUP(AK102,'2) หลักการคำนวน Table'!$D$1:$M$5,5,TRUE),0))))),0)</f>
        <v>0.9</v>
      </c>
      <c r="AX102" s="232">
        <f>IFERROR(IF($C102="Top WS",VLOOKUP("GOAL",'2) หลักการคำนวน Table'!$D$4:$M$4,HLOOKUP(AL102,'2) หลักการคำนวน Table'!$D$1:$M$5,5,TRUE),0),
IF($C102="WS SF",VLOOKUP("GOAL",'2) หลักการคำนวน Table'!$D$32:$M$32,HLOOKUP(AL102,'2) หลักการคำนวน Table'!$D$1:$M$5,5,TRUE),0),
IF($C102="WS WH",VLOOKUP("GOAL",'2) หลักการคำนวน Table'!$D$62:$M$62,HLOOKUP(AL102,'2) หลักการคำนวน Table'!$D$1:$M$5,5,TRUE),0),
IF($C102="SF WH",VLOOKUP("GOAL",'2) หลักการคำนวน Table'!$D$92:$M$92,HLOOKUP(AL102,'2) หลักการคำนวน Table'!$D$1:$M$5,5,TRUE),0))))),0)</f>
        <v>0.9</v>
      </c>
      <c r="AY102" s="232">
        <f>IFERROR(IF($C102="Top WS",VLOOKUP("GOAL",'2) หลักการคำนวน Table'!$D$4:$M$4,HLOOKUP(AM102,'2) หลักการคำนวน Table'!$D$1:$M$5,5,TRUE),0),
IF($C102="WS SF",VLOOKUP("GOAL",'2) หลักการคำนวน Table'!$D$32:$M$32,HLOOKUP(AM102,'2) หลักการคำนวน Table'!$D$1:$M$5,5,TRUE),0),
IF($C102="WS WH",VLOOKUP("GOAL",'2) หลักการคำนวน Table'!$D$62:$M$62,HLOOKUP(AM102,'2) หลักการคำนวน Table'!$D$1:$M$5,5,TRUE),0),
IF($C102="SF WH",VLOOKUP("GOAL",'2) หลักการคำนวน Table'!$D$92:$M$92,HLOOKUP(AM102,'2) หลักการคำนวน Table'!$D$1:$M$5,5,TRUE),0))))),0)</f>
        <v>0.9</v>
      </c>
      <c r="AZ102" s="167">
        <f>IFERROR(IF($C102="Top WS",VLOOKUP($B102,'2) หลักการคำนวน Table'!$D$5:$M$20,HLOOKUP(AB102,'2) หลักการคำนวน Table'!$D$1:$M$5,5,TRUE),0),
IF($C102="WS SF",VLOOKUP($B102,'2) หลักการคำนวน Table'!$D$33:$M$48,HLOOKUP(AB102,'2) หลักการคำนวน Table'!$D$1:$M$5,5,TRUE),0),
IF($C102="WS WH",VLOOKUP($B102,'2) หลักการคำนวน Table'!$D$63:$M$78,HLOOKUP(AB102,'2) หลักการคำนวน Table'!$D$1:$M$5,5,TRUE),0),
IF($C102="SF WH",VLOOKUP($B102,'2) หลักการคำนวน Table'!$D$93:$M$108,HLOOKUP(AB102,'2) หลักการคำนวน Table'!$D$1:$M$5,5,TRUE),0))))),0)</f>
        <v>350</v>
      </c>
      <c r="BA102" s="167">
        <f>IFERROR(IF($C102="Top WS",VLOOKUP($B102,'2) หลักการคำนวน Table'!$D$5:$M$20,HLOOKUP(AC102,'2) หลักการคำนวน Table'!$D$1:$M$5,5,TRUE),0),
IF($C102="WS SF",VLOOKUP($B102,'2) หลักการคำนวน Table'!$D$33:$M$48,HLOOKUP(AC102,'2) หลักการคำนวน Table'!$D$1:$M$5,5,TRUE),0),
IF($C102="WS WH",VLOOKUP($B102,'2) หลักการคำนวน Table'!$D$63:$M$78,HLOOKUP(AC102,'2) หลักการคำนวน Table'!$D$1:$M$5,5,TRUE),0),
IF($C102="SF WH",VLOOKUP($B102,'2) หลักการคำนวน Table'!$D$93:$M$108,HLOOKUP(AC102,'2) หลักการคำนวน Table'!$D$1:$M$5,5,TRUE),0))))),0)</f>
        <v>455</v>
      </c>
      <c r="BB102" s="167">
        <f>IFERROR(IF($C102="Top WS",VLOOKUP($B102,'2) หลักการคำนวน Table'!$D$5:$M$20,HLOOKUP(AD102,'2) หลักการคำนวน Table'!$D$1:$M$5,5,TRUE),0),
IF($C102="WS SF",VLOOKUP($B102,'2) หลักการคำนวน Table'!$D$33:$M$48,HLOOKUP(AD102,'2) หลักการคำนวน Table'!$D$1:$M$5,5,TRUE),0),
IF($C102="WS WH",VLOOKUP($B102,'2) หลักการคำนวน Table'!$D$63:$M$78,HLOOKUP(AD102,'2) หลักการคำนวน Table'!$D$1:$M$5,5,TRUE),0),
IF($C102="SF WH",VLOOKUP($B102,'2) หลักการคำนวน Table'!$D$93:$M$108,HLOOKUP(AD102,'2) หลักการคำนวน Table'!$D$1:$M$5,5,TRUE),0))))),0)</f>
        <v>315</v>
      </c>
      <c r="BC102" s="167">
        <f>IFERROR(IF($C102="Top WS",VLOOKUP($B102,'2) หลักการคำนวน Table'!$D$5:$M$20,HLOOKUP(AE102,'2) หลักการคำนวน Table'!$D$1:$M$5,5,TRUE),0),
IF($C102="WS SF",VLOOKUP($B102,'2) หลักการคำนวน Table'!$D$33:$M$48,HLOOKUP(AE102,'2) หลักการคำนวน Table'!$D$1:$M$5,5,TRUE),0),
IF($C102="WS WH",VLOOKUP($B102,'2) หลักการคำนวน Table'!$D$63:$M$78,HLOOKUP(AE102,'2) หลักการคำนวน Table'!$D$1:$M$5,5,TRUE),0),
IF($C102="SF WH",VLOOKUP($B102,'2) หลักการคำนวน Table'!$D$93:$M$108,HLOOKUP(AE102,'2) หลักการคำนวน Table'!$D$1:$M$5,5,TRUE),0))))),0)</f>
        <v>315</v>
      </c>
      <c r="BD102" s="167">
        <f>IFERROR(IF($C102="Top WS",VLOOKUP($B102,'2) หลักการคำนวน Table'!$D$5:$M$20,HLOOKUP(AF102,'2) หลักการคำนวน Table'!$D$1:$M$5,5,TRUE),0),
IF($C102="WS SF",VLOOKUP($B102,'2) หลักการคำนวน Table'!$D$33:$M$48,HLOOKUP(AF102,'2) หลักการคำนวน Table'!$D$1:$M$5,5,TRUE),0),
IF($C102="WS WH",VLOOKUP($B102,'2) หลักการคำนวน Table'!$D$63:$M$78,HLOOKUP(AF102,'2) หลักการคำนวน Table'!$D$1:$M$5,5,TRUE),0),
IF($C102="SF WH",VLOOKUP($B102,'2) หลักการคำนวน Table'!$D$93:$M$108,HLOOKUP(AF102,'2) หลักการคำนวน Table'!$D$1:$M$5,5,TRUE),0))))),0)</f>
        <v>315</v>
      </c>
      <c r="BE102" s="167">
        <f>IFERROR(IF($C102="Top WS",VLOOKUP($B102,'2) หลักการคำนวน Table'!$D$5:$M$20,HLOOKUP(AG102,'2) หลักการคำนวน Table'!$D$1:$M$5,5,TRUE),0),
IF($C102="WS SF",VLOOKUP($B102,'2) หลักการคำนวน Table'!$D$33:$M$48,HLOOKUP(AG102,'2) หลักการคำนวน Table'!$D$1:$M$5,5,TRUE),0),
IF($C102="WS WH",VLOOKUP($B102,'2) หลักการคำนวน Table'!$D$63:$M$78,HLOOKUP(AG102,'2) หลักการคำนวน Table'!$D$1:$M$5,5,TRUE),0),
IF($C102="SF WH",VLOOKUP($B102,'2) หลักการคำนวน Table'!$D$93:$M$108,HLOOKUP(AG102,'2) หลักการคำนวน Table'!$D$1:$M$5,5,TRUE),0))))),0)</f>
        <v>315</v>
      </c>
      <c r="BF102" s="167">
        <f>IFERROR(IF($C102="Top WS",VLOOKUP($B102,'2) หลักการคำนวน Table'!$D$5:$M$20,HLOOKUP(AH102,'2) หลักการคำนวน Table'!$D$1:$M$5,5,TRUE),0),
IF($C102="WS SF",VLOOKUP($B102,'2) หลักการคำนวน Table'!$D$33:$M$48,HLOOKUP(AH102,'2) หลักการคำนวน Table'!$D$1:$M$5,5,TRUE),0),
IF($C102="WS WH",VLOOKUP($B102,'2) หลักการคำนวน Table'!$D$63:$M$78,HLOOKUP(AH102,'2) หลักการคำนวน Table'!$D$1:$M$5,5,TRUE),0),
IF($C102="SF WH",VLOOKUP($B102,'2) หลักการคำนวน Table'!$D$93:$M$108,HLOOKUP(AH102,'2) หลักการคำนวน Table'!$D$1:$M$5,5,TRUE),0))))),0)</f>
        <v>315</v>
      </c>
      <c r="BG102" s="167">
        <f>IFERROR(IF($C102="Top WS",VLOOKUP($B102,'2) หลักการคำนวน Table'!$D$5:$M$20,HLOOKUP(AI102,'2) หลักการคำนวน Table'!$D$1:$M$5,5,TRUE),0),
IF($C102="WS SF",VLOOKUP($B102,'2) หลักการคำนวน Table'!$D$33:$M$48,HLOOKUP(AI102,'2) หลักการคำนวน Table'!$D$1:$M$5,5,TRUE),0),
IF($C102="WS WH",VLOOKUP($B102,'2) หลักการคำนวน Table'!$D$63:$M$78,HLOOKUP(AI102,'2) หลักการคำนวน Table'!$D$1:$M$5,5,TRUE),0),
IF($C102="SF WH",VLOOKUP($B102,'2) หลักการคำนวน Table'!$D$93:$M$108,HLOOKUP(AI102,'2) หลักการคำนวน Table'!$D$1:$M$5,5,TRUE),0))))),0)</f>
        <v>315</v>
      </c>
      <c r="BH102" s="167">
        <f>IFERROR(IF($C102="Top WS",VLOOKUP($B102,'2) หลักการคำนวน Table'!$D$5:$M$20,HLOOKUP(AP102,'2) หลักการคำนวน Table'!$D$1:$M$5,5,TRUE),0),
IF($C102="WS SF",VLOOKUP($B102,'2) หลักการคำนวน Table'!$D$33:$M$48,HLOOKUP(AP102,'2) หลักการคำนวน Table'!$D$1:$M$5,5,TRUE),0),
IF($C102="WS WH",VLOOKUP($B102,'2) หลักการคำนวน Table'!$D$63:$M$78,HLOOKUP(AP102,'2) หลักการคำนวน Table'!$D$1:$M$5,5,TRUE),0),
IF($C102="SF WH",VLOOKUP($B102,'2) หลักการคำนวน Table'!$D$93:$M$108,HLOOKUP(AP102,'2) หลักการคำนวน Table'!$D$1:$M$5,5,TRUE),0))))),0)</f>
        <v>315</v>
      </c>
      <c r="BI102" s="167">
        <f>IFERROR(IF($C102="Top WS",VLOOKUP($B102,'2) หลักการคำนวน Table'!$D$5:$M$20,HLOOKUP(AK102,'2) หลักการคำนวน Table'!$D$1:$M$5,5,TRUE),0),
IF($C102="WS SF",VLOOKUP($B102,'2) หลักการคำนวน Table'!$D$33:$M$48,HLOOKUP(AK102,'2) หลักการคำนวน Table'!$D$1:$M$5,5,TRUE),0),
IF($C102="WS WH",VLOOKUP($B102,'2) หลักการคำนวน Table'!$D$63:$M$78,HLOOKUP(AK102,'2) หลักการคำนวน Table'!$D$1:$M$5,5,TRUE),0),
IF($C102="SF WH",VLOOKUP($B102,'2) หลักการคำนวน Table'!$D$93:$M$108,HLOOKUP(AK102,'2) หลักการคำนวน Table'!$D$1:$M$5,5,TRUE),0))))),0)</f>
        <v>315</v>
      </c>
      <c r="BJ102" s="167">
        <f>IFERROR(IF($C102="Top WS",VLOOKUP($B102,'2) หลักการคำนวน Table'!$D$5:$M$20,HLOOKUP(AL102,'2) หลักการคำนวน Table'!$D$1:$M$5,5,TRUE),0),
IF($C102="WS SF",VLOOKUP($B102,'2) หลักการคำนวน Table'!$D$33:$M$48,HLOOKUP(AL102,'2) หลักการคำนวน Table'!$D$1:$M$5,5,TRUE),0),
IF($C102="WS WH",VLOOKUP($B102,'2) หลักการคำนวน Table'!$D$63:$M$78,HLOOKUP(AL102,'2) หลักการคำนวน Table'!$D$1:$M$5,5,TRUE),0),
IF($C102="SF WH",VLOOKUP($B102,'2) หลักการคำนวน Table'!$D$93:$M$108,HLOOKUP(AL102,'2) หลักการคำนวน Table'!$D$1:$M$5,5,TRUE),0))))),0)</f>
        <v>315</v>
      </c>
      <c r="BK102" s="167">
        <f>IFERROR(IF($C102="Top WS",VLOOKUP($B102,'2) หลักการคำนวน Table'!$D$5:$M$20,HLOOKUP(AM102,'2) หลักการคำนวน Table'!$D$1:$M$5,5,TRUE),0),
IF($C102="WS SF",VLOOKUP($B102,'2) หลักการคำนวน Table'!$D$33:$M$48,HLOOKUP(AM102,'2) หลักการคำนวน Table'!$D$1:$M$5,5,TRUE),0),
IF($C102="WS WH",VLOOKUP($B102,'2) หลักการคำนวน Table'!$D$63:$M$78,HLOOKUP(AM102,'2) หลักการคำนวน Table'!$D$1:$M$5,5,TRUE),0),
IF($C102="SF WH",VLOOKUP($B102,'2) หลักการคำนวน Table'!$D$93:$M$108,HLOOKUP(AM102,'2) หลักการคำนวน Table'!$D$1:$M$5,5,TRUE),0))))),0)</f>
        <v>315</v>
      </c>
      <c r="BM102" s="119">
        <f>VLOOKUP(VLOOKUP(A102,ASTBase!E:S,13,FALSE),ASTBase!F:P,11,FALSE)</f>
        <v>110000</v>
      </c>
      <c r="BN102" s="196" cm="1">
        <f t="array" ref="BN102">INDEX(AN102:AY102,,Period!$D$2)</f>
        <v>1.3</v>
      </c>
    </row>
    <row r="103" spans="1:66" x14ac:dyDescent="0.25">
      <c r="A103" s="388">
        <v>110003</v>
      </c>
      <c r="B103" s="388" t="s">
        <v>389</v>
      </c>
      <c r="C103" s="388" t="s">
        <v>180</v>
      </c>
      <c r="D103" s="118">
        <v>7983</v>
      </c>
      <c r="E103" s="118">
        <v>7531</v>
      </c>
      <c r="F103" s="118">
        <v>8710</v>
      </c>
      <c r="G103" s="118">
        <v>7141</v>
      </c>
      <c r="H103" s="118">
        <v>5975</v>
      </c>
      <c r="I103" s="118">
        <v>7581</v>
      </c>
      <c r="J103" s="118">
        <v>6965</v>
      </c>
      <c r="K103" s="118">
        <v>7906</v>
      </c>
      <c r="L103" s="118">
        <v>7929</v>
      </c>
      <c r="M103" s="118">
        <v>8819</v>
      </c>
      <c r="N103" s="118">
        <v>7138</v>
      </c>
      <c r="O103" s="118">
        <v>7142</v>
      </c>
      <c r="P103" s="117">
        <f>SUMIFS(Actual!C:C,Actual!$A:$A,'3)Target &amp; Cal'!$A103,Actual!$B:$B,'3)Target &amp; Cal'!$B103)</f>
        <v>8907.0999999999985</v>
      </c>
      <c r="Q103" s="117">
        <f>SUMIFS(Actual!D:D,Actual!$A:$A,'3)Target &amp; Cal'!$A103,Actual!$B:$B,'3)Target &amp; Cal'!$B103)</f>
        <v>11648.399999999998</v>
      </c>
      <c r="R103" s="117">
        <f>SUMIFS(Actual!E:E,Actual!$A:$A,'3)Target &amp; Cal'!$A103,Actual!$B:$B,'3)Target &amp; Cal'!$B103)</f>
        <v>0</v>
      </c>
      <c r="S103" s="117">
        <f>SUMIFS(Actual!F:F,Actual!$A:$A,'3)Target &amp; Cal'!$A103,Actual!$B:$B,'3)Target &amp; Cal'!$B103)</f>
        <v>0</v>
      </c>
      <c r="T103" s="117">
        <f>SUMIFS(Actual!G:G,Actual!$A:$A,'3)Target &amp; Cal'!$A103,Actual!$B:$B,'3)Target &amp; Cal'!$B103)</f>
        <v>0</v>
      </c>
      <c r="U103" s="117">
        <f>SUMIFS(Actual!H:H,Actual!$A:$A,'3)Target &amp; Cal'!$A103,Actual!$B:$B,'3)Target &amp; Cal'!$B103)</f>
        <v>0</v>
      </c>
      <c r="V103" s="117">
        <f>SUMIFS(Actual!I:I,Actual!$A:$A,'3)Target &amp; Cal'!$A103,Actual!$B:$B,'3)Target &amp; Cal'!$B103)</f>
        <v>0</v>
      </c>
      <c r="W103" s="117">
        <f>SUMIFS(Actual!J:J,Actual!$A:$A,'3)Target &amp; Cal'!$A103,Actual!$B:$B,'3)Target &amp; Cal'!$B103)</f>
        <v>0</v>
      </c>
      <c r="X103" s="117">
        <f>SUMIFS(Actual!K:K,Actual!$A:$A,'3)Target &amp; Cal'!$A103,Actual!$B:$B,'3)Target &amp; Cal'!$B103)</f>
        <v>0</v>
      </c>
      <c r="Y103" s="117">
        <f>SUMIFS(Actual!L:L,Actual!$A:$A,'3)Target &amp; Cal'!$A103,Actual!$B:$B,'3)Target &amp; Cal'!$B103)</f>
        <v>0</v>
      </c>
      <c r="Z103" s="117">
        <f>SUMIFS(Actual!M:M,Actual!$A:$A,'3)Target &amp; Cal'!$A103,Actual!$B:$B,'3)Target &amp; Cal'!$B103)</f>
        <v>0</v>
      </c>
      <c r="AA103" s="117">
        <f>SUMIFS(Actual!N:N,Actual!$A:$A,'3)Target &amp; Cal'!$A103,Actual!$B:$B,'3)Target &amp; Cal'!$B103)</f>
        <v>0</v>
      </c>
      <c r="AB103" s="123">
        <f>IFERROR(IF(VLOOKUP($B103,Shortage!$A:$M,AB$2,FALSE)="Shortage",1,IFERROR(ROUND(P103/D103,4),0)),IFERROR(ROUND(P103/D103,4),0))</f>
        <v>1</v>
      </c>
      <c r="AC103" s="123">
        <f>IFERROR(IF(VLOOKUP($B103,Shortage!$A:$M,AC$2,FALSE)="Shortage",1,IFERROR(ROUND(Q103/E103,4),0)),IFERROR(ROUND(Q103/E103,4),0))</f>
        <v>1</v>
      </c>
      <c r="AD103" s="123">
        <f>IFERROR(IF(VLOOKUP($B103,Shortage!$A:$M,AD$2,FALSE)="Shortage",1,IFERROR(ROUND(R103/F103,4),0)),IFERROR(ROUND(R103/F103,4),0))</f>
        <v>0</v>
      </c>
      <c r="AE103" s="123">
        <f>IFERROR(IF(VLOOKUP($B103,Shortage!$A:$M,AE$2,FALSE)="Shortage",1,IFERROR(ROUND(S103/G103,4),0)),IFERROR(ROUND(S103/G103,4),0))</f>
        <v>0</v>
      </c>
      <c r="AF103" s="123">
        <f>IFERROR(IF(VLOOKUP($B103,Shortage!$A:$M,AF$2,FALSE)="Shortage",1,IFERROR(ROUND(T103/H103,4),0)),IFERROR(ROUND(T103/H103,4),0))</f>
        <v>0</v>
      </c>
      <c r="AG103" s="123">
        <f>IFERROR(IF(VLOOKUP($B103,Shortage!$A:$M,AG$2,FALSE)="Shortage",1,IFERROR(ROUND(U103/I103,4),0)),IFERROR(ROUND(U103/I103,4),0))</f>
        <v>0</v>
      </c>
      <c r="AH103" s="123">
        <f>IFERROR(IF(VLOOKUP($B103,Shortage!$A:$M,AH$2,FALSE)="Shortage",1,IFERROR(ROUND(V103/J103,4),0)),IFERROR(ROUND(V103/J103,4),0))</f>
        <v>0</v>
      </c>
      <c r="AI103" s="123">
        <f>IFERROR(IF(VLOOKUP($B103,Shortage!$A:$M,AI$2,FALSE)="Shortage",1,IFERROR(ROUND(W103/K103,4),0)),IFERROR(ROUND(W103/K103,4),0))</f>
        <v>0</v>
      </c>
      <c r="AJ103" s="123">
        <f>IFERROR(IF(VLOOKUP($B103,Shortage!$A:$M,AP$2,FALSE)="Shortage",1,IFERROR(ROUND(X103/L103,4),0)),IFERROR(ROUND(X103/L103,4),0))</f>
        <v>0</v>
      </c>
      <c r="AK103" s="123">
        <f>IFERROR(IF(VLOOKUP($B103,Shortage!$A:$M,AK$2,FALSE)="Shortage",1,IFERROR(ROUND(Y103/M103,4),0)),IFERROR(ROUND(Y103/M103,4),0))</f>
        <v>0</v>
      </c>
      <c r="AL103" s="123">
        <f>IFERROR(IF(VLOOKUP($B103,Shortage!$A:$M,AL$2,FALSE)="Shortage",1,IFERROR(ROUND(Z103/N103,4),0)),IFERROR(ROUND(Z103/N103,4),0))</f>
        <v>0</v>
      </c>
      <c r="AM103" s="123">
        <f>IFERROR(IF(VLOOKUP($B103,Shortage!$A:$M,AM$2,FALSE)="Shortage",1,IFERROR(ROUND(AA103/O103,4),0)),IFERROR(ROUND(AA103/O103,4),0))</f>
        <v>0</v>
      </c>
      <c r="AN103" s="232">
        <f>IFERROR(IF($C103="Top WS",VLOOKUP("GOAL",'2) หลักการคำนวน Table'!$D$4:$M$4,HLOOKUP(AB103,'2) หลักการคำนวน Table'!$D$1:$M$5,5,TRUE),0),
IF($C103="WS SF",VLOOKUP("GOAL",'2) หลักการคำนวน Table'!$D$32:$M$32,HLOOKUP(AB103,'2) หลักการคำนวน Table'!$D$1:$M$5,5,TRUE),0),
IF($C103="WS WH",VLOOKUP("GOAL",'2) หลักการคำนวน Table'!$D$62:$M$62,HLOOKUP(AB103,'2) หลักการคำนวน Table'!$D$1:$M$5,5,TRUE),0),
IF($C103="SF WH",VLOOKUP("GOAL",'2) หลักการคำนวน Table'!$D$92:$M$92,HLOOKUP(AB103,'2) หลักการคำนวน Table'!$D$1:$M$5,5,TRUE),0))))),0)</f>
        <v>1</v>
      </c>
      <c r="AO103" s="232">
        <f>IFERROR(IF($C103="Top WS",VLOOKUP("GOAL",'2) หลักการคำนวน Table'!$D$4:$M$4,HLOOKUP(AC103,'2) หลักการคำนวน Table'!$D$1:$M$5,5,TRUE),0),
IF($C103="WS SF",VLOOKUP("GOAL",'2) หลักการคำนวน Table'!$D$32:$M$32,HLOOKUP(AC103,'2) หลักการคำนวน Table'!$D$1:$M$5,5,TRUE),0),
IF($C103="WS WH",VLOOKUP("GOAL",'2) หลักการคำนวน Table'!$D$62:$M$62,HLOOKUP(AC103,'2) หลักการคำนวน Table'!$D$1:$M$5,5,TRUE),0),
IF($C103="SF WH",VLOOKUP("GOAL",'2) หลักการคำนวน Table'!$D$92:$M$92,HLOOKUP(AC103,'2) หลักการคำนวน Table'!$D$1:$M$5,5,TRUE),0))))),0)</f>
        <v>1</v>
      </c>
      <c r="AP103" s="232">
        <f>IFERROR(IF($C103="Top WS",VLOOKUP("GOAL",'2) หลักการคำนวน Table'!$D$4:$M$4,HLOOKUP(AD103,'2) หลักการคำนวน Table'!$D$1:$M$5,5,TRUE),0),
IF($C103="WS SF",VLOOKUP("GOAL",'2) หลักการคำนวน Table'!$D$32:$M$32,HLOOKUP(AD103,'2) หลักการคำนวน Table'!$D$1:$M$5,5,TRUE),0),
IF($C103="WS WH",VLOOKUP("GOAL",'2) หลักการคำนวน Table'!$D$62:$M$62,HLOOKUP(AD103,'2) หลักการคำนวน Table'!$D$1:$M$5,5,TRUE),0),
IF($C103="SF WH",VLOOKUP("GOAL",'2) หลักการคำนวน Table'!$D$92:$M$92,HLOOKUP(AD103,'2) หลักการคำนวน Table'!$D$1:$M$5,5,TRUE),0))))),0)</f>
        <v>0.9</v>
      </c>
      <c r="AQ103" s="232">
        <f>IFERROR(IF($C103="Top WS",VLOOKUP("GOAL",'2) หลักการคำนวน Table'!$D$4:$M$4,HLOOKUP(AE103,'2) หลักการคำนวน Table'!$D$1:$M$5,5,TRUE),0),
IF($C103="WS SF",VLOOKUP("GOAL",'2) หลักการคำนวน Table'!$D$32:$M$32,HLOOKUP(AE103,'2) หลักการคำนวน Table'!$D$1:$M$5,5,TRUE),0),
IF($C103="WS WH",VLOOKUP("GOAL",'2) หลักการคำนวน Table'!$D$62:$M$62,HLOOKUP(AE103,'2) หลักการคำนวน Table'!$D$1:$M$5,5,TRUE),0),
IF($C103="SF WH",VLOOKUP("GOAL",'2) หลักการคำนวน Table'!$D$92:$M$92,HLOOKUP(AE103,'2) หลักการคำนวน Table'!$D$1:$M$5,5,TRUE),0))))),0)</f>
        <v>0.9</v>
      </c>
      <c r="AR103" s="232">
        <f>IFERROR(IF($C103="Top WS",VLOOKUP("GOAL",'2) หลักการคำนวน Table'!$D$4:$M$4,HLOOKUP(AF103,'2) หลักการคำนวน Table'!$D$1:$M$5,5,TRUE),0),
IF($C103="WS SF",VLOOKUP("GOAL",'2) หลักการคำนวน Table'!$D$32:$M$32,HLOOKUP(AF103,'2) หลักการคำนวน Table'!$D$1:$M$5,5,TRUE),0),
IF($C103="WS WH",VLOOKUP("GOAL",'2) หลักการคำนวน Table'!$D$62:$M$62,HLOOKUP(AF103,'2) หลักการคำนวน Table'!$D$1:$M$5,5,TRUE),0),
IF($C103="SF WH",VLOOKUP("GOAL",'2) หลักการคำนวน Table'!$D$92:$M$92,HLOOKUP(AF103,'2) หลักการคำนวน Table'!$D$1:$M$5,5,TRUE),0))))),0)</f>
        <v>0.9</v>
      </c>
      <c r="AS103" s="232">
        <f>IFERROR(IF($C103="Top WS",VLOOKUP("GOAL",'2) หลักการคำนวน Table'!$D$4:$M$4,HLOOKUP(AG103,'2) หลักการคำนวน Table'!$D$1:$M$5,5,TRUE),0),
IF($C103="WS SF",VLOOKUP("GOAL",'2) หลักการคำนวน Table'!$D$32:$M$32,HLOOKUP(AG103,'2) หลักการคำนวน Table'!$D$1:$M$5,5,TRUE),0),
IF($C103="WS WH",VLOOKUP("GOAL",'2) หลักการคำนวน Table'!$D$62:$M$62,HLOOKUP(AG103,'2) หลักการคำนวน Table'!$D$1:$M$5,5,TRUE),0),
IF($C103="SF WH",VLOOKUP("GOAL",'2) หลักการคำนวน Table'!$D$92:$M$92,HLOOKUP(AG103,'2) หลักการคำนวน Table'!$D$1:$M$5,5,TRUE),0))))),0)</f>
        <v>0.9</v>
      </c>
      <c r="AT103" s="232">
        <f>IFERROR(IF($C103="Top WS",VLOOKUP("GOAL",'2) หลักการคำนวน Table'!$D$4:$M$4,HLOOKUP(AH103,'2) หลักการคำนวน Table'!$D$1:$M$5,5,TRUE),0),
IF($C103="WS SF",VLOOKUP("GOAL",'2) หลักการคำนวน Table'!$D$32:$M$32,HLOOKUP(AH103,'2) หลักการคำนวน Table'!$D$1:$M$5,5,TRUE),0),
IF($C103="WS WH",VLOOKUP("GOAL",'2) หลักการคำนวน Table'!$D$62:$M$62,HLOOKUP(AH103,'2) หลักการคำนวน Table'!$D$1:$M$5,5,TRUE),0),
IF($C103="SF WH",VLOOKUP("GOAL",'2) หลักการคำนวน Table'!$D$92:$M$92,HLOOKUP(AH103,'2) หลักการคำนวน Table'!$D$1:$M$5,5,TRUE),0))))),0)</f>
        <v>0.9</v>
      </c>
      <c r="AU103" s="232">
        <f>IFERROR(IF($C103="Top WS",VLOOKUP("GOAL",'2) หลักการคำนวน Table'!$D$4:$M$4,HLOOKUP(AI103,'2) หลักการคำนวน Table'!$D$1:$M$5,5,TRUE),0),
IF($C103="WS SF",VLOOKUP("GOAL",'2) หลักการคำนวน Table'!$D$32:$M$32,HLOOKUP(AI103,'2) หลักการคำนวน Table'!$D$1:$M$5,5,TRUE),0),
IF($C103="WS WH",VLOOKUP("GOAL",'2) หลักการคำนวน Table'!$D$62:$M$62,HLOOKUP(AI103,'2) หลักการคำนวน Table'!$D$1:$M$5,5,TRUE),0),
IF($C103="SF WH",VLOOKUP("GOAL",'2) หลักการคำนวน Table'!$D$92:$M$92,HLOOKUP(AI103,'2) หลักการคำนวน Table'!$D$1:$M$5,5,TRUE),0))))),0)</f>
        <v>0.9</v>
      </c>
      <c r="AV103" s="232">
        <f>IFERROR(IF($C103="Top WS",VLOOKUP("GOAL",'2) หลักการคำนวน Table'!$D$4:$M$4,HLOOKUP(AP103,'2) หลักการคำนวน Table'!$D$1:$M$5,5,TRUE),0),
IF($C103="WS SF",VLOOKUP("GOAL",'2) หลักการคำนวน Table'!$D$32:$M$32,HLOOKUP(AP103,'2) หลักการคำนวน Table'!$D$1:$M$5,5,TRUE),0),
IF($C103="WS WH",VLOOKUP("GOAL",'2) หลักการคำนวน Table'!$D$62:$M$62,HLOOKUP(AP103,'2) หลักการคำนวน Table'!$D$1:$M$5,5,TRUE),0),
IF($C103="SF WH",VLOOKUP("GOAL",'2) หลักการคำนวน Table'!$D$92:$M$92,HLOOKUP(AP103,'2) หลักการคำนวน Table'!$D$1:$M$5,5,TRUE),0))))),0)</f>
        <v>0.9</v>
      </c>
      <c r="AW103" s="232">
        <f>IFERROR(IF($C103="Top WS",VLOOKUP("GOAL",'2) หลักการคำนวน Table'!$D$4:$M$4,HLOOKUP(AK103,'2) หลักการคำนวน Table'!$D$1:$M$5,5,TRUE),0),
IF($C103="WS SF",VLOOKUP("GOAL",'2) หลักการคำนวน Table'!$D$32:$M$32,HLOOKUP(AK103,'2) หลักการคำนวน Table'!$D$1:$M$5,5,TRUE),0),
IF($C103="WS WH",VLOOKUP("GOAL",'2) หลักการคำนวน Table'!$D$62:$M$62,HLOOKUP(AK103,'2) หลักการคำนวน Table'!$D$1:$M$5,5,TRUE),0),
IF($C103="SF WH",VLOOKUP("GOAL",'2) หลักการคำนวน Table'!$D$92:$M$92,HLOOKUP(AK103,'2) หลักการคำนวน Table'!$D$1:$M$5,5,TRUE),0))))),0)</f>
        <v>0.9</v>
      </c>
      <c r="AX103" s="232">
        <f>IFERROR(IF($C103="Top WS",VLOOKUP("GOAL",'2) หลักการคำนวน Table'!$D$4:$M$4,HLOOKUP(AL103,'2) หลักการคำนวน Table'!$D$1:$M$5,5,TRUE),0),
IF($C103="WS SF",VLOOKUP("GOAL",'2) หลักการคำนวน Table'!$D$32:$M$32,HLOOKUP(AL103,'2) หลักการคำนวน Table'!$D$1:$M$5,5,TRUE),0),
IF($C103="WS WH",VLOOKUP("GOAL",'2) หลักการคำนวน Table'!$D$62:$M$62,HLOOKUP(AL103,'2) หลักการคำนวน Table'!$D$1:$M$5,5,TRUE),0),
IF($C103="SF WH",VLOOKUP("GOAL",'2) หลักการคำนวน Table'!$D$92:$M$92,HLOOKUP(AL103,'2) หลักการคำนวน Table'!$D$1:$M$5,5,TRUE),0))))),0)</f>
        <v>0.9</v>
      </c>
      <c r="AY103" s="232">
        <f>IFERROR(IF($C103="Top WS",VLOOKUP("GOAL",'2) หลักการคำนวน Table'!$D$4:$M$4,HLOOKUP(AM103,'2) หลักการคำนวน Table'!$D$1:$M$5,5,TRUE),0),
IF($C103="WS SF",VLOOKUP("GOAL",'2) หลักการคำนวน Table'!$D$32:$M$32,HLOOKUP(AM103,'2) หลักการคำนวน Table'!$D$1:$M$5,5,TRUE),0),
IF($C103="WS WH",VLOOKUP("GOAL",'2) หลักการคำนวน Table'!$D$62:$M$62,HLOOKUP(AM103,'2) หลักการคำนวน Table'!$D$1:$M$5,5,TRUE),0),
IF($C103="SF WH",VLOOKUP("GOAL",'2) หลักการคำนวน Table'!$D$92:$M$92,HLOOKUP(AM103,'2) หลักการคำนวน Table'!$D$1:$M$5,5,TRUE),0))))),0)</f>
        <v>0.9</v>
      </c>
      <c r="AZ103" s="167">
        <f>IFERROR(IF($C103="Top WS",VLOOKUP($B103,'2) หลักการคำนวน Table'!$D$5:$M$20,HLOOKUP(AB103,'2) หลักการคำนวน Table'!$D$1:$M$5,5,TRUE),0),
IF($C103="WS SF",VLOOKUP($B103,'2) หลักการคำนวน Table'!$D$33:$M$48,HLOOKUP(AB103,'2) หลักการคำนวน Table'!$D$1:$M$5,5,TRUE),0),
IF($C103="WS WH",VLOOKUP($B103,'2) หลักการคำนวน Table'!$D$63:$M$78,HLOOKUP(AB103,'2) หลักการคำนวน Table'!$D$1:$M$5,5,TRUE),0),
IF($C103="SF WH",VLOOKUP($B103,'2) หลักการคำนวน Table'!$D$93:$M$108,HLOOKUP(AB103,'2) หลักการคำนวน Table'!$D$1:$M$5,5,TRUE),0))))),0)</f>
        <v>525</v>
      </c>
      <c r="BA103" s="167">
        <f>IFERROR(IF($C103="Top WS",VLOOKUP($B103,'2) หลักการคำนวน Table'!$D$5:$M$20,HLOOKUP(AC103,'2) หลักการคำนวน Table'!$D$1:$M$5,5,TRUE),0),
IF($C103="WS SF",VLOOKUP($B103,'2) หลักการคำนวน Table'!$D$33:$M$48,HLOOKUP(AC103,'2) หลักการคำนวน Table'!$D$1:$M$5,5,TRUE),0),
IF($C103="WS WH",VLOOKUP($B103,'2) หลักการคำนวน Table'!$D$63:$M$78,HLOOKUP(AC103,'2) หลักการคำนวน Table'!$D$1:$M$5,5,TRUE),0),
IF($C103="SF WH",VLOOKUP($B103,'2) หลักการคำนวน Table'!$D$93:$M$108,HLOOKUP(AC103,'2) หลักการคำนวน Table'!$D$1:$M$5,5,TRUE),0))))),0)</f>
        <v>525</v>
      </c>
      <c r="BB103" s="167">
        <f>IFERROR(IF($C103="Top WS",VLOOKUP($B103,'2) หลักการคำนวน Table'!$D$5:$M$20,HLOOKUP(AD103,'2) หลักการคำนวน Table'!$D$1:$M$5,5,TRUE),0),
IF($C103="WS SF",VLOOKUP($B103,'2) หลักการคำนวน Table'!$D$33:$M$48,HLOOKUP(AD103,'2) หลักการคำนวน Table'!$D$1:$M$5,5,TRUE),0),
IF($C103="WS WH",VLOOKUP($B103,'2) หลักการคำนวน Table'!$D$63:$M$78,HLOOKUP(AD103,'2) หลักการคำนวน Table'!$D$1:$M$5,5,TRUE),0),
IF($C103="SF WH",VLOOKUP($B103,'2) หลักการคำนวน Table'!$D$93:$M$108,HLOOKUP(AD103,'2) หลักการคำนวน Table'!$D$1:$M$5,5,TRUE),0))))),0)</f>
        <v>472.5</v>
      </c>
      <c r="BC103" s="167">
        <f>IFERROR(IF($C103="Top WS",VLOOKUP($B103,'2) หลักการคำนวน Table'!$D$5:$M$20,HLOOKUP(AE103,'2) หลักการคำนวน Table'!$D$1:$M$5,5,TRUE),0),
IF($C103="WS SF",VLOOKUP($B103,'2) หลักการคำนวน Table'!$D$33:$M$48,HLOOKUP(AE103,'2) หลักการคำนวน Table'!$D$1:$M$5,5,TRUE),0),
IF($C103="WS WH",VLOOKUP($B103,'2) หลักการคำนวน Table'!$D$63:$M$78,HLOOKUP(AE103,'2) หลักการคำนวน Table'!$D$1:$M$5,5,TRUE),0),
IF($C103="SF WH",VLOOKUP($B103,'2) หลักการคำนวน Table'!$D$93:$M$108,HLOOKUP(AE103,'2) หลักการคำนวน Table'!$D$1:$M$5,5,TRUE),0))))),0)</f>
        <v>472.5</v>
      </c>
      <c r="BD103" s="167">
        <f>IFERROR(IF($C103="Top WS",VLOOKUP($B103,'2) หลักการคำนวน Table'!$D$5:$M$20,HLOOKUP(AF103,'2) หลักการคำนวน Table'!$D$1:$M$5,5,TRUE),0),
IF($C103="WS SF",VLOOKUP($B103,'2) หลักการคำนวน Table'!$D$33:$M$48,HLOOKUP(AF103,'2) หลักการคำนวน Table'!$D$1:$M$5,5,TRUE),0),
IF($C103="WS WH",VLOOKUP($B103,'2) หลักการคำนวน Table'!$D$63:$M$78,HLOOKUP(AF103,'2) หลักการคำนวน Table'!$D$1:$M$5,5,TRUE),0),
IF($C103="SF WH",VLOOKUP($B103,'2) หลักการคำนวน Table'!$D$93:$M$108,HLOOKUP(AF103,'2) หลักการคำนวน Table'!$D$1:$M$5,5,TRUE),0))))),0)</f>
        <v>472.5</v>
      </c>
      <c r="BE103" s="167">
        <f>IFERROR(IF($C103="Top WS",VLOOKUP($B103,'2) หลักการคำนวน Table'!$D$5:$M$20,HLOOKUP(AG103,'2) หลักการคำนวน Table'!$D$1:$M$5,5,TRUE),0),
IF($C103="WS SF",VLOOKUP($B103,'2) หลักการคำนวน Table'!$D$33:$M$48,HLOOKUP(AG103,'2) หลักการคำนวน Table'!$D$1:$M$5,5,TRUE),0),
IF($C103="WS WH",VLOOKUP($B103,'2) หลักการคำนวน Table'!$D$63:$M$78,HLOOKUP(AG103,'2) หลักการคำนวน Table'!$D$1:$M$5,5,TRUE),0),
IF($C103="SF WH",VLOOKUP($B103,'2) หลักการคำนวน Table'!$D$93:$M$108,HLOOKUP(AG103,'2) หลักการคำนวน Table'!$D$1:$M$5,5,TRUE),0))))),0)</f>
        <v>472.5</v>
      </c>
      <c r="BF103" s="167">
        <f>IFERROR(IF($C103="Top WS",VLOOKUP($B103,'2) หลักการคำนวน Table'!$D$5:$M$20,HLOOKUP(AH103,'2) หลักการคำนวน Table'!$D$1:$M$5,5,TRUE),0),
IF($C103="WS SF",VLOOKUP($B103,'2) หลักการคำนวน Table'!$D$33:$M$48,HLOOKUP(AH103,'2) หลักการคำนวน Table'!$D$1:$M$5,5,TRUE),0),
IF($C103="WS WH",VLOOKUP($B103,'2) หลักการคำนวน Table'!$D$63:$M$78,HLOOKUP(AH103,'2) หลักการคำนวน Table'!$D$1:$M$5,5,TRUE),0),
IF($C103="SF WH",VLOOKUP($B103,'2) หลักการคำนวน Table'!$D$93:$M$108,HLOOKUP(AH103,'2) หลักการคำนวน Table'!$D$1:$M$5,5,TRUE),0))))),0)</f>
        <v>472.5</v>
      </c>
      <c r="BG103" s="167">
        <f>IFERROR(IF($C103="Top WS",VLOOKUP($B103,'2) หลักการคำนวน Table'!$D$5:$M$20,HLOOKUP(AI103,'2) หลักการคำนวน Table'!$D$1:$M$5,5,TRUE),0),
IF($C103="WS SF",VLOOKUP($B103,'2) หลักการคำนวน Table'!$D$33:$M$48,HLOOKUP(AI103,'2) หลักการคำนวน Table'!$D$1:$M$5,5,TRUE),0),
IF($C103="WS WH",VLOOKUP($B103,'2) หลักการคำนวน Table'!$D$63:$M$78,HLOOKUP(AI103,'2) หลักการคำนวน Table'!$D$1:$M$5,5,TRUE),0),
IF($C103="SF WH",VLOOKUP($B103,'2) หลักการคำนวน Table'!$D$93:$M$108,HLOOKUP(AI103,'2) หลักการคำนวน Table'!$D$1:$M$5,5,TRUE),0))))),0)</f>
        <v>472.5</v>
      </c>
      <c r="BH103" s="167">
        <f>IFERROR(IF($C103="Top WS",VLOOKUP($B103,'2) หลักการคำนวน Table'!$D$5:$M$20,HLOOKUP(AP103,'2) หลักการคำนวน Table'!$D$1:$M$5,5,TRUE),0),
IF($C103="WS SF",VLOOKUP($B103,'2) หลักการคำนวน Table'!$D$33:$M$48,HLOOKUP(AP103,'2) หลักการคำนวน Table'!$D$1:$M$5,5,TRUE),0),
IF($C103="WS WH",VLOOKUP($B103,'2) หลักการคำนวน Table'!$D$63:$M$78,HLOOKUP(AP103,'2) หลักการคำนวน Table'!$D$1:$M$5,5,TRUE),0),
IF($C103="SF WH",VLOOKUP($B103,'2) หลักการคำนวน Table'!$D$93:$M$108,HLOOKUP(AP103,'2) หลักการคำนวน Table'!$D$1:$M$5,5,TRUE),0))))),0)</f>
        <v>472.5</v>
      </c>
      <c r="BI103" s="167">
        <f>IFERROR(IF($C103="Top WS",VLOOKUP($B103,'2) หลักการคำนวน Table'!$D$5:$M$20,HLOOKUP(AK103,'2) หลักการคำนวน Table'!$D$1:$M$5,5,TRUE),0),
IF($C103="WS SF",VLOOKUP($B103,'2) หลักการคำนวน Table'!$D$33:$M$48,HLOOKUP(AK103,'2) หลักการคำนวน Table'!$D$1:$M$5,5,TRUE),0),
IF($C103="WS WH",VLOOKUP($B103,'2) หลักการคำนวน Table'!$D$63:$M$78,HLOOKUP(AK103,'2) หลักการคำนวน Table'!$D$1:$M$5,5,TRUE),0),
IF($C103="SF WH",VLOOKUP($B103,'2) หลักการคำนวน Table'!$D$93:$M$108,HLOOKUP(AK103,'2) หลักการคำนวน Table'!$D$1:$M$5,5,TRUE),0))))),0)</f>
        <v>472.5</v>
      </c>
      <c r="BJ103" s="167">
        <f>IFERROR(IF($C103="Top WS",VLOOKUP($B103,'2) หลักการคำนวน Table'!$D$5:$M$20,HLOOKUP(AL103,'2) หลักการคำนวน Table'!$D$1:$M$5,5,TRUE),0),
IF($C103="WS SF",VLOOKUP($B103,'2) หลักการคำนวน Table'!$D$33:$M$48,HLOOKUP(AL103,'2) หลักการคำนวน Table'!$D$1:$M$5,5,TRUE),0),
IF($C103="WS WH",VLOOKUP($B103,'2) หลักการคำนวน Table'!$D$63:$M$78,HLOOKUP(AL103,'2) หลักการคำนวน Table'!$D$1:$M$5,5,TRUE),0),
IF($C103="SF WH",VLOOKUP($B103,'2) หลักการคำนวน Table'!$D$93:$M$108,HLOOKUP(AL103,'2) หลักการคำนวน Table'!$D$1:$M$5,5,TRUE),0))))),0)</f>
        <v>472.5</v>
      </c>
      <c r="BK103" s="167">
        <f>IFERROR(IF($C103="Top WS",VLOOKUP($B103,'2) หลักการคำนวน Table'!$D$5:$M$20,HLOOKUP(AM103,'2) หลักการคำนวน Table'!$D$1:$M$5,5,TRUE),0),
IF($C103="WS SF",VLOOKUP($B103,'2) หลักการคำนวน Table'!$D$33:$M$48,HLOOKUP(AM103,'2) หลักการคำนวน Table'!$D$1:$M$5,5,TRUE),0),
IF($C103="WS WH",VLOOKUP($B103,'2) หลักการคำนวน Table'!$D$63:$M$78,HLOOKUP(AM103,'2) หลักการคำนวน Table'!$D$1:$M$5,5,TRUE),0),
IF($C103="SF WH",VLOOKUP($B103,'2) หลักการคำนวน Table'!$D$93:$M$108,HLOOKUP(AM103,'2) หลักการคำนวน Table'!$D$1:$M$5,5,TRUE),0))))),0)</f>
        <v>472.5</v>
      </c>
      <c r="BM103" s="119">
        <f>VLOOKUP(VLOOKUP(A103,ASTBase!E:S,13,FALSE),ASTBase!F:P,11,FALSE)</f>
        <v>110000</v>
      </c>
      <c r="BN103" s="196" cm="1">
        <f t="array" ref="BN103">INDEX(AN103:AY103,,Period!$D$2)</f>
        <v>1</v>
      </c>
    </row>
    <row r="104" spans="1:66" x14ac:dyDescent="0.25">
      <c r="A104" s="388">
        <v>110003</v>
      </c>
      <c r="B104" s="388" t="s">
        <v>390</v>
      </c>
      <c r="C104" s="388" t="s">
        <v>180</v>
      </c>
      <c r="D104" s="118">
        <v>56</v>
      </c>
      <c r="E104" s="118">
        <v>33</v>
      </c>
      <c r="F104" s="118">
        <v>37</v>
      </c>
      <c r="G104" s="118">
        <v>52</v>
      </c>
      <c r="H104" s="118">
        <v>48</v>
      </c>
      <c r="I104" s="118">
        <v>56</v>
      </c>
      <c r="J104" s="118">
        <v>52</v>
      </c>
      <c r="K104" s="118">
        <v>54</v>
      </c>
      <c r="L104" s="118">
        <v>51</v>
      </c>
      <c r="M104" s="118">
        <v>51</v>
      </c>
      <c r="N104" s="118">
        <v>52</v>
      </c>
      <c r="O104" s="118">
        <v>53</v>
      </c>
      <c r="P104" s="117">
        <f>SUMIFS(Actual!C:C,Actual!$A:$A,'3)Target &amp; Cal'!$A104,Actual!$B:$B,'3)Target &amp; Cal'!$B104)</f>
        <v>0</v>
      </c>
      <c r="Q104" s="117">
        <f>SUMIFS(Actual!D:D,Actual!$A:$A,'3)Target &amp; Cal'!$A104,Actual!$B:$B,'3)Target &amp; Cal'!$B104)</f>
        <v>0</v>
      </c>
      <c r="R104" s="117">
        <f>SUMIFS(Actual!E:E,Actual!$A:$A,'3)Target &amp; Cal'!$A104,Actual!$B:$B,'3)Target &amp; Cal'!$B104)</f>
        <v>0</v>
      </c>
      <c r="S104" s="117">
        <f>SUMIFS(Actual!F:F,Actual!$A:$A,'3)Target &amp; Cal'!$A104,Actual!$B:$B,'3)Target &amp; Cal'!$B104)</f>
        <v>0</v>
      </c>
      <c r="T104" s="117">
        <f>SUMIFS(Actual!G:G,Actual!$A:$A,'3)Target &amp; Cal'!$A104,Actual!$B:$B,'3)Target &amp; Cal'!$B104)</f>
        <v>0</v>
      </c>
      <c r="U104" s="117">
        <f>SUMIFS(Actual!H:H,Actual!$A:$A,'3)Target &amp; Cal'!$A104,Actual!$B:$B,'3)Target &amp; Cal'!$B104)</f>
        <v>0</v>
      </c>
      <c r="V104" s="117">
        <f>SUMIFS(Actual!I:I,Actual!$A:$A,'3)Target &amp; Cal'!$A104,Actual!$B:$B,'3)Target &amp; Cal'!$B104)</f>
        <v>0</v>
      </c>
      <c r="W104" s="117">
        <f>SUMIFS(Actual!J:J,Actual!$A:$A,'3)Target &amp; Cal'!$A104,Actual!$B:$B,'3)Target &amp; Cal'!$B104)</f>
        <v>0</v>
      </c>
      <c r="X104" s="117">
        <f>SUMIFS(Actual!K:K,Actual!$A:$A,'3)Target &amp; Cal'!$A104,Actual!$B:$B,'3)Target &amp; Cal'!$B104)</f>
        <v>0</v>
      </c>
      <c r="Y104" s="117">
        <f>SUMIFS(Actual!L:L,Actual!$A:$A,'3)Target &amp; Cal'!$A104,Actual!$B:$B,'3)Target &amp; Cal'!$B104)</f>
        <v>0</v>
      </c>
      <c r="Z104" s="117">
        <f>SUMIFS(Actual!M:M,Actual!$A:$A,'3)Target &amp; Cal'!$A104,Actual!$B:$B,'3)Target &amp; Cal'!$B104)</f>
        <v>0</v>
      </c>
      <c r="AA104" s="117">
        <f>SUMIFS(Actual!N:N,Actual!$A:$A,'3)Target &amp; Cal'!$A104,Actual!$B:$B,'3)Target &amp; Cal'!$B104)</f>
        <v>0</v>
      </c>
      <c r="AB104" s="123">
        <f>IFERROR(IF(VLOOKUP($B104,Shortage!$A:$M,AB$2,FALSE)="Shortage",1,IFERROR(ROUND(P104/D104,4),0)),IFERROR(ROUND(P104/D104,4),0))</f>
        <v>0</v>
      </c>
      <c r="AC104" s="123">
        <f>IFERROR(IF(VLOOKUP($B104,Shortage!$A:$M,AC$2,FALSE)="Shortage",1,IFERROR(ROUND(Q104/E104,4),0)),IFERROR(ROUND(Q104/E104,4),0))</f>
        <v>0</v>
      </c>
      <c r="AD104" s="123">
        <f>IFERROR(IF(VLOOKUP($B104,Shortage!$A:$M,AD$2,FALSE)="Shortage",1,IFERROR(ROUND(R104/F104,4),0)),IFERROR(ROUND(R104/F104,4),0))</f>
        <v>0</v>
      </c>
      <c r="AE104" s="123">
        <f>IFERROR(IF(VLOOKUP($B104,Shortage!$A:$M,AE$2,FALSE)="Shortage",1,IFERROR(ROUND(S104/G104,4),0)),IFERROR(ROUND(S104/G104,4),0))</f>
        <v>0</v>
      </c>
      <c r="AF104" s="123">
        <f>IFERROR(IF(VLOOKUP($B104,Shortage!$A:$M,AF$2,FALSE)="Shortage",1,IFERROR(ROUND(T104/H104,4),0)),IFERROR(ROUND(T104/H104,4),0))</f>
        <v>0</v>
      </c>
      <c r="AG104" s="123">
        <f>IFERROR(IF(VLOOKUP($B104,Shortage!$A:$M,AG$2,FALSE)="Shortage",1,IFERROR(ROUND(U104/I104,4),0)),IFERROR(ROUND(U104/I104,4),0))</f>
        <v>0</v>
      </c>
      <c r="AH104" s="123">
        <f>IFERROR(IF(VLOOKUP($B104,Shortage!$A:$M,AH$2,FALSE)="Shortage",1,IFERROR(ROUND(V104/J104,4),0)),IFERROR(ROUND(V104/J104,4),0))</f>
        <v>0</v>
      </c>
      <c r="AI104" s="123">
        <f>IFERROR(IF(VLOOKUP($B104,Shortage!$A:$M,AI$2,FALSE)="Shortage",1,IFERROR(ROUND(W104/K104,4),0)),IFERROR(ROUND(W104/K104,4),0))</f>
        <v>0</v>
      </c>
      <c r="AJ104" s="123">
        <f>IFERROR(IF(VLOOKUP($B104,Shortage!$A:$M,AP$2,FALSE)="Shortage",1,IFERROR(ROUND(X104/L104,4),0)),IFERROR(ROUND(X104/L104,4),0))</f>
        <v>0</v>
      </c>
      <c r="AK104" s="123">
        <f>IFERROR(IF(VLOOKUP($B104,Shortage!$A:$M,AK$2,FALSE)="Shortage",1,IFERROR(ROUND(Y104/M104,4),0)),IFERROR(ROUND(Y104/M104,4),0))</f>
        <v>0</v>
      </c>
      <c r="AL104" s="123">
        <f>IFERROR(IF(VLOOKUP($B104,Shortage!$A:$M,AL$2,FALSE)="Shortage",1,IFERROR(ROUND(Z104/N104,4),0)),IFERROR(ROUND(Z104/N104,4),0))</f>
        <v>0</v>
      </c>
      <c r="AM104" s="123">
        <f>IFERROR(IF(VLOOKUP($B104,Shortage!$A:$M,AM$2,FALSE)="Shortage",1,IFERROR(ROUND(AA104/O104,4),0)),IFERROR(ROUND(AA104/O104,4),0))</f>
        <v>0</v>
      </c>
      <c r="AN104" s="232">
        <f>IFERROR(IF($C104="Top WS",VLOOKUP("GOAL",'2) หลักการคำนวน Table'!$D$4:$M$4,HLOOKUP(AB104,'2) หลักการคำนวน Table'!$D$1:$M$5,5,TRUE),0),
IF($C104="WS SF",VLOOKUP("GOAL",'2) หลักการคำนวน Table'!$D$32:$M$32,HLOOKUP(AB104,'2) หลักการคำนวน Table'!$D$1:$M$5,5,TRUE),0),
IF($C104="WS WH",VLOOKUP("GOAL",'2) หลักการคำนวน Table'!$D$62:$M$62,HLOOKUP(AB104,'2) หลักการคำนวน Table'!$D$1:$M$5,5,TRUE),0),
IF($C104="SF WH",VLOOKUP("GOAL",'2) หลักการคำนวน Table'!$D$92:$M$92,HLOOKUP(AB104,'2) หลักการคำนวน Table'!$D$1:$M$5,5,TRUE),0))))),0)</f>
        <v>0.9</v>
      </c>
      <c r="AO104" s="232">
        <f>IFERROR(IF($C104="Top WS",VLOOKUP("GOAL",'2) หลักการคำนวน Table'!$D$4:$M$4,HLOOKUP(AC104,'2) หลักการคำนวน Table'!$D$1:$M$5,5,TRUE),0),
IF($C104="WS SF",VLOOKUP("GOAL",'2) หลักการคำนวน Table'!$D$32:$M$32,HLOOKUP(AC104,'2) หลักการคำนวน Table'!$D$1:$M$5,5,TRUE),0),
IF($C104="WS WH",VLOOKUP("GOAL",'2) หลักการคำนวน Table'!$D$62:$M$62,HLOOKUP(AC104,'2) หลักการคำนวน Table'!$D$1:$M$5,5,TRUE),0),
IF($C104="SF WH",VLOOKUP("GOAL",'2) หลักการคำนวน Table'!$D$92:$M$92,HLOOKUP(AC104,'2) หลักการคำนวน Table'!$D$1:$M$5,5,TRUE),0))))),0)</f>
        <v>0.9</v>
      </c>
      <c r="AP104" s="232">
        <f>IFERROR(IF($C104="Top WS",VLOOKUP("GOAL",'2) หลักการคำนวน Table'!$D$4:$M$4,HLOOKUP(AD104,'2) หลักการคำนวน Table'!$D$1:$M$5,5,TRUE),0),
IF($C104="WS SF",VLOOKUP("GOAL",'2) หลักการคำนวน Table'!$D$32:$M$32,HLOOKUP(AD104,'2) หลักการคำนวน Table'!$D$1:$M$5,5,TRUE),0),
IF($C104="WS WH",VLOOKUP("GOAL",'2) หลักการคำนวน Table'!$D$62:$M$62,HLOOKUP(AD104,'2) หลักการคำนวน Table'!$D$1:$M$5,5,TRUE),0),
IF($C104="SF WH",VLOOKUP("GOAL",'2) หลักการคำนวน Table'!$D$92:$M$92,HLOOKUP(AD104,'2) หลักการคำนวน Table'!$D$1:$M$5,5,TRUE),0))))),0)</f>
        <v>0.9</v>
      </c>
      <c r="AQ104" s="232">
        <f>IFERROR(IF($C104="Top WS",VLOOKUP("GOAL",'2) หลักการคำนวน Table'!$D$4:$M$4,HLOOKUP(AE104,'2) หลักการคำนวน Table'!$D$1:$M$5,5,TRUE),0),
IF($C104="WS SF",VLOOKUP("GOAL",'2) หลักการคำนวน Table'!$D$32:$M$32,HLOOKUP(AE104,'2) หลักการคำนวน Table'!$D$1:$M$5,5,TRUE),0),
IF($C104="WS WH",VLOOKUP("GOAL",'2) หลักการคำนวน Table'!$D$62:$M$62,HLOOKUP(AE104,'2) หลักการคำนวน Table'!$D$1:$M$5,5,TRUE),0),
IF($C104="SF WH",VLOOKUP("GOAL",'2) หลักการคำนวน Table'!$D$92:$M$92,HLOOKUP(AE104,'2) หลักการคำนวน Table'!$D$1:$M$5,5,TRUE),0))))),0)</f>
        <v>0.9</v>
      </c>
      <c r="AR104" s="232">
        <f>IFERROR(IF($C104="Top WS",VLOOKUP("GOAL",'2) หลักการคำนวน Table'!$D$4:$M$4,HLOOKUP(AF104,'2) หลักการคำนวน Table'!$D$1:$M$5,5,TRUE),0),
IF($C104="WS SF",VLOOKUP("GOAL",'2) หลักการคำนวน Table'!$D$32:$M$32,HLOOKUP(AF104,'2) หลักการคำนวน Table'!$D$1:$M$5,5,TRUE),0),
IF($C104="WS WH",VLOOKUP("GOAL",'2) หลักการคำนวน Table'!$D$62:$M$62,HLOOKUP(AF104,'2) หลักการคำนวน Table'!$D$1:$M$5,5,TRUE),0),
IF($C104="SF WH",VLOOKUP("GOAL",'2) หลักการคำนวน Table'!$D$92:$M$92,HLOOKUP(AF104,'2) หลักการคำนวน Table'!$D$1:$M$5,5,TRUE),0))))),0)</f>
        <v>0.9</v>
      </c>
      <c r="AS104" s="232">
        <f>IFERROR(IF($C104="Top WS",VLOOKUP("GOAL",'2) หลักการคำนวน Table'!$D$4:$M$4,HLOOKUP(AG104,'2) หลักการคำนวน Table'!$D$1:$M$5,5,TRUE),0),
IF($C104="WS SF",VLOOKUP("GOAL",'2) หลักการคำนวน Table'!$D$32:$M$32,HLOOKUP(AG104,'2) หลักการคำนวน Table'!$D$1:$M$5,5,TRUE),0),
IF($C104="WS WH",VLOOKUP("GOAL",'2) หลักการคำนวน Table'!$D$62:$M$62,HLOOKUP(AG104,'2) หลักการคำนวน Table'!$D$1:$M$5,5,TRUE),0),
IF($C104="SF WH",VLOOKUP("GOAL",'2) หลักการคำนวน Table'!$D$92:$M$92,HLOOKUP(AG104,'2) หลักการคำนวน Table'!$D$1:$M$5,5,TRUE),0))))),0)</f>
        <v>0.9</v>
      </c>
      <c r="AT104" s="232">
        <f>IFERROR(IF($C104="Top WS",VLOOKUP("GOAL",'2) หลักการคำนวน Table'!$D$4:$M$4,HLOOKUP(AH104,'2) หลักการคำนวน Table'!$D$1:$M$5,5,TRUE),0),
IF($C104="WS SF",VLOOKUP("GOAL",'2) หลักการคำนวน Table'!$D$32:$M$32,HLOOKUP(AH104,'2) หลักการคำนวน Table'!$D$1:$M$5,5,TRUE),0),
IF($C104="WS WH",VLOOKUP("GOAL",'2) หลักการคำนวน Table'!$D$62:$M$62,HLOOKUP(AH104,'2) หลักการคำนวน Table'!$D$1:$M$5,5,TRUE),0),
IF($C104="SF WH",VLOOKUP("GOAL",'2) หลักการคำนวน Table'!$D$92:$M$92,HLOOKUP(AH104,'2) หลักการคำนวน Table'!$D$1:$M$5,5,TRUE),0))))),0)</f>
        <v>0.9</v>
      </c>
      <c r="AU104" s="232">
        <f>IFERROR(IF($C104="Top WS",VLOOKUP("GOAL",'2) หลักการคำนวน Table'!$D$4:$M$4,HLOOKUP(AI104,'2) หลักการคำนวน Table'!$D$1:$M$5,5,TRUE),0),
IF($C104="WS SF",VLOOKUP("GOAL",'2) หลักการคำนวน Table'!$D$32:$M$32,HLOOKUP(AI104,'2) หลักการคำนวน Table'!$D$1:$M$5,5,TRUE),0),
IF($C104="WS WH",VLOOKUP("GOAL",'2) หลักการคำนวน Table'!$D$62:$M$62,HLOOKUP(AI104,'2) หลักการคำนวน Table'!$D$1:$M$5,5,TRUE),0),
IF($C104="SF WH",VLOOKUP("GOAL",'2) หลักการคำนวน Table'!$D$92:$M$92,HLOOKUP(AI104,'2) หลักการคำนวน Table'!$D$1:$M$5,5,TRUE),0))))),0)</f>
        <v>0.9</v>
      </c>
      <c r="AV104" s="232">
        <f>IFERROR(IF($C104="Top WS",VLOOKUP("GOAL",'2) หลักการคำนวน Table'!$D$4:$M$4,HLOOKUP(AP104,'2) หลักการคำนวน Table'!$D$1:$M$5,5,TRUE),0),
IF($C104="WS SF",VLOOKUP("GOAL",'2) หลักการคำนวน Table'!$D$32:$M$32,HLOOKUP(AP104,'2) หลักการคำนวน Table'!$D$1:$M$5,5,TRUE),0),
IF($C104="WS WH",VLOOKUP("GOAL",'2) หลักการคำนวน Table'!$D$62:$M$62,HLOOKUP(AP104,'2) หลักการคำนวน Table'!$D$1:$M$5,5,TRUE),0),
IF($C104="SF WH",VLOOKUP("GOAL",'2) หลักการคำนวน Table'!$D$92:$M$92,HLOOKUP(AP104,'2) หลักการคำนวน Table'!$D$1:$M$5,5,TRUE),0))))),0)</f>
        <v>0.9</v>
      </c>
      <c r="AW104" s="232">
        <f>IFERROR(IF($C104="Top WS",VLOOKUP("GOAL",'2) หลักการคำนวน Table'!$D$4:$M$4,HLOOKUP(AK104,'2) หลักการคำนวน Table'!$D$1:$M$5,5,TRUE),0),
IF($C104="WS SF",VLOOKUP("GOAL",'2) หลักการคำนวน Table'!$D$32:$M$32,HLOOKUP(AK104,'2) หลักการคำนวน Table'!$D$1:$M$5,5,TRUE),0),
IF($C104="WS WH",VLOOKUP("GOAL",'2) หลักการคำนวน Table'!$D$62:$M$62,HLOOKUP(AK104,'2) หลักการคำนวน Table'!$D$1:$M$5,5,TRUE),0),
IF($C104="SF WH",VLOOKUP("GOAL",'2) หลักการคำนวน Table'!$D$92:$M$92,HLOOKUP(AK104,'2) หลักการคำนวน Table'!$D$1:$M$5,5,TRUE),0))))),0)</f>
        <v>0.9</v>
      </c>
      <c r="AX104" s="232">
        <f>IFERROR(IF($C104="Top WS",VLOOKUP("GOAL",'2) หลักการคำนวน Table'!$D$4:$M$4,HLOOKUP(AL104,'2) หลักการคำนวน Table'!$D$1:$M$5,5,TRUE),0),
IF($C104="WS SF",VLOOKUP("GOAL",'2) หลักการคำนวน Table'!$D$32:$M$32,HLOOKUP(AL104,'2) หลักการคำนวน Table'!$D$1:$M$5,5,TRUE),0),
IF($C104="WS WH",VLOOKUP("GOAL",'2) หลักการคำนวน Table'!$D$62:$M$62,HLOOKUP(AL104,'2) หลักการคำนวน Table'!$D$1:$M$5,5,TRUE),0),
IF($C104="SF WH",VLOOKUP("GOAL",'2) หลักการคำนวน Table'!$D$92:$M$92,HLOOKUP(AL104,'2) หลักการคำนวน Table'!$D$1:$M$5,5,TRUE),0))))),0)</f>
        <v>0.9</v>
      </c>
      <c r="AY104" s="232">
        <f>IFERROR(IF($C104="Top WS",VLOOKUP("GOAL",'2) หลักการคำนวน Table'!$D$4:$M$4,HLOOKUP(AM104,'2) หลักการคำนวน Table'!$D$1:$M$5,5,TRUE),0),
IF($C104="WS SF",VLOOKUP("GOAL",'2) หลักการคำนวน Table'!$D$32:$M$32,HLOOKUP(AM104,'2) หลักการคำนวน Table'!$D$1:$M$5,5,TRUE),0),
IF($C104="WS WH",VLOOKUP("GOAL",'2) หลักการคำนวน Table'!$D$62:$M$62,HLOOKUP(AM104,'2) หลักการคำนวน Table'!$D$1:$M$5,5,TRUE),0),
IF($C104="SF WH",VLOOKUP("GOAL",'2) หลักการคำนวน Table'!$D$92:$M$92,HLOOKUP(AM104,'2) หลักการคำนวน Table'!$D$1:$M$5,5,TRUE),0))))),0)</f>
        <v>0.9</v>
      </c>
      <c r="AZ104" s="167">
        <f>IFERROR(IF($C104="Top WS",VLOOKUP($B104,'2) หลักการคำนวน Table'!$D$5:$M$20,HLOOKUP(AB104,'2) หลักการคำนวน Table'!$D$1:$M$5,5,TRUE),0),
IF($C104="WS SF",VLOOKUP($B104,'2) หลักการคำนวน Table'!$D$33:$M$48,HLOOKUP(AB104,'2) หลักการคำนวน Table'!$D$1:$M$5,5,TRUE),0),
IF($C104="WS WH",VLOOKUP($B104,'2) หลักการคำนวน Table'!$D$63:$M$78,HLOOKUP(AB104,'2) หลักการคำนวน Table'!$D$1:$M$5,5,TRUE),0),
IF($C104="SF WH",VLOOKUP($B104,'2) หลักการคำนวน Table'!$D$93:$M$108,HLOOKUP(AB104,'2) หลักการคำนวน Table'!$D$1:$M$5,5,TRUE),0))))),0)</f>
        <v>787.5</v>
      </c>
      <c r="BA104" s="167">
        <f>IFERROR(IF($C104="Top WS",VLOOKUP($B104,'2) หลักการคำนวน Table'!$D$5:$M$20,HLOOKUP(AC104,'2) หลักการคำนวน Table'!$D$1:$M$5,5,TRUE),0),
IF($C104="WS SF",VLOOKUP($B104,'2) หลักการคำนวน Table'!$D$33:$M$48,HLOOKUP(AC104,'2) หลักการคำนวน Table'!$D$1:$M$5,5,TRUE),0),
IF($C104="WS WH",VLOOKUP($B104,'2) หลักการคำนวน Table'!$D$63:$M$78,HLOOKUP(AC104,'2) หลักการคำนวน Table'!$D$1:$M$5,5,TRUE),0),
IF($C104="SF WH",VLOOKUP($B104,'2) หลักการคำนวน Table'!$D$93:$M$108,HLOOKUP(AC104,'2) หลักการคำนวน Table'!$D$1:$M$5,5,TRUE),0))))),0)</f>
        <v>787.5</v>
      </c>
      <c r="BB104" s="167">
        <f>IFERROR(IF($C104="Top WS",VLOOKUP($B104,'2) หลักการคำนวน Table'!$D$5:$M$20,HLOOKUP(AD104,'2) หลักการคำนวน Table'!$D$1:$M$5,5,TRUE),0),
IF($C104="WS SF",VLOOKUP($B104,'2) หลักการคำนวน Table'!$D$33:$M$48,HLOOKUP(AD104,'2) หลักการคำนวน Table'!$D$1:$M$5,5,TRUE),0),
IF($C104="WS WH",VLOOKUP($B104,'2) หลักการคำนวน Table'!$D$63:$M$78,HLOOKUP(AD104,'2) หลักการคำนวน Table'!$D$1:$M$5,5,TRUE),0),
IF($C104="SF WH",VLOOKUP($B104,'2) หลักการคำนวน Table'!$D$93:$M$108,HLOOKUP(AD104,'2) หลักการคำนวน Table'!$D$1:$M$5,5,TRUE),0))))),0)</f>
        <v>787.5</v>
      </c>
      <c r="BC104" s="167">
        <f>IFERROR(IF($C104="Top WS",VLOOKUP($B104,'2) หลักการคำนวน Table'!$D$5:$M$20,HLOOKUP(AE104,'2) หลักการคำนวน Table'!$D$1:$M$5,5,TRUE),0),
IF($C104="WS SF",VLOOKUP($B104,'2) หลักการคำนวน Table'!$D$33:$M$48,HLOOKUP(AE104,'2) หลักการคำนวน Table'!$D$1:$M$5,5,TRUE),0),
IF($C104="WS WH",VLOOKUP($B104,'2) หลักการคำนวน Table'!$D$63:$M$78,HLOOKUP(AE104,'2) หลักการคำนวน Table'!$D$1:$M$5,5,TRUE),0),
IF($C104="SF WH",VLOOKUP($B104,'2) หลักการคำนวน Table'!$D$93:$M$108,HLOOKUP(AE104,'2) หลักการคำนวน Table'!$D$1:$M$5,5,TRUE),0))))),0)</f>
        <v>787.5</v>
      </c>
      <c r="BD104" s="167">
        <f>IFERROR(IF($C104="Top WS",VLOOKUP($B104,'2) หลักการคำนวน Table'!$D$5:$M$20,HLOOKUP(AF104,'2) หลักการคำนวน Table'!$D$1:$M$5,5,TRUE),0),
IF($C104="WS SF",VLOOKUP($B104,'2) หลักการคำนวน Table'!$D$33:$M$48,HLOOKUP(AF104,'2) หลักการคำนวน Table'!$D$1:$M$5,5,TRUE),0),
IF($C104="WS WH",VLOOKUP($B104,'2) หลักการคำนวน Table'!$D$63:$M$78,HLOOKUP(AF104,'2) หลักการคำนวน Table'!$D$1:$M$5,5,TRUE),0),
IF($C104="SF WH",VLOOKUP($B104,'2) หลักการคำนวน Table'!$D$93:$M$108,HLOOKUP(AF104,'2) หลักการคำนวน Table'!$D$1:$M$5,5,TRUE),0))))),0)</f>
        <v>787.5</v>
      </c>
      <c r="BE104" s="167">
        <f>IFERROR(IF($C104="Top WS",VLOOKUP($B104,'2) หลักการคำนวน Table'!$D$5:$M$20,HLOOKUP(AG104,'2) หลักการคำนวน Table'!$D$1:$M$5,5,TRUE),0),
IF($C104="WS SF",VLOOKUP($B104,'2) หลักการคำนวน Table'!$D$33:$M$48,HLOOKUP(AG104,'2) หลักการคำนวน Table'!$D$1:$M$5,5,TRUE),0),
IF($C104="WS WH",VLOOKUP($B104,'2) หลักการคำนวน Table'!$D$63:$M$78,HLOOKUP(AG104,'2) หลักการคำนวน Table'!$D$1:$M$5,5,TRUE),0),
IF($C104="SF WH",VLOOKUP($B104,'2) หลักการคำนวน Table'!$D$93:$M$108,HLOOKUP(AG104,'2) หลักการคำนวน Table'!$D$1:$M$5,5,TRUE),0))))),0)</f>
        <v>787.5</v>
      </c>
      <c r="BF104" s="167">
        <f>IFERROR(IF($C104="Top WS",VLOOKUP($B104,'2) หลักการคำนวน Table'!$D$5:$M$20,HLOOKUP(AH104,'2) หลักการคำนวน Table'!$D$1:$M$5,5,TRUE),0),
IF($C104="WS SF",VLOOKUP($B104,'2) หลักการคำนวน Table'!$D$33:$M$48,HLOOKUP(AH104,'2) หลักการคำนวน Table'!$D$1:$M$5,5,TRUE),0),
IF($C104="WS WH",VLOOKUP($B104,'2) หลักการคำนวน Table'!$D$63:$M$78,HLOOKUP(AH104,'2) หลักการคำนวน Table'!$D$1:$M$5,5,TRUE),0),
IF($C104="SF WH",VLOOKUP($B104,'2) หลักการคำนวน Table'!$D$93:$M$108,HLOOKUP(AH104,'2) หลักการคำนวน Table'!$D$1:$M$5,5,TRUE),0))))),0)</f>
        <v>787.5</v>
      </c>
      <c r="BG104" s="167">
        <f>IFERROR(IF($C104="Top WS",VLOOKUP($B104,'2) หลักการคำนวน Table'!$D$5:$M$20,HLOOKUP(AI104,'2) หลักการคำนวน Table'!$D$1:$M$5,5,TRUE),0),
IF($C104="WS SF",VLOOKUP($B104,'2) หลักการคำนวน Table'!$D$33:$M$48,HLOOKUP(AI104,'2) หลักการคำนวน Table'!$D$1:$M$5,5,TRUE),0),
IF($C104="WS WH",VLOOKUP($B104,'2) หลักการคำนวน Table'!$D$63:$M$78,HLOOKUP(AI104,'2) หลักการคำนวน Table'!$D$1:$M$5,5,TRUE),0),
IF($C104="SF WH",VLOOKUP($B104,'2) หลักการคำนวน Table'!$D$93:$M$108,HLOOKUP(AI104,'2) หลักการคำนวน Table'!$D$1:$M$5,5,TRUE),0))))),0)</f>
        <v>787.5</v>
      </c>
      <c r="BH104" s="167">
        <f>IFERROR(IF($C104="Top WS",VLOOKUP($B104,'2) หลักการคำนวน Table'!$D$5:$M$20,HLOOKUP(AP104,'2) หลักการคำนวน Table'!$D$1:$M$5,5,TRUE),0),
IF($C104="WS SF",VLOOKUP($B104,'2) หลักการคำนวน Table'!$D$33:$M$48,HLOOKUP(AP104,'2) หลักการคำนวน Table'!$D$1:$M$5,5,TRUE),0),
IF($C104="WS WH",VLOOKUP($B104,'2) หลักการคำนวน Table'!$D$63:$M$78,HLOOKUP(AP104,'2) หลักการคำนวน Table'!$D$1:$M$5,5,TRUE),0),
IF($C104="SF WH",VLOOKUP($B104,'2) หลักการคำนวน Table'!$D$93:$M$108,HLOOKUP(AP104,'2) หลักการคำนวน Table'!$D$1:$M$5,5,TRUE),0))))),0)</f>
        <v>787.5</v>
      </c>
      <c r="BI104" s="167">
        <f>IFERROR(IF($C104="Top WS",VLOOKUP($B104,'2) หลักการคำนวน Table'!$D$5:$M$20,HLOOKUP(AK104,'2) หลักการคำนวน Table'!$D$1:$M$5,5,TRUE),0),
IF($C104="WS SF",VLOOKUP($B104,'2) หลักการคำนวน Table'!$D$33:$M$48,HLOOKUP(AK104,'2) หลักการคำนวน Table'!$D$1:$M$5,5,TRUE),0),
IF($C104="WS WH",VLOOKUP($B104,'2) หลักการคำนวน Table'!$D$63:$M$78,HLOOKUP(AK104,'2) หลักการคำนวน Table'!$D$1:$M$5,5,TRUE),0),
IF($C104="SF WH",VLOOKUP($B104,'2) หลักการคำนวน Table'!$D$93:$M$108,HLOOKUP(AK104,'2) หลักการคำนวน Table'!$D$1:$M$5,5,TRUE),0))))),0)</f>
        <v>787.5</v>
      </c>
      <c r="BJ104" s="167">
        <f>IFERROR(IF($C104="Top WS",VLOOKUP($B104,'2) หลักการคำนวน Table'!$D$5:$M$20,HLOOKUP(AL104,'2) หลักการคำนวน Table'!$D$1:$M$5,5,TRUE),0),
IF($C104="WS SF",VLOOKUP($B104,'2) หลักการคำนวน Table'!$D$33:$M$48,HLOOKUP(AL104,'2) หลักการคำนวน Table'!$D$1:$M$5,5,TRUE),0),
IF($C104="WS WH",VLOOKUP($B104,'2) หลักการคำนวน Table'!$D$63:$M$78,HLOOKUP(AL104,'2) หลักการคำนวน Table'!$D$1:$M$5,5,TRUE),0),
IF($C104="SF WH",VLOOKUP($B104,'2) หลักการคำนวน Table'!$D$93:$M$108,HLOOKUP(AL104,'2) หลักการคำนวน Table'!$D$1:$M$5,5,TRUE),0))))),0)</f>
        <v>787.5</v>
      </c>
      <c r="BK104" s="167">
        <f>IFERROR(IF($C104="Top WS",VLOOKUP($B104,'2) หลักการคำนวน Table'!$D$5:$M$20,HLOOKUP(AM104,'2) หลักการคำนวน Table'!$D$1:$M$5,5,TRUE),0),
IF($C104="WS SF",VLOOKUP($B104,'2) หลักการคำนวน Table'!$D$33:$M$48,HLOOKUP(AM104,'2) หลักการคำนวน Table'!$D$1:$M$5,5,TRUE),0),
IF($C104="WS WH",VLOOKUP($B104,'2) หลักการคำนวน Table'!$D$63:$M$78,HLOOKUP(AM104,'2) หลักการคำนวน Table'!$D$1:$M$5,5,TRUE),0),
IF($C104="SF WH",VLOOKUP($B104,'2) หลักการคำนวน Table'!$D$93:$M$108,HLOOKUP(AM104,'2) หลักการคำนวน Table'!$D$1:$M$5,5,TRUE),0))))),0)</f>
        <v>787.5</v>
      </c>
      <c r="BM104" s="119">
        <f>VLOOKUP(VLOOKUP(A104,ASTBase!E:S,13,FALSE),ASTBase!F:P,11,FALSE)</f>
        <v>110000</v>
      </c>
      <c r="BN104" s="196" cm="1">
        <f t="array" ref="BN104">INDEX(AN104:AY104,,Period!$D$2)</f>
        <v>0.9</v>
      </c>
    </row>
    <row r="105" spans="1:66" x14ac:dyDescent="0.25">
      <c r="A105" s="388">
        <v>110003</v>
      </c>
      <c r="B105" s="388" t="s">
        <v>392</v>
      </c>
      <c r="C105" s="388" t="s">
        <v>180</v>
      </c>
      <c r="D105" s="118">
        <v>3016</v>
      </c>
      <c r="E105" s="118">
        <v>1331</v>
      </c>
      <c r="F105" s="118">
        <v>1337</v>
      </c>
      <c r="G105" s="118">
        <v>2231</v>
      </c>
      <c r="H105" s="118">
        <v>1826</v>
      </c>
      <c r="I105" s="118">
        <v>1133</v>
      </c>
      <c r="J105" s="118">
        <v>2895</v>
      </c>
      <c r="K105" s="118">
        <v>1660</v>
      </c>
      <c r="L105" s="118">
        <v>1873</v>
      </c>
      <c r="M105" s="118">
        <v>2467</v>
      </c>
      <c r="N105" s="118">
        <v>2583</v>
      </c>
      <c r="O105" s="118">
        <v>2587</v>
      </c>
      <c r="P105" s="117">
        <f>SUMIFS(Actual!C:C,Actual!$A:$A,'3)Target &amp; Cal'!$A105,Actual!$B:$B,'3)Target &amp; Cal'!$B105)</f>
        <v>739.01160000000004</v>
      </c>
      <c r="Q105" s="117">
        <f>SUMIFS(Actual!D:D,Actual!$A:$A,'3)Target &amp; Cal'!$A105,Actual!$B:$B,'3)Target &amp; Cal'!$B105)</f>
        <v>4091.6123999999995</v>
      </c>
      <c r="R105" s="117">
        <f>SUMIFS(Actual!E:E,Actual!$A:$A,'3)Target &amp; Cal'!$A105,Actual!$B:$B,'3)Target &amp; Cal'!$B105)</f>
        <v>0</v>
      </c>
      <c r="S105" s="117">
        <f>SUMIFS(Actual!F:F,Actual!$A:$A,'3)Target &amp; Cal'!$A105,Actual!$B:$B,'3)Target &amp; Cal'!$B105)</f>
        <v>0</v>
      </c>
      <c r="T105" s="117">
        <f>SUMIFS(Actual!G:G,Actual!$A:$A,'3)Target &amp; Cal'!$A105,Actual!$B:$B,'3)Target &amp; Cal'!$B105)</f>
        <v>0</v>
      </c>
      <c r="U105" s="117">
        <f>SUMIFS(Actual!H:H,Actual!$A:$A,'3)Target &amp; Cal'!$A105,Actual!$B:$B,'3)Target &amp; Cal'!$B105)</f>
        <v>0</v>
      </c>
      <c r="V105" s="117">
        <f>SUMIFS(Actual!I:I,Actual!$A:$A,'3)Target &amp; Cal'!$A105,Actual!$B:$B,'3)Target &amp; Cal'!$B105)</f>
        <v>0</v>
      </c>
      <c r="W105" s="117">
        <f>SUMIFS(Actual!J:J,Actual!$A:$A,'3)Target &amp; Cal'!$A105,Actual!$B:$B,'3)Target &amp; Cal'!$B105)</f>
        <v>0</v>
      </c>
      <c r="X105" s="117">
        <f>SUMIFS(Actual!K:K,Actual!$A:$A,'3)Target &amp; Cal'!$A105,Actual!$B:$B,'3)Target &amp; Cal'!$B105)</f>
        <v>0</v>
      </c>
      <c r="Y105" s="117">
        <f>SUMIFS(Actual!L:L,Actual!$A:$A,'3)Target &amp; Cal'!$A105,Actual!$B:$B,'3)Target &amp; Cal'!$B105)</f>
        <v>0</v>
      </c>
      <c r="Z105" s="117">
        <f>SUMIFS(Actual!M:M,Actual!$A:$A,'3)Target &amp; Cal'!$A105,Actual!$B:$B,'3)Target &amp; Cal'!$B105)</f>
        <v>0</v>
      </c>
      <c r="AA105" s="117">
        <f>SUMIFS(Actual!N:N,Actual!$A:$A,'3)Target &amp; Cal'!$A105,Actual!$B:$B,'3)Target &amp; Cal'!$B105)</f>
        <v>0</v>
      </c>
      <c r="AB105" s="123">
        <f>IFERROR(IF(VLOOKUP($B105,Shortage!$A:$M,AB$2,FALSE)="Shortage",1,IFERROR(ROUND(P105/D105,4),0)),IFERROR(ROUND(P105/D105,4),0))</f>
        <v>0.245</v>
      </c>
      <c r="AC105" s="123">
        <f>IFERROR(IF(VLOOKUP($B105,Shortage!$A:$M,AC$2,FALSE)="Shortage",1,IFERROR(ROUND(Q105/E105,4),0)),IFERROR(ROUND(Q105/E105,4),0))</f>
        <v>3.0741000000000001</v>
      </c>
      <c r="AD105" s="123">
        <f>IFERROR(IF(VLOOKUP($B105,Shortage!$A:$M,AD$2,FALSE)="Shortage",1,IFERROR(ROUND(R105/F105,4),0)),IFERROR(ROUND(R105/F105,4),0))</f>
        <v>0</v>
      </c>
      <c r="AE105" s="123">
        <f>IFERROR(IF(VLOOKUP($B105,Shortage!$A:$M,AE$2,FALSE)="Shortage",1,IFERROR(ROUND(S105/G105,4),0)),IFERROR(ROUND(S105/G105,4),0))</f>
        <v>0</v>
      </c>
      <c r="AF105" s="123">
        <f>IFERROR(IF(VLOOKUP($B105,Shortage!$A:$M,AF$2,FALSE)="Shortage",1,IFERROR(ROUND(T105/H105,4),0)),IFERROR(ROUND(T105/H105,4),0))</f>
        <v>0</v>
      </c>
      <c r="AG105" s="123">
        <f>IFERROR(IF(VLOOKUP($B105,Shortage!$A:$M,AG$2,FALSE)="Shortage",1,IFERROR(ROUND(U105/I105,4),0)),IFERROR(ROUND(U105/I105,4),0))</f>
        <v>0</v>
      </c>
      <c r="AH105" s="123">
        <f>IFERROR(IF(VLOOKUP($B105,Shortage!$A:$M,AH$2,FALSE)="Shortage",1,IFERROR(ROUND(V105/J105,4),0)),IFERROR(ROUND(V105/J105,4),0))</f>
        <v>0</v>
      </c>
      <c r="AI105" s="123">
        <f>IFERROR(IF(VLOOKUP($B105,Shortage!$A:$M,AI$2,FALSE)="Shortage",1,IFERROR(ROUND(W105/K105,4),0)),IFERROR(ROUND(W105/K105,4),0))</f>
        <v>0</v>
      </c>
      <c r="AJ105" s="123">
        <f>IFERROR(IF(VLOOKUP($B105,Shortage!$A:$M,AP$2,FALSE)="Shortage",1,IFERROR(ROUND(X105/L105,4),0)),IFERROR(ROUND(X105/L105,4),0))</f>
        <v>0</v>
      </c>
      <c r="AK105" s="123">
        <f>IFERROR(IF(VLOOKUP($B105,Shortage!$A:$M,AK$2,FALSE)="Shortage",1,IFERROR(ROUND(Y105/M105,4),0)),IFERROR(ROUND(Y105/M105,4),0))</f>
        <v>0</v>
      </c>
      <c r="AL105" s="123">
        <f>IFERROR(IF(VLOOKUP($B105,Shortage!$A:$M,AL$2,FALSE)="Shortage",1,IFERROR(ROUND(Z105/N105,4),0)),IFERROR(ROUND(Z105/N105,4),0))</f>
        <v>0</v>
      </c>
      <c r="AM105" s="123">
        <f>IFERROR(IF(VLOOKUP($B105,Shortage!$A:$M,AM$2,FALSE)="Shortage",1,IFERROR(ROUND(AA105/O105,4),0)),IFERROR(ROUND(AA105/O105,4),0))</f>
        <v>0</v>
      </c>
      <c r="AN105" s="232">
        <f>IFERROR(IF($C105="Top WS",VLOOKUP("GOAL",'2) หลักการคำนวน Table'!$D$4:$M$4,HLOOKUP(AB105,'2) หลักการคำนวน Table'!$D$1:$M$5,5,TRUE),0),
IF($C105="WS SF",VLOOKUP("GOAL",'2) หลักการคำนวน Table'!$D$32:$M$32,HLOOKUP(AB105,'2) หลักการคำนวน Table'!$D$1:$M$5,5,TRUE),0),
IF($C105="WS WH",VLOOKUP("GOAL",'2) หลักการคำนวน Table'!$D$62:$M$62,HLOOKUP(AB105,'2) หลักการคำนวน Table'!$D$1:$M$5,5,TRUE),0),
IF($C105="SF WH",VLOOKUP("GOAL",'2) หลักการคำนวน Table'!$D$92:$M$92,HLOOKUP(AB105,'2) หลักการคำนวน Table'!$D$1:$M$5,5,TRUE),0))))),0)</f>
        <v>0.9</v>
      </c>
      <c r="AO105" s="232">
        <f>IFERROR(IF($C105="Top WS",VLOOKUP("GOAL",'2) หลักการคำนวน Table'!$D$4:$M$4,HLOOKUP(AC105,'2) หลักการคำนวน Table'!$D$1:$M$5,5,TRUE),0),
IF($C105="WS SF",VLOOKUP("GOAL",'2) หลักการคำนวน Table'!$D$32:$M$32,HLOOKUP(AC105,'2) หลักการคำนวน Table'!$D$1:$M$5,5,TRUE),0),
IF($C105="WS WH",VLOOKUP("GOAL",'2) หลักการคำนวน Table'!$D$62:$M$62,HLOOKUP(AC105,'2) หลักการคำนวน Table'!$D$1:$M$5,5,TRUE),0),
IF($C105="SF WH",VLOOKUP("GOAL",'2) หลักการคำนวน Table'!$D$92:$M$92,HLOOKUP(AC105,'2) หลักการคำนวน Table'!$D$1:$M$5,5,TRUE),0))))),0)</f>
        <v>1.3</v>
      </c>
      <c r="AP105" s="232">
        <f>IFERROR(IF($C105="Top WS",VLOOKUP("GOAL",'2) หลักการคำนวน Table'!$D$4:$M$4,HLOOKUP(AD105,'2) หลักการคำนวน Table'!$D$1:$M$5,5,TRUE),0),
IF($C105="WS SF",VLOOKUP("GOAL",'2) หลักการคำนวน Table'!$D$32:$M$32,HLOOKUP(AD105,'2) หลักการคำนวน Table'!$D$1:$M$5,5,TRUE),0),
IF($C105="WS WH",VLOOKUP("GOAL",'2) หลักการคำนวน Table'!$D$62:$M$62,HLOOKUP(AD105,'2) หลักการคำนวน Table'!$D$1:$M$5,5,TRUE),0),
IF($C105="SF WH",VLOOKUP("GOAL",'2) หลักการคำนวน Table'!$D$92:$M$92,HLOOKUP(AD105,'2) หลักการคำนวน Table'!$D$1:$M$5,5,TRUE),0))))),0)</f>
        <v>0.9</v>
      </c>
      <c r="AQ105" s="232">
        <f>IFERROR(IF($C105="Top WS",VLOOKUP("GOAL",'2) หลักการคำนวน Table'!$D$4:$M$4,HLOOKUP(AE105,'2) หลักการคำนวน Table'!$D$1:$M$5,5,TRUE),0),
IF($C105="WS SF",VLOOKUP("GOAL",'2) หลักการคำนวน Table'!$D$32:$M$32,HLOOKUP(AE105,'2) หลักการคำนวน Table'!$D$1:$M$5,5,TRUE),0),
IF($C105="WS WH",VLOOKUP("GOAL",'2) หลักการคำนวน Table'!$D$62:$M$62,HLOOKUP(AE105,'2) หลักการคำนวน Table'!$D$1:$M$5,5,TRUE),0),
IF($C105="SF WH",VLOOKUP("GOAL",'2) หลักการคำนวน Table'!$D$92:$M$92,HLOOKUP(AE105,'2) หลักการคำนวน Table'!$D$1:$M$5,5,TRUE),0))))),0)</f>
        <v>0.9</v>
      </c>
      <c r="AR105" s="232">
        <f>IFERROR(IF($C105="Top WS",VLOOKUP("GOAL",'2) หลักการคำนวน Table'!$D$4:$M$4,HLOOKUP(AF105,'2) หลักการคำนวน Table'!$D$1:$M$5,5,TRUE),0),
IF($C105="WS SF",VLOOKUP("GOAL",'2) หลักการคำนวน Table'!$D$32:$M$32,HLOOKUP(AF105,'2) หลักการคำนวน Table'!$D$1:$M$5,5,TRUE),0),
IF($C105="WS WH",VLOOKUP("GOAL",'2) หลักการคำนวน Table'!$D$62:$M$62,HLOOKUP(AF105,'2) หลักการคำนวน Table'!$D$1:$M$5,5,TRUE),0),
IF($C105="SF WH",VLOOKUP("GOAL",'2) หลักการคำนวน Table'!$D$92:$M$92,HLOOKUP(AF105,'2) หลักการคำนวน Table'!$D$1:$M$5,5,TRUE),0))))),0)</f>
        <v>0.9</v>
      </c>
      <c r="AS105" s="232">
        <f>IFERROR(IF($C105="Top WS",VLOOKUP("GOAL",'2) หลักการคำนวน Table'!$D$4:$M$4,HLOOKUP(AG105,'2) หลักการคำนวน Table'!$D$1:$M$5,5,TRUE),0),
IF($C105="WS SF",VLOOKUP("GOAL",'2) หลักการคำนวน Table'!$D$32:$M$32,HLOOKUP(AG105,'2) หลักการคำนวน Table'!$D$1:$M$5,5,TRUE),0),
IF($C105="WS WH",VLOOKUP("GOAL",'2) หลักการคำนวน Table'!$D$62:$M$62,HLOOKUP(AG105,'2) หลักการคำนวน Table'!$D$1:$M$5,5,TRUE),0),
IF($C105="SF WH",VLOOKUP("GOAL",'2) หลักการคำนวน Table'!$D$92:$M$92,HLOOKUP(AG105,'2) หลักการคำนวน Table'!$D$1:$M$5,5,TRUE),0))))),0)</f>
        <v>0.9</v>
      </c>
      <c r="AT105" s="232">
        <f>IFERROR(IF($C105="Top WS",VLOOKUP("GOAL",'2) หลักการคำนวน Table'!$D$4:$M$4,HLOOKUP(AH105,'2) หลักการคำนวน Table'!$D$1:$M$5,5,TRUE),0),
IF($C105="WS SF",VLOOKUP("GOAL",'2) หลักการคำนวน Table'!$D$32:$M$32,HLOOKUP(AH105,'2) หลักการคำนวน Table'!$D$1:$M$5,5,TRUE),0),
IF($C105="WS WH",VLOOKUP("GOAL",'2) หลักการคำนวน Table'!$D$62:$M$62,HLOOKUP(AH105,'2) หลักการคำนวน Table'!$D$1:$M$5,5,TRUE),0),
IF($C105="SF WH",VLOOKUP("GOAL",'2) หลักการคำนวน Table'!$D$92:$M$92,HLOOKUP(AH105,'2) หลักการคำนวน Table'!$D$1:$M$5,5,TRUE),0))))),0)</f>
        <v>0.9</v>
      </c>
      <c r="AU105" s="232">
        <f>IFERROR(IF($C105="Top WS",VLOOKUP("GOAL",'2) หลักการคำนวน Table'!$D$4:$M$4,HLOOKUP(AI105,'2) หลักการคำนวน Table'!$D$1:$M$5,5,TRUE),0),
IF($C105="WS SF",VLOOKUP("GOAL",'2) หลักการคำนวน Table'!$D$32:$M$32,HLOOKUP(AI105,'2) หลักการคำนวน Table'!$D$1:$M$5,5,TRUE),0),
IF($C105="WS WH",VLOOKUP("GOAL",'2) หลักการคำนวน Table'!$D$62:$M$62,HLOOKUP(AI105,'2) หลักการคำนวน Table'!$D$1:$M$5,5,TRUE),0),
IF($C105="SF WH",VLOOKUP("GOAL",'2) หลักการคำนวน Table'!$D$92:$M$92,HLOOKUP(AI105,'2) หลักการคำนวน Table'!$D$1:$M$5,5,TRUE),0))))),0)</f>
        <v>0.9</v>
      </c>
      <c r="AV105" s="232">
        <f>IFERROR(IF($C105="Top WS",VLOOKUP("GOAL",'2) หลักการคำนวน Table'!$D$4:$M$4,HLOOKUP(AP105,'2) หลักการคำนวน Table'!$D$1:$M$5,5,TRUE),0),
IF($C105="WS SF",VLOOKUP("GOAL",'2) หลักการคำนวน Table'!$D$32:$M$32,HLOOKUP(AP105,'2) หลักการคำนวน Table'!$D$1:$M$5,5,TRUE),0),
IF($C105="WS WH",VLOOKUP("GOAL",'2) หลักการคำนวน Table'!$D$62:$M$62,HLOOKUP(AP105,'2) หลักการคำนวน Table'!$D$1:$M$5,5,TRUE),0),
IF($C105="SF WH",VLOOKUP("GOAL",'2) หลักการคำนวน Table'!$D$92:$M$92,HLOOKUP(AP105,'2) หลักการคำนวน Table'!$D$1:$M$5,5,TRUE),0))))),0)</f>
        <v>0.9</v>
      </c>
      <c r="AW105" s="232">
        <f>IFERROR(IF($C105="Top WS",VLOOKUP("GOAL",'2) หลักการคำนวน Table'!$D$4:$M$4,HLOOKUP(AK105,'2) หลักการคำนวน Table'!$D$1:$M$5,5,TRUE),0),
IF($C105="WS SF",VLOOKUP("GOAL",'2) หลักการคำนวน Table'!$D$32:$M$32,HLOOKUP(AK105,'2) หลักการคำนวน Table'!$D$1:$M$5,5,TRUE),0),
IF($C105="WS WH",VLOOKUP("GOAL",'2) หลักการคำนวน Table'!$D$62:$M$62,HLOOKUP(AK105,'2) หลักการคำนวน Table'!$D$1:$M$5,5,TRUE),0),
IF($C105="SF WH",VLOOKUP("GOAL",'2) หลักการคำนวน Table'!$D$92:$M$92,HLOOKUP(AK105,'2) หลักการคำนวน Table'!$D$1:$M$5,5,TRUE),0))))),0)</f>
        <v>0.9</v>
      </c>
      <c r="AX105" s="232">
        <f>IFERROR(IF($C105="Top WS",VLOOKUP("GOAL",'2) หลักการคำนวน Table'!$D$4:$M$4,HLOOKUP(AL105,'2) หลักการคำนวน Table'!$D$1:$M$5,5,TRUE),0),
IF($C105="WS SF",VLOOKUP("GOAL",'2) หลักการคำนวน Table'!$D$32:$M$32,HLOOKUP(AL105,'2) หลักการคำนวน Table'!$D$1:$M$5,5,TRUE),0),
IF($C105="WS WH",VLOOKUP("GOAL",'2) หลักการคำนวน Table'!$D$62:$M$62,HLOOKUP(AL105,'2) หลักการคำนวน Table'!$D$1:$M$5,5,TRUE),0),
IF($C105="SF WH",VLOOKUP("GOAL",'2) หลักการคำนวน Table'!$D$92:$M$92,HLOOKUP(AL105,'2) หลักการคำนวน Table'!$D$1:$M$5,5,TRUE),0))))),0)</f>
        <v>0.9</v>
      </c>
      <c r="AY105" s="232">
        <f>IFERROR(IF($C105="Top WS",VLOOKUP("GOAL",'2) หลักการคำนวน Table'!$D$4:$M$4,HLOOKUP(AM105,'2) หลักการคำนวน Table'!$D$1:$M$5,5,TRUE),0),
IF($C105="WS SF",VLOOKUP("GOAL",'2) หลักการคำนวน Table'!$D$32:$M$32,HLOOKUP(AM105,'2) หลักการคำนวน Table'!$D$1:$M$5,5,TRUE),0),
IF($C105="WS WH",VLOOKUP("GOAL",'2) หลักการคำนวน Table'!$D$62:$M$62,HLOOKUP(AM105,'2) หลักการคำนวน Table'!$D$1:$M$5,5,TRUE),0),
IF($C105="SF WH",VLOOKUP("GOAL",'2) หลักการคำนวน Table'!$D$92:$M$92,HLOOKUP(AM105,'2) หลักการคำนวน Table'!$D$1:$M$5,5,TRUE),0))))),0)</f>
        <v>0.9</v>
      </c>
      <c r="AZ105" s="167">
        <f>IFERROR(IF($C105="Top WS",VLOOKUP($B105,'2) หลักการคำนวน Table'!$D$5:$M$20,HLOOKUP(AB105,'2) หลักการคำนวน Table'!$D$1:$M$5,5,TRUE),0),
IF($C105="WS SF",VLOOKUP($B105,'2) หลักการคำนวน Table'!$D$33:$M$48,HLOOKUP(AB105,'2) หลักการคำนวน Table'!$D$1:$M$5,5,TRUE),0),
IF($C105="WS WH",VLOOKUP($B105,'2) หลักการคำนวน Table'!$D$63:$M$78,HLOOKUP(AB105,'2) หลักการคำนวน Table'!$D$1:$M$5,5,TRUE),0),
IF($C105="SF WH",VLOOKUP($B105,'2) หลักการคำนวน Table'!$D$93:$M$108,HLOOKUP(AB105,'2) หลักการคำนวน Table'!$D$1:$M$5,5,TRUE),0))))),0)</f>
        <v>315</v>
      </c>
      <c r="BA105" s="167">
        <f>IFERROR(IF($C105="Top WS",VLOOKUP($B105,'2) หลักการคำนวน Table'!$D$5:$M$20,HLOOKUP(AC105,'2) หลักการคำนวน Table'!$D$1:$M$5,5,TRUE),0),
IF($C105="WS SF",VLOOKUP($B105,'2) หลักการคำนวน Table'!$D$33:$M$48,HLOOKUP(AC105,'2) หลักการคำนวน Table'!$D$1:$M$5,5,TRUE),0),
IF($C105="WS WH",VLOOKUP($B105,'2) หลักการคำนวน Table'!$D$63:$M$78,HLOOKUP(AC105,'2) หลักการคำนวน Table'!$D$1:$M$5,5,TRUE),0),
IF($C105="SF WH",VLOOKUP($B105,'2) หลักการคำนวน Table'!$D$93:$M$108,HLOOKUP(AC105,'2) หลักการคำนวน Table'!$D$1:$M$5,5,TRUE),0))))),0)</f>
        <v>455</v>
      </c>
      <c r="BB105" s="167">
        <f>IFERROR(IF($C105="Top WS",VLOOKUP($B105,'2) หลักการคำนวน Table'!$D$5:$M$20,HLOOKUP(AD105,'2) หลักการคำนวน Table'!$D$1:$M$5,5,TRUE),0),
IF($C105="WS SF",VLOOKUP($B105,'2) หลักการคำนวน Table'!$D$33:$M$48,HLOOKUP(AD105,'2) หลักการคำนวน Table'!$D$1:$M$5,5,TRUE),0),
IF($C105="WS WH",VLOOKUP($B105,'2) หลักการคำนวน Table'!$D$63:$M$78,HLOOKUP(AD105,'2) หลักการคำนวน Table'!$D$1:$M$5,5,TRUE),0),
IF($C105="SF WH",VLOOKUP($B105,'2) หลักการคำนวน Table'!$D$93:$M$108,HLOOKUP(AD105,'2) หลักการคำนวน Table'!$D$1:$M$5,5,TRUE),0))))),0)</f>
        <v>315</v>
      </c>
      <c r="BC105" s="167">
        <f>IFERROR(IF($C105="Top WS",VLOOKUP($B105,'2) หลักการคำนวน Table'!$D$5:$M$20,HLOOKUP(AE105,'2) หลักการคำนวน Table'!$D$1:$M$5,5,TRUE),0),
IF($C105="WS SF",VLOOKUP($B105,'2) หลักการคำนวน Table'!$D$33:$M$48,HLOOKUP(AE105,'2) หลักการคำนวน Table'!$D$1:$M$5,5,TRUE),0),
IF($C105="WS WH",VLOOKUP($B105,'2) หลักการคำนวน Table'!$D$63:$M$78,HLOOKUP(AE105,'2) หลักการคำนวน Table'!$D$1:$M$5,5,TRUE),0),
IF($C105="SF WH",VLOOKUP($B105,'2) หลักการคำนวน Table'!$D$93:$M$108,HLOOKUP(AE105,'2) หลักการคำนวน Table'!$D$1:$M$5,5,TRUE),0))))),0)</f>
        <v>315</v>
      </c>
      <c r="BD105" s="167">
        <f>IFERROR(IF($C105="Top WS",VLOOKUP($B105,'2) หลักการคำนวน Table'!$D$5:$M$20,HLOOKUP(AF105,'2) หลักการคำนวน Table'!$D$1:$M$5,5,TRUE),0),
IF($C105="WS SF",VLOOKUP($B105,'2) หลักการคำนวน Table'!$D$33:$M$48,HLOOKUP(AF105,'2) หลักการคำนวน Table'!$D$1:$M$5,5,TRUE),0),
IF($C105="WS WH",VLOOKUP($B105,'2) หลักการคำนวน Table'!$D$63:$M$78,HLOOKUP(AF105,'2) หลักการคำนวน Table'!$D$1:$M$5,5,TRUE),0),
IF($C105="SF WH",VLOOKUP($B105,'2) หลักการคำนวน Table'!$D$93:$M$108,HLOOKUP(AF105,'2) หลักการคำนวน Table'!$D$1:$M$5,5,TRUE),0))))),0)</f>
        <v>315</v>
      </c>
      <c r="BE105" s="167">
        <f>IFERROR(IF($C105="Top WS",VLOOKUP($B105,'2) หลักการคำนวน Table'!$D$5:$M$20,HLOOKUP(AG105,'2) หลักการคำนวน Table'!$D$1:$M$5,5,TRUE),0),
IF($C105="WS SF",VLOOKUP($B105,'2) หลักการคำนวน Table'!$D$33:$M$48,HLOOKUP(AG105,'2) หลักการคำนวน Table'!$D$1:$M$5,5,TRUE),0),
IF($C105="WS WH",VLOOKUP($B105,'2) หลักการคำนวน Table'!$D$63:$M$78,HLOOKUP(AG105,'2) หลักการคำนวน Table'!$D$1:$M$5,5,TRUE),0),
IF($C105="SF WH",VLOOKUP($B105,'2) หลักการคำนวน Table'!$D$93:$M$108,HLOOKUP(AG105,'2) หลักการคำนวน Table'!$D$1:$M$5,5,TRUE),0))))),0)</f>
        <v>315</v>
      </c>
      <c r="BF105" s="167">
        <f>IFERROR(IF($C105="Top WS",VLOOKUP($B105,'2) หลักการคำนวน Table'!$D$5:$M$20,HLOOKUP(AH105,'2) หลักการคำนวน Table'!$D$1:$M$5,5,TRUE),0),
IF($C105="WS SF",VLOOKUP($B105,'2) หลักการคำนวน Table'!$D$33:$M$48,HLOOKUP(AH105,'2) หลักการคำนวน Table'!$D$1:$M$5,5,TRUE),0),
IF($C105="WS WH",VLOOKUP($B105,'2) หลักการคำนวน Table'!$D$63:$M$78,HLOOKUP(AH105,'2) หลักการคำนวน Table'!$D$1:$M$5,5,TRUE),0),
IF($C105="SF WH",VLOOKUP($B105,'2) หลักการคำนวน Table'!$D$93:$M$108,HLOOKUP(AH105,'2) หลักการคำนวน Table'!$D$1:$M$5,5,TRUE),0))))),0)</f>
        <v>315</v>
      </c>
      <c r="BG105" s="167">
        <f>IFERROR(IF($C105="Top WS",VLOOKUP($B105,'2) หลักการคำนวน Table'!$D$5:$M$20,HLOOKUP(AI105,'2) หลักการคำนวน Table'!$D$1:$M$5,5,TRUE),0),
IF($C105="WS SF",VLOOKUP($B105,'2) หลักการคำนวน Table'!$D$33:$M$48,HLOOKUP(AI105,'2) หลักการคำนวน Table'!$D$1:$M$5,5,TRUE),0),
IF($C105="WS WH",VLOOKUP($B105,'2) หลักการคำนวน Table'!$D$63:$M$78,HLOOKUP(AI105,'2) หลักการคำนวน Table'!$D$1:$M$5,5,TRUE),0),
IF($C105="SF WH",VLOOKUP($B105,'2) หลักการคำนวน Table'!$D$93:$M$108,HLOOKUP(AI105,'2) หลักการคำนวน Table'!$D$1:$M$5,5,TRUE),0))))),0)</f>
        <v>315</v>
      </c>
      <c r="BH105" s="167">
        <f>IFERROR(IF($C105="Top WS",VLOOKUP($B105,'2) หลักการคำนวน Table'!$D$5:$M$20,HLOOKUP(AP105,'2) หลักการคำนวน Table'!$D$1:$M$5,5,TRUE),0),
IF($C105="WS SF",VLOOKUP($B105,'2) หลักการคำนวน Table'!$D$33:$M$48,HLOOKUP(AP105,'2) หลักการคำนวน Table'!$D$1:$M$5,5,TRUE),0),
IF($C105="WS WH",VLOOKUP($B105,'2) หลักการคำนวน Table'!$D$63:$M$78,HLOOKUP(AP105,'2) หลักการคำนวน Table'!$D$1:$M$5,5,TRUE),0),
IF($C105="SF WH",VLOOKUP($B105,'2) หลักการคำนวน Table'!$D$93:$M$108,HLOOKUP(AP105,'2) หลักการคำนวน Table'!$D$1:$M$5,5,TRUE),0))))),0)</f>
        <v>315</v>
      </c>
      <c r="BI105" s="167">
        <f>IFERROR(IF($C105="Top WS",VLOOKUP($B105,'2) หลักการคำนวน Table'!$D$5:$M$20,HLOOKUP(AK105,'2) หลักการคำนวน Table'!$D$1:$M$5,5,TRUE),0),
IF($C105="WS SF",VLOOKUP($B105,'2) หลักการคำนวน Table'!$D$33:$M$48,HLOOKUP(AK105,'2) หลักการคำนวน Table'!$D$1:$M$5,5,TRUE),0),
IF($C105="WS WH",VLOOKUP($B105,'2) หลักการคำนวน Table'!$D$63:$M$78,HLOOKUP(AK105,'2) หลักการคำนวน Table'!$D$1:$M$5,5,TRUE),0),
IF($C105="SF WH",VLOOKUP($B105,'2) หลักการคำนวน Table'!$D$93:$M$108,HLOOKUP(AK105,'2) หลักการคำนวน Table'!$D$1:$M$5,5,TRUE),0))))),0)</f>
        <v>315</v>
      </c>
      <c r="BJ105" s="167">
        <f>IFERROR(IF($C105="Top WS",VLOOKUP($B105,'2) หลักการคำนวน Table'!$D$5:$M$20,HLOOKUP(AL105,'2) หลักการคำนวน Table'!$D$1:$M$5,5,TRUE),0),
IF($C105="WS SF",VLOOKUP($B105,'2) หลักการคำนวน Table'!$D$33:$M$48,HLOOKUP(AL105,'2) หลักการคำนวน Table'!$D$1:$M$5,5,TRUE),0),
IF($C105="WS WH",VLOOKUP($B105,'2) หลักการคำนวน Table'!$D$63:$M$78,HLOOKUP(AL105,'2) หลักการคำนวน Table'!$D$1:$M$5,5,TRUE),0),
IF($C105="SF WH",VLOOKUP($B105,'2) หลักการคำนวน Table'!$D$93:$M$108,HLOOKUP(AL105,'2) หลักการคำนวน Table'!$D$1:$M$5,5,TRUE),0))))),0)</f>
        <v>315</v>
      </c>
      <c r="BK105" s="167">
        <f>IFERROR(IF($C105="Top WS",VLOOKUP($B105,'2) หลักการคำนวน Table'!$D$5:$M$20,HLOOKUP(AM105,'2) หลักการคำนวน Table'!$D$1:$M$5,5,TRUE),0),
IF($C105="WS SF",VLOOKUP($B105,'2) หลักการคำนวน Table'!$D$33:$M$48,HLOOKUP(AM105,'2) หลักการคำนวน Table'!$D$1:$M$5,5,TRUE),0),
IF($C105="WS WH",VLOOKUP($B105,'2) หลักการคำนวน Table'!$D$63:$M$78,HLOOKUP(AM105,'2) หลักการคำนวน Table'!$D$1:$M$5,5,TRUE),0),
IF($C105="SF WH",VLOOKUP($B105,'2) หลักการคำนวน Table'!$D$93:$M$108,HLOOKUP(AM105,'2) หลักการคำนวน Table'!$D$1:$M$5,5,TRUE),0))))),0)</f>
        <v>315</v>
      </c>
      <c r="BM105" s="119">
        <f>VLOOKUP(VLOOKUP(A105,ASTBase!E:S,13,FALSE),ASTBase!F:P,11,FALSE)</f>
        <v>110000</v>
      </c>
      <c r="BN105" s="196" cm="1">
        <f t="array" ref="BN105">INDEX(AN105:AY105,,Period!$D$2)</f>
        <v>1.3</v>
      </c>
    </row>
    <row r="106" spans="1:66" x14ac:dyDescent="0.25">
      <c r="A106" s="388">
        <v>110003</v>
      </c>
      <c r="B106" s="388" t="s">
        <v>391</v>
      </c>
      <c r="C106" s="388" t="s">
        <v>180</v>
      </c>
      <c r="D106" s="118">
        <v>856</v>
      </c>
      <c r="E106" s="118">
        <v>959</v>
      </c>
      <c r="F106" s="118">
        <v>939</v>
      </c>
      <c r="G106" s="118">
        <v>1088</v>
      </c>
      <c r="H106" s="118">
        <v>987</v>
      </c>
      <c r="I106" s="118">
        <v>998</v>
      </c>
      <c r="J106" s="118">
        <v>1010</v>
      </c>
      <c r="K106" s="118">
        <v>1113</v>
      </c>
      <c r="L106" s="118">
        <v>1183</v>
      </c>
      <c r="M106" s="118">
        <v>1041</v>
      </c>
      <c r="N106" s="118">
        <v>998</v>
      </c>
      <c r="O106" s="118">
        <v>835</v>
      </c>
      <c r="P106" s="117">
        <f>SUMIFS(Actual!C:C,Actual!$A:$A,'3)Target &amp; Cal'!$A106,Actual!$B:$B,'3)Target &amp; Cal'!$B106)</f>
        <v>35.999999999639996</v>
      </c>
      <c r="Q106" s="117">
        <f>SUMIFS(Actual!D:D,Actual!$A:$A,'3)Target &amp; Cal'!$A106,Actual!$B:$B,'3)Target &amp; Cal'!$B106)</f>
        <v>1055.9999999883601</v>
      </c>
      <c r="R106" s="117">
        <f>SUMIFS(Actual!E:E,Actual!$A:$A,'3)Target &amp; Cal'!$A106,Actual!$B:$B,'3)Target &amp; Cal'!$B106)</f>
        <v>0</v>
      </c>
      <c r="S106" s="117">
        <f>SUMIFS(Actual!F:F,Actual!$A:$A,'3)Target &amp; Cal'!$A106,Actual!$B:$B,'3)Target &amp; Cal'!$B106)</f>
        <v>0</v>
      </c>
      <c r="T106" s="117">
        <f>SUMIFS(Actual!G:G,Actual!$A:$A,'3)Target &amp; Cal'!$A106,Actual!$B:$B,'3)Target &amp; Cal'!$B106)</f>
        <v>0</v>
      </c>
      <c r="U106" s="117">
        <f>SUMIFS(Actual!H:H,Actual!$A:$A,'3)Target &amp; Cal'!$A106,Actual!$B:$B,'3)Target &amp; Cal'!$B106)</f>
        <v>0</v>
      </c>
      <c r="V106" s="117">
        <f>SUMIFS(Actual!I:I,Actual!$A:$A,'3)Target &amp; Cal'!$A106,Actual!$B:$B,'3)Target &amp; Cal'!$B106)</f>
        <v>0</v>
      </c>
      <c r="W106" s="117">
        <f>SUMIFS(Actual!J:J,Actual!$A:$A,'3)Target &amp; Cal'!$A106,Actual!$B:$B,'3)Target &amp; Cal'!$B106)</f>
        <v>0</v>
      </c>
      <c r="X106" s="117">
        <f>SUMIFS(Actual!K:K,Actual!$A:$A,'3)Target &amp; Cal'!$A106,Actual!$B:$B,'3)Target &amp; Cal'!$B106)</f>
        <v>0</v>
      </c>
      <c r="Y106" s="117">
        <f>SUMIFS(Actual!L:L,Actual!$A:$A,'3)Target &amp; Cal'!$A106,Actual!$B:$B,'3)Target &amp; Cal'!$B106)</f>
        <v>0</v>
      </c>
      <c r="Z106" s="117">
        <f>SUMIFS(Actual!M:M,Actual!$A:$A,'3)Target &amp; Cal'!$A106,Actual!$B:$B,'3)Target &amp; Cal'!$B106)</f>
        <v>0</v>
      </c>
      <c r="AA106" s="117">
        <f>SUMIFS(Actual!N:N,Actual!$A:$A,'3)Target &amp; Cal'!$A106,Actual!$B:$B,'3)Target &amp; Cal'!$B106)</f>
        <v>0</v>
      </c>
      <c r="AB106" s="123">
        <f>IFERROR(IF(VLOOKUP($B106,Shortage!$A:$M,AB$2,FALSE)="Shortage",1,IFERROR(ROUND(P106/D106,4),0)),IFERROR(ROUND(P106/D106,4),0))</f>
        <v>1</v>
      </c>
      <c r="AC106" s="123">
        <f>IFERROR(IF(VLOOKUP($B106,Shortage!$A:$M,AC$2,FALSE)="Shortage",1,IFERROR(ROUND(Q106/E106,4),0)),IFERROR(ROUND(Q106/E106,4),0))</f>
        <v>1</v>
      </c>
      <c r="AD106" s="123">
        <f>IFERROR(IF(VLOOKUP($B106,Shortage!$A:$M,AD$2,FALSE)="Shortage",1,IFERROR(ROUND(R106/F106,4),0)),IFERROR(ROUND(R106/F106,4),0))</f>
        <v>0</v>
      </c>
      <c r="AE106" s="123">
        <f>IFERROR(IF(VLOOKUP($B106,Shortage!$A:$M,AE$2,FALSE)="Shortage",1,IFERROR(ROUND(S106/G106,4),0)),IFERROR(ROUND(S106/G106,4),0))</f>
        <v>0</v>
      </c>
      <c r="AF106" s="123">
        <f>IFERROR(IF(VLOOKUP($B106,Shortage!$A:$M,AF$2,FALSE)="Shortage",1,IFERROR(ROUND(T106/H106,4),0)),IFERROR(ROUND(T106/H106,4),0))</f>
        <v>0</v>
      </c>
      <c r="AG106" s="123">
        <f>IFERROR(IF(VLOOKUP($B106,Shortage!$A:$M,AG$2,FALSE)="Shortage",1,IFERROR(ROUND(U106/I106,4),0)),IFERROR(ROUND(U106/I106,4),0))</f>
        <v>0</v>
      </c>
      <c r="AH106" s="123">
        <f>IFERROR(IF(VLOOKUP($B106,Shortage!$A:$M,AH$2,FALSE)="Shortage",1,IFERROR(ROUND(V106/J106,4),0)),IFERROR(ROUND(V106/J106,4),0))</f>
        <v>0</v>
      </c>
      <c r="AI106" s="123">
        <f>IFERROR(IF(VLOOKUP($B106,Shortage!$A:$M,AI$2,FALSE)="Shortage",1,IFERROR(ROUND(W106/K106,4),0)),IFERROR(ROUND(W106/K106,4),0))</f>
        <v>0</v>
      </c>
      <c r="AJ106" s="123">
        <f>IFERROR(IF(VLOOKUP($B106,Shortage!$A:$M,AP$2,FALSE)="Shortage",1,IFERROR(ROUND(X106/L106,4),0)),IFERROR(ROUND(X106/L106,4),0))</f>
        <v>0</v>
      </c>
      <c r="AK106" s="123">
        <f>IFERROR(IF(VLOOKUP($B106,Shortage!$A:$M,AK$2,FALSE)="Shortage",1,IFERROR(ROUND(Y106/M106,4),0)),IFERROR(ROUND(Y106/M106,4),0))</f>
        <v>0</v>
      </c>
      <c r="AL106" s="123">
        <f>IFERROR(IF(VLOOKUP($B106,Shortage!$A:$M,AL$2,FALSE)="Shortage",1,IFERROR(ROUND(Z106/N106,4),0)),IFERROR(ROUND(Z106/N106,4),0))</f>
        <v>0</v>
      </c>
      <c r="AM106" s="123">
        <f>IFERROR(IF(VLOOKUP($B106,Shortage!$A:$M,AM$2,FALSE)="Shortage",1,IFERROR(ROUND(AA106/O106,4),0)),IFERROR(ROUND(AA106/O106,4),0))</f>
        <v>0</v>
      </c>
      <c r="AN106" s="232">
        <f>IFERROR(IF($C106="Top WS",VLOOKUP("GOAL",'2) หลักการคำนวน Table'!$D$4:$M$4,HLOOKUP(AB106,'2) หลักการคำนวน Table'!$D$1:$M$5,5,TRUE),0),
IF($C106="WS SF",VLOOKUP("GOAL",'2) หลักการคำนวน Table'!$D$32:$M$32,HLOOKUP(AB106,'2) หลักการคำนวน Table'!$D$1:$M$5,5,TRUE),0),
IF($C106="WS WH",VLOOKUP("GOAL",'2) หลักการคำนวน Table'!$D$62:$M$62,HLOOKUP(AB106,'2) หลักการคำนวน Table'!$D$1:$M$5,5,TRUE),0),
IF($C106="SF WH",VLOOKUP("GOAL",'2) หลักการคำนวน Table'!$D$92:$M$92,HLOOKUP(AB106,'2) หลักการคำนวน Table'!$D$1:$M$5,5,TRUE),0))))),0)</f>
        <v>1</v>
      </c>
      <c r="AO106" s="232">
        <f>IFERROR(IF($C106="Top WS",VLOOKUP("GOAL",'2) หลักการคำนวน Table'!$D$4:$M$4,HLOOKUP(AC106,'2) หลักการคำนวน Table'!$D$1:$M$5,5,TRUE),0),
IF($C106="WS SF",VLOOKUP("GOAL",'2) หลักการคำนวน Table'!$D$32:$M$32,HLOOKUP(AC106,'2) หลักการคำนวน Table'!$D$1:$M$5,5,TRUE),0),
IF($C106="WS WH",VLOOKUP("GOAL",'2) หลักการคำนวน Table'!$D$62:$M$62,HLOOKUP(AC106,'2) หลักการคำนวน Table'!$D$1:$M$5,5,TRUE),0),
IF($C106="SF WH",VLOOKUP("GOAL",'2) หลักการคำนวน Table'!$D$92:$M$92,HLOOKUP(AC106,'2) หลักการคำนวน Table'!$D$1:$M$5,5,TRUE),0))))),0)</f>
        <v>1</v>
      </c>
      <c r="AP106" s="232">
        <f>IFERROR(IF($C106="Top WS",VLOOKUP("GOAL",'2) หลักการคำนวน Table'!$D$4:$M$4,HLOOKUP(AD106,'2) หลักการคำนวน Table'!$D$1:$M$5,5,TRUE),0),
IF($C106="WS SF",VLOOKUP("GOAL",'2) หลักการคำนวน Table'!$D$32:$M$32,HLOOKUP(AD106,'2) หลักการคำนวน Table'!$D$1:$M$5,5,TRUE),0),
IF($C106="WS WH",VLOOKUP("GOAL",'2) หลักการคำนวน Table'!$D$62:$M$62,HLOOKUP(AD106,'2) หลักการคำนวน Table'!$D$1:$M$5,5,TRUE),0),
IF($C106="SF WH",VLOOKUP("GOAL",'2) หลักการคำนวน Table'!$D$92:$M$92,HLOOKUP(AD106,'2) หลักการคำนวน Table'!$D$1:$M$5,5,TRUE),0))))),0)</f>
        <v>0.9</v>
      </c>
      <c r="AQ106" s="232">
        <f>IFERROR(IF($C106="Top WS",VLOOKUP("GOAL",'2) หลักการคำนวน Table'!$D$4:$M$4,HLOOKUP(AE106,'2) หลักการคำนวน Table'!$D$1:$M$5,5,TRUE),0),
IF($C106="WS SF",VLOOKUP("GOAL",'2) หลักการคำนวน Table'!$D$32:$M$32,HLOOKUP(AE106,'2) หลักการคำนวน Table'!$D$1:$M$5,5,TRUE),0),
IF($C106="WS WH",VLOOKUP("GOAL",'2) หลักการคำนวน Table'!$D$62:$M$62,HLOOKUP(AE106,'2) หลักการคำนวน Table'!$D$1:$M$5,5,TRUE),0),
IF($C106="SF WH",VLOOKUP("GOAL",'2) หลักการคำนวน Table'!$D$92:$M$92,HLOOKUP(AE106,'2) หลักการคำนวน Table'!$D$1:$M$5,5,TRUE),0))))),0)</f>
        <v>0.9</v>
      </c>
      <c r="AR106" s="232">
        <f>IFERROR(IF($C106="Top WS",VLOOKUP("GOAL",'2) หลักการคำนวน Table'!$D$4:$M$4,HLOOKUP(AF106,'2) หลักการคำนวน Table'!$D$1:$M$5,5,TRUE),0),
IF($C106="WS SF",VLOOKUP("GOAL",'2) หลักการคำนวน Table'!$D$32:$M$32,HLOOKUP(AF106,'2) หลักการคำนวน Table'!$D$1:$M$5,5,TRUE),0),
IF($C106="WS WH",VLOOKUP("GOAL",'2) หลักการคำนวน Table'!$D$62:$M$62,HLOOKUP(AF106,'2) หลักการคำนวน Table'!$D$1:$M$5,5,TRUE),0),
IF($C106="SF WH",VLOOKUP("GOAL",'2) หลักการคำนวน Table'!$D$92:$M$92,HLOOKUP(AF106,'2) หลักการคำนวน Table'!$D$1:$M$5,5,TRUE),0))))),0)</f>
        <v>0.9</v>
      </c>
      <c r="AS106" s="232">
        <f>IFERROR(IF($C106="Top WS",VLOOKUP("GOAL",'2) หลักการคำนวน Table'!$D$4:$M$4,HLOOKUP(AG106,'2) หลักการคำนวน Table'!$D$1:$M$5,5,TRUE),0),
IF($C106="WS SF",VLOOKUP("GOAL",'2) หลักการคำนวน Table'!$D$32:$M$32,HLOOKUP(AG106,'2) หลักการคำนวน Table'!$D$1:$M$5,5,TRUE),0),
IF($C106="WS WH",VLOOKUP("GOAL",'2) หลักการคำนวน Table'!$D$62:$M$62,HLOOKUP(AG106,'2) หลักการคำนวน Table'!$D$1:$M$5,5,TRUE),0),
IF($C106="SF WH",VLOOKUP("GOAL",'2) หลักการคำนวน Table'!$D$92:$M$92,HLOOKUP(AG106,'2) หลักการคำนวน Table'!$D$1:$M$5,5,TRUE),0))))),0)</f>
        <v>0.9</v>
      </c>
      <c r="AT106" s="232">
        <f>IFERROR(IF($C106="Top WS",VLOOKUP("GOAL",'2) หลักการคำนวน Table'!$D$4:$M$4,HLOOKUP(AH106,'2) หลักการคำนวน Table'!$D$1:$M$5,5,TRUE),0),
IF($C106="WS SF",VLOOKUP("GOAL",'2) หลักการคำนวน Table'!$D$32:$M$32,HLOOKUP(AH106,'2) หลักการคำนวน Table'!$D$1:$M$5,5,TRUE),0),
IF($C106="WS WH",VLOOKUP("GOAL",'2) หลักการคำนวน Table'!$D$62:$M$62,HLOOKUP(AH106,'2) หลักการคำนวน Table'!$D$1:$M$5,5,TRUE),0),
IF($C106="SF WH",VLOOKUP("GOAL",'2) หลักการคำนวน Table'!$D$92:$M$92,HLOOKUP(AH106,'2) หลักการคำนวน Table'!$D$1:$M$5,5,TRUE),0))))),0)</f>
        <v>0.9</v>
      </c>
      <c r="AU106" s="232">
        <f>IFERROR(IF($C106="Top WS",VLOOKUP("GOAL",'2) หลักการคำนวน Table'!$D$4:$M$4,HLOOKUP(AI106,'2) หลักการคำนวน Table'!$D$1:$M$5,5,TRUE),0),
IF($C106="WS SF",VLOOKUP("GOAL",'2) หลักการคำนวน Table'!$D$32:$M$32,HLOOKUP(AI106,'2) หลักการคำนวน Table'!$D$1:$M$5,5,TRUE),0),
IF($C106="WS WH",VLOOKUP("GOAL",'2) หลักการคำนวน Table'!$D$62:$M$62,HLOOKUP(AI106,'2) หลักการคำนวน Table'!$D$1:$M$5,5,TRUE),0),
IF($C106="SF WH",VLOOKUP("GOAL",'2) หลักการคำนวน Table'!$D$92:$M$92,HLOOKUP(AI106,'2) หลักการคำนวน Table'!$D$1:$M$5,5,TRUE),0))))),0)</f>
        <v>0.9</v>
      </c>
      <c r="AV106" s="232">
        <f>IFERROR(IF($C106="Top WS",VLOOKUP("GOAL",'2) หลักการคำนวน Table'!$D$4:$M$4,HLOOKUP(AP106,'2) หลักการคำนวน Table'!$D$1:$M$5,5,TRUE),0),
IF($C106="WS SF",VLOOKUP("GOAL",'2) หลักการคำนวน Table'!$D$32:$M$32,HLOOKUP(AP106,'2) หลักการคำนวน Table'!$D$1:$M$5,5,TRUE),0),
IF($C106="WS WH",VLOOKUP("GOAL",'2) หลักการคำนวน Table'!$D$62:$M$62,HLOOKUP(AP106,'2) หลักการคำนวน Table'!$D$1:$M$5,5,TRUE),0),
IF($C106="SF WH",VLOOKUP("GOAL",'2) หลักการคำนวน Table'!$D$92:$M$92,HLOOKUP(AP106,'2) หลักการคำนวน Table'!$D$1:$M$5,5,TRUE),0))))),0)</f>
        <v>0.9</v>
      </c>
      <c r="AW106" s="232">
        <f>IFERROR(IF($C106="Top WS",VLOOKUP("GOAL",'2) หลักการคำนวน Table'!$D$4:$M$4,HLOOKUP(AK106,'2) หลักการคำนวน Table'!$D$1:$M$5,5,TRUE),0),
IF($C106="WS SF",VLOOKUP("GOAL",'2) หลักการคำนวน Table'!$D$32:$M$32,HLOOKUP(AK106,'2) หลักการคำนวน Table'!$D$1:$M$5,5,TRUE),0),
IF($C106="WS WH",VLOOKUP("GOAL",'2) หลักการคำนวน Table'!$D$62:$M$62,HLOOKUP(AK106,'2) หลักการคำนวน Table'!$D$1:$M$5,5,TRUE),0),
IF($C106="SF WH",VLOOKUP("GOAL",'2) หลักการคำนวน Table'!$D$92:$M$92,HLOOKUP(AK106,'2) หลักการคำนวน Table'!$D$1:$M$5,5,TRUE),0))))),0)</f>
        <v>0.9</v>
      </c>
      <c r="AX106" s="232">
        <f>IFERROR(IF($C106="Top WS",VLOOKUP("GOAL",'2) หลักการคำนวน Table'!$D$4:$M$4,HLOOKUP(AL106,'2) หลักการคำนวน Table'!$D$1:$M$5,5,TRUE),0),
IF($C106="WS SF",VLOOKUP("GOAL",'2) หลักการคำนวน Table'!$D$32:$M$32,HLOOKUP(AL106,'2) หลักการคำนวน Table'!$D$1:$M$5,5,TRUE),0),
IF($C106="WS WH",VLOOKUP("GOAL",'2) หลักการคำนวน Table'!$D$62:$M$62,HLOOKUP(AL106,'2) หลักการคำนวน Table'!$D$1:$M$5,5,TRUE),0),
IF($C106="SF WH",VLOOKUP("GOAL",'2) หลักการคำนวน Table'!$D$92:$M$92,HLOOKUP(AL106,'2) หลักการคำนวน Table'!$D$1:$M$5,5,TRUE),0))))),0)</f>
        <v>0.9</v>
      </c>
      <c r="AY106" s="232">
        <f>IFERROR(IF($C106="Top WS",VLOOKUP("GOAL",'2) หลักการคำนวน Table'!$D$4:$M$4,HLOOKUP(AM106,'2) หลักการคำนวน Table'!$D$1:$M$5,5,TRUE),0),
IF($C106="WS SF",VLOOKUP("GOAL",'2) หลักการคำนวน Table'!$D$32:$M$32,HLOOKUP(AM106,'2) หลักการคำนวน Table'!$D$1:$M$5,5,TRUE),0),
IF($C106="WS WH",VLOOKUP("GOAL",'2) หลักการคำนวน Table'!$D$62:$M$62,HLOOKUP(AM106,'2) หลักการคำนวน Table'!$D$1:$M$5,5,TRUE),0),
IF($C106="SF WH",VLOOKUP("GOAL",'2) หลักการคำนวน Table'!$D$92:$M$92,HLOOKUP(AM106,'2) หลักการคำนวน Table'!$D$1:$M$5,5,TRUE),0))))),0)</f>
        <v>0.9</v>
      </c>
      <c r="AZ106" s="167">
        <f>IFERROR(IF($C106="Top WS",VLOOKUP($B106,'2) หลักการคำนวน Table'!$D$5:$M$20,HLOOKUP(AB106,'2) หลักการคำนวน Table'!$D$1:$M$5,5,TRUE),0),
IF($C106="WS SF",VLOOKUP($B106,'2) หลักการคำนวน Table'!$D$33:$M$48,HLOOKUP(AB106,'2) หลักการคำนวน Table'!$D$1:$M$5,5,TRUE),0),
IF($C106="WS WH",VLOOKUP($B106,'2) หลักการคำนวน Table'!$D$63:$M$78,HLOOKUP(AB106,'2) หลักการคำนวน Table'!$D$1:$M$5,5,TRUE),0),
IF($C106="SF WH",VLOOKUP($B106,'2) หลักการคำนวน Table'!$D$93:$M$108,HLOOKUP(AB106,'2) หลักการคำนวน Table'!$D$1:$M$5,5,TRUE),0))))),0)</f>
        <v>350</v>
      </c>
      <c r="BA106" s="167">
        <f>IFERROR(IF($C106="Top WS",VLOOKUP($B106,'2) หลักการคำนวน Table'!$D$5:$M$20,HLOOKUP(AC106,'2) หลักการคำนวน Table'!$D$1:$M$5,5,TRUE),0),
IF($C106="WS SF",VLOOKUP($B106,'2) หลักการคำนวน Table'!$D$33:$M$48,HLOOKUP(AC106,'2) หลักการคำนวน Table'!$D$1:$M$5,5,TRUE),0),
IF($C106="WS WH",VLOOKUP($B106,'2) หลักการคำนวน Table'!$D$63:$M$78,HLOOKUP(AC106,'2) หลักการคำนวน Table'!$D$1:$M$5,5,TRUE),0),
IF($C106="SF WH",VLOOKUP($B106,'2) หลักการคำนวน Table'!$D$93:$M$108,HLOOKUP(AC106,'2) หลักการคำนวน Table'!$D$1:$M$5,5,TRUE),0))))),0)</f>
        <v>350</v>
      </c>
      <c r="BB106" s="167">
        <f>IFERROR(IF($C106="Top WS",VLOOKUP($B106,'2) หลักการคำนวน Table'!$D$5:$M$20,HLOOKUP(AD106,'2) หลักการคำนวน Table'!$D$1:$M$5,5,TRUE),0),
IF($C106="WS SF",VLOOKUP($B106,'2) หลักการคำนวน Table'!$D$33:$M$48,HLOOKUP(AD106,'2) หลักการคำนวน Table'!$D$1:$M$5,5,TRUE),0),
IF($C106="WS WH",VLOOKUP($B106,'2) หลักการคำนวน Table'!$D$63:$M$78,HLOOKUP(AD106,'2) หลักการคำนวน Table'!$D$1:$M$5,5,TRUE),0),
IF($C106="SF WH",VLOOKUP($B106,'2) หลักการคำนวน Table'!$D$93:$M$108,HLOOKUP(AD106,'2) หลักการคำนวน Table'!$D$1:$M$5,5,TRUE),0))))),0)</f>
        <v>315</v>
      </c>
      <c r="BC106" s="167">
        <f>IFERROR(IF($C106="Top WS",VLOOKUP($B106,'2) หลักการคำนวน Table'!$D$5:$M$20,HLOOKUP(AE106,'2) หลักการคำนวน Table'!$D$1:$M$5,5,TRUE),0),
IF($C106="WS SF",VLOOKUP($B106,'2) หลักการคำนวน Table'!$D$33:$M$48,HLOOKUP(AE106,'2) หลักการคำนวน Table'!$D$1:$M$5,5,TRUE),0),
IF($C106="WS WH",VLOOKUP($B106,'2) หลักการคำนวน Table'!$D$63:$M$78,HLOOKUP(AE106,'2) หลักการคำนวน Table'!$D$1:$M$5,5,TRUE),0),
IF($C106="SF WH",VLOOKUP($B106,'2) หลักการคำนวน Table'!$D$93:$M$108,HLOOKUP(AE106,'2) หลักการคำนวน Table'!$D$1:$M$5,5,TRUE),0))))),0)</f>
        <v>315</v>
      </c>
      <c r="BD106" s="167">
        <f>IFERROR(IF($C106="Top WS",VLOOKUP($B106,'2) หลักการคำนวน Table'!$D$5:$M$20,HLOOKUP(AF106,'2) หลักการคำนวน Table'!$D$1:$M$5,5,TRUE),0),
IF($C106="WS SF",VLOOKUP($B106,'2) หลักการคำนวน Table'!$D$33:$M$48,HLOOKUP(AF106,'2) หลักการคำนวน Table'!$D$1:$M$5,5,TRUE),0),
IF($C106="WS WH",VLOOKUP($B106,'2) หลักการคำนวน Table'!$D$63:$M$78,HLOOKUP(AF106,'2) หลักการคำนวน Table'!$D$1:$M$5,5,TRUE),0),
IF($C106="SF WH",VLOOKUP($B106,'2) หลักการคำนวน Table'!$D$93:$M$108,HLOOKUP(AF106,'2) หลักการคำนวน Table'!$D$1:$M$5,5,TRUE),0))))),0)</f>
        <v>315</v>
      </c>
      <c r="BE106" s="167">
        <f>IFERROR(IF($C106="Top WS",VLOOKUP($B106,'2) หลักการคำนวน Table'!$D$5:$M$20,HLOOKUP(AG106,'2) หลักการคำนวน Table'!$D$1:$M$5,5,TRUE),0),
IF($C106="WS SF",VLOOKUP($B106,'2) หลักการคำนวน Table'!$D$33:$M$48,HLOOKUP(AG106,'2) หลักการคำนวน Table'!$D$1:$M$5,5,TRUE),0),
IF($C106="WS WH",VLOOKUP($B106,'2) หลักการคำนวน Table'!$D$63:$M$78,HLOOKUP(AG106,'2) หลักการคำนวน Table'!$D$1:$M$5,5,TRUE),0),
IF($C106="SF WH",VLOOKUP($B106,'2) หลักการคำนวน Table'!$D$93:$M$108,HLOOKUP(AG106,'2) หลักการคำนวน Table'!$D$1:$M$5,5,TRUE),0))))),0)</f>
        <v>315</v>
      </c>
      <c r="BF106" s="167">
        <f>IFERROR(IF($C106="Top WS",VLOOKUP($B106,'2) หลักการคำนวน Table'!$D$5:$M$20,HLOOKUP(AH106,'2) หลักการคำนวน Table'!$D$1:$M$5,5,TRUE),0),
IF($C106="WS SF",VLOOKUP($B106,'2) หลักการคำนวน Table'!$D$33:$M$48,HLOOKUP(AH106,'2) หลักการคำนวน Table'!$D$1:$M$5,5,TRUE),0),
IF($C106="WS WH",VLOOKUP($B106,'2) หลักการคำนวน Table'!$D$63:$M$78,HLOOKUP(AH106,'2) หลักการคำนวน Table'!$D$1:$M$5,5,TRUE),0),
IF($C106="SF WH",VLOOKUP($B106,'2) หลักการคำนวน Table'!$D$93:$M$108,HLOOKUP(AH106,'2) หลักการคำนวน Table'!$D$1:$M$5,5,TRUE),0))))),0)</f>
        <v>315</v>
      </c>
      <c r="BG106" s="167">
        <f>IFERROR(IF($C106="Top WS",VLOOKUP($B106,'2) หลักการคำนวน Table'!$D$5:$M$20,HLOOKUP(AI106,'2) หลักการคำนวน Table'!$D$1:$M$5,5,TRUE),0),
IF($C106="WS SF",VLOOKUP($B106,'2) หลักการคำนวน Table'!$D$33:$M$48,HLOOKUP(AI106,'2) หลักการคำนวน Table'!$D$1:$M$5,5,TRUE),0),
IF($C106="WS WH",VLOOKUP($B106,'2) หลักการคำนวน Table'!$D$63:$M$78,HLOOKUP(AI106,'2) หลักการคำนวน Table'!$D$1:$M$5,5,TRUE),0),
IF($C106="SF WH",VLOOKUP($B106,'2) หลักการคำนวน Table'!$D$93:$M$108,HLOOKUP(AI106,'2) หลักการคำนวน Table'!$D$1:$M$5,5,TRUE),0))))),0)</f>
        <v>315</v>
      </c>
      <c r="BH106" s="167">
        <f>IFERROR(IF($C106="Top WS",VLOOKUP($B106,'2) หลักการคำนวน Table'!$D$5:$M$20,HLOOKUP(AP106,'2) หลักการคำนวน Table'!$D$1:$M$5,5,TRUE),0),
IF($C106="WS SF",VLOOKUP($B106,'2) หลักการคำนวน Table'!$D$33:$M$48,HLOOKUP(AP106,'2) หลักการคำนวน Table'!$D$1:$M$5,5,TRUE),0),
IF($C106="WS WH",VLOOKUP($B106,'2) หลักการคำนวน Table'!$D$63:$M$78,HLOOKUP(AP106,'2) หลักการคำนวน Table'!$D$1:$M$5,5,TRUE),0),
IF($C106="SF WH",VLOOKUP($B106,'2) หลักการคำนวน Table'!$D$93:$M$108,HLOOKUP(AP106,'2) หลักการคำนวน Table'!$D$1:$M$5,5,TRUE),0))))),0)</f>
        <v>315</v>
      </c>
      <c r="BI106" s="167">
        <f>IFERROR(IF($C106="Top WS",VLOOKUP($B106,'2) หลักการคำนวน Table'!$D$5:$M$20,HLOOKUP(AK106,'2) หลักการคำนวน Table'!$D$1:$M$5,5,TRUE),0),
IF($C106="WS SF",VLOOKUP($B106,'2) หลักการคำนวน Table'!$D$33:$M$48,HLOOKUP(AK106,'2) หลักการคำนวน Table'!$D$1:$M$5,5,TRUE),0),
IF($C106="WS WH",VLOOKUP($B106,'2) หลักการคำนวน Table'!$D$63:$M$78,HLOOKUP(AK106,'2) หลักการคำนวน Table'!$D$1:$M$5,5,TRUE),0),
IF($C106="SF WH",VLOOKUP($B106,'2) หลักการคำนวน Table'!$D$93:$M$108,HLOOKUP(AK106,'2) หลักการคำนวน Table'!$D$1:$M$5,5,TRUE),0))))),0)</f>
        <v>315</v>
      </c>
      <c r="BJ106" s="167">
        <f>IFERROR(IF($C106="Top WS",VLOOKUP($B106,'2) หลักการคำนวน Table'!$D$5:$M$20,HLOOKUP(AL106,'2) หลักการคำนวน Table'!$D$1:$M$5,5,TRUE),0),
IF($C106="WS SF",VLOOKUP($B106,'2) หลักการคำนวน Table'!$D$33:$M$48,HLOOKUP(AL106,'2) หลักการคำนวน Table'!$D$1:$M$5,5,TRUE),0),
IF($C106="WS WH",VLOOKUP($B106,'2) หลักการคำนวน Table'!$D$63:$M$78,HLOOKUP(AL106,'2) หลักการคำนวน Table'!$D$1:$M$5,5,TRUE),0),
IF($C106="SF WH",VLOOKUP($B106,'2) หลักการคำนวน Table'!$D$93:$M$108,HLOOKUP(AL106,'2) หลักการคำนวน Table'!$D$1:$M$5,5,TRUE),0))))),0)</f>
        <v>315</v>
      </c>
      <c r="BK106" s="167">
        <f>IFERROR(IF($C106="Top WS",VLOOKUP($B106,'2) หลักการคำนวน Table'!$D$5:$M$20,HLOOKUP(AM106,'2) หลักการคำนวน Table'!$D$1:$M$5,5,TRUE),0),
IF($C106="WS SF",VLOOKUP($B106,'2) หลักการคำนวน Table'!$D$33:$M$48,HLOOKUP(AM106,'2) หลักการคำนวน Table'!$D$1:$M$5,5,TRUE),0),
IF($C106="WS WH",VLOOKUP($B106,'2) หลักการคำนวน Table'!$D$63:$M$78,HLOOKUP(AM106,'2) หลักการคำนวน Table'!$D$1:$M$5,5,TRUE),0),
IF($C106="SF WH",VLOOKUP($B106,'2) หลักการคำนวน Table'!$D$93:$M$108,HLOOKUP(AM106,'2) หลักการคำนวน Table'!$D$1:$M$5,5,TRUE),0))))),0)</f>
        <v>315</v>
      </c>
      <c r="BM106" s="119">
        <f>VLOOKUP(VLOOKUP(A106,ASTBase!E:S,13,FALSE),ASTBase!F:P,11,FALSE)</f>
        <v>110000</v>
      </c>
      <c r="BN106" s="196" cm="1">
        <f t="array" ref="BN106">INDEX(AN106:AY106,,Period!$D$2)</f>
        <v>1</v>
      </c>
    </row>
    <row r="107" spans="1:66" x14ac:dyDescent="0.25">
      <c r="A107" s="388">
        <v>110003</v>
      </c>
      <c r="B107" s="388" t="s">
        <v>395</v>
      </c>
      <c r="C107" s="388" t="s">
        <v>180</v>
      </c>
      <c r="D107" s="118">
        <v>2970</v>
      </c>
      <c r="E107" s="118">
        <v>3248</v>
      </c>
      <c r="F107" s="118">
        <v>3569</v>
      </c>
      <c r="G107" s="118">
        <v>4070</v>
      </c>
      <c r="H107" s="118">
        <v>3345</v>
      </c>
      <c r="I107" s="118">
        <v>2921</v>
      </c>
      <c r="J107" s="118">
        <v>4177</v>
      </c>
      <c r="K107" s="118">
        <v>4373</v>
      </c>
      <c r="L107" s="118">
        <v>3521</v>
      </c>
      <c r="M107" s="118">
        <v>3737</v>
      </c>
      <c r="N107" s="118">
        <v>3151</v>
      </c>
      <c r="O107" s="118">
        <v>3151</v>
      </c>
      <c r="P107" s="117">
        <f>SUMIFS(Actual!C:C,Actual!$A:$A,'3)Target &amp; Cal'!$A107,Actual!$B:$B,'3)Target &amp; Cal'!$B107)</f>
        <v>3326.4</v>
      </c>
      <c r="Q107" s="117">
        <f>SUMIFS(Actual!D:D,Actual!$A:$A,'3)Target &amp; Cal'!$A107,Actual!$B:$B,'3)Target &amp; Cal'!$B107)</f>
        <v>2016</v>
      </c>
      <c r="R107" s="117">
        <f>SUMIFS(Actual!E:E,Actual!$A:$A,'3)Target &amp; Cal'!$A107,Actual!$B:$B,'3)Target &amp; Cal'!$B107)</f>
        <v>0</v>
      </c>
      <c r="S107" s="117">
        <f>SUMIFS(Actual!F:F,Actual!$A:$A,'3)Target &amp; Cal'!$A107,Actual!$B:$B,'3)Target &amp; Cal'!$B107)</f>
        <v>0</v>
      </c>
      <c r="T107" s="117">
        <f>SUMIFS(Actual!G:G,Actual!$A:$A,'3)Target &amp; Cal'!$A107,Actual!$B:$B,'3)Target &amp; Cal'!$B107)</f>
        <v>0</v>
      </c>
      <c r="U107" s="117">
        <f>SUMIFS(Actual!H:H,Actual!$A:$A,'3)Target &amp; Cal'!$A107,Actual!$B:$B,'3)Target &amp; Cal'!$B107)</f>
        <v>0</v>
      </c>
      <c r="V107" s="117">
        <f>SUMIFS(Actual!I:I,Actual!$A:$A,'3)Target &amp; Cal'!$A107,Actual!$B:$B,'3)Target &amp; Cal'!$B107)</f>
        <v>0</v>
      </c>
      <c r="W107" s="117">
        <f>SUMIFS(Actual!J:J,Actual!$A:$A,'3)Target &amp; Cal'!$A107,Actual!$B:$B,'3)Target &amp; Cal'!$B107)</f>
        <v>0</v>
      </c>
      <c r="X107" s="117">
        <f>SUMIFS(Actual!K:K,Actual!$A:$A,'3)Target &amp; Cal'!$A107,Actual!$B:$B,'3)Target &amp; Cal'!$B107)</f>
        <v>0</v>
      </c>
      <c r="Y107" s="117">
        <f>SUMIFS(Actual!L:L,Actual!$A:$A,'3)Target &amp; Cal'!$A107,Actual!$B:$B,'3)Target &amp; Cal'!$B107)</f>
        <v>0</v>
      </c>
      <c r="Z107" s="117">
        <f>SUMIFS(Actual!M:M,Actual!$A:$A,'3)Target &amp; Cal'!$A107,Actual!$B:$B,'3)Target &amp; Cal'!$B107)</f>
        <v>0</v>
      </c>
      <c r="AA107" s="117">
        <f>SUMIFS(Actual!N:N,Actual!$A:$A,'3)Target &amp; Cal'!$A107,Actual!$B:$B,'3)Target &amp; Cal'!$B107)</f>
        <v>0</v>
      </c>
      <c r="AB107" s="123">
        <f>IFERROR(IF(VLOOKUP($B107,Shortage!$A:$M,AB$2,FALSE)="Shortage",1,IFERROR(ROUND(P107/D107,4),0)),IFERROR(ROUND(P107/D107,4),0))</f>
        <v>1.1200000000000001</v>
      </c>
      <c r="AC107" s="123">
        <f>IFERROR(IF(VLOOKUP($B107,Shortage!$A:$M,AC$2,FALSE)="Shortage",1,IFERROR(ROUND(Q107/E107,4),0)),IFERROR(ROUND(Q107/E107,4),0))</f>
        <v>0.62070000000000003</v>
      </c>
      <c r="AD107" s="123">
        <f>IFERROR(IF(VLOOKUP($B107,Shortage!$A:$M,AD$2,FALSE)="Shortage",1,IFERROR(ROUND(R107/F107,4),0)),IFERROR(ROUND(R107/F107,4),0))</f>
        <v>0</v>
      </c>
      <c r="AE107" s="123">
        <f>IFERROR(IF(VLOOKUP($B107,Shortage!$A:$M,AE$2,FALSE)="Shortage",1,IFERROR(ROUND(S107/G107,4),0)),IFERROR(ROUND(S107/G107,4),0))</f>
        <v>0</v>
      </c>
      <c r="AF107" s="123">
        <f>IFERROR(IF(VLOOKUP($B107,Shortage!$A:$M,AF$2,FALSE)="Shortage",1,IFERROR(ROUND(T107/H107,4),0)),IFERROR(ROUND(T107/H107,4),0))</f>
        <v>0</v>
      </c>
      <c r="AG107" s="123">
        <f>IFERROR(IF(VLOOKUP($B107,Shortage!$A:$M,AG$2,FALSE)="Shortage",1,IFERROR(ROUND(U107/I107,4),0)),IFERROR(ROUND(U107/I107,4),0))</f>
        <v>0</v>
      </c>
      <c r="AH107" s="123">
        <f>IFERROR(IF(VLOOKUP($B107,Shortage!$A:$M,AH$2,FALSE)="Shortage",1,IFERROR(ROUND(V107/J107,4),0)),IFERROR(ROUND(V107/J107,4),0))</f>
        <v>0</v>
      </c>
      <c r="AI107" s="123">
        <f>IFERROR(IF(VLOOKUP($B107,Shortage!$A:$M,AI$2,FALSE)="Shortage",1,IFERROR(ROUND(W107/K107,4),0)),IFERROR(ROUND(W107/K107,4),0))</f>
        <v>0</v>
      </c>
      <c r="AJ107" s="123">
        <f>IFERROR(IF(VLOOKUP($B107,Shortage!$A:$M,AP$2,FALSE)="Shortage",1,IFERROR(ROUND(X107/L107,4),0)),IFERROR(ROUND(X107/L107,4),0))</f>
        <v>0</v>
      </c>
      <c r="AK107" s="123">
        <f>IFERROR(IF(VLOOKUP($B107,Shortage!$A:$M,AK$2,FALSE)="Shortage",1,IFERROR(ROUND(Y107/M107,4),0)),IFERROR(ROUND(Y107/M107,4),0))</f>
        <v>0</v>
      </c>
      <c r="AL107" s="123">
        <f>IFERROR(IF(VLOOKUP($B107,Shortage!$A:$M,AL$2,FALSE)="Shortage",1,IFERROR(ROUND(Z107/N107,4),0)),IFERROR(ROUND(Z107/N107,4),0))</f>
        <v>0</v>
      </c>
      <c r="AM107" s="123">
        <f>IFERROR(IF(VLOOKUP($B107,Shortage!$A:$M,AM$2,FALSE)="Shortage",1,IFERROR(ROUND(AA107/O107,4),0)),IFERROR(ROUND(AA107/O107,4),0))</f>
        <v>0</v>
      </c>
      <c r="AN107" s="232">
        <f>IFERROR(IF($C107="Top WS",VLOOKUP("GOAL",'2) หลักการคำนวน Table'!$D$4:$M$4,HLOOKUP(AB107,'2) หลักการคำนวน Table'!$D$1:$M$5,5,TRUE),0),
IF($C107="WS SF",VLOOKUP("GOAL",'2) หลักการคำนวน Table'!$D$32:$M$32,HLOOKUP(AB107,'2) หลักการคำนวน Table'!$D$1:$M$5,5,TRUE),0),
IF($C107="WS WH",VLOOKUP("GOAL",'2) หลักการคำนวน Table'!$D$62:$M$62,HLOOKUP(AB107,'2) หลักการคำนวน Table'!$D$1:$M$5,5,TRUE),0),
IF($C107="SF WH",VLOOKUP("GOAL",'2) หลักการคำนวน Table'!$D$92:$M$92,HLOOKUP(AB107,'2) หลักการคำนวน Table'!$D$1:$M$5,5,TRUE),0))))),0)</f>
        <v>1.1499999999999999</v>
      </c>
      <c r="AO107" s="232">
        <f>IFERROR(IF($C107="Top WS",VLOOKUP("GOAL",'2) หลักการคำนวน Table'!$D$4:$M$4,HLOOKUP(AC107,'2) หลักการคำนวน Table'!$D$1:$M$5,5,TRUE),0),
IF($C107="WS SF",VLOOKUP("GOAL",'2) หลักการคำนวน Table'!$D$32:$M$32,HLOOKUP(AC107,'2) หลักการคำนวน Table'!$D$1:$M$5,5,TRUE),0),
IF($C107="WS WH",VLOOKUP("GOAL",'2) หลักการคำนวน Table'!$D$62:$M$62,HLOOKUP(AC107,'2) หลักการคำนวน Table'!$D$1:$M$5,5,TRUE),0),
IF($C107="SF WH",VLOOKUP("GOAL",'2) หลักการคำนวน Table'!$D$92:$M$92,HLOOKUP(AC107,'2) หลักการคำนวน Table'!$D$1:$M$5,5,TRUE),0))))),0)</f>
        <v>0.9</v>
      </c>
      <c r="AP107" s="232">
        <f>IFERROR(IF($C107="Top WS",VLOOKUP("GOAL",'2) หลักการคำนวน Table'!$D$4:$M$4,HLOOKUP(AD107,'2) หลักการคำนวน Table'!$D$1:$M$5,5,TRUE),0),
IF($C107="WS SF",VLOOKUP("GOAL",'2) หลักการคำนวน Table'!$D$32:$M$32,HLOOKUP(AD107,'2) หลักการคำนวน Table'!$D$1:$M$5,5,TRUE),0),
IF($C107="WS WH",VLOOKUP("GOAL",'2) หลักการคำนวน Table'!$D$62:$M$62,HLOOKUP(AD107,'2) หลักการคำนวน Table'!$D$1:$M$5,5,TRUE),0),
IF($C107="SF WH",VLOOKUP("GOAL",'2) หลักการคำนวน Table'!$D$92:$M$92,HLOOKUP(AD107,'2) หลักการคำนวน Table'!$D$1:$M$5,5,TRUE),0))))),0)</f>
        <v>0.9</v>
      </c>
      <c r="AQ107" s="232">
        <f>IFERROR(IF($C107="Top WS",VLOOKUP("GOAL",'2) หลักการคำนวน Table'!$D$4:$M$4,HLOOKUP(AE107,'2) หลักการคำนวน Table'!$D$1:$M$5,5,TRUE),0),
IF($C107="WS SF",VLOOKUP("GOAL",'2) หลักการคำนวน Table'!$D$32:$M$32,HLOOKUP(AE107,'2) หลักการคำนวน Table'!$D$1:$M$5,5,TRUE),0),
IF($C107="WS WH",VLOOKUP("GOAL",'2) หลักการคำนวน Table'!$D$62:$M$62,HLOOKUP(AE107,'2) หลักการคำนวน Table'!$D$1:$M$5,5,TRUE),0),
IF($C107="SF WH",VLOOKUP("GOAL",'2) หลักการคำนวน Table'!$D$92:$M$92,HLOOKUP(AE107,'2) หลักการคำนวน Table'!$D$1:$M$5,5,TRUE),0))))),0)</f>
        <v>0.9</v>
      </c>
      <c r="AR107" s="232">
        <f>IFERROR(IF($C107="Top WS",VLOOKUP("GOAL",'2) หลักการคำนวน Table'!$D$4:$M$4,HLOOKUP(AF107,'2) หลักการคำนวน Table'!$D$1:$M$5,5,TRUE),0),
IF($C107="WS SF",VLOOKUP("GOAL",'2) หลักการคำนวน Table'!$D$32:$M$32,HLOOKUP(AF107,'2) หลักการคำนวน Table'!$D$1:$M$5,5,TRUE),0),
IF($C107="WS WH",VLOOKUP("GOAL",'2) หลักการคำนวน Table'!$D$62:$M$62,HLOOKUP(AF107,'2) หลักการคำนวน Table'!$D$1:$M$5,5,TRUE),0),
IF($C107="SF WH",VLOOKUP("GOAL",'2) หลักการคำนวน Table'!$D$92:$M$92,HLOOKUP(AF107,'2) หลักการคำนวน Table'!$D$1:$M$5,5,TRUE),0))))),0)</f>
        <v>0.9</v>
      </c>
      <c r="AS107" s="232">
        <f>IFERROR(IF($C107="Top WS",VLOOKUP("GOAL",'2) หลักการคำนวน Table'!$D$4:$M$4,HLOOKUP(AG107,'2) หลักการคำนวน Table'!$D$1:$M$5,5,TRUE),0),
IF($C107="WS SF",VLOOKUP("GOAL",'2) หลักการคำนวน Table'!$D$32:$M$32,HLOOKUP(AG107,'2) หลักการคำนวน Table'!$D$1:$M$5,5,TRUE),0),
IF($C107="WS WH",VLOOKUP("GOAL",'2) หลักการคำนวน Table'!$D$62:$M$62,HLOOKUP(AG107,'2) หลักการคำนวน Table'!$D$1:$M$5,5,TRUE),0),
IF($C107="SF WH",VLOOKUP("GOAL",'2) หลักการคำนวน Table'!$D$92:$M$92,HLOOKUP(AG107,'2) หลักการคำนวน Table'!$D$1:$M$5,5,TRUE),0))))),0)</f>
        <v>0.9</v>
      </c>
      <c r="AT107" s="232">
        <f>IFERROR(IF($C107="Top WS",VLOOKUP("GOAL",'2) หลักการคำนวน Table'!$D$4:$M$4,HLOOKUP(AH107,'2) หลักการคำนวน Table'!$D$1:$M$5,5,TRUE),0),
IF($C107="WS SF",VLOOKUP("GOAL",'2) หลักการคำนวน Table'!$D$32:$M$32,HLOOKUP(AH107,'2) หลักการคำนวน Table'!$D$1:$M$5,5,TRUE),0),
IF($C107="WS WH",VLOOKUP("GOAL",'2) หลักการคำนวน Table'!$D$62:$M$62,HLOOKUP(AH107,'2) หลักการคำนวน Table'!$D$1:$M$5,5,TRUE),0),
IF($C107="SF WH",VLOOKUP("GOAL",'2) หลักการคำนวน Table'!$D$92:$M$92,HLOOKUP(AH107,'2) หลักการคำนวน Table'!$D$1:$M$5,5,TRUE),0))))),0)</f>
        <v>0.9</v>
      </c>
      <c r="AU107" s="232">
        <f>IFERROR(IF($C107="Top WS",VLOOKUP("GOAL",'2) หลักการคำนวน Table'!$D$4:$M$4,HLOOKUP(AI107,'2) หลักการคำนวน Table'!$D$1:$M$5,5,TRUE),0),
IF($C107="WS SF",VLOOKUP("GOAL",'2) หลักการคำนวน Table'!$D$32:$M$32,HLOOKUP(AI107,'2) หลักการคำนวน Table'!$D$1:$M$5,5,TRUE),0),
IF($C107="WS WH",VLOOKUP("GOAL",'2) หลักการคำนวน Table'!$D$62:$M$62,HLOOKUP(AI107,'2) หลักการคำนวน Table'!$D$1:$M$5,5,TRUE),0),
IF($C107="SF WH",VLOOKUP("GOAL",'2) หลักการคำนวน Table'!$D$92:$M$92,HLOOKUP(AI107,'2) หลักการคำนวน Table'!$D$1:$M$5,5,TRUE),0))))),0)</f>
        <v>0.9</v>
      </c>
      <c r="AV107" s="232">
        <f>IFERROR(IF($C107="Top WS",VLOOKUP("GOAL",'2) หลักการคำนวน Table'!$D$4:$M$4,HLOOKUP(AP107,'2) หลักการคำนวน Table'!$D$1:$M$5,5,TRUE),0),
IF($C107="WS SF",VLOOKUP("GOAL",'2) หลักการคำนวน Table'!$D$32:$M$32,HLOOKUP(AP107,'2) หลักการคำนวน Table'!$D$1:$M$5,5,TRUE),0),
IF($C107="WS WH",VLOOKUP("GOAL",'2) หลักการคำนวน Table'!$D$62:$M$62,HLOOKUP(AP107,'2) หลักการคำนวน Table'!$D$1:$M$5,5,TRUE),0),
IF($C107="SF WH",VLOOKUP("GOAL",'2) หลักการคำนวน Table'!$D$92:$M$92,HLOOKUP(AP107,'2) หลักการคำนวน Table'!$D$1:$M$5,5,TRUE),0))))),0)</f>
        <v>0.9</v>
      </c>
      <c r="AW107" s="232">
        <f>IFERROR(IF($C107="Top WS",VLOOKUP("GOAL",'2) หลักการคำนวน Table'!$D$4:$M$4,HLOOKUP(AK107,'2) หลักการคำนวน Table'!$D$1:$M$5,5,TRUE),0),
IF($C107="WS SF",VLOOKUP("GOAL",'2) หลักการคำนวน Table'!$D$32:$M$32,HLOOKUP(AK107,'2) หลักการคำนวน Table'!$D$1:$M$5,5,TRUE),0),
IF($C107="WS WH",VLOOKUP("GOAL",'2) หลักการคำนวน Table'!$D$62:$M$62,HLOOKUP(AK107,'2) หลักการคำนวน Table'!$D$1:$M$5,5,TRUE),0),
IF($C107="SF WH",VLOOKUP("GOAL",'2) หลักการคำนวน Table'!$D$92:$M$92,HLOOKUP(AK107,'2) หลักการคำนวน Table'!$D$1:$M$5,5,TRUE),0))))),0)</f>
        <v>0.9</v>
      </c>
      <c r="AX107" s="232">
        <f>IFERROR(IF($C107="Top WS",VLOOKUP("GOAL",'2) หลักการคำนวน Table'!$D$4:$M$4,HLOOKUP(AL107,'2) หลักการคำนวน Table'!$D$1:$M$5,5,TRUE),0),
IF($C107="WS SF",VLOOKUP("GOAL",'2) หลักการคำนวน Table'!$D$32:$M$32,HLOOKUP(AL107,'2) หลักการคำนวน Table'!$D$1:$M$5,5,TRUE),0),
IF($C107="WS WH",VLOOKUP("GOAL",'2) หลักการคำนวน Table'!$D$62:$M$62,HLOOKUP(AL107,'2) หลักการคำนวน Table'!$D$1:$M$5,5,TRUE),0),
IF($C107="SF WH",VLOOKUP("GOAL",'2) หลักการคำนวน Table'!$D$92:$M$92,HLOOKUP(AL107,'2) หลักการคำนวน Table'!$D$1:$M$5,5,TRUE),0))))),0)</f>
        <v>0.9</v>
      </c>
      <c r="AY107" s="232">
        <f>IFERROR(IF($C107="Top WS",VLOOKUP("GOAL",'2) หลักการคำนวน Table'!$D$4:$M$4,HLOOKUP(AM107,'2) หลักการคำนวน Table'!$D$1:$M$5,5,TRUE),0),
IF($C107="WS SF",VLOOKUP("GOAL",'2) หลักการคำนวน Table'!$D$32:$M$32,HLOOKUP(AM107,'2) หลักการคำนวน Table'!$D$1:$M$5,5,TRUE),0),
IF($C107="WS WH",VLOOKUP("GOAL",'2) หลักการคำนวน Table'!$D$62:$M$62,HLOOKUP(AM107,'2) หลักการคำนวน Table'!$D$1:$M$5,5,TRUE),0),
IF($C107="SF WH",VLOOKUP("GOAL",'2) หลักการคำนวน Table'!$D$92:$M$92,HLOOKUP(AM107,'2) หลักการคำนวน Table'!$D$1:$M$5,5,TRUE),0))))),0)</f>
        <v>0.9</v>
      </c>
      <c r="AZ107" s="167">
        <f>IFERROR(IF($C107="Top WS",VLOOKUP($B107,'2) หลักการคำนวน Table'!$D$5:$M$20,HLOOKUP(AB107,'2) หลักการคำนวน Table'!$D$1:$M$5,5,TRUE),0),
IF($C107="WS SF",VLOOKUP($B107,'2) หลักการคำนวน Table'!$D$33:$M$48,HLOOKUP(AB107,'2) หลักการคำนวน Table'!$D$1:$M$5,5,TRUE),0),
IF($C107="WS WH",VLOOKUP($B107,'2) หลักการคำนวน Table'!$D$63:$M$78,HLOOKUP(AB107,'2) หลักการคำนวน Table'!$D$1:$M$5,5,TRUE),0),
IF($C107="SF WH",VLOOKUP($B107,'2) หลักการคำนวน Table'!$D$93:$M$108,HLOOKUP(AB107,'2) หลักการคำนวน Table'!$D$1:$M$5,5,TRUE),0))))),0)</f>
        <v>201.25</v>
      </c>
      <c r="BA107" s="167">
        <f>IFERROR(IF($C107="Top WS",VLOOKUP($B107,'2) หลักการคำนวน Table'!$D$5:$M$20,HLOOKUP(AC107,'2) หลักการคำนวน Table'!$D$1:$M$5,5,TRUE),0),
IF($C107="WS SF",VLOOKUP($B107,'2) หลักการคำนวน Table'!$D$33:$M$48,HLOOKUP(AC107,'2) หลักการคำนวน Table'!$D$1:$M$5,5,TRUE),0),
IF($C107="WS WH",VLOOKUP($B107,'2) หลักการคำนวน Table'!$D$63:$M$78,HLOOKUP(AC107,'2) หลักการคำนวน Table'!$D$1:$M$5,5,TRUE),0),
IF($C107="SF WH",VLOOKUP($B107,'2) หลักการคำนวน Table'!$D$93:$M$108,HLOOKUP(AC107,'2) หลักการคำนวน Table'!$D$1:$M$5,5,TRUE),0))))),0)</f>
        <v>157.5</v>
      </c>
      <c r="BB107" s="167">
        <f>IFERROR(IF($C107="Top WS",VLOOKUP($B107,'2) หลักการคำนวน Table'!$D$5:$M$20,HLOOKUP(AD107,'2) หลักการคำนวน Table'!$D$1:$M$5,5,TRUE),0),
IF($C107="WS SF",VLOOKUP($B107,'2) หลักการคำนวน Table'!$D$33:$M$48,HLOOKUP(AD107,'2) หลักการคำนวน Table'!$D$1:$M$5,5,TRUE),0),
IF($C107="WS WH",VLOOKUP($B107,'2) หลักการคำนวน Table'!$D$63:$M$78,HLOOKUP(AD107,'2) หลักการคำนวน Table'!$D$1:$M$5,5,TRUE),0),
IF($C107="SF WH",VLOOKUP($B107,'2) หลักการคำนวน Table'!$D$93:$M$108,HLOOKUP(AD107,'2) หลักการคำนวน Table'!$D$1:$M$5,5,TRUE),0))))),0)</f>
        <v>157.5</v>
      </c>
      <c r="BC107" s="167">
        <f>IFERROR(IF($C107="Top WS",VLOOKUP($B107,'2) หลักการคำนวน Table'!$D$5:$M$20,HLOOKUP(AE107,'2) หลักการคำนวน Table'!$D$1:$M$5,5,TRUE),0),
IF($C107="WS SF",VLOOKUP($B107,'2) หลักการคำนวน Table'!$D$33:$M$48,HLOOKUP(AE107,'2) หลักการคำนวน Table'!$D$1:$M$5,5,TRUE),0),
IF($C107="WS WH",VLOOKUP($B107,'2) หลักการคำนวน Table'!$D$63:$M$78,HLOOKUP(AE107,'2) หลักการคำนวน Table'!$D$1:$M$5,5,TRUE),0),
IF($C107="SF WH",VLOOKUP($B107,'2) หลักการคำนวน Table'!$D$93:$M$108,HLOOKUP(AE107,'2) หลักการคำนวน Table'!$D$1:$M$5,5,TRUE),0))))),0)</f>
        <v>157.5</v>
      </c>
      <c r="BD107" s="167">
        <f>IFERROR(IF($C107="Top WS",VLOOKUP($B107,'2) หลักการคำนวน Table'!$D$5:$M$20,HLOOKUP(AF107,'2) หลักการคำนวน Table'!$D$1:$M$5,5,TRUE),0),
IF($C107="WS SF",VLOOKUP($B107,'2) หลักการคำนวน Table'!$D$33:$M$48,HLOOKUP(AF107,'2) หลักการคำนวน Table'!$D$1:$M$5,5,TRUE),0),
IF($C107="WS WH",VLOOKUP($B107,'2) หลักการคำนวน Table'!$D$63:$M$78,HLOOKUP(AF107,'2) หลักการคำนวน Table'!$D$1:$M$5,5,TRUE),0),
IF($C107="SF WH",VLOOKUP($B107,'2) หลักการคำนวน Table'!$D$93:$M$108,HLOOKUP(AF107,'2) หลักการคำนวน Table'!$D$1:$M$5,5,TRUE),0))))),0)</f>
        <v>157.5</v>
      </c>
      <c r="BE107" s="167">
        <f>IFERROR(IF($C107="Top WS",VLOOKUP($B107,'2) หลักการคำนวน Table'!$D$5:$M$20,HLOOKUP(AG107,'2) หลักการคำนวน Table'!$D$1:$M$5,5,TRUE),0),
IF($C107="WS SF",VLOOKUP($B107,'2) หลักการคำนวน Table'!$D$33:$M$48,HLOOKUP(AG107,'2) หลักการคำนวน Table'!$D$1:$M$5,5,TRUE),0),
IF($C107="WS WH",VLOOKUP($B107,'2) หลักการคำนวน Table'!$D$63:$M$78,HLOOKUP(AG107,'2) หลักการคำนวน Table'!$D$1:$M$5,5,TRUE),0),
IF($C107="SF WH",VLOOKUP($B107,'2) หลักการคำนวน Table'!$D$93:$M$108,HLOOKUP(AG107,'2) หลักการคำนวน Table'!$D$1:$M$5,5,TRUE),0))))),0)</f>
        <v>157.5</v>
      </c>
      <c r="BF107" s="167">
        <f>IFERROR(IF($C107="Top WS",VLOOKUP($B107,'2) หลักการคำนวน Table'!$D$5:$M$20,HLOOKUP(AH107,'2) หลักการคำนวน Table'!$D$1:$M$5,5,TRUE),0),
IF($C107="WS SF",VLOOKUP($B107,'2) หลักการคำนวน Table'!$D$33:$M$48,HLOOKUP(AH107,'2) หลักการคำนวน Table'!$D$1:$M$5,5,TRUE),0),
IF($C107="WS WH",VLOOKUP($B107,'2) หลักการคำนวน Table'!$D$63:$M$78,HLOOKUP(AH107,'2) หลักการคำนวน Table'!$D$1:$M$5,5,TRUE),0),
IF($C107="SF WH",VLOOKUP($B107,'2) หลักการคำนวน Table'!$D$93:$M$108,HLOOKUP(AH107,'2) หลักการคำนวน Table'!$D$1:$M$5,5,TRUE),0))))),0)</f>
        <v>157.5</v>
      </c>
      <c r="BG107" s="167">
        <f>IFERROR(IF($C107="Top WS",VLOOKUP($B107,'2) หลักการคำนวน Table'!$D$5:$M$20,HLOOKUP(AI107,'2) หลักการคำนวน Table'!$D$1:$M$5,5,TRUE),0),
IF($C107="WS SF",VLOOKUP($B107,'2) หลักการคำนวน Table'!$D$33:$M$48,HLOOKUP(AI107,'2) หลักการคำนวน Table'!$D$1:$M$5,5,TRUE),0),
IF($C107="WS WH",VLOOKUP($B107,'2) หลักการคำนวน Table'!$D$63:$M$78,HLOOKUP(AI107,'2) หลักการคำนวน Table'!$D$1:$M$5,5,TRUE),0),
IF($C107="SF WH",VLOOKUP($B107,'2) หลักการคำนวน Table'!$D$93:$M$108,HLOOKUP(AI107,'2) หลักการคำนวน Table'!$D$1:$M$5,5,TRUE),0))))),0)</f>
        <v>157.5</v>
      </c>
      <c r="BH107" s="167">
        <f>IFERROR(IF($C107="Top WS",VLOOKUP($B107,'2) หลักการคำนวน Table'!$D$5:$M$20,HLOOKUP(AP107,'2) หลักการคำนวน Table'!$D$1:$M$5,5,TRUE),0),
IF($C107="WS SF",VLOOKUP($B107,'2) หลักการคำนวน Table'!$D$33:$M$48,HLOOKUP(AP107,'2) หลักการคำนวน Table'!$D$1:$M$5,5,TRUE),0),
IF($C107="WS WH",VLOOKUP($B107,'2) หลักการคำนวน Table'!$D$63:$M$78,HLOOKUP(AP107,'2) หลักการคำนวน Table'!$D$1:$M$5,5,TRUE),0),
IF($C107="SF WH",VLOOKUP($B107,'2) หลักการคำนวน Table'!$D$93:$M$108,HLOOKUP(AP107,'2) หลักการคำนวน Table'!$D$1:$M$5,5,TRUE),0))))),0)</f>
        <v>157.5</v>
      </c>
      <c r="BI107" s="167">
        <f>IFERROR(IF($C107="Top WS",VLOOKUP($B107,'2) หลักการคำนวน Table'!$D$5:$M$20,HLOOKUP(AK107,'2) หลักการคำนวน Table'!$D$1:$M$5,5,TRUE),0),
IF($C107="WS SF",VLOOKUP($B107,'2) หลักการคำนวน Table'!$D$33:$M$48,HLOOKUP(AK107,'2) หลักการคำนวน Table'!$D$1:$M$5,5,TRUE),0),
IF($C107="WS WH",VLOOKUP($B107,'2) หลักการคำนวน Table'!$D$63:$M$78,HLOOKUP(AK107,'2) หลักการคำนวน Table'!$D$1:$M$5,5,TRUE),0),
IF($C107="SF WH",VLOOKUP($B107,'2) หลักการคำนวน Table'!$D$93:$M$108,HLOOKUP(AK107,'2) หลักการคำนวน Table'!$D$1:$M$5,5,TRUE),0))))),0)</f>
        <v>157.5</v>
      </c>
      <c r="BJ107" s="167">
        <f>IFERROR(IF($C107="Top WS",VLOOKUP($B107,'2) หลักการคำนวน Table'!$D$5:$M$20,HLOOKUP(AL107,'2) หลักการคำนวน Table'!$D$1:$M$5,5,TRUE),0),
IF($C107="WS SF",VLOOKUP($B107,'2) หลักการคำนวน Table'!$D$33:$M$48,HLOOKUP(AL107,'2) หลักการคำนวน Table'!$D$1:$M$5,5,TRUE),0),
IF($C107="WS WH",VLOOKUP($B107,'2) หลักการคำนวน Table'!$D$63:$M$78,HLOOKUP(AL107,'2) หลักการคำนวน Table'!$D$1:$M$5,5,TRUE),0),
IF($C107="SF WH",VLOOKUP($B107,'2) หลักการคำนวน Table'!$D$93:$M$108,HLOOKUP(AL107,'2) หลักการคำนวน Table'!$D$1:$M$5,5,TRUE),0))))),0)</f>
        <v>157.5</v>
      </c>
      <c r="BK107" s="167">
        <f>IFERROR(IF($C107="Top WS",VLOOKUP($B107,'2) หลักการคำนวน Table'!$D$5:$M$20,HLOOKUP(AM107,'2) หลักการคำนวน Table'!$D$1:$M$5,5,TRUE),0),
IF($C107="WS SF",VLOOKUP($B107,'2) หลักการคำนวน Table'!$D$33:$M$48,HLOOKUP(AM107,'2) หลักการคำนวน Table'!$D$1:$M$5,5,TRUE),0),
IF($C107="WS WH",VLOOKUP($B107,'2) หลักการคำนวน Table'!$D$63:$M$78,HLOOKUP(AM107,'2) หลักการคำนวน Table'!$D$1:$M$5,5,TRUE),0),
IF($C107="SF WH",VLOOKUP($B107,'2) หลักการคำนวน Table'!$D$93:$M$108,HLOOKUP(AM107,'2) หลักการคำนวน Table'!$D$1:$M$5,5,TRUE),0))))),0)</f>
        <v>157.5</v>
      </c>
      <c r="BM107" s="119">
        <f>VLOOKUP(VLOOKUP(A107,ASTBase!E:S,13,FALSE),ASTBase!F:P,11,FALSE)</f>
        <v>110000</v>
      </c>
      <c r="BN107" s="196" cm="1">
        <f t="array" ref="BN107">INDEX(AN107:AY107,,Period!$D$2)</f>
        <v>0.9</v>
      </c>
    </row>
    <row r="108" spans="1:66" x14ac:dyDescent="0.25">
      <c r="A108" s="388">
        <v>110003</v>
      </c>
      <c r="B108" s="388" t="s">
        <v>402</v>
      </c>
      <c r="C108" s="388" t="s">
        <v>180</v>
      </c>
      <c r="D108" s="118">
        <v>433</v>
      </c>
      <c r="E108" s="118">
        <v>487</v>
      </c>
      <c r="F108" s="118">
        <v>395</v>
      </c>
      <c r="G108" s="118">
        <v>420</v>
      </c>
      <c r="H108" s="118">
        <v>427</v>
      </c>
      <c r="I108" s="118">
        <v>441</v>
      </c>
      <c r="J108" s="118">
        <v>496</v>
      </c>
      <c r="K108" s="118">
        <v>737</v>
      </c>
      <c r="L108" s="118">
        <v>483</v>
      </c>
      <c r="M108" s="118">
        <v>441</v>
      </c>
      <c r="N108" s="118">
        <v>554</v>
      </c>
      <c r="O108" s="118">
        <v>545</v>
      </c>
      <c r="P108" s="117">
        <f>SUMIFS(Actual!C:C,Actual!$A:$A,'3)Target &amp; Cal'!$A108,Actual!$B:$B,'3)Target &amp; Cal'!$B108)</f>
        <v>443</v>
      </c>
      <c r="Q108" s="117">
        <f>SUMIFS(Actual!D:D,Actual!$A:$A,'3)Target &amp; Cal'!$A108,Actual!$B:$B,'3)Target &amp; Cal'!$B108)</f>
        <v>1450.2</v>
      </c>
      <c r="R108" s="117">
        <f>SUMIFS(Actual!E:E,Actual!$A:$A,'3)Target &amp; Cal'!$A108,Actual!$B:$B,'3)Target &amp; Cal'!$B108)</f>
        <v>0</v>
      </c>
      <c r="S108" s="117">
        <f>SUMIFS(Actual!F:F,Actual!$A:$A,'3)Target &amp; Cal'!$A108,Actual!$B:$B,'3)Target &amp; Cal'!$B108)</f>
        <v>0</v>
      </c>
      <c r="T108" s="117">
        <f>SUMIFS(Actual!G:G,Actual!$A:$A,'3)Target &amp; Cal'!$A108,Actual!$B:$B,'3)Target &amp; Cal'!$B108)</f>
        <v>0</v>
      </c>
      <c r="U108" s="117">
        <f>SUMIFS(Actual!H:H,Actual!$A:$A,'3)Target &amp; Cal'!$A108,Actual!$B:$B,'3)Target &amp; Cal'!$B108)</f>
        <v>0</v>
      </c>
      <c r="V108" s="117">
        <f>SUMIFS(Actual!I:I,Actual!$A:$A,'3)Target &amp; Cal'!$A108,Actual!$B:$B,'3)Target &amp; Cal'!$B108)</f>
        <v>0</v>
      </c>
      <c r="W108" s="117">
        <f>SUMIFS(Actual!J:J,Actual!$A:$A,'3)Target &amp; Cal'!$A108,Actual!$B:$B,'3)Target &amp; Cal'!$B108)</f>
        <v>0</v>
      </c>
      <c r="X108" s="117">
        <f>SUMIFS(Actual!K:K,Actual!$A:$A,'3)Target &amp; Cal'!$A108,Actual!$B:$B,'3)Target &amp; Cal'!$B108)</f>
        <v>0</v>
      </c>
      <c r="Y108" s="117">
        <f>SUMIFS(Actual!L:L,Actual!$A:$A,'3)Target &amp; Cal'!$A108,Actual!$B:$B,'3)Target &amp; Cal'!$B108)</f>
        <v>0</v>
      </c>
      <c r="Z108" s="117">
        <f>SUMIFS(Actual!M:M,Actual!$A:$A,'3)Target &amp; Cal'!$A108,Actual!$B:$B,'3)Target &amp; Cal'!$B108)</f>
        <v>0</v>
      </c>
      <c r="AA108" s="117">
        <f>SUMIFS(Actual!N:N,Actual!$A:$A,'3)Target &amp; Cal'!$A108,Actual!$B:$B,'3)Target &amp; Cal'!$B108)</f>
        <v>0</v>
      </c>
      <c r="AB108" s="123">
        <f>IFERROR(IF(VLOOKUP($B108,Shortage!$A:$M,AB$2,FALSE)="Shortage",1,IFERROR(ROUND(P108/D108,4),0)),IFERROR(ROUND(P108/D108,4),0))</f>
        <v>1.0230999999999999</v>
      </c>
      <c r="AC108" s="123">
        <f>IFERROR(IF(VLOOKUP($B108,Shortage!$A:$M,AC$2,FALSE)="Shortage",1,IFERROR(ROUND(Q108/E108,4),0)),IFERROR(ROUND(Q108/E108,4),0))</f>
        <v>2.9777999999999998</v>
      </c>
      <c r="AD108" s="123">
        <f>IFERROR(IF(VLOOKUP($B108,Shortage!$A:$M,AD$2,FALSE)="Shortage",1,IFERROR(ROUND(R108/F108,4),0)),IFERROR(ROUND(R108/F108,4),0))</f>
        <v>0</v>
      </c>
      <c r="AE108" s="123">
        <f>IFERROR(IF(VLOOKUP($B108,Shortage!$A:$M,AE$2,FALSE)="Shortage",1,IFERROR(ROUND(S108/G108,4),0)),IFERROR(ROUND(S108/G108,4),0))</f>
        <v>0</v>
      </c>
      <c r="AF108" s="123">
        <f>IFERROR(IF(VLOOKUP($B108,Shortage!$A:$M,AF$2,FALSE)="Shortage",1,IFERROR(ROUND(T108/H108,4),0)),IFERROR(ROUND(T108/H108,4),0))</f>
        <v>0</v>
      </c>
      <c r="AG108" s="123">
        <f>IFERROR(IF(VLOOKUP($B108,Shortage!$A:$M,AG$2,FALSE)="Shortage",1,IFERROR(ROUND(U108/I108,4),0)),IFERROR(ROUND(U108/I108,4),0))</f>
        <v>0</v>
      </c>
      <c r="AH108" s="123">
        <f>IFERROR(IF(VLOOKUP($B108,Shortage!$A:$M,AH$2,FALSE)="Shortage",1,IFERROR(ROUND(V108/J108,4),0)),IFERROR(ROUND(V108/J108,4),0))</f>
        <v>0</v>
      </c>
      <c r="AI108" s="123">
        <f>IFERROR(IF(VLOOKUP($B108,Shortage!$A:$M,AI$2,FALSE)="Shortage",1,IFERROR(ROUND(W108/K108,4),0)),IFERROR(ROUND(W108/K108,4),0))</f>
        <v>0</v>
      </c>
      <c r="AJ108" s="123">
        <f>IFERROR(IF(VLOOKUP($B108,Shortage!$A:$M,AP$2,FALSE)="Shortage",1,IFERROR(ROUND(X108/L108,4),0)),IFERROR(ROUND(X108/L108,4),0))</f>
        <v>0</v>
      </c>
      <c r="AK108" s="123">
        <f>IFERROR(IF(VLOOKUP($B108,Shortage!$A:$M,AK$2,FALSE)="Shortage",1,IFERROR(ROUND(Y108/M108,4),0)),IFERROR(ROUND(Y108/M108,4),0))</f>
        <v>0</v>
      </c>
      <c r="AL108" s="123">
        <f>IFERROR(IF(VLOOKUP($B108,Shortage!$A:$M,AL$2,FALSE)="Shortage",1,IFERROR(ROUND(Z108/N108,4),0)),IFERROR(ROUND(Z108/N108,4),0))</f>
        <v>0</v>
      </c>
      <c r="AM108" s="123">
        <f>IFERROR(IF(VLOOKUP($B108,Shortage!$A:$M,AM$2,FALSE)="Shortage",1,IFERROR(ROUND(AA108/O108,4),0)),IFERROR(ROUND(AA108/O108,4),0))</f>
        <v>0</v>
      </c>
      <c r="AN108" s="232">
        <f>IFERROR(IF($C108="Top WS",VLOOKUP("GOAL",'2) หลักการคำนวน Table'!$D$4:$M$4,HLOOKUP(AB108,'2) หลักการคำนวน Table'!$D$1:$M$5,5,TRUE),0),
IF($C108="WS SF",VLOOKUP("GOAL",'2) หลักการคำนวน Table'!$D$32:$M$32,HLOOKUP(AB108,'2) หลักการคำนวน Table'!$D$1:$M$5,5,TRUE),0),
IF($C108="WS WH",VLOOKUP("GOAL",'2) หลักการคำนวน Table'!$D$62:$M$62,HLOOKUP(AB108,'2) หลักการคำนวน Table'!$D$1:$M$5,5,TRUE),0),
IF($C108="SF WH",VLOOKUP("GOAL",'2) หลักการคำนวน Table'!$D$92:$M$92,HLOOKUP(AB108,'2) หลักการคำนวน Table'!$D$1:$M$5,5,TRUE),0))))),0)</f>
        <v>1.03</v>
      </c>
      <c r="AO108" s="232">
        <f>IFERROR(IF($C108="Top WS",VLOOKUP("GOAL",'2) หลักการคำนวน Table'!$D$4:$M$4,HLOOKUP(AC108,'2) หลักการคำนวน Table'!$D$1:$M$5,5,TRUE),0),
IF($C108="WS SF",VLOOKUP("GOAL",'2) หลักการคำนวน Table'!$D$32:$M$32,HLOOKUP(AC108,'2) หลักการคำนวน Table'!$D$1:$M$5,5,TRUE),0),
IF($C108="WS WH",VLOOKUP("GOAL",'2) หลักการคำนวน Table'!$D$62:$M$62,HLOOKUP(AC108,'2) หลักการคำนวน Table'!$D$1:$M$5,5,TRUE),0),
IF($C108="SF WH",VLOOKUP("GOAL",'2) หลักการคำนวน Table'!$D$92:$M$92,HLOOKUP(AC108,'2) หลักการคำนวน Table'!$D$1:$M$5,5,TRUE),0))))),0)</f>
        <v>1.3</v>
      </c>
      <c r="AP108" s="232">
        <f>IFERROR(IF($C108="Top WS",VLOOKUP("GOAL",'2) หลักการคำนวน Table'!$D$4:$M$4,HLOOKUP(AD108,'2) หลักการคำนวน Table'!$D$1:$M$5,5,TRUE),0),
IF($C108="WS SF",VLOOKUP("GOAL",'2) หลักการคำนวน Table'!$D$32:$M$32,HLOOKUP(AD108,'2) หลักการคำนวน Table'!$D$1:$M$5,5,TRUE),0),
IF($C108="WS WH",VLOOKUP("GOAL",'2) หลักการคำนวน Table'!$D$62:$M$62,HLOOKUP(AD108,'2) หลักการคำนวน Table'!$D$1:$M$5,5,TRUE),0),
IF($C108="SF WH",VLOOKUP("GOAL",'2) หลักการคำนวน Table'!$D$92:$M$92,HLOOKUP(AD108,'2) หลักการคำนวน Table'!$D$1:$M$5,5,TRUE),0))))),0)</f>
        <v>0.9</v>
      </c>
      <c r="AQ108" s="232">
        <f>IFERROR(IF($C108="Top WS",VLOOKUP("GOAL",'2) หลักการคำนวน Table'!$D$4:$M$4,HLOOKUP(AE108,'2) หลักการคำนวน Table'!$D$1:$M$5,5,TRUE),0),
IF($C108="WS SF",VLOOKUP("GOAL",'2) หลักการคำนวน Table'!$D$32:$M$32,HLOOKUP(AE108,'2) หลักการคำนวน Table'!$D$1:$M$5,5,TRUE),0),
IF($C108="WS WH",VLOOKUP("GOAL",'2) หลักการคำนวน Table'!$D$62:$M$62,HLOOKUP(AE108,'2) หลักการคำนวน Table'!$D$1:$M$5,5,TRUE),0),
IF($C108="SF WH",VLOOKUP("GOAL",'2) หลักการคำนวน Table'!$D$92:$M$92,HLOOKUP(AE108,'2) หลักการคำนวน Table'!$D$1:$M$5,5,TRUE),0))))),0)</f>
        <v>0.9</v>
      </c>
      <c r="AR108" s="232">
        <f>IFERROR(IF($C108="Top WS",VLOOKUP("GOAL",'2) หลักการคำนวน Table'!$D$4:$M$4,HLOOKUP(AF108,'2) หลักการคำนวน Table'!$D$1:$M$5,5,TRUE),0),
IF($C108="WS SF",VLOOKUP("GOAL",'2) หลักการคำนวน Table'!$D$32:$M$32,HLOOKUP(AF108,'2) หลักการคำนวน Table'!$D$1:$M$5,5,TRUE),0),
IF($C108="WS WH",VLOOKUP("GOAL",'2) หลักการคำนวน Table'!$D$62:$M$62,HLOOKUP(AF108,'2) หลักการคำนวน Table'!$D$1:$M$5,5,TRUE),0),
IF($C108="SF WH",VLOOKUP("GOAL",'2) หลักการคำนวน Table'!$D$92:$M$92,HLOOKUP(AF108,'2) หลักการคำนวน Table'!$D$1:$M$5,5,TRUE),0))))),0)</f>
        <v>0.9</v>
      </c>
      <c r="AS108" s="232">
        <f>IFERROR(IF($C108="Top WS",VLOOKUP("GOAL",'2) หลักการคำนวน Table'!$D$4:$M$4,HLOOKUP(AG108,'2) หลักการคำนวน Table'!$D$1:$M$5,5,TRUE),0),
IF($C108="WS SF",VLOOKUP("GOAL",'2) หลักการคำนวน Table'!$D$32:$M$32,HLOOKUP(AG108,'2) หลักการคำนวน Table'!$D$1:$M$5,5,TRUE),0),
IF($C108="WS WH",VLOOKUP("GOAL",'2) หลักการคำนวน Table'!$D$62:$M$62,HLOOKUP(AG108,'2) หลักการคำนวน Table'!$D$1:$M$5,5,TRUE),0),
IF($C108="SF WH",VLOOKUP("GOAL",'2) หลักการคำนวน Table'!$D$92:$M$92,HLOOKUP(AG108,'2) หลักการคำนวน Table'!$D$1:$M$5,5,TRUE),0))))),0)</f>
        <v>0.9</v>
      </c>
      <c r="AT108" s="232">
        <f>IFERROR(IF($C108="Top WS",VLOOKUP("GOAL",'2) หลักการคำนวน Table'!$D$4:$M$4,HLOOKUP(AH108,'2) หลักการคำนวน Table'!$D$1:$M$5,5,TRUE),0),
IF($C108="WS SF",VLOOKUP("GOAL",'2) หลักการคำนวน Table'!$D$32:$M$32,HLOOKUP(AH108,'2) หลักการคำนวน Table'!$D$1:$M$5,5,TRUE),0),
IF($C108="WS WH",VLOOKUP("GOAL",'2) หลักการคำนวน Table'!$D$62:$M$62,HLOOKUP(AH108,'2) หลักการคำนวน Table'!$D$1:$M$5,5,TRUE),0),
IF($C108="SF WH",VLOOKUP("GOAL",'2) หลักการคำนวน Table'!$D$92:$M$92,HLOOKUP(AH108,'2) หลักการคำนวน Table'!$D$1:$M$5,5,TRUE),0))))),0)</f>
        <v>0.9</v>
      </c>
      <c r="AU108" s="232">
        <f>IFERROR(IF($C108="Top WS",VLOOKUP("GOAL",'2) หลักการคำนวน Table'!$D$4:$M$4,HLOOKUP(AI108,'2) หลักการคำนวน Table'!$D$1:$M$5,5,TRUE),0),
IF($C108="WS SF",VLOOKUP("GOAL",'2) หลักการคำนวน Table'!$D$32:$M$32,HLOOKUP(AI108,'2) หลักการคำนวน Table'!$D$1:$M$5,5,TRUE),0),
IF($C108="WS WH",VLOOKUP("GOAL",'2) หลักการคำนวน Table'!$D$62:$M$62,HLOOKUP(AI108,'2) หลักการคำนวน Table'!$D$1:$M$5,5,TRUE),0),
IF($C108="SF WH",VLOOKUP("GOAL",'2) หลักการคำนวน Table'!$D$92:$M$92,HLOOKUP(AI108,'2) หลักการคำนวน Table'!$D$1:$M$5,5,TRUE),0))))),0)</f>
        <v>0.9</v>
      </c>
      <c r="AV108" s="232">
        <f>IFERROR(IF($C108="Top WS",VLOOKUP("GOAL",'2) หลักการคำนวน Table'!$D$4:$M$4,HLOOKUP(AP108,'2) หลักการคำนวน Table'!$D$1:$M$5,5,TRUE),0),
IF($C108="WS SF",VLOOKUP("GOAL",'2) หลักการคำนวน Table'!$D$32:$M$32,HLOOKUP(AP108,'2) หลักการคำนวน Table'!$D$1:$M$5,5,TRUE),0),
IF($C108="WS WH",VLOOKUP("GOAL",'2) หลักการคำนวน Table'!$D$62:$M$62,HLOOKUP(AP108,'2) หลักการคำนวน Table'!$D$1:$M$5,5,TRUE),0),
IF($C108="SF WH",VLOOKUP("GOAL",'2) หลักการคำนวน Table'!$D$92:$M$92,HLOOKUP(AP108,'2) หลักการคำนวน Table'!$D$1:$M$5,5,TRUE),0))))),0)</f>
        <v>0.9</v>
      </c>
      <c r="AW108" s="232">
        <f>IFERROR(IF($C108="Top WS",VLOOKUP("GOAL",'2) หลักการคำนวน Table'!$D$4:$M$4,HLOOKUP(AK108,'2) หลักการคำนวน Table'!$D$1:$M$5,5,TRUE),0),
IF($C108="WS SF",VLOOKUP("GOAL",'2) หลักการคำนวน Table'!$D$32:$M$32,HLOOKUP(AK108,'2) หลักการคำนวน Table'!$D$1:$M$5,5,TRUE),0),
IF($C108="WS WH",VLOOKUP("GOAL",'2) หลักการคำนวน Table'!$D$62:$M$62,HLOOKUP(AK108,'2) หลักการคำนวน Table'!$D$1:$M$5,5,TRUE),0),
IF($C108="SF WH",VLOOKUP("GOAL",'2) หลักการคำนวน Table'!$D$92:$M$92,HLOOKUP(AK108,'2) หลักการคำนวน Table'!$D$1:$M$5,5,TRUE),0))))),0)</f>
        <v>0.9</v>
      </c>
      <c r="AX108" s="232">
        <f>IFERROR(IF($C108="Top WS",VLOOKUP("GOAL",'2) หลักการคำนวน Table'!$D$4:$M$4,HLOOKUP(AL108,'2) หลักการคำนวน Table'!$D$1:$M$5,5,TRUE),0),
IF($C108="WS SF",VLOOKUP("GOAL",'2) หลักการคำนวน Table'!$D$32:$M$32,HLOOKUP(AL108,'2) หลักการคำนวน Table'!$D$1:$M$5,5,TRUE),0),
IF($C108="WS WH",VLOOKUP("GOAL",'2) หลักการคำนวน Table'!$D$62:$M$62,HLOOKUP(AL108,'2) หลักการคำนวน Table'!$D$1:$M$5,5,TRUE),0),
IF($C108="SF WH",VLOOKUP("GOAL",'2) หลักการคำนวน Table'!$D$92:$M$92,HLOOKUP(AL108,'2) หลักการคำนวน Table'!$D$1:$M$5,5,TRUE),0))))),0)</f>
        <v>0.9</v>
      </c>
      <c r="AY108" s="232">
        <f>IFERROR(IF($C108="Top WS",VLOOKUP("GOAL",'2) หลักการคำนวน Table'!$D$4:$M$4,HLOOKUP(AM108,'2) หลักการคำนวน Table'!$D$1:$M$5,5,TRUE),0),
IF($C108="WS SF",VLOOKUP("GOAL",'2) หลักการคำนวน Table'!$D$32:$M$32,HLOOKUP(AM108,'2) หลักการคำนวน Table'!$D$1:$M$5,5,TRUE),0),
IF($C108="WS WH",VLOOKUP("GOAL",'2) หลักการคำนวน Table'!$D$62:$M$62,HLOOKUP(AM108,'2) หลักการคำนวน Table'!$D$1:$M$5,5,TRUE),0),
IF($C108="SF WH",VLOOKUP("GOAL",'2) หลักการคำนวน Table'!$D$92:$M$92,HLOOKUP(AM108,'2) หลักการคำนวน Table'!$D$1:$M$5,5,TRUE),0))))),0)</f>
        <v>0.9</v>
      </c>
      <c r="AZ108" s="167">
        <f>IFERROR(IF($C108="Top WS",VLOOKUP($B108,'2) หลักการคำนวน Table'!$D$5:$M$20,HLOOKUP(AB108,'2) หลักการคำนวน Table'!$D$1:$M$5,5,TRUE),0),
IF($C108="WS SF",VLOOKUP($B108,'2) หลักการคำนวน Table'!$D$33:$M$48,HLOOKUP(AB108,'2) หลักการคำนวน Table'!$D$1:$M$5,5,TRUE),0),
IF($C108="WS WH",VLOOKUP($B108,'2) หลักการคำนวน Table'!$D$63:$M$78,HLOOKUP(AB108,'2) หลักการคำนวน Table'!$D$1:$M$5,5,TRUE),0),
IF($C108="SF WH",VLOOKUP($B108,'2) หลักการคำนวน Table'!$D$93:$M$108,HLOOKUP(AB108,'2) หลักการคำนวน Table'!$D$1:$M$5,5,TRUE),0))))),0)</f>
        <v>180.25</v>
      </c>
      <c r="BA108" s="167">
        <f>IFERROR(IF($C108="Top WS",VLOOKUP($B108,'2) หลักการคำนวน Table'!$D$5:$M$20,HLOOKUP(AC108,'2) หลักการคำนวน Table'!$D$1:$M$5,5,TRUE),0),
IF($C108="WS SF",VLOOKUP($B108,'2) หลักการคำนวน Table'!$D$33:$M$48,HLOOKUP(AC108,'2) หลักการคำนวน Table'!$D$1:$M$5,5,TRUE),0),
IF($C108="WS WH",VLOOKUP($B108,'2) หลักการคำนวน Table'!$D$63:$M$78,HLOOKUP(AC108,'2) หลักการคำนวน Table'!$D$1:$M$5,5,TRUE),0),
IF($C108="SF WH",VLOOKUP($B108,'2) หลักการคำนวน Table'!$D$93:$M$108,HLOOKUP(AC108,'2) หลักการคำนวน Table'!$D$1:$M$5,5,TRUE),0))))),0)</f>
        <v>227.5</v>
      </c>
      <c r="BB108" s="167">
        <f>IFERROR(IF($C108="Top WS",VLOOKUP($B108,'2) หลักการคำนวน Table'!$D$5:$M$20,HLOOKUP(AD108,'2) หลักการคำนวน Table'!$D$1:$M$5,5,TRUE),0),
IF($C108="WS SF",VLOOKUP($B108,'2) หลักการคำนวน Table'!$D$33:$M$48,HLOOKUP(AD108,'2) หลักการคำนวน Table'!$D$1:$M$5,5,TRUE),0),
IF($C108="WS WH",VLOOKUP($B108,'2) หลักการคำนวน Table'!$D$63:$M$78,HLOOKUP(AD108,'2) หลักการคำนวน Table'!$D$1:$M$5,5,TRUE),0),
IF($C108="SF WH",VLOOKUP($B108,'2) หลักการคำนวน Table'!$D$93:$M$108,HLOOKUP(AD108,'2) หลักการคำนวน Table'!$D$1:$M$5,5,TRUE),0))))),0)</f>
        <v>157.5</v>
      </c>
      <c r="BC108" s="167">
        <f>IFERROR(IF($C108="Top WS",VLOOKUP($B108,'2) หลักการคำนวน Table'!$D$5:$M$20,HLOOKUP(AE108,'2) หลักการคำนวน Table'!$D$1:$M$5,5,TRUE),0),
IF($C108="WS SF",VLOOKUP($B108,'2) หลักการคำนวน Table'!$D$33:$M$48,HLOOKUP(AE108,'2) หลักการคำนวน Table'!$D$1:$M$5,5,TRUE),0),
IF($C108="WS WH",VLOOKUP($B108,'2) หลักการคำนวน Table'!$D$63:$M$78,HLOOKUP(AE108,'2) หลักการคำนวน Table'!$D$1:$M$5,5,TRUE),0),
IF($C108="SF WH",VLOOKUP($B108,'2) หลักการคำนวน Table'!$D$93:$M$108,HLOOKUP(AE108,'2) หลักการคำนวน Table'!$D$1:$M$5,5,TRUE),0))))),0)</f>
        <v>157.5</v>
      </c>
      <c r="BD108" s="167">
        <f>IFERROR(IF($C108="Top WS",VLOOKUP($B108,'2) หลักการคำนวน Table'!$D$5:$M$20,HLOOKUP(AF108,'2) หลักการคำนวน Table'!$D$1:$M$5,5,TRUE),0),
IF($C108="WS SF",VLOOKUP($B108,'2) หลักการคำนวน Table'!$D$33:$M$48,HLOOKUP(AF108,'2) หลักการคำนวน Table'!$D$1:$M$5,5,TRUE),0),
IF($C108="WS WH",VLOOKUP($B108,'2) หลักการคำนวน Table'!$D$63:$M$78,HLOOKUP(AF108,'2) หลักการคำนวน Table'!$D$1:$M$5,5,TRUE),0),
IF($C108="SF WH",VLOOKUP($B108,'2) หลักการคำนวน Table'!$D$93:$M$108,HLOOKUP(AF108,'2) หลักการคำนวน Table'!$D$1:$M$5,5,TRUE),0))))),0)</f>
        <v>157.5</v>
      </c>
      <c r="BE108" s="167">
        <f>IFERROR(IF($C108="Top WS",VLOOKUP($B108,'2) หลักการคำนวน Table'!$D$5:$M$20,HLOOKUP(AG108,'2) หลักการคำนวน Table'!$D$1:$M$5,5,TRUE),0),
IF($C108="WS SF",VLOOKUP($B108,'2) หลักการคำนวน Table'!$D$33:$M$48,HLOOKUP(AG108,'2) หลักการคำนวน Table'!$D$1:$M$5,5,TRUE),0),
IF($C108="WS WH",VLOOKUP($B108,'2) หลักการคำนวน Table'!$D$63:$M$78,HLOOKUP(AG108,'2) หลักการคำนวน Table'!$D$1:$M$5,5,TRUE),0),
IF($C108="SF WH",VLOOKUP($B108,'2) หลักการคำนวน Table'!$D$93:$M$108,HLOOKUP(AG108,'2) หลักการคำนวน Table'!$D$1:$M$5,5,TRUE),0))))),0)</f>
        <v>157.5</v>
      </c>
      <c r="BF108" s="167">
        <f>IFERROR(IF($C108="Top WS",VLOOKUP($B108,'2) หลักการคำนวน Table'!$D$5:$M$20,HLOOKUP(AH108,'2) หลักการคำนวน Table'!$D$1:$M$5,5,TRUE),0),
IF($C108="WS SF",VLOOKUP($B108,'2) หลักการคำนวน Table'!$D$33:$M$48,HLOOKUP(AH108,'2) หลักการคำนวน Table'!$D$1:$M$5,5,TRUE),0),
IF($C108="WS WH",VLOOKUP($B108,'2) หลักการคำนวน Table'!$D$63:$M$78,HLOOKUP(AH108,'2) หลักการคำนวน Table'!$D$1:$M$5,5,TRUE),0),
IF($C108="SF WH",VLOOKUP($B108,'2) หลักการคำนวน Table'!$D$93:$M$108,HLOOKUP(AH108,'2) หลักการคำนวน Table'!$D$1:$M$5,5,TRUE),0))))),0)</f>
        <v>157.5</v>
      </c>
      <c r="BG108" s="167">
        <f>IFERROR(IF($C108="Top WS",VLOOKUP($B108,'2) หลักการคำนวน Table'!$D$5:$M$20,HLOOKUP(AI108,'2) หลักการคำนวน Table'!$D$1:$M$5,5,TRUE),0),
IF($C108="WS SF",VLOOKUP($B108,'2) หลักการคำนวน Table'!$D$33:$M$48,HLOOKUP(AI108,'2) หลักการคำนวน Table'!$D$1:$M$5,5,TRUE),0),
IF($C108="WS WH",VLOOKUP($B108,'2) หลักการคำนวน Table'!$D$63:$M$78,HLOOKUP(AI108,'2) หลักการคำนวน Table'!$D$1:$M$5,5,TRUE),0),
IF($C108="SF WH",VLOOKUP($B108,'2) หลักการคำนวน Table'!$D$93:$M$108,HLOOKUP(AI108,'2) หลักการคำนวน Table'!$D$1:$M$5,5,TRUE),0))))),0)</f>
        <v>157.5</v>
      </c>
      <c r="BH108" s="167">
        <f>IFERROR(IF($C108="Top WS",VLOOKUP($B108,'2) หลักการคำนวน Table'!$D$5:$M$20,HLOOKUP(AP108,'2) หลักการคำนวน Table'!$D$1:$M$5,5,TRUE),0),
IF($C108="WS SF",VLOOKUP($B108,'2) หลักการคำนวน Table'!$D$33:$M$48,HLOOKUP(AP108,'2) หลักการคำนวน Table'!$D$1:$M$5,5,TRUE),0),
IF($C108="WS WH",VLOOKUP($B108,'2) หลักการคำนวน Table'!$D$63:$M$78,HLOOKUP(AP108,'2) หลักการคำนวน Table'!$D$1:$M$5,5,TRUE),0),
IF($C108="SF WH",VLOOKUP($B108,'2) หลักการคำนวน Table'!$D$93:$M$108,HLOOKUP(AP108,'2) หลักการคำนวน Table'!$D$1:$M$5,5,TRUE),0))))),0)</f>
        <v>157.5</v>
      </c>
      <c r="BI108" s="167">
        <f>IFERROR(IF($C108="Top WS",VLOOKUP($B108,'2) หลักการคำนวน Table'!$D$5:$M$20,HLOOKUP(AK108,'2) หลักการคำนวน Table'!$D$1:$M$5,5,TRUE),0),
IF($C108="WS SF",VLOOKUP($B108,'2) หลักการคำนวน Table'!$D$33:$M$48,HLOOKUP(AK108,'2) หลักการคำนวน Table'!$D$1:$M$5,5,TRUE),0),
IF($C108="WS WH",VLOOKUP($B108,'2) หลักการคำนวน Table'!$D$63:$M$78,HLOOKUP(AK108,'2) หลักการคำนวน Table'!$D$1:$M$5,5,TRUE),0),
IF($C108="SF WH",VLOOKUP($B108,'2) หลักการคำนวน Table'!$D$93:$M$108,HLOOKUP(AK108,'2) หลักการคำนวน Table'!$D$1:$M$5,5,TRUE),0))))),0)</f>
        <v>157.5</v>
      </c>
      <c r="BJ108" s="167">
        <f>IFERROR(IF($C108="Top WS",VLOOKUP($B108,'2) หลักการคำนวน Table'!$D$5:$M$20,HLOOKUP(AL108,'2) หลักการคำนวน Table'!$D$1:$M$5,5,TRUE),0),
IF($C108="WS SF",VLOOKUP($B108,'2) หลักการคำนวน Table'!$D$33:$M$48,HLOOKUP(AL108,'2) หลักการคำนวน Table'!$D$1:$M$5,5,TRUE),0),
IF($C108="WS WH",VLOOKUP($B108,'2) หลักการคำนวน Table'!$D$63:$M$78,HLOOKUP(AL108,'2) หลักการคำนวน Table'!$D$1:$M$5,5,TRUE),0),
IF($C108="SF WH",VLOOKUP($B108,'2) หลักการคำนวน Table'!$D$93:$M$108,HLOOKUP(AL108,'2) หลักการคำนวน Table'!$D$1:$M$5,5,TRUE),0))))),0)</f>
        <v>157.5</v>
      </c>
      <c r="BK108" s="167">
        <f>IFERROR(IF($C108="Top WS",VLOOKUP($B108,'2) หลักการคำนวน Table'!$D$5:$M$20,HLOOKUP(AM108,'2) หลักการคำนวน Table'!$D$1:$M$5,5,TRUE),0),
IF($C108="WS SF",VLOOKUP($B108,'2) หลักการคำนวน Table'!$D$33:$M$48,HLOOKUP(AM108,'2) หลักการคำนวน Table'!$D$1:$M$5,5,TRUE),0),
IF($C108="WS WH",VLOOKUP($B108,'2) หลักการคำนวน Table'!$D$63:$M$78,HLOOKUP(AM108,'2) หลักการคำนวน Table'!$D$1:$M$5,5,TRUE),0),
IF($C108="SF WH",VLOOKUP($B108,'2) หลักการคำนวน Table'!$D$93:$M$108,HLOOKUP(AM108,'2) หลักการคำนวน Table'!$D$1:$M$5,5,TRUE),0))))),0)</f>
        <v>157.5</v>
      </c>
      <c r="BM108" s="119">
        <f>VLOOKUP(VLOOKUP(A108,ASTBase!E:S,13,FALSE),ASTBase!F:P,11,FALSE)</f>
        <v>110000</v>
      </c>
      <c r="BN108" s="196" cm="1">
        <f t="array" ref="BN108">INDEX(AN108:AY108,,Period!$D$2)</f>
        <v>1.3</v>
      </c>
    </row>
    <row r="109" spans="1:66" x14ac:dyDescent="0.25">
      <c r="A109" s="388">
        <v>110003</v>
      </c>
      <c r="B109" s="388" t="s">
        <v>396</v>
      </c>
      <c r="C109" s="388" t="s">
        <v>180</v>
      </c>
      <c r="D109" s="118">
        <v>21</v>
      </c>
      <c r="E109" s="118">
        <v>26</v>
      </c>
      <c r="F109" s="118">
        <v>27</v>
      </c>
      <c r="G109" s="118">
        <v>18</v>
      </c>
      <c r="H109" s="118">
        <v>24</v>
      </c>
      <c r="I109" s="118">
        <v>34</v>
      </c>
      <c r="J109" s="118">
        <v>22</v>
      </c>
      <c r="K109" s="118">
        <v>45</v>
      </c>
      <c r="L109" s="118">
        <v>42</v>
      </c>
      <c r="M109" s="118">
        <v>31</v>
      </c>
      <c r="N109" s="118">
        <v>55</v>
      </c>
      <c r="O109" s="118">
        <v>55</v>
      </c>
      <c r="P109" s="117">
        <f>SUMIFS(Actual!C:C,Actual!$A:$A,'3)Target &amp; Cal'!$A109,Actual!$B:$B,'3)Target &amp; Cal'!$B109)</f>
        <v>0</v>
      </c>
      <c r="Q109" s="117">
        <f>SUMIFS(Actual!D:D,Actual!$A:$A,'3)Target &amp; Cal'!$A109,Actual!$B:$B,'3)Target &amp; Cal'!$B109)</f>
        <v>0</v>
      </c>
      <c r="R109" s="117">
        <f>SUMIFS(Actual!E:E,Actual!$A:$A,'3)Target &amp; Cal'!$A109,Actual!$B:$B,'3)Target &amp; Cal'!$B109)</f>
        <v>0</v>
      </c>
      <c r="S109" s="117">
        <f>SUMIFS(Actual!F:F,Actual!$A:$A,'3)Target &amp; Cal'!$A109,Actual!$B:$B,'3)Target &amp; Cal'!$B109)</f>
        <v>0</v>
      </c>
      <c r="T109" s="117">
        <f>SUMIFS(Actual!G:G,Actual!$A:$A,'3)Target &amp; Cal'!$A109,Actual!$B:$B,'3)Target &amp; Cal'!$B109)</f>
        <v>0</v>
      </c>
      <c r="U109" s="117">
        <f>SUMIFS(Actual!H:H,Actual!$A:$A,'3)Target &amp; Cal'!$A109,Actual!$B:$B,'3)Target &amp; Cal'!$B109)</f>
        <v>0</v>
      </c>
      <c r="V109" s="117">
        <f>SUMIFS(Actual!I:I,Actual!$A:$A,'3)Target &amp; Cal'!$A109,Actual!$B:$B,'3)Target &amp; Cal'!$B109)</f>
        <v>0</v>
      </c>
      <c r="W109" s="117">
        <f>SUMIFS(Actual!J:J,Actual!$A:$A,'3)Target &amp; Cal'!$A109,Actual!$B:$B,'3)Target &amp; Cal'!$B109)</f>
        <v>0</v>
      </c>
      <c r="X109" s="117">
        <f>SUMIFS(Actual!K:K,Actual!$A:$A,'3)Target &amp; Cal'!$A109,Actual!$B:$B,'3)Target &amp; Cal'!$B109)</f>
        <v>0</v>
      </c>
      <c r="Y109" s="117">
        <f>SUMIFS(Actual!L:L,Actual!$A:$A,'3)Target &amp; Cal'!$A109,Actual!$B:$B,'3)Target &amp; Cal'!$B109)</f>
        <v>0</v>
      </c>
      <c r="Z109" s="117">
        <f>SUMIFS(Actual!M:M,Actual!$A:$A,'3)Target &amp; Cal'!$A109,Actual!$B:$B,'3)Target &amp; Cal'!$B109)</f>
        <v>0</v>
      </c>
      <c r="AA109" s="117">
        <f>SUMIFS(Actual!N:N,Actual!$A:$A,'3)Target &amp; Cal'!$A109,Actual!$B:$B,'3)Target &amp; Cal'!$B109)</f>
        <v>0</v>
      </c>
      <c r="AB109" s="123">
        <f>IFERROR(IF(VLOOKUP($B109,Shortage!$A:$M,AB$2,FALSE)="Shortage",1,IFERROR(ROUND(P109/D109,4),0)),IFERROR(ROUND(P109/D109,4),0))</f>
        <v>0</v>
      </c>
      <c r="AC109" s="123">
        <f>IFERROR(IF(VLOOKUP($B109,Shortage!$A:$M,AC$2,FALSE)="Shortage",1,IFERROR(ROUND(Q109/E109,4),0)),IFERROR(ROUND(Q109/E109,4),0))</f>
        <v>0</v>
      </c>
      <c r="AD109" s="123">
        <f>IFERROR(IF(VLOOKUP($B109,Shortage!$A:$M,AD$2,FALSE)="Shortage",1,IFERROR(ROUND(R109/F109,4),0)),IFERROR(ROUND(R109/F109,4),0))</f>
        <v>0</v>
      </c>
      <c r="AE109" s="123">
        <f>IFERROR(IF(VLOOKUP($B109,Shortage!$A:$M,AE$2,FALSE)="Shortage",1,IFERROR(ROUND(S109/G109,4),0)),IFERROR(ROUND(S109/G109,4),0))</f>
        <v>0</v>
      </c>
      <c r="AF109" s="123">
        <f>IFERROR(IF(VLOOKUP($B109,Shortage!$A:$M,AF$2,FALSE)="Shortage",1,IFERROR(ROUND(T109/H109,4),0)),IFERROR(ROUND(T109/H109,4),0))</f>
        <v>0</v>
      </c>
      <c r="AG109" s="123">
        <f>IFERROR(IF(VLOOKUP($B109,Shortage!$A:$M,AG$2,FALSE)="Shortage",1,IFERROR(ROUND(U109/I109,4),0)),IFERROR(ROUND(U109/I109,4),0))</f>
        <v>0</v>
      </c>
      <c r="AH109" s="123">
        <f>IFERROR(IF(VLOOKUP($B109,Shortage!$A:$M,AH$2,FALSE)="Shortage",1,IFERROR(ROUND(V109/J109,4),0)),IFERROR(ROUND(V109/J109,4),0))</f>
        <v>0</v>
      </c>
      <c r="AI109" s="123">
        <f>IFERROR(IF(VLOOKUP($B109,Shortage!$A:$M,AI$2,FALSE)="Shortage",1,IFERROR(ROUND(W109/K109,4),0)),IFERROR(ROUND(W109/K109,4),0))</f>
        <v>0</v>
      </c>
      <c r="AJ109" s="123">
        <f>IFERROR(IF(VLOOKUP($B109,Shortage!$A:$M,AP$2,FALSE)="Shortage",1,IFERROR(ROUND(X109/L109,4),0)),IFERROR(ROUND(X109/L109,4),0))</f>
        <v>0</v>
      </c>
      <c r="AK109" s="123">
        <f>IFERROR(IF(VLOOKUP($B109,Shortage!$A:$M,AK$2,FALSE)="Shortage",1,IFERROR(ROUND(Y109/M109,4),0)),IFERROR(ROUND(Y109/M109,4),0))</f>
        <v>0</v>
      </c>
      <c r="AL109" s="123">
        <f>IFERROR(IF(VLOOKUP($B109,Shortage!$A:$M,AL$2,FALSE)="Shortage",1,IFERROR(ROUND(Z109/N109,4),0)),IFERROR(ROUND(Z109/N109,4),0))</f>
        <v>0</v>
      </c>
      <c r="AM109" s="123">
        <f>IFERROR(IF(VLOOKUP($B109,Shortage!$A:$M,AM$2,FALSE)="Shortage",1,IFERROR(ROUND(AA109/O109,4),0)),IFERROR(ROUND(AA109/O109,4),0))</f>
        <v>0</v>
      </c>
      <c r="AN109" s="232">
        <f>IFERROR(IF($C109="Top WS",VLOOKUP("GOAL",'2) หลักการคำนวน Table'!$D$4:$M$4,HLOOKUP(AB109,'2) หลักการคำนวน Table'!$D$1:$M$5,5,TRUE),0),
IF($C109="WS SF",VLOOKUP("GOAL",'2) หลักการคำนวน Table'!$D$32:$M$32,HLOOKUP(AB109,'2) หลักการคำนวน Table'!$D$1:$M$5,5,TRUE),0),
IF($C109="WS WH",VLOOKUP("GOAL",'2) หลักการคำนวน Table'!$D$62:$M$62,HLOOKUP(AB109,'2) หลักการคำนวน Table'!$D$1:$M$5,5,TRUE),0),
IF($C109="SF WH",VLOOKUP("GOAL",'2) หลักการคำนวน Table'!$D$92:$M$92,HLOOKUP(AB109,'2) หลักการคำนวน Table'!$D$1:$M$5,5,TRUE),0))))),0)</f>
        <v>0.9</v>
      </c>
      <c r="AO109" s="232">
        <f>IFERROR(IF($C109="Top WS",VLOOKUP("GOAL",'2) หลักการคำนวน Table'!$D$4:$M$4,HLOOKUP(AC109,'2) หลักการคำนวน Table'!$D$1:$M$5,5,TRUE),0),
IF($C109="WS SF",VLOOKUP("GOAL",'2) หลักการคำนวน Table'!$D$32:$M$32,HLOOKUP(AC109,'2) หลักการคำนวน Table'!$D$1:$M$5,5,TRUE),0),
IF($C109="WS WH",VLOOKUP("GOAL",'2) หลักการคำนวน Table'!$D$62:$M$62,HLOOKUP(AC109,'2) หลักการคำนวน Table'!$D$1:$M$5,5,TRUE),0),
IF($C109="SF WH",VLOOKUP("GOAL",'2) หลักการคำนวน Table'!$D$92:$M$92,HLOOKUP(AC109,'2) หลักการคำนวน Table'!$D$1:$M$5,5,TRUE),0))))),0)</f>
        <v>0.9</v>
      </c>
      <c r="AP109" s="232">
        <f>IFERROR(IF($C109="Top WS",VLOOKUP("GOAL",'2) หลักการคำนวน Table'!$D$4:$M$4,HLOOKUP(AD109,'2) หลักการคำนวน Table'!$D$1:$M$5,5,TRUE),0),
IF($C109="WS SF",VLOOKUP("GOAL",'2) หลักการคำนวน Table'!$D$32:$M$32,HLOOKUP(AD109,'2) หลักการคำนวน Table'!$D$1:$M$5,5,TRUE),0),
IF($C109="WS WH",VLOOKUP("GOAL",'2) หลักการคำนวน Table'!$D$62:$M$62,HLOOKUP(AD109,'2) หลักการคำนวน Table'!$D$1:$M$5,5,TRUE),0),
IF($C109="SF WH",VLOOKUP("GOAL",'2) หลักการคำนวน Table'!$D$92:$M$92,HLOOKUP(AD109,'2) หลักการคำนวน Table'!$D$1:$M$5,5,TRUE),0))))),0)</f>
        <v>0.9</v>
      </c>
      <c r="AQ109" s="232">
        <f>IFERROR(IF($C109="Top WS",VLOOKUP("GOAL",'2) หลักการคำนวน Table'!$D$4:$M$4,HLOOKUP(AE109,'2) หลักการคำนวน Table'!$D$1:$M$5,5,TRUE),0),
IF($C109="WS SF",VLOOKUP("GOAL",'2) หลักการคำนวน Table'!$D$32:$M$32,HLOOKUP(AE109,'2) หลักการคำนวน Table'!$D$1:$M$5,5,TRUE),0),
IF($C109="WS WH",VLOOKUP("GOAL",'2) หลักการคำนวน Table'!$D$62:$M$62,HLOOKUP(AE109,'2) หลักการคำนวน Table'!$D$1:$M$5,5,TRUE),0),
IF($C109="SF WH",VLOOKUP("GOAL",'2) หลักการคำนวน Table'!$D$92:$M$92,HLOOKUP(AE109,'2) หลักการคำนวน Table'!$D$1:$M$5,5,TRUE),0))))),0)</f>
        <v>0.9</v>
      </c>
      <c r="AR109" s="232">
        <f>IFERROR(IF($C109="Top WS",VLOOKUP("GOAL",'2) หลักการคำนวน Table'!$D$4:$M$4,HLOOKUP(AF109,'2) หลักการคำนวน Table'!$D$1:$M$5,5,TRUE),0),
IF($C109="WS SF",VLOOKUP("GOAL",'2) หลักการคำนวน Table'!$D$32:$M$32,HLOOKUP(AF109,'2) หลักการคำนวน Table'!$D$1:$M$5,5,TRUE),0),
IF($C109="WS WH",VLOOKUP("GOAL",'2) หลักการคำนวน Table'!$D$62:$M$62,HLOOKUP(AF109,'2) หลักการคำนวน Table'!$D$1:$M$5,5,TRUE),0),
IF($C109="SF WH",VLOOKUP("GOAL",'2) หลักการคำนวน Table'!$D$92:$M$92,HLOOKUP(AF109,'2) หลักการคำนวน Table'!$D$1:$M$5,5,TRUE),0))))),0)</f>
        <v>0.9</v>
      </c>
      <c r="AS109" s="232">
        <f>IFERROR(IF($C109="Top WS",VLOOKUP("GOAL",'2) หลักการคำนวน Table'!$D$4:$M$4,HLOOKUP(AG109,'2) หลักการคำนวน Table'!$D$1:$M$5,5,TRUE),0),
IF($C109="WS SF",VLOOKUP("GOAL",'2) หลักการคำนวน Table'!$D$32:$M$32,HLOOKUP(AG109,'2) หลักการคำนวน Table'!$D$1:$M$5,5,TRUE),0),
IF($C109="WS WH",VLOOKUP("GOAL",'2) หลักการคำนวน Table'!$D$62:$M$62,HLOOKUP(AG109,'2) หลักการคำนวน Table'!$D$1:$M$5,5,TRUE),0),
IF($C109="SF WH",VLOOKUP("GOAL",'2) หลักการคำนวน Table'!$D$92:$M$92,HLOOKUP(AG109,'2) หลักการคำนวน Table'!$D$1:$M$5,5,TRUE),0))))),0)</f>
        <v>0.9</v>
      </c>
      <c r="AT109" s="232">
        <f>IFERROR(IF($C109="Top WS",VLOOKUP("GOAL",'2) หลักการคำนวน Table'!$D$4:$M$4,HLOOKUP(AH109,'2) หลักการคำนวน Table'!$D$1:$M$5,5,TRUE),0),
IF($C109="WS SF",VLOOKUP("GOAL",'2) หลักการคำนวน Table'!$D$32:$M$32,HLOOKUP(AH109,'2) หลักการคำนวน Table'!$D$1:$M$5,5,TRUE),0),
IF($C109="WS WH",VLOOKUP("GOAL",'2) หลักการคำนวน Table'!$D$62:$M$62,HLOOKUP(AH109,'2) หลักการคำนวน Table'!$D$1:$M$5,5,TRUE),0),
IF($C109="SF WH",VLOOKUP("GOAL",'2) หลักการคำนวน Table'!$D$92:$M$92,HLOOKUP(AH109,'2) หลักการคำนวน Table'!$D$1:$M$5,5,TRUE),0))))),0)</f>
        <v>0.9</v>
      </c>
      <c r="AU109" s="232">
        <f>IFERROR(IF($C109="Top WS",VLOOKUP("GOAL",'2) หลักการคำนวน Table'!$D$4:$M$4,HLOOKUP(AI109,'2) หลักการคำนวน Table'!$D$1:$M$5,5,TRUE),0),
IF($C109="WS SF",VLOOKUP("GOAL",'2) หลักการคำนวน Table'!$D$32:$M$32,HLOOKUP(AI109,'2) หลักการคำนวน Table'!$D$1:$M$5,5,TRUE),0),
IF($C109="WS WH",VLOOKUP("GOAL",'2) หลักการคำนวน Table'!$D$62:$M$62,HLOOKUP(AI109,'2) หลักการคำนวน Table'!$D$1:$M$5,5,TRUE),0),
IF($C109="SF WH",VLOOKUP("GOAL",'2) หลักการคำนวน Table'!$D$92:$M$92,HLOOKUP(AI109,'2) หลักการคำนวน Table'!$D$1:$M$5,5,TRUE),0))))),0)</f>
        <v>0.9</v>
      </c>
      <c r="AV109" s="232">
        <f>IFERROR(IF($C109="Top WS",VLOOKUP("GOAL",'2) หลักการคำนวน Table'!$D$4:$M$4,HLOOKUP(AP109,'2) หลักการคำนวน Table'!$D$1:$M$5,5,TRUE),0),
IF($C109="WS SF",VLOOKUP("GOAL",'2) หลักการคำนวน Table'!$D$32:$M$32,HLOOKUP(AP109,'2) หลักการคำนวน Table'!$D$1:$M$5,5,TRUE),0),
IF($C109="WS WH",VLOOKUP("GOAL",'2) หลักการคำนวน Table'!$D$62:$M$62,HLOOKUP(AP109,'2) หลักการคำนวน Table'!$D$1:$M$5,5,TRUE),0),
IF($C109="SF WH",VLOOKUP("GOAL",'2) หลักการคำนวน Table'!$D$92:$M$92,HLOOKUP(AP109,'2) หลักการคำนวน Table'!$D$1:$M$5,5,TRUE),0))))),0)</f>
        <v>0.9</v>
      </c>
      <c r="AW109" s="232">
        <f>IFERROR(IF($C109="Top WS",VLOOKUP("GOAL",'2) หลักการคำนวน Table'!$D$4:$M$4,HLOOKUP(AK109,'2) หลักการคำนวน Table'!$D$1:$M$5,5,TRUE),0),
IF($C109="WS SF",VLOOKUP("GOAL",'2) หลักการคำนวน Table'!$D$32:$M$32,HLOOKUP(AK109,'2) หลักการคำนวน Table'!$D$1:$M$5,5,TRUE),0),
IF($C109="WS WH",VLOOKUP("GOAL",'2) หลักการคำนวน Table'!$D$62:$M$62,HLOOKUP(AK109,'2) หลักการคำนวน Table'!$D$1:$M$5,5,TRUE),0),
IF($C109="SF WH",VLOOKUP("GOAL",'2) หลักการคำนวน Table'!$D$92:$M$92,HLOOKUP(AK109,'2) หลักการคำนวน Table'!$D$1:$M$5,5,TRUE),0))))),0)</f>
        <v>0.9</v>
      </c>
      <c r="AX109" s="232">
        <f>IFERROR(IF($C109="Top WS",VLOOKUP("GOAL",'2) หลักการคำนวน Table'!$D$4:$M$4,HLOOKUP(AL109,'2) หลักการคำนวน Table'!$D$1:$M$5,5,TRUE),0),
IF($C109="WS SF",VLOOKUP("GOAL",'2) หลักการคำนวน Table'!$D$32:$M$32,HLOOKUP(AL109,'2) หลักการคำนวน Table'!$D$1:$M$5,5,TRUE),0),
IF($C109="WS WH",VLOOKUP("GOAL",'2) หลักการคำนวน Table'!$D$62:$M$62,HLOOKUP(AL109,'2) หลักการคำนวน Table'!$D$1:$M$5,5,TRUE),0),
IF($C109="SF WH",VLOOKUP("GOAL",'2) หลักการคำนวน Table'!$D$92:$M$92,HLOOKUP(AL109,'2) หลักการคำนวน Table'!$D$1:$M$5,5,TRUE),0))))),0)</f>
        <v>0.9</v>
      </c>
      <c r="AY109" s="232">
        <f>IFERROR(IF($C109="Top WS",VLOOKUP("GOAL",'2) หลักการคำนวน Table'!$D$4:$M$4,HLOOKUP(AM109,'2) หลักการคำนวน Table'!$D$1:$M$5,5,TRUE),0),
IF($C109="WS SF",VLOOKUP("GOAL",'2) หลักการคำนวน Table'!$D$32:$M$32,HLOOKUP(AM109,'2) หลักการคำนวน Table'!$D$1:$M$5,5,TRUE),0),
IF($C109="WS WH",VLOOKUP("GOAL",'2) หลักการคำนวน Table'!$D$62:$M$62,HLOOKUP(AM109,'2) หลักการคำนวน Table'!$D$1:$M$5,5,TRUE),0),
IF($C109="SF WH",VLOOKUP("GOAL",'2) หลักการคำนวน Table'!$D$92:$M$92,HLOOKUP(AM109,'2) หลักการคำนวน Table'!$D$1:$M$5,5,TRUE),0))))),0)</f>
        <v>0.9</v>
      </c>
      <c r="AZ109" s="167">
        <f>IFERROR(IF($C109="Top WS",VLOOKUP($B109,'2) หลักการคำนวน Table'!$D$5:$M$20,HLOOKUP(AB109,'2) หลักการคำนวน Table'!$D$1:$M$5,5,TRUE),0),
IF($C109="WS SF",VLOOKUP($B109,'2) หลักการคำนวน Table'!$D$33:$M$48,HLOOKUP(AB109,'2) หลักการคำนวน Table'!$D$1:$M$5,5,TRUE),0),
IF($C109="WS WH",VLOOKUP($B109,'2) หลักการคำนวน Table'!$D$63:$M$78,HLOOKUP(AB109,'2) หลักการคำนวน Table'!$D$1:$M$5,5,TRUE),0),
IF($C109="SF WH",VLOOKUP($B109,'2) หลักการคำนวน Table'!$D$93:$M$108,HLOOKUP(AB109,'2) หลักการคำนวน Table'!$D$1:$M$5,5,TRUE),0))))),0)</f>
        <v>157.5</v>
      </c>
      <c r="BA109" s="167">
        <f>IFERROR(IF($C109="Top WS",VLOOKUP($B109,'2) หลักการคำนวน Table'!$D$5:$M$20,HLOOKUP(AC109,'2) หลักการคำนวน Table'!$D$1:$M$5,5,TRUE),0),
IF($C109="WS SF",VLOOKUP($B109,'2) หลักการคำนวน Table'!$D$33:$M$48,HLOOKUP(AC109,'2) หลักการคำนวน Table'!$D$1:$M$5,5,TRUE),0),
IF($C109="WS WH",VLOOKUP($B109,'2) หลักการคำนวน Table'!$D$63:$M$78,HLOOKUP(AC109,'2) หลักการคำนวน Table'!$D$1:$M$5,5,TRUE),0),
IF($C109="SF WH",VLOOKUP($B109,'2) หลักการคำนวน Table'!$D$93:$M$108,HLOOKUP(AC109,'2) หลักการคำนวน Table'!$D$1:$M$5,5,TRUE),0))))),0)</f>
        <v>157.5</v>
      </c>
      <c r="BB109" s="167">
        <f>IFERROR(IF($C109="Top WS",VLOOKUP($B109,'2) หลักการคำนวน Table'!$D$5:$M$20,HLOOKUP(AD109,'2) หลักการคำนวน Table'!$D$1:$M$5,5,TRUE),0),
IF($C109="WS SF",VLOOKUP($B109,'2) หลักการคำนวน Table'!$D$33:$M$48,HLOOKUP(AD109,'2) หลักการคำนวน Table'!$D$1:$M$5,5,TRUE),0),
IF($C109="WS WH",VLOOKUP($B109,'2) หลักการคำนวน Table'!$D$63:$M$78,HLOOKUP(AD109,'2) หลักการคำนวน Table'!$D$1:$M$5,5,TRUE),0),
IF($C109="SF WH",VLOOKUP($B109,'2) หลักการคำนวน Table'!$D$93:$M$108,HLOOKUP(AD109,'2) หลักการคำนวน Table'!$D$1:$M$5,5,TRUE),0))))),0)</f>
        <v>157.5</v>
      </c>
      <c r="BC109" s="167">
        <f>IFERROR(IF($C109="Top WS",VLOOKUP($B109,'2) หลักการคำนวน Table'!$D$5:$M$20,HLOOKUP(AE109,'2) หลักการคำนวน Table'!$D$1:$M$5,5,TRUE),0),
IF($C109="WS SF",VLOOKUP($B109,'2) หลักการคำนวน Table'!$D$33:$M$48,HLOOKUP(AE109,'2) หลักการคำนวน Table'!$D$1:$M$5,5,TRUE),0),
IF($C109="WS WH",VLOOKUP($B109,'2) หลักการคำนวน Table'!$D$63:$M$78,HLOOKUP(AE109,'2) หลักการคำนวน Table'!$D$1:$M$5,5,TRUE),0),
IF($C109="SF WH",VLOOKUP($B109,'2) หลักการคำนวน Table'!$D$93:$M$108,HLOOKUP(AE109,'2) หลักการคำนวน Table'!$D$1:$M$5,5,TRUE),0))))),0)</f>
        <v>157.5</v>
      </c>
      <c r="BD109" s="167">
        <f>IFERROR(IF($C109="Top WS",VLOOKUP($B109,'2) หลักการคำนวน Table'!$D$5:$M$20,HLOOKUP(AF109,'2) หลักการคำนวน Table'!$D$1:$M$5,5,TRUE),0),
IF($C109="WS SF",VLOOKUP($B109,'2) หลักการคำนวน Table'!$D$33:$M$48,HLOOKUP(AF109,'2) หลักการคำนวน Table'!$D$1:$M$5,5,TRUE),0),
IF($C109="WS WH",VLOOKUP($B109,'2) หลักการคำนวน Table'!$D$63:$M$78,HLOOKUP(AF109,'2) หลักการคำนวน Table'!$D$1:$M$5,5,TRUE),0),
IF($C109="SF WH",VLOOKUP($B109,'2) หลักการคำนวน Table'!$D$93:$M$108,HLOOKUP(AF109,'2) หลักการคำนวน Table'!$D$1:$M$5,5,TRUE),0))))),0)</f>
        <v>157.5</v>
      </c>
      <c r="BE109" s="167">
        <f>IFERROR(IF($C109="Top WS",VLOOKUP($B109,'2) หลักการคำนวน Table'!$D$5:$M$20,HLOOKUP(AG109,'2) หลักการคำนวน Table'!$D$1:$M$5,5,TRUE),0),
IF($C109="WS SF",VLOOKUP($B109,'2) หลักการคำนวน Table'!$D$33:$M$48,HLOOKUP(AG109,'2) หลักการคำนวน Table'!$D$1:$M$5,5,TRUE),0),
IF($C109="WS WH",VLOOKUP($B109,'2) หลักการคำนวน Table'!$D$63:$M$78,HLOOKUP(AG109,'2) หลักการคำนวน Table'!$D$1:$M$5,5,TRUE),0),
IF($C109="SF WH",VLOOKUP($B109,'2) หลักการคำนวน Table'!$D$93:$M$108,HLOOKUP(AG109,'2) หลักการคำนวน Table'!$D$1:$M$5,5,TRUE),0))))),0)</f>
        <v>157.5</v>
      </c>
      <c r="BF109" s="167">
        <f>IFERROR(IF($C109="Top WS",VLOOKUP($B109,'2) หลักการคำนวน Table'!$D$5:$M$20,HLOOKUP(AH109,'2) หลักการคำนวน Table'!$D$1:$M$5,5,TRUE),0),
IF($C109="WS SF",VLOOKUP($B109,'2) หลักการคำนวน Table'!$D$33:$M$48,HLOOKUP(AH109,'2) หลักการคำนวน Table'!$D$1:$M$5,5,TRUE),0),
IF($C109="WS WH",VLOOKUP($B109,'2) หลักการคำนวน Table'!$D$63:$M$78,HLOOKUP(AH109,'2) หลักการคำนวน Table'!$D$1:$M$5,5,TRUE),0),
IF($C109="SF WH",VLOOKUP($B109,'2) หลักการคำนวน Table'!$D$93:$M$108,HLOOKUP(AH109,'2) หลักการคำนวน Table'!$D$1:$M$5,5,TRUE),0))))),0)</f>
        <v>157.5</v>
      </c>
      <c r="BG109" s="167">
        <f>IFERROR(IF($C109="Top WS",VLOOKUP($B109,'2) หลักการคำนวน Table'!$D$5:$M$20,HLOOKUP(AI109,'2) หลักการคำนวน Table'!$D$1:$M$5,5,TRUE),0),
IF($C109="WS SF",VLOOKUP($B109,'2) หลักการคำนวน Table'!$D$33:$M$48,HLOOKUP(AI109,'2) หลักการคำนวน Table'!$D$1:$M$5,5,TRUE),0),
IF($C109="WS WH",VLOOKUP($B109,'2) หลักการคำนวน Table'!$D$63:$M$78,HLOOKUP(AI109,'2) หลักการคำนวน Table'!$D$1:$M$5,5,TRUE),0),
IF($C109="SF WH",VLOOKUP($B109,'2) หลักการคำนวน Table'!$D$93:$M$108,HLOOKUP(AI109,'2) หลักการคำนวน Table'!$D$1:$M$5,5,TRUE),0))))),0)</f>
        <v>157.5</v>
      </c>
      <c r="BH109" s="167">
        <f>IFERROR(IF($C109="Top WS",VLOOKUP($B109,'2) หลักการคำนวน Table'!$D$5:$M$20,HLOOKUP(AP109,'2) หลักการคำนวน Table'!$D$1:$M$5,5,TRUE),0),
IF($C109="WS SF",VLOOKUP($B109,'2) หลักการคำนวน Table'!$D$33:$M$48,HLOOKUP(AP109,'2) หลักการคำนวน Table'!$D$1:$M$5,5,TRUE),0),
IF($C109="WS WH",VLOOKUP($B109,'2) หลักการคำนวน Table'!$D$63:$M$78,HLOOKUP(AP109,'2) หลักการคำนวน Table'!$D$1:$M$5,5,TRUE),0),
IF($C109="SF WH",VLOOKUP($B109,'2) หลักการคำนวน Table'!$D$93:$M$108,HLOOKUP(AP109,'2) หลักการคำนวน Table'!$D$1:$M$5,5,TRUE),0))))),0)</f>
        <v>157.5</v>
      </c>
      <c r="BI109" s="167">
        <f>IFERROR(IF($C109="Top WS",VLOOKUP($B109,'2) หลักการคำนวน Table'!$D$5:$M$20,HLOOKUP(AK109,'2) หลักการคำนวน Table'!$D$1:$M$5,5,TRUE),0),
IF($C109="WS SF",VLOOKUP($B109,'2) หลักการคำนวน Table'!$D$33:$M$48,HLOOKUP(AK109,'2) หลักการคำนวน Table'!$D$1:$M$5,5,TRUE),0),
IF($C109="WS WH",VLOOKUP($B109,'2) หลักการคำนวน Table'!$D$63:$M$78,HLOOKUP(AK109,'2) หลักการคำนวน Table'!$D$1:$M$5,5,TRUE),0),
IF($C109="SF WH",VLOOKUP($B109,'2) หลักการคำนวน Table'!$D$93:$M$108,HLOOKUP(AK109,'2) หลักการคำนวน Table'!$D$1:$M$5,5,TRUE),0))))),0)</f>
        <v>157.5</v>
      </c>
      <c r="BJ109" s="167">
        <f>IFERROR(IF($C109="Top WS",VLOOKUP($B109,'2) หลักการคำนวน Table'!$D$5:$M$20,HLOOKUP(AL109,'2) หลักการคำนวน Table'!$D$1:$M$5,5,TRUE),0),
IF($C109="WS SF",VLOOKUP($B109,'2) หลักการคำนวน Table'!$D$33:$M$48,HLOOKUP(AL109,'2) หลักการคำนวน Table'!$D$1:$M$5,5,TRUE),0),
IF($C109="WS WH",VLOOKUP($B109,'2) หลักการคำนวน Table'!$D$63:$M$78,HLOOKUP(AL109,'2) หลักการคำนวน Table'!$D$1:$M$5,5,TRUE),0),
IF($C109="SF WH",VLOOKUP($B109,'2) หลักการคำนวน Table'!$D$93:$M$108,HLOOKUP(AL109,'2) หลักการคำนวน Table'!$D$1:$M$5,5,TRUE),0))))),0)</f>
        <v>157.5</v>
      </c>
      <c r="BK109" s="167">
        <f>IFERROR(IF($C109="Top WS",VLOOKUP($B109,'2) หลักการคำนวน Table'!$D$5:$M$20,HLOOKUP(AM109,'2) หลักการคำนวน Table'!$D$1:$M$5,5,TRUE),0),
IF($C109="WS SF",VLOOKUP($B109,'2) หลักการคำนวน Table'!$D$33:$M$48,HLOOKUP(AM109,'2) หลักการคำนวน Table'!$D$1:$M$5,5,TRUE),0),
IF($C109="WS WH",VLOOKUP($B109,'2) หลักการคำนวน Table'!$D$63:$M$78,HLOOKUP(AM109,'2) หลักการคำนวน Table'!$D$1:$M$5,5,TRUE),0),
IF($C109="SF WH",VLOOKUP($B109,'2) หลักการคำนวน Table'!$D$93:$M$108,HLOOKUP(AM109,'2) หลักการคำนวน Table'!$D$1:$M$5,5,TRUE),0))))),0)</f>
        <v>157.5</v>
      </c>
      <c r="BM109" s="119">
        <f>VLOOKUP(VLOOKUP(A109,ASTBase!E:S,13,FALSE),ASTBase!F:P,11,FALSE)</f>
        <v>110000</v>
      </c>
      <c r="BN109" s="196" cm="1">
        <f t="array" ref="BN109">INDEX(AN109:AY109,,Period!$D$2)</f>
        <v>0.9</v>
      </c>
    </row>
    <row r="110" spans="1:66" x14ac:dyDescent="0.25">
      <c r="A110" s="388">
        <v>110003</v>
      </c>
      <c r="B110" s="388" t="s">
        <v>394</v>
      </c>
      <c r="C110" s="388" t="s">
        <v>180</v>
      </c>
      <c r="D110" s="118">
        <v>21</v>
      </c>
      <c r="E110" s="118">
        <v>29</v>
      </c>
      <c r="F110" s="118">
        <v>17</v>
      </c>
      <c r="G110" s="118">
        <v>10</v>
      </c>
      <c r="H110" s="118">
        <v>16</v>
      </c>
      <c r="I110" s="118">
        <v>23</v>
      </c>
      <c r="J110" s="118">
        <v>24</v>
      </c>
      <c r="K110" s="118">
        <v>18</v>
      </c>
      <c r="L110" s="118">
        <v>25</v>
      </c>
      <c r="M110" s="118">
        <v>24</v>
      </c>
      <c r="N110" s="118">
        <v>25</v>
      </c>
      <c r="O110" s="118">
        <v>24</v>
      </c>
      <c r="P110" s="117">
        <f>SUMIFS(Actual!C:C,Actual!$A:$A,'3)Target &amp; Cal'!$A110,Actual!$B:$B,'3)Target &amp; Cal'!$B110)</f>
        <v>10.799999999999999</v>
      </c>
      <c r="Q110" s="117">
        <f>SUMIFS(Actual!D:D,Actual!$A:$A,'3)Target &amp; Cal'!$A110,Actual!$B:$B,'3)Target &amp; Cal'!$B110)</f>
        <v>0</v>
      </c>
      <c r="R110" s="117">
        <f>SUMIFS(Actual!E:E,Actual!$A:$A,'3)Target &amp; Cal'!$A110,Actual!$B:$B,'3)Target &amp; Cal'!$B110)</f>
        <v>0</v>
      </c>
      <c r="S110" s="117">
        <f>SUMIFS(Actual!F:F,Actual!$A:$A,'3)Target &amp; Cal'!$A110,Actual!$B:$B,'3)Target &amp; Cal'!$B110)</f>
        <v>0</v>
      </c>
      <c r="T110" s="117">
        <f>SUMIFS(Actual!G:G,Actual!$A:$A,'3)Target &amp; Cal'!$A110,Actual!$B:$B,'3)Target &amp; Cal'!$B110)</f>
        <v>0</v>
      </c>
      <c r="U110" s="117">
        <f>SUMIFS(Actual!H:H,Actual!$A:$A,'3)Target &amp; Cal'!$A110,Actual!$B:$B,'3)Target &amp; Cal'!$B110)</f>
        <v>0</v>
      </c>
      <c r="V110" s="117">
        <f>SUMIFS(Actual!I:I,Actual!$A:$A,'3)Target &amp; Cal'!$A110,Actual!$B:$B,'3)Target &amp; Cal'!$B110)</f>
        <v>0</v>
      </c>
      <c r="W110" s="117">
        <f>SUMIFS(Actual!J:J,Actual!$A:$A,'3)Target &amp; Cal'!$A110,Actual!$B:$B,'3)Target &amp; Cal'!$B110)</f>
        <v>0</v>
      </c>
      <c r="X110" s="117">
        <f>SUMIFS(Actual!K:K,Actual!$A:$A,'3)Target &amp; Cal'!$A110,Actual!$B:$B,'3)Target &amp; Cal'!$B110)</f>
        <v>0</v>
      </c>
      <c r="Y110" s="117">
        <f>SUMIFS(Actual!L:L,Actual!$A:$A,'3)Target &amp; Cal'!$A110,Actual!$B:$B,'3)Target &amp; Cal'!$B110)</f>
        <v>0</v>
      </c>
      <c r="Z110" s="117">
        <f>SUMIFS(Actual!M:M,Actual!$A:$A,'3)Target &amp; Cal'!$A110,Actual!$B:$B,'3)Target &amp; Cal'!$B110)</f>
        <v>0</v>
      </c>
      <c r="AA110" s="117">
        <f>SUMIFS(Actual!N:N,Actual!$A:$A,'3)Target &amp; Cal'!$A110,Actual!$B:$B,'3)Target &amp; Cal'!$B110)</f>
        <v>0</v>
      </c>
      <c r="AB110" s="123">
        <f>IFERROR(IF(VLOOKUP($B110,Shortage!$A:$M,AB$2,FALSE)="Shortage",1,IFERROR(ROUND(P110/D110,4),0)),IFERROR(ROUND(P110/D110,4),0))</f>
        <v>0.51429999999999998</v>
      </c>
      <c r="AC110" s="123">
        <f>IFERROR(IF(VLOOKUP($B110,Shortage!$A:$M,AC$2,FALSE)="Shortage",1,IFERROR(ROUND(Q110/E110,4),0)),IFERROR(ROUND(Q110/E110,4),0))</f>
        <v>0</v>
      </c>
      <c r="AD110" s="123">
        <f>IFERROR(IF(VLOOKUP($B110,Shortage!$A:$M,AD$2,FALSE)="Shortage",1,IFERROR(ROUND(R110/F110,4),0)),IFERROR(ROUND(R110/F110,4),0))</f>
        <v>0</v>
      </c>
      <c r="AE110" s="123">
        <f>IFERROR(IF(VLOOKUP($B110,Shortage!$A:$M,AE$2,FALSE)="Shortage",1,IFERROR(ROUND(S110/G110,4),0)),IFERROR(ROUND(S110/G110,4),0))</f>
        <v>0</v>
      </c>
      <c r="AF110" s="123">
        <f>IFERROR(IF(VLOOKUP($B110,Shortage!$A:$M,AF$2,FALSE)="Shortage",1,IFERROR(ROUND(T110/H110,4),0)),IFERROR(ROUND(T110/H110,4),0))</f>
        <v>0</v>
      </c>
      <c r="AG110" s="123">
        <f>IFERROR(IF(VLOOKUP($B110,Shortage!$A:$M,AG$2,FALSE)="Shortage",1,IFERROR(ROUND(U110/I110,4),0)),IFERROR(ROUND(U110/I110,4),0))</f>
        <v>0</v>
      </c>
      <c r="AH110" s="123">
        <f>IFERROR(IF(VLOOKUP($B110,Shortage!$A:$M,AH$2,FALSE)="Shortage",1,IFERROR(ROUND(V110/J110,4),0)),IFERROR(ROUND(V110/J110,4),0))</f>
        <v>0</v>
      </c>
      <c r="AI110" s="123">
        <f>IFERROR(IF(VLOOKUP($B110,Shortage!$A:$M,AI$2,FALSE)="Shortage",1,IFERROR(ROUND(W110/K110,4),0)),IFERROR(ROUND(W110/K110,4),0))</f>
        <v>0</v>
      </c>
      <c r="AJ110" s="123">
        <f>IFERROR(IF(VLOOKUP($B110,Shortage!$A:$M,AP$2,FALSE)="Shortage",1,IFERROR(ROUND(X110/L110,4),0)),IFERROR(ROUND(X110/L110,4),0))</f>
        <v>0</v>
      </c>
      <c r="AK110" s="123">
        <f>IFERROR(IF(VLOOKUP($B110,Shortage!$A:$M,AK$2,FALSE)="Shortage",1,IFERROR(ROUND(Y110/M110,4),0)),IFERROR(ROUND(Y110/M110,4),0))</f>
        <v>0</v>
      </c>
      <c r="AL110" s="123">
        <f>IFERROR(IF(VLOOKUP($B110,Shortage!$A:$M,AL$2,FALSE)="Shortage",1,IFERROR(ROUND(Z110/N110,4),0)),IFERROR(ROUND(Z110/N110,4),0))</f>
        <v>0</v>
      </c>
      <c r="AM110" s="123">
        <f>IFERROR(IF(VLOOKUP($B110,Shortage!$A:$M,AM$2,FALSE)="Shortage",1,IFERROR(ROUND(AA110/O110,4),0)),IFERROR(ROUND(AA110/O110,4),0))</f>
        <v>0</v>
      </c>
      <c r="AN110" s="232">
        <f>IFERROR(IF($C110="Top WS",VLOOKUP("GOAL",'2) หลักการคำนวน Table'!$D$4:$M$4,HLOOKUP(AB110,'2) หลักการคำนวน Table'!$D$1:$M$5,5,TRUE),0),
IF($C110="WS SF",VLOOKUP("GOAL",'2) หลักการคำนวน Table'!$D$32:$M$32,HLOOKUP(AB110,'2) หลักการคำนวน Table'!$D$1:$M$5,5,TRUE),0),
IF($C110="WS WH",VLOOKUP("GOAL",'2) หลักการคำนวน Table'!$D$62:$M$62,HLOOKUP(AB110,'2) หลักการคำนวน Table'!$D$1:$M$5,5,TRUE),0),
IF($C110="SF WH",VLOOKUP("GOAL",'2) หลักการคำนวน Table'!$D$92:$M$92,HLOOKUP(AB110,'2) หลักการคำนวน Table'!$D$1:$M$5,5,TRUE),0))))),0)</f>
        <v>0.9</v>
      </c>
      <c r="AO110" s="232">
        <f>IFERROR(IF($C110="Top WS",VLOOKUP("GOAL",'2) หลักการคำนวน Table'!$D$4:$M$4,HLOOKUP(AC110,'2) หลักการคำนวน Table'!$D$1:$M$5,5,TRUE),0),
IF($C110="WS SF",VLOOKUP("GOAL",'2) หลักการคำนวน Table'!$D$32:$M$32,HLOOKUP(AC110,'2) หลักการคำนวน Table'!$D$1:$M$5,5,TRUE),0),
IF($C110="WS WH",VLOOKUP("GOAL",'2) หลักการคำนวน Table'!$D$62:$M$62,HLOOKUP(AC110,'2) หลักการคำนวน Table'!$D$1:$M$5,5,TRUE),0),
IF($C110="SF WH",VLOOKUP("GOAL",'2) หลักการคำนวน Table'!$D$92:$M$92,HLOOKUP(AC110,'2) หลักการคำนวน Table'!$D$1:$M$5,5,TRUE),0))))),0)</f>
        <v>0.9</v>
      </c>
      <c r="AP110" s="232">
        <f>IFERROR(IF($C110="Top WS",VLOOKUP("GOAL",'2) หลักการคำนวน Table'!$D$4:$M$4,HLOOKUP(AD110,'2) หลักการคำนวน Table'!$D$1:$M$5,5,TRUE),0),
IF($C110="WS SF",VLOOKUP("GOAL",'2) หลักการคำนวน Table'!$D$32:$M$32,HLOOKUP(AD110,'2) หลักการคำนวน Table'!$D$1:$M$5,5,TRUE),0),
IF($C110="WS WH",VLOOKUP("GOAL",'2) หลักการคำนวน Table'!$D$62:$M$62,HLOOKUP(AD110,'2) หลักการคำนวน Table'!$D$1:$M$5,5,TRUE),0),
IF($C110="SF WH",VLOOKUP("GOAL",'2) หลักการคำนวน Table'!$D$92:$M$92,HLOOKUP(AD110,'2) หลักการคำนวน Table'!$D$1:$M$5,5,TRUE),0))))),0)</f>
        <v>0.9</v>
      </c>
      <c r="AQ110" s="232">
        <f>IFERROR(IF($C110="Top WS",VLOOKUP("GOAL",'2) หลักการคำนวน Table'!$D$4:$M$4,HLOOKUP(AE110,'2) หลักการคำนวน Table'!$D$1:$M$5,5,TRUE),0),
IF($C110="WS SF",VLOOKUP("GOAL",'2) หลักการคำนวน Table'!$D$32:$M$32,HLOOKUP(AE110,'2) หลักการคำนวน Table'!$D$1:$M$5,5,TRUE),0),
IF($C110="WS WH",VLOOKUP("GOAL",'2) หลักการคำนวน Table'!$D$62:$M$62,HLOOKUP(AE110,'2) หลักการคำนวน Table'!$D$1:$M$5,5,TRUE),0),
IF($C110="SF WH",VLOOKUP("GOAL",'2) หลักการคำนวน Table'!$D$92:$M$92,HLOOKUP(AE110,'2) หลักการคำนวน Table'!$D$1:$M$5,5,TRUE),0))))),0)</f>
        <v>0.9</v>
      </c>
      <c r="AR110" s="232">
        <f>IFERROR(IF($C110="Top WS",VLOOKUP("GOAL",'2) หลักการคำนวน Table'!$D$4:$M$4,HLOOKUP(AF110,'2) หลักการคำนวน Table'!$D$1:$M$5,5,TRUE),0),
IF($C110="WS SF",VLOOKUP("GOAL",'2) หลักการคำนวน Table'!$D$32:$M$32,HLOOKUP(AF110,'2) หลักการคำนวน Table'!$D$1:$M$5,5,TRUE),0),
IF($C110="WS WH",VLOOKUP("GOAL",'2) หลักการคำนวน Table'!$D$62:$M$62,HLOOKUP(AF110,'2) หลักการคำนวน Table'!$D$1:$M$5,5,TRUE),0),
IF($C110="SF WH",VLOOKUP("GOAL",'2) หลักการคำนวน Table'!$D$92:$M$92,HLOOKUP(AF110,'2) หลักการคำนวน Table'!$D$1:$M$5,5,TRUE),0))))),0)</f>
        <v>0.9</v>
      </c>
      <c r="AS110" s="232">
        <f>IFERROR(IF($C110="Top WS",VLOOKUP("GOAL",'2) หลักการคำนวน Table'!$D$4:$M$4,HLOOKUP(AG110,'2) หลักการคำนวน Table'!$D$1:$M$5,5,TRUE),0),
IF($C110="WS SF",VLOOKUP("GOAL",'2) หลักการคำนวน Table'!$D$32:$M$32,HLOOKUP(AG110,'2) หลักการคำนวน Table'!$D$1:$M$5,5,TRUE),0),
IF($C110="WS WH",VLOOKUP("GOAL",'2) หลักการคำนวน Table'!$D$62:$M$62,HLOOKUP(AG110,'2) หลักการคำนวน Table'!$D$1:$M$5,5,TRUE),0),
IF($C110="SF WH",VLOOKUP("GOAL",'2) หลักการคำนวน Table'!$D$92:$M$92,HLOOKUP(AG110,'2) หลักการคำนวน Table'!$D$1:$M$5,5,TRUE),0))))),0)</f>
        <v>0.9</v>
      </c>
      <c r="AT110" s="232">
        <f>IFERROR(IF($C110="Top WS",VLOOKUP("GOAL",'2) หลักการคำนวน Table'!$D$4:$M$4,HLOOKUP(AH110,'2) หลักการคำนวน Table'!$D$1:$M$5,5,TRUE),0),
IF($C110="WS SF",VLOOKUP("GOAL",'2) หลักการคำนวน Table'!$D$32:$M$32,HLOOKUP(AH110,'2) หลักการคำนวน Table'!$D$1:$M$5,5,TRUE),0),
IF($C110="WS WH",VLOOKUP("GOAL",'2) หลักการคำนวน Table'!$D$62:$M$62,HLOOKUP(AH110,'2) หลักการคำนวน Table'!$D$1:$M$5,5,TRUE),0),
IF($C110="SF WH",VLOOKUP("GOAL",'2) หลักการคำนวน Table'!$D$92:$M$92,HLOOKUP(AH110,'2) หลักการคำนวน Table'!$D$1:$M$5,5,TRUE),0))))),0)</f>
        <v>0.9</v>
      </c>
      <c r="AU110" s="232">
        <f>IFERROR(IF($C110="Top WS",VLOOKUP("GOAL",'2) หลักการคำนวน Table'!$D$4:$M$4,HLOOKUP(AI110,'2) หลักการคำนวน Table'!$D$1:$M$5,5,TRUE),0),
IF($C110="WS SF",VLOOKUP("GOAL",'2) หลักการคำนวน Table'!$D$32:$M$32,HLOOKUP(AI110,'2) หลักการคำนวน Table'!$D$1:$M$5,5,TRUE),0),
IF($C110="WS WH",VLOOKUP("GOAL",'2) หลักการคำนวน Table'!$D$62:$M$62,HLOOKUP(AI110,'2) หลักการคำนวน Table'!$D$1:$M$5,5,TRUE),0),
IF($C110="SF WH",VLOOKUP("GOAL",'2) หลักการคำนวน Table'!$D$92:$M$92,HLOOKUP(AI110,'2) หลักการคำนวน Table'!$D$1:$M$5,5,TRUE),0))))),0)</f>
        <v>0.9</v>
      </c>
      <c r="AV110" s="232">
        <f>IFERROR(IF($C110="Top WS",VLOOKUP("GOAL",'2) หลักการคำนวน Table'!$D$4:$M$4,HLOOKUP(AP110,'2) หลักการคำนวน Table'!$D$1:$M$5,5,TRUE),0),
IF($C110="WS SF",VLOOKUP("GOAL",'2) หลักการคำนวน Table'!$D$32:$M$32,HLOOKUP(AP110,'2) หลักการคำนวน Table'!$D$1:$M$5,5,TRUE),0),
IF($C110="WS WH",VLOOKUP("GOAL",'2) หลักการคำนวน Table'!$D$62:$M$62,HLOOKUP(AP110,'2) หลักการคำนวน Table'!$D$1:$M$5,5,TRUE),0),
IF($C110="SF WH",VLOOKUP("GOAL",'2) หลักการคำนวน Table'!$D$92:$M$92,HLOOKUP(AP110,'2) หลักการคำนวน Table'!$D$1:$M$5,5,TRUE),0))))),0)</f>
        <v>0.9</v>
      </c>
      <c r="AW110" s="232">
        <f>IFERROR(IF($C110="Top WS",VLOOKUP("GOAL",'2) หลักการคำนวน Table'!$D$4:$M$4,HLOOKUP(AK110,'2) หลักการคำนวน Table'!$D$1:$M$5,5,TRUE),0),
IF($C110="WS SF",VLOOKUP("GOAL",'2) หลักการคำนวน Table'!$D$32:$M$32,HLOOKUP(AK110,'2) หลักการคำนวน Table'!$D$1:$M$5,5,TRUE),0),
IF($C110="WS WH",VLOOKUP("GOAL",'2) หลักการคำนวน Table'!$D$62:$M$62,HLOOKUP(AK110,'2) หลักการคำนวน Table'!$D$1:$M$5,5,TRUE),0),
IF($C110="SF WH",VLOOKUP("GOAL",'2) หลักการคำนวน Table'!$D$92:$M$92,HLOOKUP(AK110,'2) หลักการคำนวน Table'!$D$1:$M$5,5,TRUE),0))))),0)</f>
        <v>0.9</v>
      </c>
      <c r="AX110" s="232">
        <f>IFERROR(IF($C110="Top WS",VLOOKUP("GOAL",'2) หลักการคำนวน Table'!$D$4:$M$4,HLOOKUP(AL110,'2) หลักการคำนวน Table'!$D$1:$M$5,5,TRUE),0),
IF($C110="WS SF",VLOOKUP("GOAL",'2) หลักการคำนวน Table'!$D$32:$M$32,HLOOKUP(AL110,'2) หลักการคำนวน Table'!$D$1:$M$5,5,TRUE),0),
IF($C110="WS WH",VLOOKUP("GOAL",'2) หลักการคำนวน Table'!$D$62:$M$62,HLOOKUP(AL110,'2) หลักการคำนวน Table'!$D$1:$M$5,5,TRUE),0),
IF($C110="SF WH",VLOOKUP("GOAL",'2) หลักการคำนวน Table'!$D$92:$M$92,HLOOKUP(AL110,'2) หลักการคำนวน Table'!$D$1:$M$5,5,TRUE),0))))),0)</f>
        <v>0.9</v>
      </c>
      <c r="AY110" s="232">
        <f>IFERROR(IF($C110="Top WS",VLOOKUP("GOAL",'2) หลักการคำนวน Table'!$D$4:$M$4,HLOOKUP(AM110,'2) หลักการคำนวน Table'!$D$1:$M$5,5,TRUE),0),
IF($C110="WS SF",VLOOKUP("GOAL",'2) หลักการคำนวน Table'!$D$32:$M$32,HLOOKUP(AM110,'2) หลักการคำนวน Table'!$D$1:$M$5,5,TRUE),0),
IF($C110="WS WH",VLOOKUP("GOAL",'2) หลักการคำนวน Table'!$D$62:$M$62,HLOOKUP(AM110,'2) หลักการคำนวน Table'!$D$1:$M$5,5,TRUE),0),
IF($C110="SF WH",VLOOKUP("GOAL",'2) หลักการคำนวน Table'!$D$92:$M$92,HLOOKUP(AM110,'2) หลักการคำนวน Table'!$D$1:$M$5,5,TRUE),0))))),0)</f>
        <v>0.9</v>
      </c>
      <c r="AZ110" s="167">
        <f>IFERROR(IF($C110="Top WS",VLOOKUP($B110,'2) หลักการคำนวน Table'!$D$5:$M$20,HLOOKUP(AB110,'2) หลักการคำนวน Table'!$D$1:$M$5,5,TRUE),0),
IF($C110="WS SF",VLOOKUP($B110,'2) หลักการคำนวน Table'!$D$33:$M$48,HLOOKUP(AB110,'2) หลักการคำนวน Table'!$D$1:$M$5,5,TRUE),0),
IF($C110="WS WH",VLOOKUP($B110,'2) หลักการคำนวน Table'!$D$63:$M$78,HLOOKUP(AB110,'2) หลักการคำนวน Table'!$D$1:$M$5,5,TRUE),0),
IF($C110="SF WH",VLOOKUP($B110,'2) หลักการคำนวน Table'!$D$93:$M$108,HLOOKUP(AB110,'2) หลักการคำนวน Table'!$D$1:$M$5,5,TRUE),0))))),0)</f>
        <v>157.5</v>
      </c>
      <c r="BA110" s="167">
        <f>IFERROR(IF($C110="Top WS",VLOOKUP($B110,'2) หลักการคำนวน Table'!$D$5:$M$20,HLOOKUP(AC110,'2) หลักการคำนวน Table'!$D$1:$M$5,5,TRUE),0),
IF($C110="WS SF",VLOOKUP($B110,'2) หลักการคำนวน Table'!$D$33:$M$48,HLOOKUP(AC110,'2) หลักการคำนวน Table'!$D$1:$M$5,5,TRUE),0),
IF($C110="WS WH",VLOOKUP($B110,'2) หลักการคำนวน Table'!$D$63:$M$78,HLOOKUP(AC110,'2) หลักการคำนวน Table'!$D$1:$M$5,5,TRUE),0),
IF($C110="SF WH",VLOOKUP($B110,'2) หลักการคำนวน Table'!$D$93:$M$108,HLOOKUP(AC110,'2) หลักการคำนวน Table'!$D$1:$M$5,5,TRUE),0))))),0)</f>
        <v>157.5</v>
      </c>
      <c r="BB110" s="167">
        <f>IFERROR(IF($C110="Top WS",VLOOKUP($B110,'2) หลักการคำนวน Table'!$D$5:$M$20,HLOOKUP(AD110,'2) หลักการคำนวน Table'!$D$1:$M$5,5,TRUE),0),
IF($C110="WS SF",VLOOKUP($B110,'2) หลักการคำนวน Table'!$D$33:$M$48,HLOOKUP(AD110,'2) หลักการคำนวน Table'!$D$1:$M$5,5,TRUE),0),
IF($C110="WS WH",VLOOKUP($B110,'2) หลักการคำนวน Table'!$D$63:$M$78,HLOOKUP(AD110,'2) หลักการคำนวน Table'!$D$1:$M$5,5,TRUE),0),
IF($C110="SF WH",VLOOKUP($B110,'2) หลักการคำนวน Table'!$D$93:$M$108,HLOOKUP(AD110,'2) หลักการคำนวน Table'!$D$1:$M$5,5,TRUE),0))))),0)</f>
        <v>157.5</v>
      </c>
      <c r="BC110" s="167">
        <f>IFERROR(IF($C110="Top WS",VLOOKUP($B110,'2) หลักการคำนวน Table'!$D$5:$M$20,HLOOKUP(AE110,'2) หลักการคำนวน Table'!$D$1:$M$5,5,TRUE),0),
IF($C110="WS SF",VLOOKUP($B110,'2) หลักการคำนวน Table'!$D$33:$M$48,HLOOKUP(AE110,'2) หลักการคำนวน Table'!$D$1:$M$5,5,TRUE),0),
IF($C110="WS WH",VLOOKUP($B110,'2) หลักการคำนวน Table'!$D$63:$M$78,HLOOKUP(AE110,'2) หลักการคำนวน Table'!$D$1:$M$5,5,TRUE),0),
IF($C110="SF WH",VLOOKUP($B110,'2) หลักการคำนวน Table'!$D$93:$M$108,HLOOKUP(AE110,'2) หลักการคำนวน Table'!$D$1:$M$5,5,TRUE),0))))),0)</f>
        <v>157.5</v>
      </c>
      <c r="BD110" s="167">
        <f>IFERROR(IF($C110="Top WS",VLOOKUP($B110,'2) หลักการคำนวน Table'!$D$5:$M$20,HLOOKUP(AF110,'2) หลักการคำนวน Table'!$D$1:$M$5,5,TRUE),0),
IF($C110="WS SF",VLOOKUP($B110,'2) หลักการคำนวน Table'!$D$33:$M$48,HLOOKUP(AF110,'2) หลักการคำนวน Table'!$D$1:$M$5,5,TRUE),0),
IF($C110="WS WH",VLOOKUP($B110,'2) หลักการคำนวน Table'!$D$63:$M$78,HLOOKUP(AF110,'2) หลักการคำนวน Table'!$D$1:$M$5,5,TRUE),0),
IF($C110="SF WH",VLOOKUP($B110,'2) หลักการคำนวน Table'!$D$93:$M$108,HLOOKUP(AF110,'2) หลักการคำนวน Table'!$D$1:$M$5,5,TRUE),0))))),0)</f>
        <v>157.5</v>
      </c>
      <c r="BE110" s="167">
        <f>IFERROR(IF($C110="Top WS",VLOOKUP($B110,'2) หลักการคำนวน Table'!$D$5:$M$20,HLOOKUP(AG110,'2) หลักการคำนวน Table'!$D$1:$M$5,5,TRUE),0),
IF($C110="WS SF",VLOOKUP($B110,'2) หลักการคำนวน Table'!$D$33:$M$48,HLOOKUP(AG110,'2) หลักการคำนวน Table'!$D$1:$M$5,5,TRUE),0),
IF($C110="WS WH",VLOOKUP($B110,'2) หลักการคำนวน Table'!$D$63:$M$78,HLOOKUP(AG110,'2) หลักการคำนวน Table'!$D$1:$M$5,5,TRUE),0),
IF($C110="SF WH",VLOOKUP($B110,'2) หลักการคำนวน Table'!$D$93:$M$108,HLOOKUP(AG110,'2) หลักการคำนวน Table'!$D$1:$M$5,5,TRUE),0))))),0)</f>
        <v>157.5</v>
      </c>
      <c r="BF110" s="167">
        <f>IFERROR(IF($C110="Top WS",VLOOKUP($B110,'2) หลักการคำนวน Table'!$D$5:$M$20,HLOOKUP(AH110,'2) หลักการคำนวน Table'!$D$1:$M$5,5,TRUE),0),
IF($C110="WS SF",VLOOKUP($B110,'2) หลักการคำนวน Table'!$D$33:$M$48,HLOOKUP(AH110,'2) หลักการคำนวน Table'!$D$1:$M$5,5,TRUE),0),
IF($C110="WS WH",VLOOKUP($B110,'2) หลักการคำนวน Table'!$D$63:$M$78,HLOOKUP(AH110,'2) หลักการคำนวน Table'!$D$1:$M$5,5,TRUE),0),
IF($C110="SF WH",VLOOKUP($B110,'2) หลักการคำนวน Table'!$D$93:$M$108,HLOOKUP(AH110,'2) หลักการคำนวน Table'!$D$1:$M$5,5,TRUE),0))))),0)</f>
        <v>157.5</v>
      </c>
      <c r="BG110" s="167">
        <f>IFERROR(IF($C110="Top WS",VLOOKUP($B110,'2) หลักการคำนวน Table'!$D$5:$M$20,HLOOKUP(AI110,'2) หลักการคำนวน Table'!$D$1:$M$5,5,TRUE),0),
IF($C110="WS SF",VLOOKUP($B110,'2) หลักการคำนวน Table'!$D$33:$M$48,HLOOKUP(AI110,'2) หลักการคำนวน Table'!$D$1:$M$5,5,TRUE),0),
IF($C110="WS WH",VLOOKUP($B110,'2) หลักการคำนวน Table'!$D$63:$M$78,HLOOKUP(AI110,'2) หลักการคำนวน Table'!$D$1:$M$5,5,TRUE),0),
IF($C110="SF WH",VLOOKUP($B110,'2) หลักการคำนวน Table'!$D$93:$M$108,HLOOKUP(AI110,'2) หลักการคำนวน Table'!$D$1:$M$5,5,TRUE),0))))),0)</f>
        <v>157.5</v>
      </c>
      <c r="BH110" s="167">
        <f>IFERROR(IF($C110="Top WS",VLOOKUP($B110,'2) หลักการคำนวน Table'!$D$5:$M$20,HLOOKUP(AP110,'2) หลักการคำนวน Table'!$D$1:$M$5,5,TRUE),0),
IF($C110="WS SF",VLOOKUP($B110,'2) หลักการคำนวน Table'!$D$33:$M$48,HLOOKUP(AP110,'2) หลักการคำนวน Table'!$D$1:$M$5,5,TRUE),0),
IF($C110="WS WH",VLOOKUP($B110,'2) หลักการคำนวน Table'!$D$63:$M$78,HLOOKUP(AP110,'2) หลักการคำนวน Table'!$D$1:$M$5,5,TRUE),0),
IF($C110="SF WH",VLOOKUP($B110,'2) หลักการคำนวน Table'!$D$93:$M$108,HLOOKUP(AP110,'2) หลักการคำนวน Table'!$D$1:$M$5,5,TRUE),0))))),0)</f>
        <v>157.5</v>
      </c>
      <c r="BI110" s="167">
        <f>IFERROR(IF($C110="Top WS",VLOOKUP($B110,'2) หลักการคำนวน Table'!$D$5:$M$20,HLOOKUP(AK110,'2) หลักการคำนวน Table'!$D$1:$M$5,5,TRUE),0),
IF($C110="WS SF",VLOOKUP($B110,'2) หลักการคำนวน Table'!$D$33:$M$48,HLOOKUP(AK110,'2) หลักการคำนวน Table'!$D$1:$M$5,5,TRUE),0),
IF($C110="WS WH",VLOOKUP($B110,'2) หลักการคำนวน Table'!$D$63:$M$78,HLOOKUP(AK110,'2) หลักการคำนวน Table'!$D$1:$M$5,5,TRUE),0),
IF($C110="SF WH",VLOOKUP($B110,'2) หลักการคำนวน Table'!$D$93:$M$108,HLOOKUP(AK110,'2) หลักการคำนวน Table'!$D$1:$M$5,5,TRUE),0))))),0)</f>
        <v>157.5</v>
      </c>
      <c r="BJ110" s="167">
        <f>IFERROR(IF($C110="Top WS",VLOOKUP($B110,'2) หลักการคำนวน Table'!$D$5:$M$20,HLOOKUP(AL110,'2) หลักการคำนวน Table'!$D$1:$M$5,5,TRUE),0),
IF($C110="WS SF",VLOOKUP($B110,'2) หลักการคำนวน Table'!$D$33:$M$48,HLOOKUP(AL110,'2) หลักการคำนวน Table'!$D$1:$M$5,5,TRUE),0),
IF($C110="WS WH",VLOOKUP($B110,'2) หลักการคำนวน Table'!$D$63:$M$78,HLOOKUP(AL110,'2) หลักการคำนวน Table'!$D$1:$M$5,5,TRUE),0),
IF($C110="SF WH",VLOOKUP($B110,'2) หลักการคำนวน Table'!$D$93:$M$108,HLOOKUP(AL110,'2) หลักการคำนวน Table'!$D$1:$M$5,5,TRUE),0))))),0)</f>
        <v>157.5</v>
      </c>
      <c r="BK110" s="167">
        <f>IFERROR(IF($C110="Top WS",VLOOKUP($B110,'2) หลักการคำนวน Table'!$D$5:$M$20,HLOOKUP(AM110,'2) หลักการคำนวน Table'!$D$1:$M$5,5,TRUE),0),
IF($C110="WS SF",VLOOKUP($B110,'2) หลักการคำนวน Table'!$D$33:$M$48,HLOOKUP(AM110,'2) หลักการคำนวน Table'!$D$1:$M$5,5,TRUE),0),
IF($C110="WS WH",VLOOKUP($B110,'2) หลักการคำนวน Table'!$D$63:$M$78,HLOOKUP(AM110,'2) หลักการคำนวน Table'!$D$1:$M$5,5,TRUE),0),
IF($C110="SF WH",VLOOKUP($B110,'2) หลักการคำนวน Table'!$D$93:$M$108,HLOOKUP(AM110,'2) หลักการคำนวน Table'!$D$1:$M$5,5,TRUE),0))))),0)</f>
        <v>157.5</v>
      </c>
      <c r="BM110" s="119">
        <f>VLOOKUP(VLOOKUP(A110,ASTBase!E:S,13,FALSE),ASTBase!F:P,11,FALSE)</f>
        <v>110000</v>
      </c>
      <c r="BN110" s="196" cm="1">
        <f t="array" ref="BN110">INDEX(AN110:AY110,,Period!$D$2)</f>
        <v>0.9</v>
      </c>
    </row>
    <row r="111" spans="1:66" x14ac:dyDescent="0.25">
      <c r="A111" s="388">
        <v>110003</v>
      </c>
      <c r="B111" s="388" t="s">
        <v>405</v>
      </c>
      <c r="C111" s="388" t="s">
        <v>180</v>
      </c>
      <c r="D111" s="118">
        <v>49</v>
      </c>
      <c r="E111" s="118">
        <v>50</v>
      </c>
      <c r="F111" s="118">
        <v>44</v>
      </c>
      <c r="G111" s="118">
        <v>40</v>
      </c>
      <c r="H111" s="118">
        <v>40</v>
      </c>
      <c r="I111" s="118">
        <v>44</v>
      </c>
      <c r="J111" s="118">
        <v>41</v>
      </c>
      <c r="K111" s="118">
        <v>40</v>
      </c>
      <c r="L111" s="118">
        <v>34</v>
      </c>
      <c r="M111" s="118">
        <v>40</v>
      </c>
      <c r="N111" s="118">
        <v>45</v>
      </c>
      <c r="O111" s="118">
        <v>43</v>
      </c>
      <c r="P111" s="117">
        <f>SUMIFS(Actual!C:C,Actual!$A:$A,'3)Target &amp; Cal'!$A111,Actual!$B:$B,'3)Target &amp; Cal'!$B111)</f>
        <v>0</v>
      </c>
      <c r="Q111" s="117">
        <f>SUMIFS(Actual!D:D,Actual!$A:$A,'3)Target &amp; Cal'!$A111,Actual!$B:$B,'3)Target &amp; Cal'!$B111)</f>
        <v>62.999999999999993</v>
      </c>
      <c r="R111" s="117">
        <f>SUMIFS(Actual!E:E,Actual!$A:$A,'3)Target &amp; Cal'!$A111,Actual!$B:$B,'3)Target &amp; Cal'!$B111)</f>
        <v>0</v>
      </c>
      <c r="S111" s="117">
        <f>SUMIFS(Actual!F:F,Actual!$A:$A,'3)Target &amp; Cal'!$A111,Actual!$B:$B,'3)Target &amp; Cal'!$B111)</f>
        <v>0</v>
      </c>
      <c r="T111" s="117">
        <f>SUMIFS(Actual!G:G,Actual!$A:$A,'3)Target &amp; Cal'!$A111,Actual!$B:$B,'3)Target &amp; Cal'!$B111)</f>
        <v>0</v>
      </c>
      <c r="U111" s="117">
        <f>SUMIFS(Actual!H:H,Actual!$A:$A,'3)Target &amp; Cal'!$A111,Actual!$B:$B,'3)Target &amp; Cal'!$B111)</f>
        <v>0</v>
      </c>
      <c r="V111" s="117">
        <f>SUMIFS(Actual!I:I,Actual!$A:$A,'3)Target &amp; Cal'!$A111,Actual!$B:$B,'3)Target &amp; Cal'!$B111)</f>
        <v>0</v>
      </c>
      <c r="W111" s="117">
        <f>SUMIFS(Actual!J:J,Actual!$A:$A,'3)Target &amp; Cal'!$A111,Actual!$B:$B,'3)Target &amp; Cal'!$B111)</f>
        <v>0</v>
      </c>
      <c r="X111" s="117">
        <f>SUMIFS(Actual!K:K,Actual!$A:$A,'3)Target &amp; Cal'!$A111,Actual!$B:$B,'3)Target &amp; Cal'!$B111)</f>
        <v>0</v>
      </c>
      <c r="Y111" s="117">
        <f>SUMIFS(Actual!L:L,Actual!$A:$A,'3)Target &amp; Cal'!$A111,Actual!$B:$B,'3)Target &amp; Cal'!$B111)</f>
        <v>0</v>
      </c>
      <c r="Z111" s="117">
        <f>SUMIFS(Actual!M:M,Actual!$A:$A,'3)Target &amp; Cal'!$A111,Actual!$B:$B,'3)Target &amp; Cal'!$B111)</f>
        <v>0</v>
      </c>
      <c r="AA111" s="117">
        <f>SUMIFS(Actual!N:N,Actual!$A:$A,'3)Target &amp; Cal'!$A111,Actual!$B:$B,'3)Target &amp; Cal'!$B111)</f>
        <v>0</v>
      </c>
      <c r="AB111" s="123">
        <f>IFERROR(IF(VLOOKUP($B111,Shortage!$A:$M,AB$2,FALSE)="Shortage",1,IFERROR(ROUND(P111/D111,4),0)),IFERROR(ROUND(P111/D111,4),0))</f>
        <v>0</v>
      </c>
      <c r="AC111" s="123">
        <f>IFERROR(IF(VLOOKUP($B111,Shortage!$A:$M,AC$2,FALSE)="Shortage",1,IFERROR(ROUND(Q111/E111,4),0)),IFERROR(ROUND(Q111/E111,4),0))</f>
        <v>1.26</v>
      </c>
      <c r="AD111" s="123">
        <f>IFERROR(IF(VLOOKUP($B111,Shortage!$A:$M,AD$2,FALSE)="Shortage",1,IFERROR(ROUND(R111/F111,4),0)),IFERROR(ROUND(R111/F111,4),0))</f>
        <v>0</v>
      </c>
      <c r="AE111" s="123">
        <f>IFERROR(IF(VLOOKUP($B111,Shortage!$A:$M,AE$2,FALSE)="Shortage",1,IFERROR(ROUND(S111/G111,4),0)),IFERROR(ROUND(S111/G111,4),0))</f>
        <v>0</v>
      </c>
      <c r="AF111" s="123">
        <f>IFERROR(IF(VLOOKUP($B111,Shortage!$A:$M,AF$2,FALSE)="Shortage",1,IFERROR(ROUND(T111/H111,4),0)),IFERROR(ROUND(T111/H111,4),0))</f>
        <v>0</v>
      </c>
      <c r="AG111" s="123">
        <f>IFERROR(IF(VLOOKUP($B111,Shortage!$A:$M,AG$2,FALSE)="Shortage",1,IFERROR(ROUND(U111/I111,4),0)),IFERROR(ROUND(U111/I111,4),0))</f>
        <v>0</v>
      </c>
      <c r="AH111" s="123">
        <f>IFERROR(IF(VLOOKUP($B111,Shortage!$A:$M,AH$2,FALSE)="Shortage",1,IFERROR(ROUND(V111/J111,4),0)),IFERROR(ROUND(V111/J111,4),0))</f>
        <v>0</v>
      </c>
      <c r="AI111" s="123">
        <f>IFERROR(IF(VLOOKUP($B111,Shortage!$A:$M,AI$2,FALSE)="Shortage",1,IFERROR(ROUND(W111/K111,4),0)),IFERROR(ROUND(W111/K111,4),0))</f>
        <v>0</v>
      </c>
      <c r="AJ111" s="123">
        <f>IFERROR(IF(VLOOKUP($B111,Shortage!$A:$M,AP$2,FALSE)="Shortage",1,IFERROR(ROUND(X111/L111,4),0)),IFERROR(ROUND(X111/L111,4),0))</f>
        <v>0</v>
      </c>
      <c r="AK111" s="123">
        <f>IFERROR(IF(VLOOKUP($B111,Shortage!$A:$M,AK$2,FALSE)="Shortage",1,IFERROR(ROUND(Y111/M111,4),0)),IFERROR(ROUND(Y111/M111,4),0))</f>
        <v>0</v>
      </c>
      <c r="AL111" s="123">
        <f>IFERROR(IF(VLOOKUP($B111,Shortage!$A:$M,AL$2,FALSE)="Shortage",1,IFERROR(ROUND(Z111/N111,4),0)),IFERROR(ROUND(Z111/N111,4),0))</f>
        <v>0</v>
      </c>
      <c r="AM111" s="123">
        <f>IFERROR(IF(VLOOKUP($B111,Shortage!$A:$M,AM$2,FALSE)="Shortage",1,IFERROR(ROUND(AA111/O111,4),0)),IFERROR(ROUND(AA111/O111,4),0))</f>
        <v>0</v>
      </c>
      <c r="AN111" s="232">
        <f>IFERROR(IF($C111="Top WS",VLOOKUP("GOAL",'2) หลักการคำนวน Table'!$D$4:$M$4,HLOOKUP(AB111,'2) หลักการคำนวน Table'!$D$1:$M$5,5,TRUE),0),
IF($C111="WS SF",VLOOKUP("GOAL",'2) หลักการคำนวน Table'!$D$32:$M$32,HLOOKUP(AB111,'2) หลักการคำนวน Table'!$D$1:$M$5,5,TRUE),0),
IF($C111="WS WH",VLOOKUP("GOAL",'2) หลักการคำนวน Table'!$D$62:$M$62,HLOOKUP(AB111,'2) หลักการคำนวน Table'!$D$1:$M$5,5,TRUE),0),
IF($C111="SF WH",VLOOKUP("GOAL",'2) หลักการคำนวน Table'!$D$92:$M$92,HLOOKUP(AB111,'2) หลักการคำนวน Table'!$D$1:$M$5,5,TRUE),0))))),0)</f>
        <v>0.9</v>
      </c>
      <c r="AO111" s="232">
        <f>IFERROR(IF($C111="Top WS",VLOOKUP("GOAL",'2) หลักการคำนวน Table'!$D$4:$M$4,HLOOKUP(AC111,'2) หลักการคำนวน Table'!$D$1:$M$5,5,TRUE),0),
IF($C111="WS SF",VLOOKUP("GOAL",'2) หลักการคำนวน Table'!$D$32:$M$32,HLOOKUP(AC111,'2) หลักการคำนวน Table'!$D$1:$M$5,5,TRUE),0),
IF($C111="WS WH",VLOOKUP("GOAL",'2) หลักการคำนวน Table'!$D$62:$M$62,HLOOKUP(AC111,'2) หลักการคำนวน Table'!$D$1:$M$5,5,TRUE),0),
IF($C111="SF WH",VLOOKUP("GOAL",'2) หลักการคำนวน Table'!$D$92:$M$92,HLOOKUP(AC111,'2) หลักการคำนวน Table'!$D$1:$M$5,5,TRUE),0))))),0)</f>
        <v>1.3</v>
      </c>
      <c r="AP111" s="232">
        <f>IFERROR(IF($C111="Top WS",VLOOKUP("GOAL",'2) หลักการคำนวน Table'!$D$4:$M$4,HLOOKUP(AD111,'2) หลักการคำนวน Table'!$D$1:$M$5,5,TRUE),0),
IF($C111="WS SF",VLOOKUP("GOAL",'2) หลักการคำนวน Table'!$D$32:$M$32,HLOOKUP(AD111,'2) หลักการคำนวน Table'!$D$1:$M$5,5,TRUE),0),
IF($C111="WS WH",VLOOKUP("GOAL",'2) หลักการคำนวน Table'!$D$62:$M$62,HLOOKUP(AD111,'2) หลักการคำนวน Table'!$D$1:$M$5,5,TRUE),0),
IF($C111="SF WH",VLOOKUP("GOAL",'2) หลักการคำนวน Table'!$D$92:$M$92,HLOOKUP(AD111,'2) หลักการคำนวน Table'!$D$1:$M$5,5,TRUE),0))))),0)</f>
        <v>0.9</v>
      </c>
      <c r="AQ111" s="232">
        <f>IFERROR(IF($C111="Top WS",VLOOKUP("GOAL",'2) หลักการคำนวน Table'!$D$4:$M$4,HLOOKUP(AE111,'2) หลักการคำนวน Table'!$D$1:$M$5,5,TRUE),0),
IF($C111="WS SF",VLOOKUP("GOAL",'2) หลักการคำนวน Table'!$D$32:$M$32,HLOOKUP(AE111,'2) หลักการคำนวน Table'!$D$1:$M$5,5,TRUE),0),
IF($C111="WS WH",VLOOKUP("GOAL",'2) หลักการคำนวน Table'!$D$62:$M$62,HLOOKUP(AE111,'2) หลักการคำนวน Table'!$D$1:$M$5,5,TRUE),0),
IF($C111="SF WH",VLOOKUP("GOAL",'2) หลักการคำนวน Table'!$D$92:$M$92,HLOOKUP(AE111,'2) หลักการคำนวน Table'!$D$1:$M$5,5,TRUE),0))))),0)</f>
        <v>0.9</v>
      </c>
      <c r="AR111" s="232">
        <f>IFERROR(IF($C111="Top WS",VLOOKUP("GOAL",'2) หลักการคำนวน Table'!$D$4:$M$4,HLOOKUP(AF111,'2) หลักการคำนวน Table'!$D$1:$M$5,5,TRUE),0),
IF($C111="WS SF",VLOOKUP("GOAL",'2) หลักการคำนวน Table'!$D$32:$M$32,HLOOKUP(AF111,'2) หลักการคำนวน Table'!$D$1:$M$5,5,TRUE),0),
IF($C111="WS WH",VLOOKUP("GOAL",'2) หลักการคำนวน Table'!$D$62:$M$62,HLOOKUP(AF111,'2) หลักการคำนวน Table'!$D$1:$M$5,5,TRUE),0),
IF($C111="SF WH",VLOOKUP("GOAL",'2) หลักการคำนวน Table'!$D$92:$M$92,HLOOKUP(AF111,'2) หลักการคำนวน Table'!$D$1:$M$5,5,TRUE),0))))),0)</f>
        <v>0.9</v>
      </c>
      <c r="AS111" s="232">
        <f>IFERROR(IF($C111="Top WS",VLOOKUP("GOAL",'2) หลักการคำนวน Table'!$D$4:$M$4,HLOOKUP(AG111,'2) หลักการคำนวน Table'!$D$1:$M$5,5,TRUE),0),
IF($C111="WS SF",VLOOKUP("GOAL",'2) หลักการคำนวน Table'!$D$32:$M$32,HLOOKUP(AG111,'2) หลักการคำนวน Table'!$D$1:$M$5,5,TRUE),0),
IF($C111="WS WH",VLOOKUP("GOAL",'2) หลักการคำนวน Table'!$D$62:$M$62,HLOOKUP(AG111,'2) หลักการคำนวน Table'!$D$1:$M$5,5,TRUE),0),
IF($C111="SF WH",VLOOKUP("GOAL",'2) หลักการคำนวน Table'!$D$92:$M$92,HLOOKUP(AG111,'2) หลักการคำนวน Table'!$D$1:$M$5,5,TRUE),0))))),0)</f>
        <v>0.9</v>
      </c>
      <c r="AT111" s="232">
        <f>IFERROR(IF($C111="Top WS",VLOOKUP("GOAL",'2) หลักการคำนวน Table'!$D$4:$M$4,HLOOKUP(AH111,'2) หลักการคำนวน Table'!$D$1:$M$5,5,TRUE),0),
IF($C111="WS SF",VLOOKUP("GOAL",'2) หลักการคำนวน Table'!$D$32:$M$32,HLOOKUP(AH111,'2) หลักการคำนวน Table'!$D$1:$M$5,5,TRUE),0),
IF($C111="WS WH",VLOOKUP("GOAL",'2) หลักการคำนวน Table'!$D$62:$M$62,HLOOKUP(AH111,'2) หลักการคำนวน Table'!$D$1:$M$5,5,TRUE),0),
IF($C111="SF WH",VLOOKUP("GOAL",'2) หลักการคำนวน Table'!$D$92:$M$92,HLOOKUP(AH111,'2) หลักการคำนวน Table'!$D$1:$M$5,5,TRUE),0))))),0)</f>
        <v>0.9</v>
      </c>
      <c r="AU111" s="232">
        <f>IFERROR(IF($C111="Top WS",VLOOKUP("GOAL",'2) หลักการคำนวน Table'!$D$4:$M$4,HLOOKUP(AI111,'2) หลักการคำนวน Table'!$D$1:$M$5,5,TRUE),0),
IF($C111="WS SF",VLOOKUP("GOAL",'2) หลักการคำนวน Table'!$D$32:$M$32,HLOOKUP(AI111,'2) หลักการคำนวน Table'!$D$1:$M$5,5,TRUE),0),
IF($C111="WS WH",VLOOKUP("GOAL",'2) หลักการคำนวน Table'!$D$62:$M$62,HLOOKUP(AI111,'2) หลักการคำนวน Table'!$D$1:$M$5,5,TRUE),0),
IF($C111="SF WH",VLOOKUP("GOAL",'2) หลักการคำนวน Table'!$D$92:$M$92,HLOOKUP(AI111,'2) หลักการคำนวน Table'!$D$1:$M$5,5,TRUE),0))))),0)</f>
        <v>0.9</v>
      </c>
      <c r="AV111" s="232">
        <f>IFERROR(IF($C111="Top WS",VLOOKUP("GOAL",'2) หลักการคำนวน Table'!$D$4:$M$4,HLOOKUP(AP111,'2) หลักการคำนวน Table'!$D$1:$M$5,5,TRUE),0),
IF($C111="WS SF",VLOOKUP("GOAL",'2) หลักการคำนวน Table'!$D$32:$M$32,HLOOKUP(AP111,'2) หลักการคำนวน Table'!$D$1:$M$5,5,TRUE),0),
IF($C111="WS WH",VLOOKUP("GOAL",'2) หลักการคำนวน Table'!$D$62:$M$62,HLOOKUP(AP111,'2) หลักการคำนวน Table'!$D$1:$M$5,5,TRUE),0),
IF($C111="SF WH",VLOOKUP("GOAL",'2) หลักการคำนวน Table'!$D$92:$M$92,HLOOKUP(AP111,'2) หลักการคำนวน Table'!$D$1:$M$5,5,TRUE),0))))),0)</f>
        <v>0.9</v>
      </c>
      <c r="AW111" s="232">
        <f>IFERROR(IF($C111="Top WS",VLOOKUP("GOAL",'2) หลักการคำนวน Table'!$D$4:$M$4,HLOOKUP(AK111,'2) หลักการคำนวน Table'!$D$1:$M$5,5,TRUE),0),
IF($C111="WS SF",VLOOKUP("GOAL",'2) หลักการคำนวน Table'!$D$32:$M$32,HLOOKUP(AK111,'2) หลักการคำนวน Table'!$D$1:$M$5,5,TRUE),0),
IF($C111="WS WH",VLOOKUP("GOAL",'2) หลักการคำนวน Table'!$D$62:$M$62,HLOOKUP(AK111,'2) หลักการคำนวน Table'!$D$1:$M$5,5,TRUE),0),
IF($C111="SF WH",VLOOKUP("GOAL",'2) หลักการคำนวน Table'!$D$92:$M$92,HLOOKUP(AK111,'2) หลักการคำนวน Table'!$D$1:$M$5,5,TRUE),0))))),0)</f>
        <v>0.9</v>
      </c>
      <c r="AX111" s="232">
        <f>IFERROR(IF($C111="Top WS",VLOOKUP("GOAL",'2) หลักการคำนวน Table'!$D$4:$M$4,HLOOKUP(AL111,'2) หลักการคำนวน Table'!$D$1:$M$5,5,TRUE),0),
IF($C111="WS SF",VLOOKUP("GOAL",'2) หลักการคำนวน Table'!$D$32:$M$32,HLOOKUP(AL111,'2) หลักการคำนวน Table'!$D$1:$M$5,5,TRUE),0),
IF($C111="WS WH",VLOOKUP("GOAL",'2) หลักการคำนวน Table'!$D$62:$M$62,HLOOKUP(AL111,'2) หลักการคำนวน Table'!$D$1:$M$5,5,TRUE),0),
IF($C111="SF WH",VLOOKUP("GOAL",'2) หลักการคำนวน Table'!$D$92:$M$92,HLOOKUP(AL111,'2) หลักการคำนวน Table'!$D$1:$M$5,5,TRUE),0))))),0)</f>
        <v>0.9</v>
      </c>
      <c r="AY111" s="232">
        <f>IFERROR(IF($C111="Top WS",VLOOKUP("GOAL",'2) หลักการคำนวน Table'!$D$4:$M$4,HLOOKUP(AM111,'2) หลักการคำนวน Table'!$D$1:$M$5,5,TRUE),0),
IF($C111="WS SF",VLOOKUP("GOAL",'2) หลักการคำนวน Table'!$D$32:$M$32,HLOOKUP(AM111,'2) หลักการคำนวน Table'!$D$1:$M$5,5,TRUE),0),
IF($C111="WS WH",VLOOKUP("GOAL",'2) หลักการคำนวน Table'!$D$62:$M$62,HLOOKUP(AM111,'2) หลักการคำนวน Table'!$D$1:$M$5,5,TRUE),0),
IF($C111="SF WH",VLOOKUP("GOAL",'2) หลักการคำนวน Table'!$D$92:$M$92,HLOOKUP(AM111,'2) หลักการคำนวน Table'!$D$1:$M$5,5,TRUE),0))))),0)</f>
        <v>0.9</v>
      </c>
      <c r="AZ111" s="167">
        <f>IFERROR(IF($C111="Top WS",VLOOKUP($B111,'2) หลักการคำนวน Table'!$D$5:$M$20,HLOOKUP(AB111,'2) หลักการคำนวน Table'!$D$1:$M$5,5,TRUE),0),
IF($C111="WS SF",VLOOKUP($B111,'2) หลักการคำนวน Table'!$D$33:$M$48,HLOOKUP(AB111,'2) หลักการคำนวน Table'!$D$1:$M$5,5,TRUE),0),
IF($C111="WS WH",VLOOKUP($B111,'2) หลักการคำนวน Table'!$D$63:$M$78,HLOOKUP(AB111,'2) หลักการคำนวน Table'!$D$1:$M$5,5,TRUE),0),
IF($C111="SF WH",VLOOKUP($B111,'2) หลักการคำนวน Table'!$D$93:$M$108,HLOOKUP(AB111,'2) หลักการคำนวน Table'!$D$1:$M$5,5,TRUE),0))))),0)</f>
        <v>157.5</v>
      </c>
      <c r="BA111" s="167">
        <f>IFERROR(IF($C111="Top WS",VLOOKUP($B111,'2) หลักการคำนวน Table'!$D$5:$M$20,HLOOKUP(AC111,'2) หลักการคำนวน Table'!$D$1:$M$5,5,TRUE),0),
IF($C111="WS SF",VLOOKUP($B111,'2) หลักการคำนวน Table'!$D$33:$M$48,HLOOKUP(AC111,'2) หลักการคำนวน Table'!$D$1:$M$5,5,TRUE),0),
IF($C111="WS WH",VLOOKUP($B111,'2) หลักการคำนวน Table'!$D$63:$M$78,HLOOKUP(AC111,'2) หลักการคำนวน Table'!$D$1:$M$5,5,TRUE),0),
IF($C111="SF WH",VLOOKUP($B111,'2) หลักการคำนวน Table'!$D$93:$M$108,HLOOKUP(AC111,'2) หลักการคำนวน Table'!$D$1:$M$5,5,TRUE),0))))),0)</f>
        <v>227.5</v>
      </c>
      <c r="BB111" s="167">
        <f>IFERROR(IF($C111="Top WS",VLOOKUP($B111,'2) หลักการคำนวน Table'!$D$5:$M$20,HLOOKUP(AD111,'2) หลักการคำนวน Table'!$D$1:$M$5,5,TRUE),0),
IF($C111="WS SF",VLOOKUP($B111,'2) หลักการคำนวน Table'!$D$33:$M$48,HLOOKUP(AD111,'2) หลักการคำนวน Table'!$D$1:$M$5,5,TRUE),0),
IF($C111="WS WH",VLOOKUP($B111,'2) หลักการคำนวน Table'!$D$63:$M$78,HLOOKUP(AD111,'2) หลักการคำนวน Table'!$D$1:$M$5,5,TRUE),0),
IF($C111="SF WH",VLOOKUP($B111,'2) หลักการคำนวน Table'!$D$93:$M$108,HLOOKUP(AD111,'2) หลักการคำนวน Table'!$D$1:$M$5,5,TRUE),0))))),0)</f>
        <v>157.5</v>
      </c>
      <c r="BC111" s="167">
        <f>IFERROR(IF($C111="Top WS",VLOOKUP($B111,'2) หลักการคำนวน Table'!$D$5:$M$20,HLOOKUP(AE111,'2) หลักการคำนวน Table'!$D$1:$M$5,5,TRUE),0),
IF($C111="WS SF",VLOOKUP($B111,'2) หลักการคำนวน Table'!$D$33:$M$48,HLOOKUP(AE111,'2) หลักการคำนวน Table'!$D$1:$M$5,5,TRUE),0),
IF($C111="WS WH",VLOOKUP($B111,'2) หลักการคำนวน Table'!$D$63:$M$78,HLOOKUP(AE111,'2) หลักการคำนวน Table'!$D$1:$M$5,5,TRUE),0),
IF($C111="SF WH",VLOOKUP($B111,'2) หลักการคำนวน Table'!$D$93:$M$108,HLOOKUP(AE111,'2) หลักการคำนวน Table'!$D$1:$M$5,5,TRUE),0))))),0)</f>
        <v>157.5</v>
      </c>
      <c r="BD111" s="167">
        <f>IFERROR(IF($C111="Top WS",VLOOKUP($B111,'2) หลักการคำนวน Table'!$D$5:$M$20,HLOOKUP(AF111,'2) หลักการคำนวน Table'!$D$1:$M$5,5,TRUE),0),
IF($C111="WS SF",VLOOKUP($B111,'2) หลักการคำนวน Table'!$D$33:$M$48,HLOOKUP(AF111,'2) หลักการคำนวน Table'!$D$1:$M$5,5,TRUE),0),
IF($C111="WS WH",VLOOKUP($B111,'2) หลักการคำนวน Table'!$D$63:$M$78,HLOOKUP(AF111,'2) หลักการคำนวน Table'!$D$1:$M$5,5,TRUE),0),
IF($C111="SF WH",VLOOKUP($B111,'2) หลักการคำนวน Table'!$D$93:$M$108,HLOOKUP(AF111,'2) หลักการคำนวน Table'!$D$1:$M$5,5,TRUE),0))))),0)</f>
        <v>157.5</v>
      </c>
      <c r="BE111" s="167">
        <f>IFERROR(IF($C111="Top WS",VLOOKUP($B111,'2) หลักการคำนวน Table'!$D$5:$M$20,HLOOKUP(AG111,'2) หลักการคำนวน Table'!$D$1:$M$5,5,TRUE),0),
IF($C111="WS SF",VLOOKUP($B111,'2) หลักการคำนวน Table'!$D$33:$M$48,HLOOKUP(AG111,'2) หลักการคำนวน Table'!$D$1:$M$5,5,TRUE),0),
IF($C111="WS WH",VLOOKUP($B111,'2) หลักการคำนวน Table'!$D$63:$M$78,HLOOKUP(AG111,'2) หลักการคำนวน Table'!$D$1:$M$5,5,TRUE),0),
IF($C111="SF WH",VLOOKUP($B111,'2) หลักการคำนวน Table'!$D$93:$M$108,HLOOKUP(AG111,'2) หลักการคำนวน Table'!$D$1:$M$5,5,TRUE),0))))),0)</f>
        <v>157.5</v>
      </c>
      <c r="BF111" s="167">
        <f>IFERROR(IF($C111="Top WS",VLOOKUP($B111,'2) หลักการคำนวน Table'!$D$5:$M$20,HLOOKUP(AH111,'2) หลักการคำนวน Table'!$D$1:$M$5,5,TRUE),0),
IF($C111="WS SF",VLOOKUP($B111,'2) หลักการคำนวน Table'!$D$33:$M$48,HLOOKUP(AH111,'2) หลักการคำนวน Table'!$D$1:$M$5,5,TRUE),0),
IF($C111="WS WH",VLOOKUP($B111,'2) หลักการคำนวน Table'!$D$63:$M$78,HLOOKUP(AH111,'2) หลักการคำนวน Table'!$D$1:$M$5,5,TRUE),0),
IF($C111="SF WH",VLOOKUP($B111,'2) หลักการคำนวน Table'!$D$93:$M$108,HLOOKUP(AH111,'2) หลักการคำนวน Table'!$D$1:$M$5,5,TRUE),0))))),0)</f>
        <v>157.5</v>
      </c>
      <c r="BG111" s="167">
        <f>IFERROR(IF($C111="Top WS",VLOOKUP($B111,'2) หลักการคำนวน Table'!$D$5:$M$20,HLOOKUP(AI111,'2) หลักการคำนวน Table'!$D$1:$M$5,5,TRUE),0),
IF($C111="WS SF",VLOOKUP($B111,'2) หลักการคำนวน Table'!$D$33:$M$48,HLOOKUP(AI111,'2) หลักการคำนวน Table'!$D$1:$M$5,5,TRUE),0),
IF($C111="WS WH",VLOOKUP($B111,'2) หลักการคำนวน Table'!$D$63:$M$78,HLOOKUP(AI111,'2) หลักการคำนวน Table'!$D$1:$M$5,5,TRUE),0),
IF($C111="SF WH",VLOOKUP($B111,'2) หลักการคำนวน Table'!$D$93:$M$108,HLOOKUP(AI111,'2) หลักการคำนวน Table'!$D$1:$M$5,5,TRUE),0))))),0)</f>
        <v>157.5</v>
      </c>
      <c r="BH111" s="167">
        <f>IFERROR(IF($C111="Top WS",VLOOKUP($B111,'2) หลักการคำนวน Table'!$D$5:$M$20,HLOOKUP(AP111,'2) หลักการคำนวน Table'!$D$1:$M$5,5,TRUE),0),
IF($C111="WS SF",VLOOKUP($B111,'2) หลักการคำนวน Table'!$D$33:$M$48,HLOOKUP(AP111,'2) หลักการคำนวน Table'!$D$1:$M$5,5,TRUE),0),
IF($C111="WS WH",VLOOKUP($B111,'2) หลักการคำนวน Table'!$D$63:$M$78,HLOOKUP(AP111,'2) หลักการคำนวน Table'!$D$1:$M$5,5,TRUE),0),
IF($C111="SF WH",VLOOKUP($B111,'2) หลักการคำนวน Table'!$D$93:$M$108,HLOOKUP(AP111,'2) หลักการคำนวน Table'!$D$1:$M$5,5,TRUE),0))))),0)</f>
        <v>157.5</v>
      </c>
      <c r="BI111" s="167">
        <f>IFERROR(IF($C111="Top WS",VLOOKUP($B111,'2) หลักการคำนวน Table'!$D$5:$M$20,HLOOKUP(AK111,'2) หลักการคำนวน Table'!$D$1:$M$5,5,TRUE),0),
IF($C111="WS SF",VLOOKUP($B111,'2) หลักการคำนวน Table'!$D$33:$M$48,HLOOKUP(AK111,'2) หลักการคำนวน Table'!$D$1:$M$5,5,TRUE),0),
IF($C111="WS WH",VLOOKUP($B111,'2) หลักการคำนวน Table'!$D$63:$M$78,HLOOKUP(AK111,'2) หลักการคำนวน Table'!$D$1:$M$5,5,TRUE),0),
IF($C111="SF WH",VLOOKUP($B111,'2) หลักการคำนวน Table'!$D$93:$M$108,HLOOKUP(AK111,'2) หลักการคำนวน Table'!$D$1:$M$5,5,TRUE),0))))),0)</f>
        <v>157.5</v>
      </c>
      <c r="BJ111" s="167">
        <f>IFERROR(IF($C111="Top WS",VLOOKUP($B111,'2) หลักการคำนวน Table'!$D$5:$M$20,HLOOKUP(AL111,'2) หลักการคำนวน Table'!$D$1:$M$5,5,TRUE),0),
IF($C111="WS SF",VLOOKUP($B111,'2) หลักการคำนวน Table'!$D$33:$M$48,HLOOKUP(AL111,'2) หลักการคำนวน Table'!$D$1:$M$5,5,TRUE),0),
IF($C111="WS WH",VLOOKUP($B111,'2) หลักการคำนวน Table'!$D$63:$M$78,HLOOKUP(AL111,'2) หลักการคำนวน Table'!$D$1:$M$5,5,TRUE),0),
IF($C111="SF WH",VLOOKUP($B111,'2) หลักการคำนวน Table'!$D$93:$M$108,HLOOKUP(AL111,'2) หลักการคำนวน Table'!$D$1:$M$5,5,TRUE),0))))),0)</f>
        <v>157.5</v>
      </c>
      <c r="BK111" s="167">
        <f>IFERROR(IF($C111="Top WS",VLOOKUP($B111,'2) หลักการคำนวน Table'!$D$5:$M$20,HLOOKUP(AM111,'2) หลักการคำนวน Table'!$D$1:$M$5,5,TRUE),0),
IF($C111="WS SF",VLOOKUP($B111,'2) หลักการคำนวน Table'!$D$33:$M$48,HLOOKUP(AM111,'2) หลักการคำนวน Table'!$D$1:$M$5,5,TRUE),0),
IF($C111="WS WH",VLOOKUP($B111,'2) หลักการคำนวน Table'!$D$63:$M$78,HLOOKUP(AM111,'2) หลักการคำนวน Table'!$D$1:$M$5,5,TRUE),0),
IF($C111="SF WH",VLOOKUP($B111,'2) หลักการคำนวน Table'!$D$93:$M$108,HLOOKUP(AM111,'2) หลักการคำนวน Table'!$D$1:$M$5,5,TRUE),0))))),0)</f>
        <v>157.5</v>
      </c>
      <c r="BM111" s="119">
        <f>VLOOKUP(VLOOKUP(A111,ASTBase!E:S,13,FALSE),ASTBase!F:P,11,FALSE)</f>
        <v>110000</v>
      </c>
      <c r="BN111" s="196" cm="1">
        <f t="array" ref="BN111">INDEX(AN111:AY111,,Period!$D$2)</f>
        <v>1.3</v>
      </c>
    </row>
    <row r="112" spans="1:66" x14ac:dyDescent="0.25">
      <c r="A112" s="388">
        <v>110003</v>
      </c>
      <c r="B112" s="388" t="s">
        <v>393</v>
      </c>
      <c r="C112" s="388" t="s">
        <v>180</v>
      </c>
      <c r="D112" s="118">
        <v>50</v>
      </c>
      <c r="E112" s="118">
        <v>37</v>
      </c>
      <c r="F112" s="118">
        <v>39</v>
      </c>
      <c r="G112" s="118">
        <v>40</v>
      </c>
      <c r="H112" s="118">
        <v>32</v>
      </c>
      <c r="I112" s="118">
        <v>38</v>
      </c>
      <c r="J112" s="118">
        <v>49</v>
      </c>
      <c r="K112" s="118">
        <v>50</v>
      </c>
      <c r="L112" s="118">
        <v>48</v>
      </c>
      <c r="M112" s="118">
        <v>49</v>
      </c>
      <c r="N112" s="118">
        <v>38</v>
      </c>
      <c r="O112" s="118">
        <v>39</v>
      </c>
      <c r="P112" s="117">
        <f>SUMIFS(Actual!C:C,Actual!$A:$A,'3)Target &amp; Cal'!$A112,Actual!$B:$B,'3)Target &amp; Cal'!$B112)</f>
        <v>102</v>
      </c>
      <c r="Q112" s="117">
        <f>SUMIFS(Actual!D:D,Actual!$A:$A,'3)Target &amp; Cal'!$A112,Actual!$B:$B,'3)Target &amp; Cal'!$B112)</f>
        <v>24</v>
      </c>
      <c r="R112" s="117">
        <f>SUMIFS(Actual!E:E,Actual!$A:$A,'3)Target &amp; Cal'!$A112,Actual!$B:$B,'3)Target &amp; Cal'!$B112)</f>
        <v>0</v>
      </c>
      <c r="S112" s="117">
        <f>SUMIFS(Actual!F:F,Actual!$A:$A,'3)Target &amp; Cal'!$A112,Actual!$B:$B,'3)Target &amp; Cal'!$B112)</f>
        <v>0</v>
      </c>
      <c r="T112" s="117">
        <f>SUMIFS(Actual!G:G,Actual!$A:$A,'3)Target &amp; Cal'!$A112,Actual!$B:$B,'3)Target &amp; Cal'!$B112)</f>
        <v>0</v>
      </c>
      <c r="U112" s="117">
        <f>SUMIFS(Actual!H:H,Actual!$A:$A,'3)Target &amp; Cal'!$A112,Actual!$B:$B,'3)Target &amp; Cal'!$B112)</f>
        <v>0</v>
      </c>
      <c r="V112" s="117">
        <f>SUMIFS(Actual!I:I,Actual!$A:$A,'3)Target &amp; Cal'!$A112,Actual!$B:$B,'3)Target &amp; Cal'!$B112)</f>
        <v>0</v>
      </c>
      <c r="W112" s="117">
        <f>SUMIFS(Actual!J:J,Actual!$A:$A,'3)Target &amp; Cal'!$A112,Actual!$B:$B,'3)Target &amp; Cal'!$B112)</f>
        <v>0</v>
      </c>
      <c r="X112" s="117">
        <f>SUMIFS(Actual!K:K,Actual!$A:$A,'3)Target &amp; Cal'!$A112,Actual!$B:$B,'3)Target &amp; Cal'!$B112)</f>
        <v>0</v>
      </c>
      <c r="Y112" s="117">
        <f>SUMIFS(Actual!L:L,Actual!$A:$A,'3)Target &amp; Cal'!$A112,Actual!$B:$B,'3)Target &amp; Cal'!$B112)</f>
        <v>0</v>
      </c>
      <c r="Z112" s="117">
        <f>SUMIFS(Actual!M:M,Actual!$A:$A,'3)Target &amp; Cal'!$A112,Actual!$B:$B,'3)Target &amp; Cal'!$B112)</f>
        <v>0</v>
      </c>
      <c r="AA112" s="117">
        <f>SUMIFS(Actual!N:N,Actual!$A:$A,'3)Target &amp; Cal'!$A112,Actual!$B:$B,'3)Target &amp; Cal'!$B112)</f>
        <v>0</v>
      </c>
      <c r="AB112" s="123">
        <f>IFERROR(IF(VLOOKUP($B112,Shortage!$A:$M,AB$2,FALSE)="Shortage",1,IFERROR(ROUND(P112/D112,4),0)),IFERROR(ROUND(P112/D112,4),0))</f>
        <v>2.04</v>
      </c>
      <c r="AC112" s="123">
        <f>IFERROR(IF(VLOOKUP($B112,Shortage!$A:$M,AC$2,FALSE)="Shortage",1,IFERROR(ROUND(Q112/E112,4),0)),IFERROR(ROUND(Q112/E112,4),0))</f>
        <v>0.64859999999999995</v>
      </c>
      <c r="AD112" s="123">
        <f>IFERROR(IF(VLOOKUP($B112,Shortage!$A:$M,AD$2,FALSE)="Shortage",1,IFERROR(ROUND(R112/F112,4),0)),IFERROR(ROUND(R112/F112,4),0))</f>
        <v>0</v>
      </c>
      <c r="AE112" s="123">
        <f>IFERROR(IF(VLOOKUP($B112,Shortage!$A:$M,AE$2,FALSE)="Shortage",1,IFERROR(ROUND(S112/G112,4),0)),IFERROR(ROUND(S112/G112,4),0))</f>
        <v>0</v>
      </c>
      <c r="AF112" s="123">
        <f>IFERROR(IF(VLOOKUP($B112,Shortage!$A:$M,AF$2,FALSE)="Shortage",1,IFERROR(ROUND(T112/H112,4),0)),IFERROR(ROUND(T112/H112,4),0))</f>
        <v>0</v>
      </c>
      <c r="AG112" s="123">
        <f>IFERROR(IF(VLOOKUP($B112,Shortage!$A:$M,AG$2,FALSE)="Shortage",1,IFERROR(ROUND(U112/I112,4),0)),IFERROR(ROUND(U112/I112,4),0))</f>
        <v>0</v>
      </c>
      <c r="AH112" s="123">
        <f>IFERROR(IF(VLOOKUP($B112,Shortage!$A:$M,AH$2,FALSE)="Shortage",1,IFERROR(ROUND(V112/J112,4),0)),IFERROR(ROUND(V112/J112,4),0))</f>
        <v>0</v>
      </c>
      <c r="AI112" s="123">
        <f>IFERROR(IF(VLOOKUP($B112,Shortage!$A:$M,AI$2,FALSE)="Shortage",1,IFERROR(ROUND(W112/K112,4),0)),IFERROR(ROUND(W112/K112,4),0))</f>
        <v>0</v>
      </c>
      <c r="AJ112" s="123">
        <f>IFERROR(IF(VLOOKUP($B112,Shortage!$A:$M,AP$2,FALSE)="Shortage",1,IFERROR(ROUND(X112/L112,4),0)),IFERROR(ROUND(X112/L112,4),0))</f>
        <v>0</v>
      </c>
      <c r="AK112" s="123">
        <f>IFERROR(IF(VLOOKUP($B112,Shortage!$A:$M,AK$2,FALSE)="Shortage",1,IFERROR(ROUND(Y112/M112,4),0)),IFERROR(ROUND(Y112/M112,4),0))</f>
        <v>0</v>
      </c>
      <c r="AL112" s="123">
        <f>IFERROR(IF(VLOOKUP($B112,Shortage!$A:$M,AL$2,FALSE)="Shortage",1,IFERROR(ROUND(Z112/N112,4),0)),IFERROR(ROUND(Z112/N112,4),0))</f>
        <v>0</v>
      </c>
      <c r="AM112" s="123">
        <f>IFERROR(IF(VLOOKUP($B112,Shortage!$A:$M,AM$2,FALSE)="Shortage",1,IFERROR(ROUND(AA112/O112,4),0)),IFERROR(ROUND(AA112/O112,4),0))</f>
        <v>0</v>
      </c>
      <c r="AN112" s="232">
        <f>IFERROR(IF($C112="Top WS",VLOOKUP("GOAL",'2) หลักการคำนวน Table'!$D$4:$M$4,HLOOKUP(AB112,'2) หลักการคำนวน Table'!$D$1:$M$5,5,TRUE),0),
IF($C112="WS SF",VLOOKUP("GOAL",'2) หลักการคำนวน Table'!$D$32:$M$32,HLOOKUP(AB112,'2) หลักการคำนวน Table'!$D$1:$M$5,5,TRUE),0),
IF($C112="WS WH",VLOOKUP("GOAL",'2) หลักการคำนวน Table'!$D$62:$M$62,HLOOKUP(AB112,'2) หลักการคำนวน Table'!$D$1:$M$5,5,TRUE),0),
IF($C112="SF WH",VLOOKUP("GOAL",'2) หลักการคำนวน Table'!$D$92:$M$92,HLOOKUP(AB112,'2) หลักการคำนวน Table'!$D$1:$M$5,5,TRUE),0))))),0)</f>
        <v>1.3</v>
      </c>
      <c r="AO112" s="232">
        <f>IFERROR(IF($C112="Top WS",VLOOKUP("GOAL",'2) หลักการคำนวน Table'!$D$4:$M$4,HLOOKUP(AC112,'2) หลักการคำนวน Table'!$D$1:$M$5,5,TRUE),0),
IF($C112="WS SF",VLOOKUP("GOAL",'2) หลักการคำนวน Table'!$D$32:$M$32,HLOOKUP(AC112,'2) หลักการคำนวน Table'!$D$1:$M$5,5,TRUE),0),
IF($C112="WS WH",VLOOKUP("GOAL",'2) หลักการคำนวน Table'!$D$62:$M$62,HLOOKUP(AC112,'2) หลักการคำนวน Table'!$D$1:$M$5,5,TRUE),0),
IF($C112="SF WH",VLOOKUP("GOAL",'2) หลักการคำนวน Table'!$D$92:$M$92,HLOOKUP(AC112,'2) หลักการคำนวน Table'!$D$1:$M$5,5,TRUE),0))))),0)</f>
        <v>0.9</v>
      </c>
      <c r="AP112" s="232">
        <f>IFERROR(IF($C112="Top WS",VLOOKUP("GOAL",'2) หลักการคำนวน Table'!$D$4:$M$4,HLOOKUP(AD112,'2) หลักการคำนวน Table'!$D$1:$M$5,5,TRUE),0),
IF($C112="WS SF",VLOOKUP("GOAL",'2) หลักการคำนวน Table'!$D$32:$M$32,HLOOKUP(AD112,'2) หลักการคำนวน Table'!$D$1:$M$5,5,TRUE),0),
IF($C112="WS WH",VLOOKUP("GOAL",'2) หลักการคำนวน Table'!$D$62:$M$62,HLOOKUP(AD112,'2) หลักการคำนวน Table'!$D$1:$M$5,5,TRUE),0),
IF($C112="SF WH",VLOOKUP("GOAL",'2) หลักการคำนวน Table'!$D$92:$M$92,HLOOKUP(AD112,'2) หลักการคำนวน Table'!$D$1:$M$5,5,TRUE),0))))),0)</f>
        <v>0.9</v>
      </c>
      <c r="AQ112" s="232">
        <f>IFERROR(IF($C112="Top WS",VLOOKUP("GOAL",'2) หลักการคำนวน Table'!$D$4:$M$4,HLOOKUP(AE112,'2) หลักการคำนวน Table'!$D$1:$M$5,5,TRUE),0),
IF($C112="WS SF",VLOOKUP("GOAL",'2) หลักการคำนวน Table'!$D$32:$M$32,HLOOKUP(AE112,'2) หลักการคำนวน Table'!$D$1:$M$5,5,TRUE),0),
IF($C112="WS WH",VLOOKUP("GOAL",'2) หลักการคำนวน Table'!$D$62:$M$62,HLOOKUP(AE112,'2) หลักการคำนวน Table'!$D$1:$M$5,5,TRUE),0),
IF($C112="SF WH",VLOOKUP("GOAL",'2) หลักการคำนวน Table'!$D$92:$M$92,HLOOKUP(AE112,'2) หลักการคำนวน Table'!$D$1:$M$5,5,TRUE),0))))),0)</f>
        <v>0.9</v>
      </c>
      <c r="AR112" s="232">
        <f>IFERROR(IF($C112="Top WS",VLOOKUP("GOAL",'2) หลักการคำนวน Table'!$D$4:$M$4,HLOOKUP(AF112,'2) หลักการคำนวน Table'!$D$1:$M$5,5,TRUE),0),
IF($C112="WS SF",VLOOKUP("GOAL",'2) หลักการคำนวน Table'!$D$32:$M$32,HLOOKUP(AF112,'2) หลักการคำนวน Table'!$D$1:$M$5,5,TRUE),0),
IF($C112="WS WH",VLOOKUP("GOAL",'2) หลักการคำนวน Table'!$D$62:$M$62,HLOOKUP(AF112,'2) หลักการคำนวน Table'!$D$1:$M$5,5,TRUE),0),
IF($C112="SF WH",VLOOKUP("GOAL",'2) หลักการคำนวน Table'!$D$92:$M$92,HLOOKUP(AF112,'2) หลักการคำนวน Table'!$D$1:$M$5,5,TRUE),0))))),0)</f>
        <v>0.9</v>
      </c>
      <c r="AS112" s="232">
        <f>IFERROR(IF($C112="Top WS",VLOOKUP("GOAL",'2) หลักการคำนวน Table'!$D$4:$M$4,HLOOKUP(AG112,'2) หลักการคำนวน Table'!$D$1:$M$5,5,TRUE),0),
IF($C112="WS SF",VLOOKUP("GOAL",'2) หลักการคำนวน Table'!$D$32:$M$32,HLOOKUP(AG112,'2) หลักการคำนวน Table'!$D$1:$M$5,5,TRUE),0),
IF($C112="WS WH",VLOOKUP("GOAL",'2) หลักการคำนวน Table'!$D$62:$M$62,HLOOKUP(AG112,'2) หลักการคำนวน Table'!$D$1:$M$5,5,TRUE),0),
IF($C112="SF WH",VLOOKUP("GOAL",'2) หลักการคำนวน Table'!$D$92:$M$92,HLOOKUP(AG112,'2) หลักการคำนวน Table'!$D$1:$M$5,5,TRUE),0))))),0)</f>
        <v>0.9</v>
      </c>
      <c r="AT112" s="232">
        <f>IFERROR(IF($C112="Top WS",VLOOKUP("GOAL",'2) หลักการคำนวน Table'!$D$4:$M$4,HLOOKUP(AH112,'2) หลักการคำนวน Table'!$D$1:$M$5,5,TRUE),0),
IF($C112="WS SF",VLOOKUP("GOAL",'2) หลักการคำนวน Table'!$D$32:$M$32,HLOOKUP(AH112,'2) หลักการคำนวน Table'!$D$1:$M$5,5,TRUE),0),
IF($C112="WS WH",VLOOKUP("GOAL",'2) หลักการคำนวน Table'!$D$62:$M$62,HLOOKUP(AH112,'2) หลักการคำนวน Table'!$D$1:$M$5,5,TRUE),0),
IF($C112="SF WH",VLOOKUP("GOAL",'2) หลักการคำนวน Table'!$D$92:$M$92,HLOOKUP(AH112,'2) หลักการคำนวน Table'!$D$1:$M$5,5,TRUE),0))))),0)</f>
        <v>0.9</v>
      </c>
      <c r="AU112" s="232">
        <f>IFERROR(IF($C112="Top WS",VLOOKUP("GOAL",'2) หลักการคำนวน Table'!$D$4:$M$4,HLOOKUP(AI112,'2) หลักการคำนวน Table'!$D$1:$M$5,5,TRUE),0),
IF($C112="WS SF",VLOOKUP("GOAL",'2) หลักการคำนวน Table'!$D$32:$M$32,HLOOKUP(AI112,'2) หลักการคำนวน Table'!$D$1:$M$5,5,TRUE),0),
IF($C112="WS WH",VLOOKUP("GOAL",'2) หลักการคำนวน Table'!$D$62:$M$62,HLOOKUP(AI112,'2) หลักการคำนวน Table'!$D$1:$M$5,5,TRUE),0),
IF($C112="SF WH",VLOOKUP("GOAL",'2) หลักการคำนวน Table'!$D$92:$M$92,HLOOKUP(AI112,'2) หลักการคำนวน Table'!$D$1:$M$5,5,TRUE),0))))),0)</f>
        <v>0.9</v>
      </c>
      <c r="AV112" s="232">
        <f>IFERROR(IF($C112="Top WS",VLOOKUP("GOAL",'2) หลักการคำนวน Table'!$D$4:$M$4,HLOOKUP(AP112,'2) หลักการคำนวน Table'!$D$1:$M$5,5,TRUE),0),
IF($C112="WS SF",VLOOKUP("GOAL",'2) หลักการคำนวน Table'!$D$32:$M$32,HLOOKUP(AP112,'2) หลักการคำนวน Table'!$D$1:$M$5,5,TRUE),0),
IF($C112="WS WH",VLOOKUP("GOAL",'2) หลักการคำนวน Table'!$D$62:$M$62,HLOOKUP(AP112,'2) หลักการคำนวน Table'!$D$1:$M$5,5,TRUE),0),
IF($C112="SF WH",VLOOKUP("GOAL",'2) หลักการคำนวน Table'!$D$92:$M$92,HLOOKUP(AP112,'2) หลักการคำนวน Table'!$D$1:$M$5,5,TRUE),0))))),0)</f>
        <v>0.9</v>
      </c>
      <c r="AW112" s="232">
        <f>IFERROR(IF($C112="Top WS",VLOOKUP("GOAL",'2) หลักการคำนวน Table'!$D$4:$M$4,HLOOKUP(AK112,'2) หลักการคำนวน Table'!$D$1:$M$5,5,TRUE),0),
IF($C112="WS SF",VLOOKUP("GOAL",'2) หลักการคำนวน Table'!$D$32:$M$32,HLOOKUP(AK112,'2) หลักการคำนวน Table'!$D$1:$M$5,5,TRUE),0),
IF($C112="WS WH",VLOOKUP("GOAL",'2) หลักการคำนวน Table'!$D$62:$M$62,HLOOKUP(AK112,'2) หลักการคำนวน Table'!$D$1:$M$5,5,TRUE),0),
IF($C112="SF WH",VLOOKUP("GOAL",'2) หลักการคำนวน Table'!$D$92:$M$92,HLOOKUP(AK112,'2) หลักการคำนวน Table'!$D$1:$M$5,5,TRUE),0))))),0)</f>
        <v>0.9</v>
      </c>
      <c r="AX112" s="232">
        <f>IFERROR(IF($C112="Top WS",VLOOKUP("GOAL",'2) หลักการคำนวน Table'!$D$4:$M$4,HLOOKUP(AL112,'2) หลักการคำนวน Table'!$D$1:$M$5,5,TRUE),0),
IF($C112="WS SF",VLOOKUP("GOAL",'2) หลักการคำนวน Table'!$D$32:$M$32,HLOOKUP(AL112,'2) หลักการคำนวน Table'!$D$1:$M$5,5,TRUE),0),
IF($C112="WS WH",VLOOKUP("GOAL",'2) หลักการคำนวน Table'!$D$62:$M$62,HLOOKUP(AL112,'2) หลักการคำนวน Table'!$D$1:$M$5,5,TRUE),0),
IF($C112="SF WH",VLOOKUP("GOAL",'2) หลักการคำนวน Table'!$D$92:$M$92,HLOOKUP(AL112,'2) หลักการคำนวน Table'!$D$1:$M$5,5,TRUE),0))))),0)</f>
        <v>0.9</v>
      </c>
      <c r="AY112" s="232">
        <f>IFERROR(IF($C112="Top WS",VLOOKUP("GOAL",'2) หลักการคำนวน Table'!$D$4:$M$4,HLOOKUP(AM112,'2) หลักการคำนวน Table'!$D$1:$M$5,5,TRUE),0),
IF($C112="WS SF",VLOOKUP("GOAL",'2) หลักการคำนวน Table'!$D$32:$M$32,HLOOKUP(AM112,'2) หลักการคำนวน Table'!$D$1:$M$5,5,TRUE),0),
IF($C112="WS WH",VLOOKUP("GOAL",'2) หลักการคำนวน Table'!$D$62:$M$62,HLOOKUP(AM112,'2) หลักการคำนวน Table'!$D$1:$M$5,5,TRUE),0),
IF($C112="SF WH",VLOOKUP("GOAL",'2) หลักการคำนวน Table'!$D$92:$M$92,HLOOKUP(AM112,'2) หลักการคำนวน Table'!$D$1:$M$5,5,TRUE),0))))),0)</f>
        <v>0.9</v>
      </c>
      <c r="AZ112" s="167">
        <f>IFERROR(IF($C112="Top WS",VLOOKUP($B112,'2) หลักการคำนวน Table'!$D$5:$M$20,HLOOKUP(AB112,'2) หลักการคำนวน Table'!$D$1:$M$5,5,TRUE),0),
IF($C112="WS SF",VLOOKUP($B112,'2) หลักการคำนวน Table'!$D$33:$M$48,HLOOKUP(AB112,'2) หลักการคำนวน Table'!$D$1:$M$5,5,TRUE),0),
IF($C112="WS WH",VLOOKUP($B112,'2) หลักการคำนวน Table'!$D$63:$M$78,HLOOKUP(AB112,'2) หลักการคำนวน Table'!$D$1:$M$5,5,TRUE),0),
IF($C112="SF WH",VLOOKUP($B112,'2) หลักการคำนวน Table'!$D$93:$M$108,HLOOKUP(AB112,'2) หลักการคำนวน Table'!$D$1:$M$5,5,TRUE),0))))),0)</f>
        <v>227.5</v>
      </c>
      <c r="BA112" s="167">
        <f>IFERROR(IF($C112="Top WS",VLOOKUP($B112,'2) หลักการคำนวน Table'!$D$5:$M$20,HLOOKUP(AC112,'2) หลักการคำนวน Table'!$D$1:$M$5,5,TRUE),0),
IF($C112="WS SF",VLOOKUP($B112,'2) หลักการคำนวน Table'!$D$33:$M$48,HLOOKUP(AC112,'2) หลักการคำนวน Table'!$D$1:$M$5,5,TRUE),0),
IF($C112="WS WH",VLOOKUP($B112,'2) หลักการคำนวน Table'!$D$63:$M$78,HLOOKUP(AC112,'2) หลักการคำนวน Table'!$D$1:$M$5,5,TRUE),0),
IF($C112="SF WH",VLOOKUP($B112,'2) หลักการคำนวน Table'!$D$93:$M$108,HLOOKUP(AC112,'2) หลักการคำนวน Table'!$D$1:$M$5,5,TRUE),0))))),0)</f>
        <v>157.5</v>
      </c>
      <c r="BB112" s="167">
        <f>IFERROR(IF($C112="Top WS",VLOOKUP($B112,'2) หลักการคำนวน Table'!$D$5:$M$20,HLOOKUP(AD112,'2) หลักการคำนวน Table'!$D$1:$M$5,5,TRUE),0),
IF($C112="WS SF",VLOOKUP($B112,'2) หลักการคำนวน Table'!$D$33:$M$48,HLOOKUP(AD112,'2) หลักการคำนวน Table'!$D$1:$M$5,5,TRUE),0),
IF($C112="WS WH",VLOOKUP($B112,'2) หลักการคำนวน Table'!$D$63:$M$78,HLOOKUP(AD112,'2) หลักการคำนวน Table'!$D$1:$M$5,5,TRUE),0),
IF($C112="SF WH",VLOOKUP($B112,'2) หลักการคำนวน Table'!$D$93:$M$108,HLOOKUP(AD112,'2) หลักการคำนวน Table'!$D$1:$M$5,5,TRUE),0))))),0)</f>
        <v>157.5</v>
      </c>
      <c r="BC112" s="167">
        <f>IFERROR(IF($C112="Top WS",VLOOKUP($B112,'2) หลักการคำนวน Table'!$D$5:$M$20,HLOOKUP(AE112,'2) หลักการคำนวน Table'!$D$1:$M$5,5,TRUE),0),
IF($C112="WS SF",VLOOKUP($B112,'2) หลักการคำนวน Table'!$D$33:$M$48,HLOOKUP(AE112,'2) หลักการคำนวน Table'!$D$1:$M$5,5,TRUE),0),
IF($C112="WS WH",VLOOKUP($B112,'2) หลักการคำนวน Table'!$D$63:$M$78,HLOOKUP(AE112,'2) หลักการคำนวน Table'!$D$1:$M$5,5,TRUE),0),
IF($C112="SF WH",VLOOKUP($B112,'2) หลักการคำนวน Table'!$D$93:$M$108,HLOOKUP(AE112,'2) หลักการคำนวน Table'!$D$1:$M$5,5,TRUE),0))))),0)</f>
        <v>157.5</v>
      </c>
      <c r="BD112" s="167">
        <f>IFERROR(IF($C112="Top WS",VLOOKUP($B112,'2) หลักการคำนวน Table'!$D$5:$M$20,HLOOKUP(AF112,'2) หลักการคำนวน Table'!$D$1:$M$5,5,TRUE),0),
IF($C112="WS SF",VLOOKUP($B112,'2) หลักการคำนวน Table'!$D$33:$M$48,HLOOKUP(AF112,'2) หลักการคำนวน Table'!$D$1:$M$5,5,TRUE),0),
IF($C112="WS WH",VLOOKUP($B112,'2) หลักการคำนวน Table'!$D$63:$M$78,HLOOKUP(AF112,'2) หลักการคำนวน Table'!$D$1:$M$5,5,TRUE),0),
IF($C112="SF WH",VLOOKUP($B112,'2) หลักการคำนวน Table'!$D$93:$M$108,HLOOKUP(AF112,'2) หลักการคำนวน Table'!$D$1:$M$5,5,TRUE),0))))),0)</f>
        <v>157.5</v>
      </c>
      <c r="BE112" s="167">
        <f>IFERROR(IF($C112="Top WS",VLOOKUP($B112,'2) หลักการคำนวน Table'!$D$5:$M$20,HLOOKUP(AG112,'2) หลักการคำนวน Table'!$D$1:$M$5,5,TRUE),0),
IF($C112="WS SF",VLOOKUP($B112,'2) หลักการคำนวน Table'!$D$33:$M$48,HLOOKUP(AG112,'2) หลักการคำนวน Table'!$D$1:$M$5,5,TRUE),0),
IF($C112="WS WH",VLOOKUP($B112,'2) หลักการคำนวน Table'!$D$63:$M$78,HLOOKUP(AG112,'2) หลักการคำนวน Table'!$D$1:$M$5,5,TRUE),0),
IF($C112="SF WH",VLOOKUP($B112,'2) หลักการคำนวน Table'!$D$93:$M$108,HLOOKUP(AG112,'2) หลักการคำนวน Table'!$D$1:$M$5,5,TRUE),0))))),0)</f>
        <v>157.5</v>
      </c>
      <c r="BF112" s="167">
        <f>IFERROR(IF($C112="Top WS",VLOOKUP($B112,'2) หลักการคำนวน Table'!$D$5:$M$20,HLOOKUP(AH112,'2) หลักการคำนวน Table'!$D$1:$M$5,5,TRUE),0),
IF($C112="WS SF",VLOOKUP($B112,'2) หลักการคำนวน Table'!$D$33:$M$48,HLOOKUP(AH112,'2) หลักการคำนวน Table'!$D$1:$M$5,5,TRUE),0),
IF($C112="WS WH",VLOOKUP($B112,'2) หลักการคำนวน Table'!$D$63:$M$78,HLOOKUP(AH112,'2) หลักการคำนวน Table'!$D$1:$M$5,5,TRUE),0),
IF($C112="SF WH",VLOOKUP($B112,'2) หลักการคำนวน Table'!$D$93:$M$108,HLOOKUP(AH112,'2) หลักการคำนวน Table'!$D$1:$M$5,5,TRUE),0))))),0)</f>
        <v>157.5</v>
      </c>
      <c r="BG112" s="167">
        <f>IFERROR(IF($C112="Top WS",VLOOKUP($B112,'2) หลักการคำนวน Table'!$D$5:$M$20,HLOOKUP(AI112,'2) หลักการคำนวน Table'!$D$1:$M$5,5,TRUE),0),
IF($C112="WS SF",VLOOKUP($B112,'2) หลักการคำนวน Table'!$D$33:$M$48,HLOOKUP(AI112,'2) หลักการคำนวน Table'!$D$1:$M$5,5,TRUE),0),
IF($C112="WS WH",VLOOKUP($B112,'2) หลักการคำนวน Table'!$D$63:$M$78,HLOOKUP(AI112,'2) หลักการคำนวน Table'!$D$1:$M$5,5,TRUE),0),
IF($C112="SF WH",VLOOKUP($B112,'2) หลักการคำนวน Table'!$D$93:$M$108,HLOOKUP(AI112,'2) หลักการคำนวน Table'!$D$1:$M$5,5,TRUE),0))))),0)</f>
        <v>157.5</v>
      </c>
      <c r="BH112" s="167">
        <f>IFERROR(IF($C112="Top WS",VLOOKUP($B112,'2) หลักการคำนวน Table'!$D$5:$M$20,HLOOKUP(AP112,'2) หลักการคำนวน Table'!$D$1:$M$5,5,TRUE),0),
IF($C112="WS SF",VLOOKUP($B112,'2) หลักการคำนวน Table'!$D$33:$M$48,HLOOKUP(AP112,'2) หลักการคำนวน Table'!$D$1:$M$5,5,TRUE),0),
IF($C112="WS WH",VLOOKUP($B112,'2) หลักการคำนวน Table'!$D$63:$M$78,HLOOKUP(AP112,'2) หลักการคำนวน Table'!$D$1:$M$5,5,TRUE),0),
IF($C112="SF WH",VLOOKUP($B112,'2) หลักการคำนวน Table'!$D$93:$M$108,HLOOKUP(AP112,'2) หลักการคำนวน Table'!$D$1:$M$5,5,TRUE),0))))),0)</f>
        <v>157.5</v>
      </c>
      <c r="BI112" s="167">
        <f>IFERROR(IF($C112="Top WS",VLOOKUP($B112,'2) หลักการคำนวน Table'!$D$5:$M$20,HLOOKUP(AK112,'2) หลักการคำนวน Table'!$D$1:$M$5,5,TRUE),0),
IF($C112="WS SF",VLOOKUP($B112,'2) หลักการคำนวน Table'!$D$33:$M$48,HLOOKUP(AK112,'2) หลักการคำนวน Table'!$D$1:$M$5,5,TRUE),0),
IF($C112="WS WH",VLOOKUP($B112,'2) หลักการคำนวน Table'!$D$63:$M$78,HLOOKUP(AK112,'2) หลักการคำนวน Table'!$D$1:$M$5,5,TRUE),0),
IF($C112="SF WH",VLOOKUP($B112,'2) หลักการคำนวน Table'!$D$93:$M$108,HLOOKUP(AK112,'2) หลักการคำนวน Table'!$D$1:$M$5,5,TRUE),0))))),0)</f>
        <v>157.5</v>
      </c>
      <c r="BJ112" s="167">
        <f>IFERROR(IF($C112="Top WS",VLOOKUP($B112,'2) หลักการคำนวน Table'!$D$5:$M$20,HLOOKUP(AL112,'2) หลักการคำนวน Table'!$D$1:$M$5,5,TRUE),0),
IF($C112="WS SF",VLOOKUP($B112,'2) หลักการคำนวน Table'!$D$33:$M$48,HLOOKUP(AL112,'2) หลักการคำนวน Table'!$D$1:$M$5,5,TRUE),0),
IF($C112="WS WH",VLOOKUP($B112,'2) หลักการคำนวน Table'!$D$63:$M$78,HLOOKUP(AL112,'2) หลักการคำนวน Table'!$D$1:$M$5,5,TRUE),0),
IF($C112="SF WH",VLOOKUP($B112,'2) หลักการคำนวน Table'!$D$93:$M$108,HLOOKUP(AL112,'2) หลักการคำนวน Table'!$D$1:$M$5,5,TRUE),0))))),0)</f>
        <v>157.5</v>
      </c>
      <c r="BK112" s="167">
        <f>IFERROR(IF($C112="Top WS",VLOOKUP($B112,'2) หลักการคำนวน Table'!$D$5:$M$20,HLOOKUP(AM112,'2) หลักการคำนวน Table'!$D$1:$M$5,5,TRUE),0),
IF($C112="WS SF",VLOOKUP($B112,'2) หลักการคำนวน Table'!$D$33:$M$48,HLOOKUP(AM112,'2) หลักการคำนวน Table'!$D$1:$M$5,5,TRUE),0),
IF($C112="WS WH",VLOOKUP($B112,'2) หลักการคำนวน Table'!$D$63:$M$78,HLOOKUP(AM112,'2) หลักการคำนวน Table'!$D$1:$M$5,5,TRUE),0),
IF($C112="SF WH",VLOOKUP($B112,'2) หลักการคำนวน Table'!$D$93:$M$108,HLOOKUP(AM112,'2) หลักการคำนวน Table'!$D$1:$M$5,5,TRUE),0))))),0)</f>
        <v>157.5</v>
      </c>
      <c r="BM112" s="119">
        <f>VLOOKUP(VLOOKUP(A112,ASTBase!E:S,13,FALSE),ASTBase!F:P,11,FALSE)</f>
        <v>110000</v>
      </c>
      <c r="BN112" s="196" cm="1">
        <f t="array" ref="BN112">INDEX(AN112:AY112,,Period!$D$2)</f>
        <v>0.9</v>
      </c>
    </row>
    <row r="113" spans="1:66" x14ac:dyDescent="0.25">
      <c r="A113" s="117">
        <v>150001</v>
      </c>
      <c r="B113" s="117" t="s">
        <v>388</v>
      </c>
      <c r="C113" s="117" t="s">
        <v>178</v>
      </c>
      <c r="D113" s="118">
        <v>57038</v>
      </c>
      <c r="E113" s="118">
        <v>59080</v>
      </c>
      <c r="F113" s="118">
        <v>57020</v>
      </c>
      <c r="G113" s="118">
        <v>56834</v>
      </c>
      <c r="H113" s="118">
        <v>54875</v>
      </c>
      <c r="I113" s="118">
        <v>61013</v>
      </c>
      <c r="J113" s="118">
        <v>62390</v>
      </c>
      <c r="K113" s="118">
        <v>61398</v>
      </c>
      <c r="L113" s="118">
        <v>65758</v>
      </c>
      <c r="M113" s="118">
        <v>53664</v>
      </c>
      <c r="N113" s="118">
        <v>53490</v>
      </c>
      <c r="O113" s="118">
        <v>59805</v>
      </c>
      <c r="P113" s="117">
        <f>SUMIFS(Actual!C:C,Actual!$A:$A,'3)Target &amp; Cal'!$A113,Actual!$B:$B,'3)Target &amp; Cal'!$B113)</f>
        <v>41110.1</v>
      </c>
      <c r="Q113" s="117">
        <f>SUMIFS(Actual!D:D,Actual!$A:$A,'3)Target &amp; Cal'!$A113,Actual!$B:$B,'3)Target &amp; Cal'!$B113)</f>
        <v>52562.6</v>
      </c>
      <c r="R113" s="117">
        <f>SUMIFS(Actual!E:E,Actual!$A:$A,'3)Target &amp; Cal'!$A113,Actual!$B:$B,'3)Target &amp; Cal'!$B113)</f>
        <v>0</v>
      </c>
      <c r="S113" s="117">
        <f>SUMIFS(Actual!F:F,Actual!$A:$A,'3)Target &amp; Cal'!$A113,Actual!$B:$B,'3)Target &amp; Cal'!$B113)</f>
        <v>0</v>
      </c>
      <c r="T113" s="117">
        <f>SUMIFS(Actual!G:G,Actual!$A:$A,'3)Target &amp; Cal'!$A113,Actual!$B:$B,'3)Target &amp; Cal'!$B113)</f>
        <v>0</v>
      </c>
      <c r="U113" s="117">
        <f>SUMIFS(Actual!H:H,Actual!$A:$A,'3)Target &amp; Cal'!$A113,Actual!$B:$B,'3)Target &amp; Cal'!$B113)</f>
        <v>0</v>
      </c>
      <c r="V113" s="117">
        <f>SUMIFS(Actual!I:I,Actual!$A:$A,'3)Target &amp; Cal'!$A113,Actual!$B:$B,'3)Target &amp; Cal'!$B113)</f>
        <v>0</v>
      </c>
      <c r="W113" s="117">
        <f>SUMIFS(Actual!J:J,Actual!$A:$A,'3)Target &amp; Cal'!$A113,Actual!$B:$B,'3)Target &amp; Cal'!$B113)</f>
        <v>0</v>
      </c>
      <c r="X113" s="117">
        <f>SUMIFS(Actual!K:K,Actual!$A:$A,'3)Target &amp; Cal'!$A113,Actual!$B:$B,'3)Target &amp; Cal'!$B113)</f>
        <v>0</v>
      </c>
      <c r="Y113" s="117">
        <f>SUMIFS(Actual!L:L,Actual!$A:$A,'3)Target &amp; Cal'!$A113,Actual!$B:$B,'3)Target &amp; Cal'!$B113)</f>
        <v>0</v>
      </c>
      <c r="Z113" s="117">
        <f>SUMIFS(Actual!M:M,Actual!$A:$A,'3)Target &amp; Cal'!$A113,Actual!$B:$B,'3)Target &amp; Cal'!$B113)</f>
        <v>0</v>
      </c>
      <c r="AA113" s="117">
        <f>SUMIFS(Actual!N:N,Actual!$A:$A,'3)Target &amp; Cal'!$A113,Actual!$B:$B,'3)Target &amp; Cal'!$B113)</f>
        <v>0</v>
      </c>
      <c r="AB113" s="123">
        <f>IFERROR(IF(VLOOKUP($B113,Shortage!$A:$M,AB$2,FALSE)="Shortage",1,IFERROR(ROUND(P113/D113,4),0)),IFERROR(ROUND(P113/D113,4),0))</f>
        <v>1</v>
      </c>
      <c r="AC113" s="123">
        <f>IFERROR(IF(VLOOKUP($B113,Shortage!$A:$M,AC$2,FALSE)="Shortage",1,IFERROR(ROUND(Q113/E113,4),0)),IFERROR(ROUND(Q113/E113,4),0))</f>
        <v>0.88970000000000005</v>
      </c>
      <c r="AD113" s="123">
        <f>IFERROR(IF(VLOOKUP($B113,Shortage!$A:$M,AD$2,FALSE)="Shortage",1,IFERROR(ROUND(R113/F113,4),0)),IFERROR(ROUND(R113/F113,4),0))</f>
        <v>0</v>
      </c>
      <c r="AE113" s="123">
        <f>IFERROR(IF(VLOOKUP($B113,Shortage!$A:$M,AE$2,FALSE)="Shortage",1,IFERROR(ROUND(S113/G113,4),0)),IFERROR(ROUND(S113/G113,4),0))</f>
        <v>0</v>
      </c>
      <c r="AF113" s="123">
        <f>IFERROR(IF(VLOOKUP($B113,Shortage!$A:$M,AF$2,FALSE)="Shortage",1,IFERROR(ROUND(T113/H113,4),0)),IFERROR(ROUND(T113/H113,4),0))</f>
        <v>0</v>
      </c>
      <c r="AG113" s="123">
        <f>IFERROR(IF(VLOOKUP($B113,Shortage!$A:$M,AG$2,FALSE)="Shortage",1,IFERROR(ROUND(U113/I113,4),0)),IFERROR(ROUND(U113/I113,4),0))</f>
        <v>0</v>
      </c>
      <c r="AH113" s="123">
        <f>IFERROR(IF(VLOOKUP($B113,Shortage!$A:$M,AH$2,FALSE)="Shortage",1,IFERROR(ROUND(V113/J113,4),0)),IFERROR(ROUND(V113/J113,4),0))</f>
        <v>0</v>
      </c>
      <c r="AI113" s="123">
        <f>IFERROR(IF(VLOOKUP($B113,Shortage!$A:$M,AI$2,FALSE)="Shortage",1,IFERROR(ROUND(W113/K113,4),0)),IFERROR(ROUND(W113/K113,4),0))</f>
        <v>0</v>
      </c>
      <c r="AJ113" s="123">
        <f>IFERROR(IF(VLOOKUP($B113,Shortage!$A:$M,AP$2,FALSE)="Shortage",1,IFERROR(ROUND(X113/L113,4),0)),IFERROR(ROUND(X113/L113,4),0))</f>
        <v>0</v>
      </c>
      <c r="AK113" s="123">
        <f>IFERROR(IF(VLOOKUP($B113,Shortage!$A:$M,AK$2,FALSE)="Shortage",1,IFERROR(ROUND(Y113/M113,4),0)),IFERROR(ROUND(Y113/M113,4),0))</f>
        <v>0</v>
      </c>
      <c r="AL113" s="123">
        <f>IFERROR(IF(VLOOKUP($B113,Shortage!$A:$M,AL$2,FALSE)="Shortage",1,IFERROR(ROUND(Z113/N113,4),0)),IFERROR(ROUND(Z113/N113,4),0))</f>
        <v>0</v>
      </c>
      <c r="AM113" s="123">
        <f>IFERROR(IF(VLOOKUP($B113,Shortage!$A:$M,AM$2,FALSE)="Shortage",1,IFERROR(ROUND(AA113/O113,4),0)),IFERROR(ROUND(AA113/O113,4),0))</f>
        <v>0</v>
      </c>
      <c r="AN113" s="232">
        <f>IFERROR(IF($C113="Top WS",VLOOKUP("GOAL",'2) หลักการคำนวน Table'!$D$4:$M$4,HLOOKUP(AB113,'2) หลักการคำนวน Table'!$D$1:$M$5,5,TRUE),0),
IF($C113="WS SF",VLOOKUP("GOAL",'2) หลักการคำนวน Table'!$D$32:$M$32,HLOOKUP(AB113,'2) หลักการคำนวน Table'!$D$1:$M$5,5,TRUE),0),
IF($C113="WS WH",VLOOKUP("GOAL",'2) หลักการคำนวน Table'!$D$62:$M$62,HLOOKUP(AB113,'2) หลักการคำนวน Table'!$D$1:$M$5,5,TRUE),0),
IF($C113="SF WH",VLOOKUP("GOAL",'2) หลักการคำนวน Table'!$D$92:$M$92,HLOOKUP(AB113,'2) หลักการคำนวน Table'!$D$1:$M$5,5,TRUE),0))))),0)</f>
        <v>1</v>
      </c>
      <c r="AO113" s="232">
        <f>IFERROR(IF($C113="Top WS",VLOOKUP("GOAL",'2) หลักการคำนวน Table'!$D$4:$M$4,HLOOKUP(AC113,'2) หลักการคำนวน Table'!$D$1:$M$5,5,TRUE),0),
IF($C113="WS SF",VLOOKUP("GOAL",'2) หลักการคำนวน Table'!$D$32:$M$32,HLOOKUP(AC113,'2) หลักการคำนวน Table'!$D$1:$M$5,5,TRUE),0),
IF($C113="WS WH",VLOOKUP("GOAL",'2) หลักการคำนวน Table'!$D$62:$M$62,HLOOKUP(AC113,'2) หลักการคำนวน Table'!$D$1:$M$5,5,TRUE),0),
IF($C113="SF WH",VLOOKUP("GOAL",'2) หลักการคำนวน Table'!$D$92:$M$92,HLOOKUP(AC113,'2) หลักการคำนวน Table'!$D$1:$M$5,5,TRUE),0))))),0)</f>
        <v>0.9</v>
      </c>
      <c r="AP113" s="232">
        <f>IFERROR(IF($C113="Top WS",VLOOKUP("GOAL",'2) หลักการคำนวน Table'!$D$4:$M$4,HLOOKUP(AD113,'2) หลักการคำนวน Table'!$D$1:$M$5,5,TRUE),0),
IF($C113="WS SF",VLOOKUP("GOAL",'2) หลักการคำนวน Table'!$D$32:$M$32,HLOOKUP(AD113,'2) หลักการคำนวน Table'!$D$1:$M$5,5,TRUE),0),
IF($C113="WS WH",VLOOKUP("GOAL",'2) หลักการคำนวน Table'!$D$62:$M$62,HLOOKUP(AD113,'2) หลักการคำนวน Table'!$D$1:$M$5,5,TRUE),0),
IF($C113="SF WH",VLOOKUP("GOAL",'2) หลักการคำนวน Table'!$D$92:$M$92,HLOOKUP(AD113,'2) หลักการคำนวน Table'!$D$1:$M$5,5,TRUE),0))))),0)</f>
        <v>0.9</v>
      </c>
      <c r="AQ113" s="232">
        <f>IFERROR(IF($C113="Top WS",VLOOKUP("GOAL",'2) หลักการคำนวน Table'!$D$4:$M$4,HLOOKUP(AE113,'2) หลักการคำนวน Table'!$D$1:$M$5,5,TRUE),0),
IF($C113="WS SF",VLOOKUP("GOAL",'2) หลักการคำนวน Table'!$D$32:$M$32,HLOOKUP(AE113,'2) หลักการคำนวน Table'!$D$1:$M$5,5,TRUE),0),
IF($C113="WS WH",VLOOKUP("GOAL",'2) หลักการคำนวน Table'!$D$62:$M$62,HLOOKUP(AE113,'2) หลักการคำนวน Table'!$D$1:$M$5,5,TRUE),0),
IF($C113="SF WH",VLOOKUP("GOAL",'2) หลักการคำนวน Table'!$D$92:$M$92,HLOOKUP(AE113,'2) หลักการคำนวน Table'!$D$1:$M$5,5,TRUE),0))))),0)</f>
        <v>0.9</v>
      </c>
      <c r="AR113" s="232">
        <f>IFERROR(IF($C113="Top WS",VLOOKUP("GOAL",'2) หลักการคำนวน Table'!$D$4:$M$4,HLOOKUP(AF113,'2) หลักการคำนวน Table'!$D$1:$M$5,5,TRUE),0),
IF($C113="WS SF",VLOOKUP("GOAL",'2) หลักการคำนวน Table'!$D$32:$M$32,HLOOKUP(AF113,'2) หลักการคำนวน Table'!$D$1:$M$5,5,TRUE),0),
IF($C113="WS WH",VLOOKUP("GOAL",'2) หลักการคำนวน Table'!$D$62:$M$62,HLOOKUP(AF113,'2) หลักการคำนวน Table'!$D$1:$M$5,5,TRUE),0),
IF($C113="SF WH",VLOOKUP("GOAL",'2) หลักการคำนวน Table'!$D$92:$M$92,HLOOKUP(AF113,'2) หลักการคำนวน Table'!$D$1:$M$5,5,TRUE),0))))),0)</f>
        <v>0.9</v>
      </c>
      <c r="AS113" s="232">
        <f>IFERROR(IF($C113="Top WS",VLOOKUP("GOAL",'2) หลักการคำนวน Table'!$D$4:$M$4,HLOOKUP(AG113,'2) หลักการคำนวน Table'!$D$1:$M$5,5,TRUE),0),
IF($C113="WS SF",VLOOKUP("GOAL",'2) หลักการคำนวน Table'!$D$32:$M$32,HLOOKUP(AG113,'2) หลักการคำนวน Table'!$D$1:$M$5,5,TRUE),0),
IF($C113="WS WH",VLOOKUP("GOAL",'2) หลักการคำนวน Table'!$D$62:$M$62,HLOOKUP(AG113,'2) หลักการคำนวน Table'!$D$1:$M$5,5,TRUE),0),
IF($C113="SF WH",VLOOKUP("GOAL",'2) หลักการคำนวน Table'!$D$92:$M$92,HLOOKUP(AG113,'2) หลักการคำนวน Table'!$D$1:$M$5,5,TRUE),0))))),0)</f>
        <v>0.9</v>
      </c>
      <c r="AT113" s="232">
        <f>IFERROR(IF($C113="Top WS",VLOOKUP("GOAL",'2) หลักการคำนวน Table'!$D$4:$M$4,HLOOKUP(AH113,'2) หลักการคำนวน Table'!$D$1:$M$5,5,TRUE),0),
IF($C113="WS SF",VLOOKUP("GOAL",'2) หลักการคำนวน Table'!$D$32:$M$32,HLOOKUP(AH113,'2) หลักการคำนวน Table'!$D$1:$M$5,5,TRUE),0),
IF($C113="WS WH",VLOOKUP("GOAL",'2) หลักการคำนวน Table'!$D$62:$M$62,HLOOKUP(AH113,'2) หลักการคำนวน Table'!$D$1:$M$5,5,TRUE),0),
IF($C113="SF WH",VLOOKUP("GOAL",'2) หลักการคำนวน Table'!$D$92:$M$92,HLOOKUP(AH113,'2) หลักการคำนวน Table'!$D$1:$M$5,5,TRUE),0))))),0)</f>
        <v>0.9</v>
      </c>
      <c r="AU113" s="232">
        <f>IFERROR(IF($C113="Top WS",VLOOKUP("GOAL",'2) หลักการคำนวน Table'!$D$4:$M$4,HLOOKUP(AI113,'2) หลักการคำนวน Table'!$D$1:$M$5,5,TRUE),0),
IF($C113="WS SF",VLOOKUP("GOAL",'2) หลักการคำนวน Table'!$D$32:$M$32,HLOOKUP(AI113,'2) หลักการคำนวน Table'!$D$1:$M$5,5,TRUE),0),
IF($C113="WS WH",VLOOKUP("GOAL",'2) หลักการคำนวน Table'!$D$62:$M$62,HLOOKUP(AI113,'2) หลักการคำนวน Table'!$D$1:$M$5,5,TRUE),0),
IF($C113="SF WH",VLOOKUP("GOAL",'2) หลักการคำนวน Table'!$D$92:$M$92,HLOOKUP(AI113,'2) หลักการคำนวน Table'!$D$1:$M$5,5,TRUE),0))))),0)</f>
        <v>0.9</v>
      </c>
      <c r="AV113" s="232">
        <f>IFERROR(IF($C113="Top WS",VLOOKUP("GOAL",'2) หลักการคำนวน Table'!$D$4:$M$4,HLOOKUP(AP113,'2) หลักการคำนวน Table'!$D$1:$M$5,5,TRUE),0),
IF($C113="WS SF",VLOOKUP("GOAL",'2) หลักการคำนวน Table'!$D$32:$M$32,HLOOKUP(AP113,'2) หลักการคำนวน Table'!$D$1:$M$5,5,TRUE),0),
IF($C113="WS WH",VLOOKUP("GOAL",'2) หลักการคำนวน Table'!$D$62:$M$62,HLOOKUP(AP113,'2) หลักการคำนวน Table'!$D$1:$M$5,5,TRUE),0),
IF($C113="SF WH",VLOOKUP("GOAL",'2) หลักการคำนวน Table'!$D$92:$M$92,HLOOKUP(AP113,'2) หลักการคำนวน Table'!$D$1:$M$5,5,TRUE),0))))),0)</f>
        <v>0.9</v>
      </c>
      <c r="AW113" s="232">
        <f>IFERROR(IF($C113="Top WS",VLOOKUP("GOAL",'2) หลักการคำนวน Table'!$D$4:$M$4,HLOOKUP(AK113,'2) หลักการคำนวน Table'!$D$1:$M$5,5,TRUE),0),
IF($C113="WS SF",VLOOKUP("GOAL",'2) หลักการคำนวน Table'!$D$32:$M$32,HLOOKUP(AK113,'2) หลักการคำนวน Table'!$D$1:$M$5,5,TRUE),0),
IF($C113="WS WH",VLOOKUP("GOAL",'2) หลักการคำนวน Table'!$D$62:$M$62,HLOOKUP(AK113,'2) หลักการคำนวน Table'!$D$1:$M$5,5,TRUE),0),
IF($C113="SF WH",VLOOKUP("GOAL",'2) หลักการคำนวน Table'!$D$92:$M$92,HLOOKUP(AK113,'2) หลักการคำนวน Table'!$D$1:$M$5,5,TRUE),0))))),0)</f>
        <v>0.9</v>
      </c>
      <c r="AX113" s="232">
        <f>IFERROR(IF($C113="Top WS",VLOOKUP("GOAL",'2) หลักการคำนวน Table'!$D$4:$M$4,HLOOKUP(AL113,'2) หลักการคำนวน Table'!$D$1:$M$5,5,TRUE),0),
IF($C113="WS SF",VLOOKUP("GOAL",'2) หลักการคำนวน Table'!$D$32:$M$32,HLOOKUP(AL113,'2) หลักการคำนวน Table'!$D$1:$M$5,5,TRUE),0),
IF($C113="WS WH",VLOOKUP("GOAL",'2) หลักการคำนวน Table'!$D$62:$M$62,HLOOKUP(AL113,'2) หลักการคำนวน Table'!$D$1:$M$5,5,TRUE),0),
IF($C113="SF WH",VLOOKUP("GOAL",'2) หลักการคำนวน Table'!$D$92:$M$92,HLOOKUP(AL113,'2) หลักการคำนวน Table'!$D$1:$M$5,5,TRUE),0))))),0)</f>
        <v>0.9</v>
      </c>
      <c r="AY113" s="232">
        <f>IFERROR(IF($C113="Top WS",VLOOKUP("GOAL",'2) หลักการคำนวน Table'!$D$4:$M$4,HLOOKUP(AM113,'2) หลักการคำนวน Table'!$D$1:$M$5,5,TRUE),0),
IF($C113="WS SF",VLOOKUP("GOAL",'2) หลักการคำนวน Table'!$D$32:$M$32,HLOOKUP(AM113,'2) หลักการคำนวน Table'!$D$1:$M$5,5,TRUE),0),
IF($C113="WS WH",VLOOKUP("GOAL",'2) หลักการคำนวน Table'!$D$62:$M$62,HLOOKUP(AM113,'2) หลักการคำนวน Table'!$D$1:$M$5,5,TRUE),0),
IF($C113="SF WH",VLOOKUP("GOAL",'2) หลักการคำนวน Table'!$D$92:$M$92,HLOOKUP(AM113,'2) หลักการคำนวน Table'!$D$1:$M$5,5,TRUE),0))))),0)</f>
        <v>0.9</v>
      </c>
      <c r="AZ113" s="167">
        <f>IFERROR(IF($C113="Top WS",VLOOKUP($B113,'2) หลักการคำนวน Table'!$D$5:$M$20,HLOOKUP(AB113,'2) หลักการคำนวน Table'!$D$1:$M$5,5,TRUE),0),
IF($C113="WS SF",VLOOKUP($B113,'2) หลักการคำนวน Table'!$D$33:$M$48,HLOOKUP(AB113,'2) หลักการคำนวน Table'!$D$1:$M$5,5,TRUE),0),
IF($C113="WS WH",VLOOKUP($B113,'2) หลักการคำนวน Table'!$D$63:$M$78,HLOOKUP(AB113,'2) หลักการคำนวน Table'!$D$1:$M$5,5,TRUE),0),
IF($C113="SF WH",VLOOKUP($B113,'2) หลักการคำนวน Table'!$D$93:$M$108,HLOOKUP(AB113,'2) หลักการคำนวน Table'!$D$1:$M$5,5,TRUE),0))))),0)</f>
        <v>200</v>
      </c>
      <c r="BA113" s="167">
        <f>IFERROR(IF($C113="Top WS",VLOOKUP($B113,'2) หลักการคำนวน Table'!$D$5:$M$20,HLOOKUP(AC113,'2) หลักการคำนวน Table'!$D$1:$M$5,5,TRUE),0),
IF($C113="WS SF",VLOOKUP($B113,'2) หลักการคำนวน Table'!$D$33:$M$48,HLOOKUP(AC113,'2) หลักการคำนวน Table'!$D$1:$M$5,5,TRUE),0),
IF($C113="WS WH",VLOOKUP($B113,'2) หลักการคำนวน Table'!$D$63:$M$78,HLOOKUP(AC113,'2) หลักการคำนวน Table'!$D$1:$M$5,5,TRUE),0),
IF($C113="SF WH",VLOOKUP($B113,'2) หลักการคำนวน Table'!$D$93:$M$108,HLOOKUP(AC113,'2) หลักการคำนวน Table'!$D$1:$M$5,5,TRUE),0))))),0)</f>
        <v>180</v>
      </c>
      <c r="BB113" s="167">
        <f>IFERROR(IF($C113="Top WS",VLOOKUP($B113,'2) หลักการคำนวน Table'!$D$5:$M$20,HLOOKUP(AD113,'2) หลักการคำนวน Table'!$D$1:$M$5,5,TRUE),0),
IF($C113="WS SF",VLOOKUP($B113,'2) หลักการคำนวน Table'!$D$33:$M$48,HLOOKUP(AD113,'2) หลักการคำนวน Table'!$D$1:$M$5,5,TRUE),0),
IF($C113="WS WH",VLOOKUP($B113,'2) หลักการคำนวน Table'!$D$63:$M$78,HLOOKUP(AD113,'2) หลักการคำนวน Table'!$D$1:$M$5,5,TRUE),0),
IF($C113="SF WH",VLOOKUP($B113,'2) หลักการคำนวน Table'!$D$93:$M$108,HLOOKUP(AD113,'2) หลักการคำนวน Table'!$D$1:$M$5,5,TRUE),0))))),0)</f>
        <v>180</v>
      </c>
      <c r="BC113" s="167">
        <f>IFERROR(IF($C113="Top WS",VLOOKUP($B113,'2) หลักการคำนวน Table'!$D$5:$M$20,HLOOKUP(AE113,'2) หลักการคำนวน Table'!$D$1:$M$5,5,TRUE),0),
IF($C113="WS SF",VLOOKUP($B113,'2) หลักการคำนวน Table'!$D$33:$M$48,HLOOKUP(AE113,'2) หลักการคำนวน Table'!$D$1:$M$5,5,TRUE),0),
IF($C113="WS WH",VLOOKUP($B113,'2) หลักการคำนวน Table'!$D$63:$M$78,HLOOKUP(AE113,'2) หลักการคำนวน Table'!$D$1:$M$5,5,TRUE),0),
IF($C113="SF WH",VLOOKUP($B113,'2) หลักการคำนวน Table'!$D$93:$M$108,HLOOKUP(AE113,'2) หลักการคำนวน Table'!$D$1:$M$5,5,TRUE),0))))),0)</f>
        <v>180</v>
      </c>
      <c r="BD113" s="167">
        <f>IFERROR(IF($C113="Top WS",VLOOKUP($B113,'2) หลักการคำนวน Table'!$D$5:$M$20,HLOOKUP(AF113,'2) หลักการคำนวน Table'!$D$1:$M$5,5,TRUE),0),
IF($C113="WS SF",VLOOKUP($B113,'2) หลักการคำนวน Table'!$D$33:$M$48,HLOOKUP(AF113,'2) หลักการคำนวน Table'!$D$1:$M$5,5,TRUE),0),
IF($C113="WS WH",VLOOKUP($B113,'2) หลักการคำนวน Table'!$D$63:$M$78,HLOOKUP(AF113,'2) หลักการคำนวน Table'!$D$1:$M$5,5,TRUE),0),
IF($C113="SF WH",VLOOKUP($B113,'2) หลักการคำนวน Table'!$D$93:$M$108,HLOOKUP(AF113,'2) หลักการคำนวน Table'!$D$1:$M$5,5,TRUE),0))))),0)</f>
        <v>180</v>
      </c>
      <c r="BE113" s="167">
        <f>IFERROR(IF($C113="Top WS",VLOOKUP($B113,'2) หลักการคำนวน Table'!$D$5:$M$20,HLOOKUP(AG113,'2) หลักการคำนวน Table'!$D$1:$M$5,5,TRUE),0),
IF($C113="WS SF",VLOOKUP($B113,'2) หลักการคำนวน Table'!$D$33:$M$48,HLOOKUP(AG113,'2) หลักการคำนวน Table'!$D$1:$M$5,5,TRUE),0),
IF($C113="WS WH",VLOOKUP($B113,'2) หลักการคำนวน Table'!$D$63:$M$78,HLOOKUP(AG113,'2) หลักการคำนวน Table'!$D$1:$M$5,5,TRUE),0),
IF($C113="SF WH",VLOOKUP($B113,'2) หลักการคำนวน Table'!$D$93:$M$108,HLOOKUP(AG113,'2) หลักการคำนวน Table'!$D$1:$M$5,5,TRUE),0))))),0)</f>
        <v>180</v>
      </c>
      <c r="BF113" s="167">
        <f>IFERROR(IF($C113="Top WS",VLOOKUP($B113,'2) หลักการคำนวน Table'!$D$5:$M$20,HLOOKUP(AH113,'2) หลักการคำนวน Table'!$D$1:$M$5,5,TRUE),0),
IF($C113="WS SF",VLOOKUP($B113,'2) หลักการคำนวน Table'!$D$33:$M$48,HLOOKUP(AH113,'2) หลักการคำนวน Table'!$D$1:$M$5,5,TRUE),0),
IF($C113="WS WH",VLOOKUP($B113,'2) หลักการคำนวน Table'!$D$63:$M$78,HLOOKUP(AH113,'2) หลักการคำนวน Table'!$D$1:$M$5,5,TRUE),0),
IF($C113="SF WH",VLOOKUP($B113,'2) หลักการคำนวน Table'!$D$93:$M$108,HLOOKUP(AH113,'2) หลักการคำนวน Table'!$D$1:$M$5,5,TRUE),0))))),0)</f>
        <v>180</v>
      </c>
      <c r="BG113" s="167">
        <f>IFERROR(IF($C113="Top WS",VLOOKUP($B113,'2) หลักการคำนวน Table'!$D$5:$M$20,HLOOKUP(AI113,'2) หลักการคำนวน Table'!$D$1:$M$5,5,TRUE),0),
IF($C113="WS SF",VLOOKUP($B113,'2) หลักการคำนวน Table'!$D$33:$M$48,HLOOKUP(AI113,'2) หลักการคำนวน Table'!$D$1:$M$5,5,TRUE),0),
IF($C113="WS WH",VLOOKUP($B113,'2) หลักการคำนวน Table'!$D$63:$M$78,HLOOKUP(AI113,'2) หลักการคำนวน Table'!$D$1:$M$5,5,TRUE),0),
IF($C113="SF WH",VLOOKUP($B113,'2) หลักการคำนวน Table'!$D$93:$M$108,HLOOKUP(AI113,'2) หลักการคำนวน Table'!$D$1:$M$5,5,TRUE),0))))),0)</f>
        <v>180</v>
      </c>
      <c r="BH113" s="167">
        <f>IFERROR(IF($C113="Top WS",VLOOKUP($B113,'2) หลักการคำนวน Table'!$D$5:$M$20,HLOOKUP(AP113,'2) หลักการคำนวน Table'!$D$1:$M$5,5,TRUE),0),
IF($C113="WS SF",VLOOKUP($B113,'2) หลักการคำนวน Table'!$D$33:$M$48,HLOOKUP(AP113,'2) หลักการคำนวน Table'!$D$1:$M$5,5,TRUE),0),
IF($C113="WS WH",VLOOKUP($B113,'2) หลักการคำนวน Table'!$D$63:$M$78,HLOOKUP(AP113,'2) หลักการคำนวน Table'!$D$1:$M$5,5,TRUE),0),
IF($C113="SF WH",VLOOKUP($B113,'2) หลักการคำนวน Table'!$D$93:$M$108,HLOOKUP(AP113,'2) หลักการคำนวน Table'!$D$1:$M$5,5,TRUE),0))))),0)</f>
        <v>180</v>
      </c>
      <c r="BI113" s="167">
        <f>IFERROR(IF($C113="Top WS",VLOOKUP($B113,'2) หลักการคำนวน Table'!$D$5:$M$20,HLOOKUP(AK113,'2) หลักการคำนวน Table'!$D$1:$M$5,5,TRUE),0),
IF($C113="WS SF",VLOOKUP($B113,'2) หลักการคำนวน Table'!$D$33:$M$48,HLOOKUP(AK113,'2) หลักการคำนวน Table'!$D$1:$M$5,5,TRUE),0),
IF($C113="WS WH",VLOOKUP($B113,'2) หลักการคำนวน Table'!$D$63:$M$78,HLOOKUP(AK113,'2) หลักการคำนวน Table'!$D$1:$M$5,5,TRUE),0),
IF($C113="SF WH",VLOOKUP($B113,'2) หลักการคำนวน Table'!$D$93:$M$108,HLOOKUP(AK113,'2) หลักการคำนวน Table'!$D$1:$M$5,5,TRUE),0))))),0)</f>
        <v>180</v>
      </c>
      <c r="BJ113" s="167">
        <f>IFERROR(IF($C113="Top WS",VLOOKUP($B113,'2) หลักการคำนวน Table'!$D$5:$M$20,HLOOKUP(AL113,'2) หลักการคำนวน Table'!$D$1:$M$5,5,TRUE),0),
IF($C113="WS SF",VLOOKUP($B113,'2) หลักการคำนวน Table'!$D$33:$M$48,HLOOKUP(AL113,'2) หลักการคำนวน Table'!$D$1:$M$5,5,TRUE),0),
IF($C113="WS WH",VLOOKUP($B113,'2) หลักการคำนวน Table'!$D$63:$M$78,HLOOKUP(AL113,'2) หลักการคำนวน Table'!$D$1:$M$5,5,TRUE),0),
IF($C113="SF WH",VLOOKUP($B113,'2) หลักการคำนวน Table'!$D$93:$M$108,HLOOKUP(AL113,'2) หลักการคำนวน Table'!$D$1:$M$5,5,TRUE),0))))),0)</f>
        <v>180</v>
      </c>
      <c r="BK113" s="167">
        <f>IFERROR(IF($C113="Top WS",VLOOKUP($B113,'2) หลักการคำนวน Table'!$D$5:$M$20,HLOOKUP(AM113,'2) หลักการคำนวน Table'!$D$1:$M$5,5,TRUE),0),
IF($C113="WS SF",VLOOKUP($B113,'2) หลักการคำนวน Table'!$D$33:$M$48,HLOOKUP(AM113,'2) หลักการคำนวน Table'!$D$1:$M$5,5,TRUE),0),
IF($C113="WS WH",VLOOKUP($B113,'2) หลักการคำนวน Table'!$D$63:$M$78,HLOOKUP(AM113,'2) หลักการคำนวน Table'!$D$1:$M$5,5,TRUE),0),
IF($C113="SF WH",VLOOKUP($B113,'2) หลักการคำนวน Table'!$D$93:$M$108,HLOOKUP(AM113,'2) หลักการคำนวน Table'!$D$1:$M$5,5,TRUE),0))))),0)</f>
        <v>180</v>
      </c>
      <c r="BM113" s="119">
        <f>VLOOKUP(VLOOKUP(A113,ASTBase!E:S,13,FALSE),ASTBase!F:P,11,FALSE)</f>
        <v>150000</v>
      </c>
      <c r="BN113" s="196" cm="1">
        <f t="array" ref="BN113">INDEX(AN113:AY113,,Period!$D$2)</f>
        <v>0.9</v>
      </c>
    </row>
    <row r="114" spans="1:66" x14ac:dyDescent="0.25">
      <c r="A114" s="117">
        <v>150001</v>
      </c>
      <c r="B114" s="117" t="s">
        <v>389</v>
      </c>
      <c r="C114" s="117" t="s">
        <v>178</v>
      </c>
      <c r="D114" s="118">
        <v>26381</v>
      </c>
      <c r="E114" s="118">
        <v>24457</v>
      </c>
      <c r="F114" s="118">
        <v>30120</v>
      </c>
      <c r="G114" s="118">
        <v>27173</v>
      </c>
      <c r="H114" s="118">
        <v>22457</v>
      </c>
      <c r="I114" s="118">
        <v>28020</v>
      </c>
      <c r="J114" s="118">
        <v>23396</v>
      </c>
      <c r="K114" s="118">
        <v>26927</v>
      </c>
      <c r="L114" s="118">
        <v>22899</v>
      </c>
      <c r="M114" s="118">
        <v>28502</v>
      </c>
      <c r="N114" s="118">
        <v>20902</v>
      </c>
      <c r="O114" s="118">
        <v>17352</v>
      </c>
      <c r="P114" s="117">
        <f>SUMIFS(Actual!C:C,Actual!$A:$A,'3)Target &amp; Cal'!$A114,Actual!$B:$B,'3)Target &amp; Cal'!$B114)</f>
        <v>20897.399999999998</v>
      </c>
      <c r="Q114" s="117">
        <f>SUMIFS(Actual!D:D,Actual!$A:$A,'3)Target &amp; Cal'!$A114,Actual!$B:$B,'3)Target &amp; Cal'!$B114)</f>
        <v>22960.800000000003</v>
      </c>
      <c r="R114" s="117">
        <f>SUMIFS(Actual!E:E,Actual!$A:$A,'3)Target &amp; Cal'!$A114,Actual!$B:$B,'3)Target &amp; Cal'!$B114)</f>
        <v>0</v>
      </c>
      <c r="S114" s="117">
        <f>SUMIFS(Actual!F:F,Actual!$A:$A,'3)Target &amp; Cal'!$A114,Actual!$B:$B,'3)Target &amp; Cal'!$B114)</f>
        <v>0</v>
      </c>
      <c r="T114" s="117">
        <f>SUMIFS(Actual!G:G,Actual!$A:$A,'3)Target &amp; Cal'!$A114,Actual!$B:$B,'3)Target &amp; Cal'!$B114)</f>
        <v>0</v>
      </c>
      <c r="U114" s="117">
        <f>SUMIFS(Actual!H:H,Actual!$A:$A,'3)Target &amp; Cal'!$A114,Actual!$B:$B,'3)Target &amp; Cal'!$B114)</f>
        <v>0</v>
      </c>
      <c r="V114" s="117">
        <f>SUMIFS(Actual!I:I,Actual!$A:$A,'3)Target &amp; Cal'!$A114,Actual!$B:$B,'3)Target &amp; Cal'!$B114)</f>
        <v>0</v>
      </c>
      <c r="W114" s="117">
        <f>SUMIFS(Actual!J:J,Actual!$A:$A,'3)Target &amp; Cal'!$A114,Actual!$B:$B,'3)Target &amp; Cal'!$B114)</f>
        <v>0</v>
      </c>
      <c r="X114" s="117">
        <f>SUMIFS(Actual!K:K,Actual!$A:$A,'3)Target &amp; Cal'!$A114,Actual!$B:$B,'3)Target &amp; Cal'!$B114)</f>
        <v>0</v>
      </c>
      <c r="Y114" s="117">
        <f>SUMIFS(Actual!L:L,Actual!$A:$A,'3)Target &amp; Cal'!$A114,Actual!$B:$B,'3)Target &amp; Cal'!$B114)</f>
        <v>0</v>
      </c>
      <c r="Z114" s="117">
        <f>SUMIFS(Actual!M:M,Actual!$A:$A,'3)Target &amp; Cal'!$A114,Actual!$B:$B,'3)Target &amp; Cal'!$B114)</f>
        <v>0</v>
      </c>
      <c r="AA114" s="117">
        <f>SUMIFS(Actual!N:N,Actual!$A:$A,'3)Target &amp; Cal'!$A114,Actual!$B:$B,'3)Target &amp; Cal'!$B114)</f>
        <v>0</v>
      </c>
      <c r="AB114" s="123">
        <f>IFERROR(IF(VLOOKUP($B114,Shortage!$A:$M,AB$2,FALSE)="Shortage",1,IFERROR(ROUND(P114/D114,4),0)),IFERROR(ROUND(P114/D114,4),0))</f>
        <v>1</v>
      </c>
      <c r="AC114" s="123">
        <f>IFERROR(IF(VLOOKUP($B114,Shortage!$A:$M,AC$2,FALSE)="Shortage",1,IFERROR(ROUND(Q114/E114,4),0)),IFERROR(ROUND(Q114/E114,4),0))</f>
        <v>1</v>
      </c>
      <c r="AD114" s="123">
        <f>IFERROR(IF(VLOOKUP($B114,Shortage!$A:$M,AD$2,FALSE)="Shortage",1,IFERROR(ROUND(R114/F114,4),0)),IFERROR(ROUND(R114/F114,4),0))</f>
        <v>0</v>
      </c>
      <c r="AE114" s="123">
        <f>IFERROR(IF(VLOOKUP($B114,Shortage!$A:$M,AE$2,FALSE)="Shortage",1,IFERROR(ROUND(S114/G114,4),0)),IFERROR(ROUND(S114/G114,4),0))</f>
        <v>0</v>
      </c>
      <c r="AF114" s="123">
        <f>IFERROR(IF(VLOOKUP($B114,Shortage!$A:$M,AF$2,FALSE)="Shortage",1,IFERROR(ROUND(T114/H114,4),0)),IFERROR(ROUND(T114/H114,4),0))</f>
        <v>0</v>
      </c>
      <c r="AG114" s="123">
        <f>IFERROR(IF(VLOOKUP($B114,Shortage!$A:$M,AG$2,FALSE)="Shortage",1,IFERROR(ROUND(U114/I114,4),0)),IFERROR(ROUND(U114/I114,4),0))</f>
        <v>0</v>
      </c>
      <c r="AH114" s="123">
        <f>IFERROR(IF(VLOOKUP($B114,Shortage!$A:$M,AH$2,FALSE)="Shortage",1,IFERROR(ROUND(V114/J114,4),0)),IFERROR(ROUND(V114/J114,4),0))</f>
        <v>0</v>
      </c>
      <c r="AI114" s="123">
        <f>IFERROR(IF(VLOOKUP($B114,Shortage!$A:$M,AI$2,FALSE)="Shortage",1,IFERROR(ROUND(W114/K114,4),0)),IFERROR(ROUND(W114/K114,4),0))</f>
        <v>0</v>
      </c>
      <c r="AJ114" s="123">
        <f>IFERROR(IF(VLOOKUP($B114,Shortage!$A:$M,AP$2,FALSE)="Shortage",1,IFERROR(ROUND(X114/L114,4),0)),IFERROR(ROUND(X114/L114,4),0))</f>
        <v>0</v>
      </c>
      <c r="AK114" s="123">
        <f>IFERROR(IF(VLOOKUP($B114,Shortage!$A:$M,AK$2,FALSE)="Shortage",1,IFERROR(ROUND(Y114/M114,4),0)),IFERROR(ROUND(Y114/M114,4),0))</f>
        <v>0</v>
      </c>
      <c r="AL114" s="123">
        <f>IFERROR(IF(VLOOKUP($B114,Shortage!$A:$M,AL$2,FALSE)="Shortage",1,IFERROR(ROUND(Z114/N114,4),0)),IFERROR(ROUND(Z114/N114,4),0))</f>
        <v>0</v>
      </c>
      <c r="AM114" s="123">
        <f>IFERROR(IF(VLOOKUP($B114,Shortage!$A:$M,AM$2,FALSE)="Shortage",1,IFERROR(ROUND(AA114/O114,4),0)),IFERROR(ROUND(AA114/O114,4),0))</f>
        <v>0</v>
      </c>
      <c r="AN114" s="232">
        <f>IFERROR(IF($C114="Top WS",VLOOKUP("GOAL",'2) หลักการคำนวน Table'!$D$4:$M$4,HLOOKUP(AB114,'2) หลักการคำนวน Table'!$D$1:$M$5,5,TRUE),0),
IF($C114="WS SF",VLOOKUP("GOAL",'2) หลักการคำนวน Table'!$D$32:$M$32,HLOOKUP(AB114,'2) หลักการคำนวน Table'!$D$1:$M$5,5,TRUE),0),
IF($C114="WS WH",VLOOKUP("GOAL",'2) หลักการคำนวน Table'!$D$62:$M$62,HLOOKUP(AB114,'2) หลักการคำนวน Table'!$D$1:$M$5,5,TRUE),0),
IF($C114="SF WH",VLOOKUP("GOAL",'2) หลักการคำนวน Table'!$D$92:$M$92,HLOOKUP(AB114,'2) หลักการคำนวน Table'!$D$1:$M$5,5,TRUE),0))))),0)</f>
        <v>1</v>
      </c>
      <c r="AO114" s="232">
        <f>IFERROR(IF($C114="Top WS",VLOOKUP("GOAL",'2) หลักการคำนวน Table'!$D$4:$M$4,HLOOKUP(AC114,'2) หลักการคำนวน Table'!$D$1:$M$5,5,TRUE),0),
IF($C114="WS SF",VLOOKUP("GOAL",'2) หลักการคำนวน Table'!$D$32:$M$32,HLOOKUP(AC114,'2) หลักการคำนวน Table'!$D$1:$M$5,5,TRUE),0),
IF($C114="WS WH",VLOOKUP("GOAL",'2) หลักการคำนวน Table'!$D$62:$M$62,HLOOKUP(AC114,'2) หลักการคำนวน Table'!$D$1:$M$5,5,TRUE),0),
IF($C114="SF WH",VLOOKUP("GOAL",'2) หลักการคำนวน Table'!$D$92:$M$92,HLOOKUP(AC114,'2) หลักการคำนวน Table'!$D$1:$M$5,5,TRUE),0))))),0)</f>
        <v>1</v>
      </c>
      <c r="AP114" s="232">
        <f>IFERROR(IF($C114="Top WS",VLOOKUP("GOAL",'2) หลักการคำนวน Table'!$D$4:$M$4,HLOOKUP(AD114,'2) หลักการคำนวน Table'!$D$1:$M$5,5,TRUE),0),
IF($C114="WS SF",VLOOKUP("GOAL",'2) หลักการคำนวน Table'!$D$32:$M$32,HLOOKUP(AD114,'2) หลักการคำนวน Table'!$D$1:$M$5,5,TRUE),0),
IF($C114="WS WH",VLOOKUP("GOAL",'2) หลักการคำนวน Table'!$D$62:$M$62,HLOOKUP(AD114,'2) หลักการคำนวน Table'!$D$1:$M$5,5,TRUE),0),
IF($C114="SF WH",VLOOKUP("GOAL",'2) หลักการคำนวน Table'!$D$92:$M$92,HLOOKUP(AD114,'2) หลักการคำนวน Table'!$D$1:$M$5,5,TRUE),0))))),0)</f>
        <v>0.9</v>
      </c>
      <c r="AQ114" s="232">
        <f>IFERROR(IF($C114="Top WS",VLOOKUP("GOAL",'2) หลักการคำนวน Table'!$D$4:$M$4,HLOOKUP(AE114,'2) หลักการคำนวน Table'!$D$1:$M$5,5,TRUE),0),
IF($C114="WS SF",VLOOKUP("GOAL",'2) หลักการคำนวน Table'!$D$32:$M$32,HLOOKUP(AE114,'2) หลักการคำนวน Table'!$D$1:$M$5,5,TRUE),0),
IF($C114="WS WH",VLOOKUP("GOAL",'2) หลักการคำนวน Table'!$D$62:$M$62,HLOOKUP(AE114,'2) หลักการคำนวน Table'!$D$1:$M$5,5,TRUE),0),
IF($C114="SF WH",VLOOKUP("GOAL",'2) หลักการคำนวน Table'!$D$92:$M$92,HLOOKUP(AE114,'2) หลักการคำนวน Table'!$D$1:$M$5,5,TRUE),0))))),0)</f>
        <v>0.9</v>
      </c>
      <c r="AR114" s="232">
        <f>IFERROR(IF($C114="Top WS",VLOOKUP("GOAL",'2) หลักการคำนวน Table'!$D$4:$M$4,HLOOKUP(AF114,'2) หลักการคำนวน Table'!$D$1:$M$5,5,TRUE),0),
IF($C114="WS SF",VLOOKUP("GOAL",'2) หลักการคำนวน Table'!$D$32:$M$32,HLOOKUP(AF114,'2) หลักการคำนวน Table'!$D$1:$M$5,5,TRUE),0),
IF($C114="WS WH",VLOOKUP("GOAL",'2) หลักการคำนวน Table'!$D$62:$M$62,HLOOKUP(AF114,'2) หลักการคำนวน Table'!$D$1:$M$5,5,TRUE),0),
IF($C114="SF WH",VLOOKUP("GOAL",'2) หลักการคำนวน Table'!$D$92:$M$92,HLOOKUP(AF114,'2) หลักการคำนวน Table'!$D$1:$M$5,5,TRUE),0))))),0)</f>
        <v>0.9</v>
      </c>
      <c r="AS114" s="232">
        <f>IFERROR(IF($C114="Top WS",VLOOKUP("GOAL",'2) หลักการคำนวน Table'!$D$4:$M$4,HLOOKUP(AG114,'2) หลักการคำนวน Table'!$D$1:$M$5,5,TRUE),0),
IF($C114="WS SF",VLOOKUP("GOAL",'2) หลักการคำนวน Table'!$D$32:$M$32,HLOOKUP(AG114,'2) หลักการคำนวน Table'!$D$1:$M$5,5,TRUE),0),
IF($C114="WS WH",VLOOKUP("GOAL",'2) หลักการคำนวน Table'!$D$62:$M$62,HLOOKUP(AG114,'2) หลักการคำนวน Table'!$D$1:$M$5,5,TRUE),0),
IF($C114="SF WH",VLOOKUP("GOAL",'2) หลักการคำนวน Table'!$D$92:$M$92,HLOOKUP(AG114,'2) หลักการคำนวน Table'!$D$1:$M$5,5,TRUE),0))))),0)</f>
        <v>0.9</v>
      </c>
      <c r="AT114" s="232">
        <f>IFERROR(IF($C114="Top WS",VLOOKUP("GOAL",'2) หลักการคำนวน Table'!$D$4:$M$4,HLOOKUP(AH114,'2) หลักการคำนวน Table'!$D$1:$M$5,5,TRUE),0),
IF($C114="WS SF",VLOOKUP("GOAL",'2) หลักการคำนวน Table'!$D$32:$M$32,HLOOKUP(AH114,'2) หลักการคำนวน Table'!$D$1:$M$5,5,TRUE),0),
IF($C114="WS WH",VLOOKUP("GOAL",'2) หลักการคำนวน Table'!$D$62:$M$62,HLOOKUP(AH114,'2) หลักการคำนวน Table'!$D$1:$M$5,5,TRUE),0),
IF($C114="SF WH",VLOOKUP("GOAL",'2) หลักการคำนวน Table'!$D$92:$M$92,HLOOKUP(AH114,'2) หลักการคำนวน Table'!$D$1:$M$5,5,TRUE),0))))),0)</f>
        <v>0.9</v>
      </c>
      <c r="AU114" s="232">
        <f>IFERROR(IF($C114="Top WS",VLOOKUP("GOAL",'2) หลักการคำนวน Table'!$D$4:$M$4,HLOOKUP(AI114,'2) หลักการคำนวน Table'!$D$1:$M$5,5,TRUE),0),
IF($C114="WS SF",VLOOKUP("GOAL",'2) หลักการคำนวน Table'!$D$32:$M$32,HLOOKUP(AI114,'2) หลักการคำนวน Table'!$D$1:$M$5,5,TRUE),0),
IF($C114="WS WH",VLOOKUP("GOAL",'2) หลักการคำนวน Table'!$D$62:$M$62,HLOOKUP(AI114,'2) หลักการคำนวน Table'!$D$1:$M$5,5,TRUE),0),
IF($C114="SF WH",VLOOKUP("GOAL",'2) หลักการคำนวน Table'!$D$92:$M$92,HLOOKUP(AI114,'2) หลักการคำนวน Table'!$D$1:$M$5,5,TRUE),0))))),0)</f>
        <v>0.9</v>
      </c>
      <c r="AV114" s="232">
        <f>IFERROR(IF($C114="Top WS",VLOOKUP("GOAL",'2) หลักการคำนวน Table'!$D$4:$M$4,HLOOKUP(AP114,'2) หลักการคำนวน Table'!$D$1:$M$5,5,TRUE),0),
IF($C114="WS SF",VLOOKUP("GOAL",'2) หลักการคำนวน Table'!$D$32:$M$32,HLOOKUP(AP114,'2) หลักการคำนวน Table'!$D$1:$M$5,5,TRUE),0),
IF($C114="WS WH",VLOOKUP("GOAL",'2) หลักการคำนวน Table'!$D$62:$M$62,HLOOKUP(AP114,'2) หลักการคำนวน Table'!$D$1:$M$5,5,TRUE),0),
IF($C114="SF WH",VLOOKUP("GOAL",'2) หลักการคำนวน Table'!$D$92:$M$92,HLOOKUP(AP114,'2) หลักการคำนวน Table'!$D$1:$M$5,5,TRUE),0))))),0)</f>
        <v>0.9</v>
      </c>
      <c r="AW114" s="232">
        <f>IFERROR(IF($C114="Top WS",VLOOKUP("GOAL",'2) หลักการคำนวน Table'!$D$4:$M$4,HLOOKUP(AK114,'2) หลักการคำนวน Table'!$D$1:$M$5,5,TRUE),0),
IF($C114="WS SF",VLOOKUP("GOAL",'2) หลักการคำนวน Table'!$D$32:$M$32,HLOOKUP(AK114,'2) หลักการคำนวน Table'!$D$1:$M$5,5,TRUE),0),
IF($C114="WS WH",VLOOKUP("GOAL",'2) หลักการคำนวน Table'!$D$62:$M$62,HLOOKUP(AK114,'2) หลักการคำนวน Table'!$D$1:$M$5,5,TRUE),0),
IF($C114="SF WH",VLOOKUP("GOAL",'2) หลักการคำนวน Table'!$D$92:$M$92,HLOOKUP(AK114,'2) หลักการคำนวน Table'!$D$1:$M$5,5,TRUE),0))))),0)</f>
        <v>0.9</v>
      </c>
      <c r="AX114" s="232">
        <f>IFERROR(IF($C114="Top WS",VLOOKUP("GOAL",'2) หลักการคำนวน Table'!$D$4:$M$4,HLOOKUP(AL114,'2) หลักการคำนวน Table'!$D$1:$M$5,5,TRUE),0),
IF($C114="WS SF",VLOOKUP("GOAL",'2) หลักการคำนวน Table'!$D$32:$M$32,HLOOKUP(AL114,'2) หลักการคำนวน Table'!$D$1:$M$5,5,TRUE),0),
IF($C114="WS WH",VLOOKUP("GOAL",'2) หลักการคำนวน Table'!$D$62:$M$62,HLOOKUP(AL114,'2) หลักการคำนวน Table'!$D$1:$M$5,5,TRUE),0),
IF($C114="SF WH",VLOOKUP("GOAL",'2) หลักการคำนวน Table'!$D$92:$M$92,HLOOKUP(AL114,'2) หลักการคำนวน Table'!$D$1:$M$5,5,TRUE),0))))),0)</f>
        <v>0.9</v>
      </c>
      <c r="AY114" s="232">
        <f>IFERROR(IF($C114="Top WS",VLOOKUP("GOAL",'2) หลักการคำนวน Table'!$D$4:$M$4,HLOOKUP(AM114,'2) หลักการคำนวน Table'!$D$1:$M$5,5,TRUE),0),
IF($C114="WS SF",VLOOKUP("GOAL",'2) หลักการคำนวน Table'!$D$32:$M$32,HLOOKUP(AM114,'2) หลักการคำนวน Table'!$D$1:$M$5,5,TRUE),0),
IF($C114="WS WH",VLOOKUP("GOAL",'2) หลักการคำนวน Table'!$D$62:$M$62,HLOOKUP(AM114,'2) หลักการคำนวน Table'!$D$1:$M$5,5,TRUE),0),
IF($C114="SF WH",VLOOKUP("GOAL",'2) หลักการคำนวน Table'!$D$92:$M$92,HLOOKUP(AM114,'2) หลักการคำนวน Table'!$D$1:$M$5,5,TRUE),0))))),0)</f>
        <v>0.9</v>
      </c>
      <c r="AZ114" s="167">
        <f>IFERROR(IF($C114="Top WS",VLOOKUP($B114,'2) หลักการคำนวน Table'!$D$5:$M$20,HLOOKUP(AB114,'2) หลักการคำนวน Table'!$D$1:$M$5,5,TRUE),0),
IF($C114="WS SF",VLOOKUP($B114,'2) หลักการคำนวน Table'!$D$33:$M$48,HLOOKUP(AB114,'2) หลักการคำนวน Table'!$D$1:$M$5,5,TRUE),0),
IF($C114="WS WH",VLOOKUP($B114,'2) หลักการคำนวน Table'!$D$63:$M$78,HLOOKUP(AB114,'2) หลักการคำนวน Table'!$D$1:$M$5,5,TRUE),0),
IF($C114="SF WH",VLOOKUP($B114,'2) หลักการคำนวน Table'!$D$93:$M$108,HLOOKUP(AB114,'2) หลักการคำนวน Table'!$D$1:$M$5,5,TRUE),0))))),0)</f>
        <v>400</v>
      </c>
      <c r="BA114" s="167">
        <f>IFERROR(IF($C114="Top WS",VLOOKUP($B114,'2) หลักการคำนวน Table'!$D$5:$M$20,HLOOKUP(AC114,'2) หลักการคำนวน Table'!$D$1:$M$5,5,TRUE),0),
IF($C114="WS SF",VLOOKUP($B114,'2) หลักการคำนวน Table'!$D$33:$M$48,HLOOKUP(AC114,'2) หลักการคำนวน Table'!$D$1:$M$5,5,TRUE),0),
IF($C114="WS WH",VLOOKUP($B114,'2) หลักการคำนวน Table'!$D$63:$M$78,HLOOKUP(AC114,'2) หลักการคำนวน Table'!$D$1:$M$5,5,TRUE),0),
IF($C114="SF WH",VLOOKUP($B114,'2) หลักการคำนวน Table'!$D$93:$M$108,HLOOKUP(AC114,'2) หลักการคำนวน Table'!$D$1:$M$5,5,TRUE),0))))),0)</f>
        <v>400</v>
      </c>
      <c r="BB114" s="167">
        <f>IFERROR(IF($C114="Top WS",VLOOKUP($B114,'2) หลักการคำนวน Table'!$D$5:$M$20,HLOOKUP(AD114,'2) หลักการคำนวน Table'!$D$1:$M$5,5,TRUE),0),
IF($C114="WS SF",VLOOKUP($B114,'2) หลักการคำนวน Table'!$D$33:$M$48,HLOOKUP(AD114,'2) หลักการคำนวน Table'!$D$1:$M$5,5,TRUE),0),
IF($C114="WS WH",VLOOKUP($B114,'2) หลักการคำนวน Table'!$D$63:$M$78,HLOOKUP(AD114,'2) หลักการคำนวน Table'!$D$1:$M$5,5,TRUE),0),
IF($C114="SF WH",VLOOKUP($B114,'2) หลักการคำนวน Table'!$D$93:$M$108,HLOOKUP(AD114,'2) หลักการคำนวน Table'!$D$1:$M$5,5,TRUE),0))))),0)</f>
        <v>360</v>
      </c>
      <c r="BC114" s="167">
        <f>IFERROR(IF($C114="Top WS",VLOOKUP($B114,'2) หลักการคำนวน Table'!$D$5:$M$20,HLOOKUP(AE114,'2) หลักการคำนวน Table'!$D$1:$M$5,5,TRUE),0),
IF($C114="WS SF",VLOOKUP($B114,'2) หลักการคำนวน Table'!$D$33:$M$48,HLOOKUP(AE114,'2) หลักการคำนวน Table'!$D$1:$M$5,5,TRUE),0),
IF($C114="WS WH",VLOOKUP($B114,'2) หลักการคำนวน Table'!$D$63:$M$78,HLOOKUP(AE114,'2) หลักการคำนวน Table'!$D$1:$M$5,5,TRUE),0),
IF($C114="SF WH",VLOOKUP($B114,'2) หลักการคำนวน Table'!$D$93:$M$108,HLOOKUP(AE114,'2) หลักการคำนวน Table'!$D$1:$M$5,5,TRUE),0))))),0)</f>
        <v>360</v>
      </c>
      <c r="BD114" s="167">
        <f>IFERROR(IF($C114="Top WS",VLOOKUP($B114,'2) หลักการคำนวน Table'!$D$5:$M$20,HLOOKUP(AF114,'2) หลักการคำนวน Table'!$D$1:$M$5,5,TRUE),0),
IF($C114="WS SF",VLOOKUP($B114,'2) หลักการคำนวน Table'!$D$33:$M$48,HLOOKUP(AF114,'2) หลักการคำนวน Table'!$D$1:$M$5,5,TRUE),0),
IF($C114="WS WH",VLOOKUP($B114,'2) หลักการคำนวน Table'!$D$63:$M$78,HLOOKUP(AF114,'2) หลักการคำนวน Table'!$D$1:$M$5,5,TRUE),0),
IF($C114="SF WH",VLOOKUP($B114,'2) หลักการคำนวน Table'!$D$93:$M$108,HLOOKUP(AF114,'2) หลักการคำนวน Table'!$D$1:$M$5,5,TRUE),0))))),0)</f>
        <v>360</v>
      </c>
      <c r="BE114" s="167">
        <f>IFERROR(IF($C114="Top WS",VLOOKUP($B114,'2) หลักการคำนวน Table'!$D$5:$M$20,HLOOKUP(AG114,'2) หลักการคำนวน Table'!$D$1:$M$5,5,TRUE),0),
IF($C114="WS SF",VLOOKUP($B114,'2) หลักการคำนวน Table'!$D$33:$M$48,HLOOKUP(AG114,'2) หลักการคำนวน Table'!$D$1:$M$5,5,TRUE),0),
IF($C114="WS WH",VLOOKUP($B114,'2) หลักการคำนวน Table'!$D$63:$M$78,HLOOKUP(AG114,'2) หลักการคำนวน Table'!$D$1:$M$5,5,TRUE),0),
IF($C114="SF WH",VLOOKUP($B114,'2) หลักการคำนวน Table'!$D$93:$M$108,HLOOKUP(AG114,'2) หลักการคำนวน Table'!$D$1:$M$5,5,TRUE),0))))),0)</f>
        <v>360</v>
      </c>
      <c r="BF114" s="167">
        <f>IFERROR(IF($C114="Top WS",VLOOKUP($B114,'2) หลักการคำนวน Table'!$D$5:$M$20,HLOOKUP(AH114,'2) หลักการคำนวน Table'!$D$1:$M$5,5,TRUE),0),
IF($C114="WS SF",VLOOKUP($B114,'2) หลักการคำนวน Table'!$D$33:$M$48,HLOOKUP(AH114,'2) หลักการคำนวน Table'!$D$1:$M$5,5,TRUE),0),
IF($C114="WS WH",VLOOKUP($B114,'2) หลักการคำนวน Table'!$D$63:$M$78,HLOOKUP(AH114,'2) หลักการคำนวน Table'!$D$1:$M$5,5,TRUE),0),
IF($C114="SF WH",VLOOKUP($B114,'2) หลักการคำนวน Table'!$D$93:$M$108,HLOOKUP(AH114,'2) หลักการคำนวน Table'!$D$1:$M$5,5,TRUE),0))))),0)</f>
        <v>360</v>
      </c>
      <c r="BG114" s="167">
        <f>IFERROR(IF($C114="Top WS",VLOOKUP($B114,'2) หลักการคำนวน Table'!$D$5:$M$20,HLOOKUP(AI114,'2) หลักการคำนวน Table'!$D$1:$M$5,5,TRUE),0),
IF($C114="WS SF",VLOOKUP($B114,'2) หลักการคำนวน Table'!$D$33:$M$48,HLOOKUP(AI114,'2) หลักการคำนวน Table'!$D$1:$M$5,5,TRUE),0),
IF($C114="WS WH",VLOOKUP($B114,'2) หลักการคำนวน Table'!$D$63:$M$78,HLOOKUP(AI114,'2) หลักการคำนวน Table'!$D$1:$M$5,5,TRUE),0),
IF($C114="SF WH",VLOOKUP($B114,'2) หลักการคำนวน Table'!$D$93:$M$108,HLOOKUP(AI114,'2) หลักการคำนวน Table'!$D$1:$M$5,5,TRUE),0))))),0)</f>
        <v>360</v>
      </c>
      <c r="BH114" s="167">
        <f>IFERROR(IF($C114="Top WS",VLOOKUP($B114,'2) หลักการคำนวน Table'!$D$5:$M$20,HLOOKUP(AP114,'2) หลักการคำนวน Table'!$D$1:$M$5,5,TRUE),0),
IF($C114="WS SF",VLOOKUP($B114,'2) หลักการคำนวน Table'!$D$33:$M$48,HLOOKUP(AP114,'2) หลักการคำนวน Table'!$D$1:$M$5,5,TRUE),0),
IF($C114="WS WH",VLOOKUP($B114,'2) หลักการคำนวน Table'!$D$63:$M$78,HLOOKUP(AP114,'2) หลักการคำนวน Table'!$D$1:$M$5,5,TRUE),0),
IF($C114="SF WH",VLOOKUP($B114,'2) หลักการคำนวน Table'!$D$93:$M$108,HLOOKUP(AP114,'2) หลักการคำนวน Table'!$D$1:$M$5,5,TRUE),0))))),0)</f>
        <v>360</v>
      </c>
      <c r="BI114" s="167">
        <f>IFERROR(IF($C114="Top WS",VLOOKUP($B114,'2) หลักการคำนวน Table'!$D$5:$M$20,HLOOKUP(AK114,'2) หลักการคำนวน Table'!$D$1:$M$5,5,TRUE),0),
IF($C114="WS SF",VLOOKUP($B114,'2) หลักการคำนวน Table'!$D$33:$M$48,HLOOKUP(AK114,'2) หลักการคำนวน Table'!$D$1:$M$5,5,TRUE),0),
IF($C114="WS WH",VLOOKUP($B114,'2) หลักการคำนวน Table'!$D$63:$M$78,HLOOKUP(AK114,'2) หลักการคำนวน Table'!$D$1:$M$5,5,TRUE),0),
IF($C114="SF WH",VLOOKUP($B114,'2) หลักการคำนวน Table'!$D$93:$M$108,HLOOKUP(AK114,'2) หลักการคำนวน Table'!$D$1:$M$5,5,TRUE),0))))),0)</f>
        <v>360</v>
      </c>
      <c r="BJ114" s="167">
        <f>IFERROR(IF($C114="Top WS",VLOOKUP($B114,'2) หลักการคำนวน Table'!$D$5:$M$20,HLOOKUP(AL114,'2) หลักการคำนวน Table'!$D$1:$M$5,5,TRUE),0),
IF($C114="WS SF",VLOOKUP($B114,'2) หลักการคำนวน Table'!$D$33:$M$48,HLOOKUP(AL114,'2) หลักการคำนวน Table'!$D$1:$M$5,5,TRUE),0),
IF($C114="WS WH",VLOOKUP($B114,'2) หลักการคำนวน Table'!$D$63:$M$78,HLOOKUP(AL114,'2) หลักการคำนวน Table'!$D$1:$M$5,5,TRUE),0),
IF($C114="SF WH",VLOOKUP($B114,'2) หลักการคำนวน Table'!$D$93:$M$108,HLOOKUP(AL114,'2) หลักการคำนวน Table'!$D$1:$M$5,5,TRUE),0))))),0)</f>
        <v>360</v>
      </c>
      <c r="BK114" s="167">
        <f>IFERROR(IF($C114="Top WS",VLOOKUP($B114,'2) หลักการคำนวน Table'!$D$5:$M$20,HLOOKUP(AM114,'2) หลักการคำนวน Table'!$D$1:$M$5,5,TRUE),0),
IF($C114="WS SF",VLOOKUP($B114,'2) หลักการคำนวน Table'!$D$33:$M$48,HLOOKUP(AM114,'2) หลักการคำนวน Table'!$D$1:$M$5,5,TRUE),0),
IF($C114="WS WH",VLOOKUP($B114,'2) หลักการคำนวน Table'!$D$63:$M$78,HLOOKUP(AM114,'2) หลักการคำนวน Table'!$D$1:$M$5,5,TRUE),0),
IF($C114="SF WH",VLOOKUP($B114,'2) หลักการคำนวน Table'!$D$93:$M$108,HLOOKUP(AM114,'2) หลักการคำนวน Table'!$D$1:$M$5,5,TRUE),0))))),0)</f>
        <v>360</v>
      </c>
      <c r="BM114" s="119">
        <f>VLOOKUP(VLOOKUP(A114,ASTBase!E:S,13,FALSE),ASTBase!F:P,11,FALSE)</f>
        <v>150000</v>
      </c>
      <c r="BN114" s="196" cm="1">
        <f t="array" ref="BN114">INDEX(AN114:AY114,,Period!$D$2)</f>
        <v>1</v>
      </c>
    </row>
    <row r="115" spans="1:66" x14ac:dyDescent="0.25">
      <c r="A115" s="117">
        <v>150001</v>
      </c>
      <c r="B115" s="117" t="s">
        <v>390</v>
      </c>
      <c r="C115" s="117" t="s">
        <v>178</v>
      </c>
      <c r="D115" s="118">
        <v>14076</v>
      </c>
      <c r="E115" s="118">
        <v>14830</v>
      </c>
      <c r="F115" s="118">
        <v>12917</v>
      </c>
      <c r="G115" s="118">
        <v>12267</v>
      </c>
      <c r="H115" s="118">
        <v>12363</v>
      </c>
      <c r="I115" s="118">
        <v>12030</v>
      </c>
      <c r="J115" s="118">
        <v>16104</v>
      </c>
      <c r="K115" s="118">
        <v>19215</v>
      </c>
      <c r="L115" s="118">
        <v>18465</v>
      </c>
      <c r="M115" s="118">
        <v>10305</v>
      </c>
      <c r="N115" s="118">
        <v>13086</v>
      </c>
      <c r="O115" s="118">
        <v>18060</v>
      </c>
      <c r="P115" s="117">
        <f>SUMIFS(Actual!C:C,Actual!$A:$A,'3)Target &amp; Cal'!$A115,Actual!$B:$B,'3)Target &amp; Cal'!$B115)</f>
        <v>18063.999999819363</v>
      </c>
      <c r="Q115" s="117">
        <f>SUMIFS(Actual!D:D,Actual!$A:$A,'3)Target &amp; Cal'!$A115,Actual!$B:$B,'3)Target &amp; Cal'!$B115)</f>
        <v>16269.999999837302</v>
      </c>
      <c r="R115" s="117">
        <f>SUMIFS(Actual!E:E,Actual!$A:$A,'3)Target &amp; Cal'!$A115,Actual!$B:$B,'3)Target &amp; Cal'!$B115)</f>
        <v>0</v>
      </c>
      <c r="S115" s="117">
        <f>SUMIFS(Actual!F:F,Actual!$A:$A,'3)Target &amp; Cal'!$A115,Actual!$B:$B,'3)Target &amp; Cal'!$B115)</f>
        <v>0</v>
      </c>
      <c r="T115" s="117">
        <f>SUMIFS(Actual!G:G,Actual!$A:$A,'3)Target &amp; Cal'!$A115,Actual!$B:$B,'3)Target &amp; Cal'!$B115)</f>
        <v>0</v>
      </c>
      <c r="U115" s="117">
        <f>SUMIFS(Actual!H:H,Actual!$A:$A,'3)Target &amp; Cal'!$A115,Actual!$B:$B,'3)Target &amp; Cal'!$B115)</f>
        <v>0</v>
      </c>
      <c r="V115" s="117">
        <f>SUMIFS(Actual!I:I,Actual!$A:$A,'3)Target &amp; Cal'!$A115,Actual!$B:$B,'3)Target &amp; Cal'!$B115)</f>
        <v>0</v>
      </c>
      <c r="W115" s="117">
        <f>SUMIFS(Actual!J:J,Actual!$A:$A,'3)Target &amp; Cal'!$A115,Actual!$B:$B,'3)Target &amp; Cal'!$B115)</f>
        <v>0</v>
      </c>
      <c r="X115" s="117">
        <f>SUMIFS(Actual!K:K,Actual!$A:$A,'3)Target &amp; Cal'!$A115,Actual!$B:$B,'3)Target &amp; Cal'!$B115)</f>
        <v>0</v>
      </c>
      <c r="Y115" s="117">
        <f>SUMIFS(Actual!L:L,Actual!$A:$A,'3)Target &amp; Cal'!$A115,Actual!$B:$B,'3)Target &amp; Cal'!$B115)</f>
        <v>0</v>
      </c>
      <c r="Z115" s="117">
        <f>SUMIFS(Actual!M:M,Actual!$A:$A,'3)Target &amp; Cal'!$A115,Actual!$B:$B,'3)Target &amp; Cal'!$B115)</f>
        <v>0</v>
      </c>
      <c r="AA115" s="117">
        <f>SUMIFS(Actual!N:N,Actual!$A:$A,'3)Target &amp; Cal'!$A115,Actual!$B:$B,'3)Target &amp; Cal'!$B115)</f>
        <v>0</v>
      </c>
      <c r="AB115" s="123">
        <f>IFERROR(IF(VLOOKUP($B115,Shortage!$A:$M,AB$2,FALSE)="Shortage",1,IFERROR(ROUND(P115/D115,4),0)),IFERROR(ROUND(P115/D115,4),0))</f>
        <v>1.2833000000000001</v>
      </c>
      <c r="AC115" s="123">
        <f>IFERROR(IF(VLOOKUP($B115,Shortage!$A:$M,AC$2,FALSE)="Shortage",1,IFERROR(ROUND(Q115/E115,4),0)),IFERROR(ROUND(Q115/E115,4),0))</f>
        <v>1.0971</v>
      </c>
      <c r="AD115" s="123">
        <f>IFERROR(IF(VLOOKUP($B115,Shortage!$A:$M,AD$2,FALSE)="Shortage",1,IFERROR(ROUND(R115/F115,4),0)),IFERROR(ROUND(R115/F115,4),0))</f>
        <v>0</v>
      </c>
      <c r="AE115" s="123">
        <f>IFERROR(IF(VLOOKUP($B115,Shortage!$A:$M,AE$2,FALSE)="Shortage",1,IFERROR(ROUND(S115/G115,4),0)),IFERROR(ROUND(S115/G115,4),0))</f>
        <v>0</v>
      </c>
      <c r="AF115" s="123">
        <f>IFERROR(IF(VLOOKUP($B115,Shortage!$A:$M,AF$2,FALSE)="Shortage",1,IFERROR(ROUND(T115/H115,4),0)),IFERROR(ROUND(T115/H115,4),0))</f>
        <v>0</v>
      </c>
      <c r="AG115" s="123">
        <f>IFERROR(IF(VLOOKUP($B115,Shortage!$A:$M,AG$2,FALSE)="Shortage",1,IFERROR(ROUND(U115/I115,4),0)),IFERROR(ROUND(U115/I115,4),0))</f>
        <v>0</v>
      </c>
      <c r="AH115" s="123">
        <f>IFERROR(IF(VLOOKUP($B115,Shortage!$A:$M,AH$2,FALSE)="Shortage",1,IFERROR(ROUND(V115/J115,4),0)),IFERROR(ROUND(V115/J115,4),0))</f>
        <v>0</v>
      </c>
      <c r="AI115" s="123">
        <f>IFERROR(IF(VLOOKUP($B115,Shortage!$A:$M,AI$2,FALSE)="Shortage",1,IFERROR(ROUND(W115/K115,4),0)),IFERROR(ROUND(W115/K115,4),0))</f>
        <v>0</v>
      </c>
      <c r="AJ115" s="123">
        <f>IFERROR(IF(VLOOKUP($B115,Shortage!$A:$M,AP$2,FALSE)="Shortage",1,IFERROR(ROUND(X115/L115,4),0)),IFERROR(ROUND(X115/L115,4),0))</f>
        <v>0</v>
      </c>
      <c r="AK115" s="123">
        <f>IFERROR(IF(VLOOKUP($B115,Shortage!$A:$M,AK$2,FALSE)="Shortage",1,IFERROR(ROUND(Y115/M115,4),0)),IFERROR(ROUND(Y115/M115,4),0))</f>
        <v>0</v>
      </c>
      <c r="AL115" s="123">
        <f>IFERROR(IF(VLOOKUP($B115,Shortage!$A:$M,AL$2,FALSE)="Shortage",1,IFERROR(ROUND(Z115/N115,4),0)),IFERROR(ROUND(Z115/N115,4),0))</f>
        <v>0</v>
      </c>
      <c r="AM115" s="123">
        <f>IFERROR(IF(VLOOKUP($B115,Shortage!$A:$M,AM$2,FALSE)="Shortage",1,IFERROR(ROUND(AA115/O115,4),0)),IFERROR(ROUND(AA115/O115,4),0))</f>
        <v>0</v>
      </c>
      <c r="AN115" s="232">
        <f>IFERROR(IF($C115="Top WS",VLOOKUP("GOAL",'2) หลักการคำนวน Table'!$D$4:$M$4,HLOOKUP(AB115,'2) หลักการคำนวน Table'!$D$1:$M$5,5,TRUE),0),
IF($C115="WS SF",VLOOKUP("GOAL",'2) หลักการคำนวน Table'!$D$32:$M$32,HLOOKUP(AB115,'2) หลักการคำนวน Table'!$D$1:$M$5,5,TRUE),0),
IF($C115="WS WH",VLOOKUP("GOAL",'2) หลักการคำนวน Table'!$D$62:$M$62,HLOOKUP(AB115,'2) หลักการคำนวน Table'!$D$1:$M$5,5,TRUE),0),
IF($C115="SF WH",VLOOKUP("GOAL",'2) หลักการคำนวน Table'!$D$92:$M$92,HLOOKUP(AB115,'2) หลักการคำนวน Table'!$D$1:$M$5,5,TRUE),0))))),0)</f>
        <v>1.3</v>
      </c>
      <c r="AO115" s="232">
        <f>IFERROR(IF($C115="Top WS",VLOOKUP("GOAL",'2) หลักการคำนวน Table'!$D$4:$M$4,HLOOKUP(AC115,'2) หลักการคำนวน Table'!$D$1:$M$5,5,TRUE),0),
IF($C115="WS SF",VLOOKUP("GOAL",'2) หลักการคำนวน Table'!$D$32:$M$32,HLOOKUP(AC115,'2) หลักการคำนวน Table'!$D$1:$M$5,5,TRUE),0),
IF($C115="WS WH",VLOOKUP("GOAL",'2) หลักการคำนวน Table'!$D$62:$M$62,HLOOKUP(AC115,'2) หลักการคำนวน Table'!$D$1:$M$5,5,TRUE),0),
IF($C115="SF WH",VLOOKUP("GOAL",'2) หลักการคำนวน Table'!$D$92:$M$92,HLOOKUP(AC115,'2) หลักการคำนวน Table'!$D$1:$M$5,5,TRUE),0))))),0)</f>
        <v>1.1000000000000001</v>
      </c>
      <c r="AP115" s="232">
        <f>IFERROR(IF($C115="Top WS",VLOOKUP("GOAL",'2) หลักการคำนวน Table'!$D$4:$M$4,HLOOKUP(AD115,'2) หลักการคำนวน Table'!$D$1:$M$5,5,TRUE),0),
IF($C115="WS SF",VLOOKUP("GOAL",'2) หลักการคำนวน Table'!$D$32:$M$32,HLOOKUP(AD115,'2) หลักการคำนวน Table'!$D$1:$M$5,5,TRUE),0),
IF($C115="WS WH",VLOOKUP("GOAL",'2) หลักการคำนวน Table'!$D$62:$M$62,HLOOKUP(AD115,'2) หลักการคำนวน Table'!$D$1:$M$5,5,TRUE),0),
IF($C115="SF WH",VLOOKUP("GOAL",'2) หลักการคำนวน Table'!$D$92:$M$92,HLOOKUP(AD115,'2) หลักการคำนวน Table'!$D$1:$M$5,5,TRUE),0))))),0)</f>
        <v>0.9</v>
      </c>
      <c r="AQ115" s="232">
        <f>IFERROR(IF($C115="Top WS",VLOOKUP("GOAL",'2) หลักการคำนวน Table'!$D$4:$M$4,HLOOKUP(AE115,'2) หลักการคำนวน Table'!$D$1:$M$5,5,TRUE),0),
IF($C115="WS SF",VLOOKUP("GOAL",'2) หลักการคำนวน Table'!$D$32:$M$32,HLOOKUP(AE115,'2) หลักการคำนวน Table'!$D$1:$M$5,5,TRUE),0),
IF($C115="WS WH",VLOOKUP("GOAL",'2) หลักการคำนวน Table'!$D$62:$M$62,HLOOKUP(AE115,'2) หลักการคำนวน Table'!$D$1:$M$5,5,TRUE),0),
IF($C115="SF WH",VLOOKUP("GOAL",'2) หลักการคำนวน Table'!$D$92:$M$92,HLOOKUP(AE115,'2) หลักการคำนวน Table'!$D$1:$M$5,5,TRUE),0))))),0)</f>
        <v>0.9</v>
      </c>
      <c r="AR115" s="232">
        <f>IFERROR(IF($C115="Top WS",VLOOKUP("GOAL",'2) หลักการคำนวน Table'!$D$4:$M$4,HLOOKUP(AF115,'2) หลักการคำนวน Table'!$D$1:$M$5,5,TRUE),0),
IF($C115="WS SF",VLOOKUP("GOAL",'2) หลักการคำนวน Table'!$D$32:$M$32,HLOOKUP(AF115,'2) หลักการคำนวน Table'!$D$1:$M$5,5,TRUE),0),
IF($C115="WS WH",VLOOKUP("GOAL",'2) หลักการคำนวน Table'!$D$62:$M$62,HLOOKUP(AF115,'2) หลักการคำนวน Table'!$D$1:$M$5,5,TRUE),0),
IF($C115="SF WH",VLOOKUP("GOAL",'2) หลักการคำนวน Table'!$D$92:$M$92,HLOOKUP(AF115,'2) หลักการคำนวน Table'!$D$1:$M$5,5,TRUE),0))))),0)</f>
        <v>0.9</v>
      </c>
      <c r="AS115" s="232">
        <f>IFERROR(IF($C115="Top WS",VLOOKUP("GOAL",'2) หลักการคำนวน Table'!$D$4:$M$4,HLOOKUP(AG115,'2) หลักการคำนวน Table'!$D$1:$M$5,5,TRUE),0),
IF($C115="WS SF",VLOOKUP("GOAL",'2) หลักการคำนวน Table'!$D$32:$M$32,HLOOKUP(AG115,'2) หลักการคำนวน Table'!$D$1:$M$5,5,TRUE),0),
IF($C115="WS WH",VLOOKUP("GOAL",'2) หลักการคำนวน Table'!$D$62:$M$62,HLOOKUP(AG115,'2) หลักการคำนวน Table'!$D$1:$M$5,5,TRUE),0),
IF($C115="SF WH",VLOOKUP("GOAL",'2) หลักการคำนวน Table'!$D$92:$M$92,HLOOKUP(AG115,'2) หลักการคำนวน Table'!$D$1:$M$5,5,TRUE),0))))),0)</f>
        <v>0.9</v>
      </c>
      <c r="AT115" s="232">
        <f>IFERROR(IF($C115="Top WS",VLOOKUP("GOAL",'2) หลักการคำนวน Table'!$D$4:$M$4,HLOOKUP(AH115,'2) หลักการคำนวน Table'!$D$1:$M$5,5,TRUE),0),
IF($C115="WS SF",VLOOKUP("GOAL",'2) หลักการคำนวน Table'!$D$32:$M$32,HLOOKUP(AH115,'2) หลักการคำนวน Table'!$D$1:$M$5,5,TRUE),0),
IF($C115="WS WH",VLOOKUP("GOAL",'2) หลักการคำนวน Table'!$D$62:$M$62,HLOOKUP(AH115,'2) หลักการคำนวน Table'!$D$1:$M$5,5,TRUE),0),
IF($C115="SF WH",VLOOKUP("GOAL",'2) หลักการคำนวน Table'!$D$92:$M$92,HLOOKUP(AH115,'2) หลักการคำนวน Table'!$D$1:$M$5,5,TRUE),0))))),0)</f>
        <v>0.9</v>
      </c>
      <c r="AU115" s="232">
        <f>IFERROR(IF($C115="Top WS",VLOOKUP("GOAL",'2) หลักการคำนวน Table'!$D$4:$M$4,HLOOKUP(AI115,'2) หลักการคำนวน Table'!$D$1:$M$5,5,TRUE),0),
IF($C115="WS SF",VLOOKUP("GOAL",'2) หลักการคำนวน Table'!$D$32:$M$32,HLOOKUP(AI115,'2) หลักการคำนวน Table'!$D$1:$M$5,5,TRUE),0),
IF($C115="WS WH",VLOOKUP("GOAL",'2) หลักการคำนวน Table'!$D$62:$M$62,HLOOKUP(AI115,'2) หลักการคำนวน Table'!$D$1:$M$5,5,TRUE),0),
IF($C115="SF WH",VLOOKUP("GOAL",'2) หลักการคำนวน Table'!$D$92:$M$92,HLOOKUP(AI115,'2) หลักการคำนวน Table'!$D$1:$M$5,5,TRUE),0))))),0)</f>
        <v>0.9</v>
      </c>
      <c r="AV115" s="232">
        <f>IFERROR(IF($C115="Top WS",VLOOKUP("GOAL",'2) หลักการคำนวน Table'!$D$4:$M$4,HLOOKUP(AP115,'2) หลักการคำนวน Table'!$D$1:$M$5,5,TRUE),0),
IF($C115="WS SF",VLOOKUP("GOAL",'2) หลักการคำนวน Table'!$D$32:$M$32,HLOOKUP(AP115,'2) หลักการคำนวน Table'!$D$1:$M$5,5,TRUE),0),
IF($C115="WS WH",VLOOKUP("GOAL",'2) หลักการคำนวน Table'!$D$62:$M$62,HLOOKUP(AP115,'2) หลักการคำนวน Table'!$D$1:$M$5,5,TRUE),0),
IF($C115="SF WH",VLOOKUP("GOAL",'2) หลักการคำนวน Table'!$D$92:$M$92,HLOOKUP(AP115,'2) หลักการคำนวน Table'!$D$1:$M$5,5,TRUE),0))))),0)</f>
        <v>0.9</v>
      </c>
      <c r="AW115" s="232">
        <f>IFERROR(IF($C115="Top WS",VLOOKUP("GOAL",'2) หลักการคำนวน Table'!$D$4:$M$4,HLOOKUP(AK115,'2) หลักการคำนวน Table'!$D$1:$M$5,5,TRUE),0),
IF($C115="WS SF",VLOOKUP("GOAL",'2) หลักการคำนวน Table'!$D$32:$M$32,HLOOKUP(AK115,'2) หลักการคำนวน Table'!$D$1:$M$5,5,TRUE),0),
IF($C115="WS WH",VLOOKUP("GOAL",'2) หลักการคำนวน Table'!$D$62:$M$62,HLOOKUP(AK115,'2) หลักการคำนวน Table'!$D$1:$M$5,5,TRUE),0),
IF($C115="SF WH",VLOOKUP("GOAL",'2) หลักการคำนวน Table'!$D$92:$M$92,HLOOKUP(AK115,'2) หลักการคำนวน Table'!$D$1:$M$5,5,TRUE),0))))),0)</f>
        <v>0.9</v>
      </c>
      <c r="AX115" s="232">
        <f>IFERROR(IF($C115="Top WS",VLOOKUP("GOAL",'2) หลักการคำนวน Table'!$D$4:$M$4,HLOOKUP(AL115,'2) หลักการคำนวน Table'!$D$1:$M$5,5,TRUE),0),
IF($C115="WS SF",VLOOKUP("GOAL",'2) หลักการคำนวน Table'!$D$32:$M$32,HLOOKUP(AL115,'2) หลักการคำนวน Table'!$D$1:$M$5,5,TRUE),0),
IF($C115="WS WH",VLOOKUP("GOAL",'2) หลักการคำนวน Table'!$D$62:$M$62,HLOOKUP(AL115,'2) หลักการคำนวน Table'!$D$1:$M$5,5,TRUE),0),
IF($C115="SF WH",VLOOKUP("GOAL",'2) หลักการคำนวน Table'!$D$92:$M$92,HLOOKUP(AL115,'2) หลักการคำนวน Table'!$D$1:$M$5,5,TRUE),0))))),0)</f>
        <v>0.9</v>
      </c>
      <c r="AY115" s="232">
        <f>IFERROR(IF($C115="Top WS",VLOOKUP("GOAL",'2) หลักการคำนวน Table'!$D$4:$M$4,HLOOKUP(AM115,'2) หลักการคำนวน Table'!$D$1:$M$5,5,TRUE),0),
IF($C115="WS SF",VLOOKUP("GOAL",'2) หลักการคำนวน Table'!$D$32:$M$32,HLOOKUP(AM115,'2) หลักการคำนวน Table'!$D$1:$M$5,5,TRUE),0),
IF($C115="WS WH",VLOOKUP("GOAL",'2) หลักการคำนวน Table'!$D$62:$M$62,HLOOKUP(AM115,'2) หลักการคำนวน Table'!$D$1:$M$5,5,TRUE),0),
IF($C115="SF WH",VLOOKUP("GOAL",'2) หลักการคำนวน Table'!$D$92:$M$92,HLOOKUP(AM115,'2) หลักการคำนวน Table'!$D$1:$M$5,5,TRUE),0))))),0)</f>
        <v>0.9</v>
      </c>
      <c r="AZ115" s="167">
        <f>IFERROR(IF($C115="Top WS",VLOOKUP($B115,'2) หลักการคำนวน Table'!$D$5:$M$20,HLOOKUP(AB115,'2) หลักการคำนวน Table'!$D$1:$M$5,5,TRUE),0),
IF($C115="WS SF",VLOOKUP($B115,'2) หลักการคำนวน Table'!$D$33:$M$48,HLOOKUP(AB115,'2) หลักการคำนวน Table'!$D$1:$M$5,5,TRUE),0),
IF($C115="WS WH",VLOOKUP($B115,'2) หลักการคำนวน Table'!$D$63:$M$78,HLOOKUP(AB115,'2) หลักการคำนวน Table'!$D$1:$M$5,5,TRUE),0),
IF($C115="SF WH",VLOOKUP($B115,'2) หลักการคำนวน Table'!$D$93:$M$108,HLOOKUP(AB115,'2) หลักการคำนวน Table'!$D$1:$M$5,5,TRUE),0))))),0)</f>
        <v>1040</v>
      </c>
      <c r="BA115" s="167">
        <f>IFERROR(IF($C115="Top WS",VLOOKUP($B115,'2) หลักการคำนวน Table'!$D$5:$M$20,HLOOKUP(AC115,'2) หลักการคำนวน Table'!$D$1:$M$5,5,TRUE),0),
IF($C115="WS SF",VLOOKUP($B115,'2) หลักการคำนวน Table'!$D$33:$M$48,HLOOKUP(AC115,'2) หลักการคำนวน Table'!$D$1:$M$5,5,TRUE),0),
IF($C115="WS WH",VLOOKUP($B115,'2) หลักการคำนวน Table'!$D$63:$M$78,HLOOKUP(AC115,'2) หลักการคำนวน Table'!$D$1:$M$5,5,TRUE),0),
IF($C115="SF WH",VLOOKUP($B115,'2) หลักการคำนวน Table'!$D$93:$M$108,HLOOKUP(AC115,'2) หลักการคำนวน Table'!$D$1:$M$5,5,TRUE),0))))),0)</f>
        <v>880</v>
      </c>
      <c r="BB115" s="167">
        <f>IFERROR(IF($C115="Top WS",VLOOKUP($B115,'2) หลักการคำนวน Table'!$D$5:$M$20,HLOOKUP(AD115,'2) หลักการคำนวน Table'!$D$1:$M$5,5,TRUE),0),
IF($C115="WS SF",VLOOKUP($B115,'2) หลักการคำนวน Table'!$D$33:$M$48,HLOOKUP(AD115,'2) หลักการคำนวน Table'!$D$1:$M$5,5,TRUE),0),
IF($C115="WS WH",VLOOKUP($B115,'2) หลักการคำนวน Table'!$D$63:$M$78,HLOOKUP(AD115,'2) หลักการคำนวน Table'!$D$1:$M$5,5,TRUE),0),
IF($C115="SF WH",VLOOKUP($B115,'2) หลักการคำนวน Table'!$D$93:$M$108,HLOOKUP(AD115,'2) หลักการคำนวน Table'!$D$1:$M$5,5,TRUE),0))))),0)</f>
        <v>720</v>
      </c>
      <c r="BC115" s="167">
        <f>IFERROR(IF($C115="Top WS",VLOOKUP($B115,'2) หลักการคำนวน Table'!$D$5:$M$20,HLOOKUP(AE115,'2) หลักการคำนวน Table'!$D$1:$M$5,5,TRUE),0),
IF($C115="WS SF",VLOOKUP($B115,'2) หลักการคำนวน Table'!$D$33:$M$48,HLOOKUP(AE115,'2) หลักการคำนวน Table'!$D$1:$M$5,5,TRUE),0),
IF($C115="WS WH",VLOOKUP($B115,'2) หลักการคำนวน Table'!$D$63:$M$78,HLOOKUP(AE115,'2) หลักการคำนวน Table'!$D$1:$M$5,5,TRUE),0),
IF($C115="SF WH",VLOOKUP($B115,'2) หลักการคำนวน Table'!$D$93:$M$108,HLOOKUP(AE115,'2) หลักการคำนวน Table'!$D$1:$M$5,5,TRUE),0))))),0)</f>
        <v>720</v>
      </c>
      <c r="BD115" s="167">
        <f>IFERROR(IF($C115="Top WS",VLOOKUP($B115,'2) หลักการคำนวน Table'!$D$5:$M$20,HLOOKUP(AF115,'2) หลักการคำนวน Table'!$D$1:$M$5,5,TRUE),0),
IF($C115="WS SF",VLOOKUP($B115,'2) หลักการคำนวน Table'!$D$33:$M$48,HLOOKUP(AF115,'2) หลักการคำนวน Table'!$D$1:$M$5,5,TRUE),0),
IF($C115="WS WH",VLOOKUP($B115,'2) หลักการคำนวน Table'!$D$63:$M$78,HLOOKUP(AF115,'2) หลักการคำนวน Table'!$D$1:$M$5,5,TRUE),0),
IF($C115="SF WH",VLOOKUP($B115,'2) หลักการคำนวน Table'!$D$93:$M$108,HLOOKUP(AF115,'2) หลักการคำนวน Table'!$D$1:$M$5,5,TRUE),0))))),0)</f>
        <v>720</v>
      </c>
      <c r="BE115" s="167">
        <f>IFERROR(IF($C115="Top WS",VLOOKUP($B115,'2) หลักการคำนวน Table'!$D$5:$M$20,HLOOKUP(AG115,'2) หลักการคำนวน Table'!$D$1:$M$5,5,TRUE),0),
IF($C115="WS SF",VLOOKUP($B115,'2) หลักการคำนวน Table'!$D$33:$M$48,HLOOKUP(AG115,'2) หลักการคำนวน Table'!$D$1:$M$5,5,TRUE),0),
IF($C115="WS WH",VLOOKUP($B115,'2) หลักการคำนวน Table'!$D$63:$M$78,HLOOKUP(AG115,'2) หลักการคำนวน Table'!$D$1:$M$5,5,TRUE),0),
IF($C115="SF WH",VLOOKUP($B115,'2) หลักการคำนวน Table'!$D$93:$M$108,HLOOKUP(AG115,'2) หลักการคำนวน Table'!$D$1:$M$5,5,TRUE),0))))),0)</f>
        <v>720</v>
      </c>
      <c r="BF115" s="167">
        <f>IFERROR(IF($C115="Top WS",VLOOKUP($B115,'2) หลักการคำนวน Table'!$D$5:$M$20,HLOOKUP(AH115,'2) หลักการคำนวน Table'!$D$1:$M$5,5,TRUE),0),
IF($C115="WS SF",VLOOKUP($B115,'2) หลักการคำนวน Table'!$D$33:$M$48,HLOOKUP(AH115,'2) หลักการคำนวน Table'!$D$1:$M$5,5,TRUE),0),
IF($C115="WS WH",VLOOKUP($B115,'2) หลักการคำนวน Table'!$D$63:$M$78,HLOOKUP(AH115,'2) หลักการคำนวน Table'!$D$1:$M$5,5,TRUE),0),
IF($C115="SF WH",VLOOKUP($B115,'2) หลักการคำนวน Table'!$D$93:$M$108,HLOOKUP(AH115,'2) หลักการคำนวน Table'!$D$1:$M$5,5,TRUE),0))))),0)</f>
        <v>720</v>
      </c>
      <c r="BG115" s="167">
        <f>IFERROR(IF($C115="Top WS",VLOOKUP($B115,'2) หลักการคำนวน Table'!$D$5:$M$20,HLOOKUP(AI115,'2) หลักการคำนวน Table'!$D$1:$M$5,5,TRUE),0),
IF($C115="WS SF",VLOOKUP($B115,'2) หลักการคำนวน Table'!$D$33:$M$48,HLOOKUP(AI115,'2) หลักการคำนวน Table'!$D$1:$M$5,5,TRUE),0),
IF($C115="WS WH",VLOOKUP($B115,'2) หลักการคำนวน Table'!$D$63:$M$78,HLOOKUP(AI115,'2) หลักการคำนวน Table'!$D$1:$M$5,5,TRUE),0),
IF($C115="SF WH",VLOOKUP($B115,'2) หลักการคำนวน Table'!$D$93:$M$108,HLOOKUP(AI115,'2) หลักการคำนวน Table'!$D$1:$M$5,5,TRUE),0))))),0)</f>
        <v>720</v>
      </c>
      <c r="BH115" s="167">
        <f>IFERROR(IF($C115="Top WS",VLOOKUP($B115,'2) หลักการคำนวน Table'!$D$5:$M$20,HLOOKUP(AP115,'2) หลักการคำนวน Table'!$D$1:$M$5,5,TRUE),0),
IF($C115="WS SF",VLOOKUP($B115,'2) หลักการคำนวน Table'!$D$33:$M$48,HLOOKUP(AP115,'2) หลักการคำนวน Table'!$D$1:$M$5,5,TRUE),0),
IF($C115="WS WH",VLOOKUP($B115,'2) หลักการคำนวน Table'!$D$63:$M$78,HLOOKUP(AP115,'2) หลักการคำนวน Table'!$D$1:$M$5,5,TRUE),0),
IF($C115="SF WH",VLOOKUP($B115,'2) หลักการคำนวน Table'!$D$93:$M$108,HLOOKUP(AP115,'2) หลักการคำนวน Table'!$D$1:$M$5,5,TRUE),0))))),0)</f>
        <v>720</v>
      </c>
      <c r="BI115" s="167">
        <f>IFERROR(IF($C115="Top WS",VLOOKUP($B115,'2) หลักการคำนวน Table'!$D$5:$M$20,HLOOKUP(AK115,'2) หลักการคำนวน Table'!$D$1:$M$5,5,TRUE),0),
IF($C115="WS SF",VLOOKUP($B115,'2) หลักการคำนวน Table'!$D$33:$M$48,HLOOKUP(AK115,'2) หลักการคำนวน Table'!$D$1:$M$5,5,TRUE),0),
IF($C115="WS WH",VLOOKUP($B115,'2) หลักการคำนวน Table'!$D$63:$M$78,HLOOKUP(AK115,'2) หลักการคำนวน Table'!$D$1:$M$5,5,TRUE),0),
IF($C115="SF WH",VLOOKUP($B115,'2) หลักการคำนวน Table'!$D$93:$M$108,HLOOKUP(AK115,'2) หลักการคำนวน Table'!$D$1:$M$5,5,TRUE),0))))),0)</f>
        <v>720</v>
      </c>
      <c r="BJ115" s="167">
        <f>IFERROR(IF($C115="Top WS",VLOOKUP($B115,'2) หลักการคำนวน Table'!$D$5:$M$20,HLOOKUP(AL115,'2) หลักการคำนวน Table'!$D$1:$M$5,5,TRUE),0),
IF($C115="WS SF",VLOOKUP($B115,'2) หลักการคำนวน Table'!$D$33:$M$48,HLOOKUP(AL115,'2) หลักการคำนวน Table'!$D$1:$M$5,5,TRUE),0),
IF($C115="WS WH",VLOOKUP($B115,'2) หลักการคำนวน Table'!$D$63:$M$78,HLOOKUP(AL115,'2) หลักการคำนวน Table'!$D$1:$M$5,5,TRUE),0),
IF($C115="SF WH",VLOOKUP($B115,'2) หลักการคำนวน Table'!$D$93:$M$108,HLOOKUP(AL115,'2) หลักการคำนวน Table'!$D$1:$M$5,5,TRUE),0))))),0)</f>
        <v>720</v>
      </c>
      <c r="BK115" s="167">
        <f>IFERROR(IF($C115="Top WS",VLOOKUP($B115,'2) หลักการคำนวน Table'!$D$5:$M$20,HLOOKUP(AM115,'2) หลักการคำนวน Table'!$D$1:$M$5,5,TRUE),0),
IF($C115="WS SF",VLOOKUP($B115,'2) หลักการคำนวน Table'!$D$33:$M$48,HLOOKUP(AM115,'2) หลักการคำนวน Table'!$D$1:$M$5,5,TRUE),0),
IF($C115="WS WH",VLOOKUP($B115,'2) หลักการคำนวน Table'!$D$63:$M$78,HLOOKUP(AM115,'2) หลักการคำนวน Table'!$D$1:$M$5,5,TRUE),0),
IF($C115="SF WH",VLOOKUP($B115,'2) หลักการคำนวน Table'!$D$93:$M$108,HLOOKUP(AM115,'2) หลักการคำนวน Table'!$D$1:$M$5,5,TRUE),0))))),0)</f>
        <v>720</v>
      </c>
      <c r="BM115" s="119">
        <f>VLOOKUP(VLOOKUP(A115,ASTBase!E:S,13,FALSE),ASTBase!F:P,11,FALSE)</f>
        <v>150000</v>
      </c>
      <c r="BN115" s="196" cm="1">
        <f t="array" ref="BN115">INDEX(AN115:AY115,,Period!$D$2)</f>
        <v>1.1000000000000001</v>
      </c>
    </row>
    <row r="116" spans="1:66" x14ac:dyDescent="0.25">
      <c r="A116" s="117">
        <v>150001</v>
      </c>
      <c r="B116" s="117" t="s">
        <v>392</v>
      </c>
      <c r="C116" s="117" t="s">
        <v>178</v>
      </c>
      <c r="D116" s="118">
        <v>2691</v>
      </c>
      <c r="E116" s="118">
        <v>2308</v>
      </c>
      <c r="F116" s="118">
        <v>221</v>
      </c>
      <c r="G116" s="118">
        <v>140</v>
      </c>
      <c r="H116" s="118">
        <v>1594</v>
      </c>
      <c r="I116" s="118">
        <v>177</v>
      </c>
      <c r="J116" s="118">
        <v>2673</v>
      </c>
      <c r="K116" s="118">
        <v>1162</v>
      </c>
      <c r="L116" s="118">
        <v>480</v>
      </c>
      <c r="M116" s="118">
        <v>1163</v>
      </c>
      <c r="N116" s="118">
        <v>2591</v>
      </c>
      <c r="O116" s="118">
        <v>1636</v>
      </c>
      <c r="P116" s="117">
        <f>SUMIFS(Actual!C:C,Actual!$A:$A,'3)Target &amp; Cal'!$A116,Actual!$B:$B,'3)Target &amp; Cal'!$B116)</f>
        <v>102.303</v>
      </c>
      <c r="Q116" s="117">
        <f>SUMIFS(Actual!D:D,Actual!$A:$A,'3)Target &amp; Cal'!$A116,Actual!$B:$B,'3)Target &amp; Cal'!$B116)</f>
        <v>321.57899999999995</v>
      </c>
      <c r="R116" s="117">
        <f>SUMIFS(Actual!E:E,Actual!$A:$A,'3)Target &amp; Cal'!$A116,Actual!$B:$B,'3)Target &amp; Cal'!$B116)</f>
        <v>0</v>
      </c>
      <c r="S116" s="117">
        <f>SUMIFS(Actual!F:F,Actual!$A:$A,'3)Target &amp; Cal'!$A116,Actual!$B:$B,'3)Target &amp; Cal'!$B116)</f>
        <v>0</v>
      </c>
      <c r="T116" s="117">
        <f>SUMIFS(Actual!G:G,Actual!$A:$A,'3)Target &amp; Cal'!$A116,Actual!$B:$B,'3)Target &amp; Cal'!$B116)</f>
        <v>0</v>
      </c>
      <c r="U116" s="117">
        <f>SUMIFS(Actual!H:H,Actual!$A:$A,'3)Target &amp; Cal'!$A116,Actual!$B:$B,'3)Target &amp; Cal'!$B116)</f>
        <v>0</v>
      </c>
      <c r="V116" s="117">
        <f>SUMIFS(Actual!I:I,Actual!$A:$A,'3)Target &amp; Cal'!$A116,Actual!$B:$B,'3)Target &amp; Cal'!$B116)</f>
        <v>0</v>
      </c>
      <c r="W116" s="117">
        <f>SUMIFS(Actual!J:J,Actual!$A:$A,'3)Target &amp; Cal'!$A116,Actual!$B:$B,'3)Target &amp; Cal'!$B116)</f>
        <v>0</v>
      </c>
      <c r="X116" s="117">
        <f>SUMIFS(Actual!K:K,Actual!$A:$A,'3)Target &amp; Cal'!$A116,Actual!$B:$B,'3)Target &amp; Cal'!$B116)</f>
        <v>0</v>
      </c>
      <c r="Y116" s="117">
        <f>SUMIFS(Actual!L:L,Actual!$A:$A,'3)Target &amp; Cal'!$A116,Actual!$B:$B,'3)Target &amp; Cal'!$B116)</f>
        <v>0</v>
      </c>
      <c r="Z116" s="117">
        <f>SUMIFS(Actual!M:M,Actual!$A:$A,'3)Target &amp; Cal'!$A116,Actual!$B:$B,'3)Target &amp; Cal'!$B116)</f>
        <v>0</v>
      </c>
      <c r="AA116" s="117">
        <f>SUMIFS(Actual!N:N,Actual!$A:$A,'3)Target &amp; Cal'!$A116,Actual!$B:$B,'3)Target &amp; Cal'!$B116)</f>
        <v>0</v>
      </c>
      <c r="AB116" s="123">
        <f>IFERROR(IF(VLOOKUP($B116,Shortage!$A:$M,AB$2,FALSE)="Shortage",1,IFERROR(ROUND(P116/D116,4),0)),IFERROR(ROUND(P116/D116,4),0))</f>
        <v>3.7999999999999999E-2</v>
      </c>
      <c r="AC116" s="123">
        <f>IFERROR(IF(VLOOKUP($B116,Shortage!$A:$M,AC$2,FALSE)="Shortage",1,IFERROR(ROUND(Q116/E116,4),0)),IFERROR(ROUND(Q116/E116,4),0))</f>
        <v>0.13930000000000001</v>
      </c>
      <c r="AD116" s="123">
        <f>IFERROR(IF(VLOOKUP($B116,Shortage!$A:$M,AD$2,FALSE)="Shortage",1,IFERROR(ROUND(R116/F116,4),0)),IFERROR(ROUND(R116/F116,4),0))</f>
        <v>0</v>
      </c>
      <c r="AE116" s="123">
        <f>IFERROR(IF(VLOOKUP($B116,Shortage!$A:$M,AE$2,FALSE)="Shortage",1,IFERROR(ROUND(S116/G116,4),0)),IFERROR(ROUND(S116/G116,4),0))</f>
        <v>0</v>
      </c>
      <c r="AF116" s="123">
        <f>IFERROR(IF(VLOOKUP($B116,Shortage!$A:$M,AF$2,FALSE)="Shortage",1,IFERROR(ROUND(T116/H116,4),0)),IFERROR(ROUND(T116/H116,4),0))</f>
        <v>0</v>
      </c>
      <c r="AG116" s="123">
        <f>IFERROR(IF(VLOOKUP($B116,Shortage!$A:$M,AG$2,FALSE)="Shortage",1,IFERROR(ROUND(U116/I116,4),0)),IFERROR(ROUND(U116/I116,4),0))</f>
        <v>0</v>
      </c>
      <c r="AH116" s="123">
        <f>IFERROR(IF(VLOOKUP($B116,Shortage!$A:$M,AH$2,FALSE)="Shortage",1,IFERROR(ROUND(V116/J116,4),0)),IFERROR(ROUND(V116/J116,4),0))</f>
        <v>0</v>
      </c>
      <c r="AI116" s="123">
        <f>IFERROR(IF(VLOOKUP($B116,Shortage!$A:$M,AI$2,FALSE)="Shortage",1,IFERROR(ROUND(W116/K116,4),0)),IFERROR(ROUND(W116/K116,4),0))</f>
        <v>0</v>
      </c>
      <c r="AJ116" s="123">
        <f>IFERROR(IF(VLOOKUP($B116,Shortage!$A:$M,AP$2,FALSE)="Shortage",1,IFERROR(ROUND(X116/L116,4),0)),IFERROR(ROUND(X116/L116,4),0))</f>
        <v>0</v>
      </c>
      <c r="AK116" s="123">
        <f>IFERROR(IF(VLOOKUP($B116,Shortage!$A:$M,AK$2,FALSE)="Shortage",1,IFERROR(ROUND(Y116/M116,4),0)),IFERROR(ROUND(Y116/M116,4),0))</f>
        <v>0</v>
      </c>
      <c r="AL116" s="123">
        <f>IFERROR(IF(VLOOKUP($B116,Shortage!$A:$M,AL$2,FALSE)="Shortage",1,IFERROR(ROUND(Z116/N116,4),0)),IFERROR(ROUND(Z116/N116,4),0))</f>
        <v>0</v>
      </c>
      <c r="AM116" s="123">
        <f>IFERROR(IF(VLOOKUP($B116,Shortage!$A:$M,AM$2,FALSE)="Shortage",1,IFERROR(ROUND(AA116/O116,4),0)),IFERROR(ROUND(AA116/O116,4),0))</f>
        <v>0</v>
      </c>
      <c r="AN116" s="232">
        <f>IFERROR(IF($C116="Top WS",VLOOKUP("GOAL",'2) หลักการคำนวน Table'!$D$4:$M$4,HLOOKUP(AB116,'2) หลักการคำนวน Table'!$D$1:$M$5,5,TRUE),0),
IF($C116="WS SF",VLOOKUP("GOAL",'2) หลักการคำนวน Table'!$D$32:$M$32,HLOOKUP(AB116,'2) หลักการคำนวน Table'!$D$1:$M$5,5,TRUE),0),
IF($C116="WS WH",VLOOKUP("GOAL",'2) หลักการคำนวน Table'!$D$62:$M$62,HLOOKUP(AB116,'2) หลักการคำนวน Table'!$D$1:$M$5,5,TRUE),0),
IF($C116="SF WH",VLOOKUP("GOAL",'2) หลักการคำนวน Table'!$D$92:$M$92,HLOOKUP(AB116,'2) หลักการคำนวน Table'!$D$1:$M$5,5,TRUE),0))))),0)</f>
        <v>0.9</v>
      </c>
      <c r="AO116" s="232">
        <f>IFERROR(IF($C116="Top WS",VLOOKUP("GOAL",'2) หลักการคำนวน Table'!$D$4:$M$4,HLOOKUP(AC116,'2) หลักการคำนวน Table'!$D$1:$M$5,5,TRUE),0),
IF($C116="WS SF",VLOOKUP("GOAL",'2) หลักการคำนวน Table'!$D$32:$M$32,HLOOKUP(AC116,'2) หลักการคำนวน Table'!$D$1:$M$5,5,TRUE),0),
IF($C116="WS WH",VLOOKUP("GOAL",'2) หลักการคำนวน Table'!$D$62:$M$62,HLOOKUP(AC116,'2) หลักการคำนวน Table'!$D$1:$M$5,5,TRUE),0),
IF($C116="SF WH",VLOOKUP("GOAL",'2) หลักการคำนวน Table'!$D$92:$M$92,HLOOKUP(AC116,'2) หลักการคำนวน Table'!$D$1:$M$5,5,TRUE),0))))),0)</f>
        <v>0.9</v>
      </c>
      <c r="AP116" s="232">
        <f>IFERROR(IF($C116="Top WS",VLOOKUP("GOAL",'2) หลักการคำนวน Table'!$D$4:$M$4,HLOOKUP(AD116,'2) หลักการคำนวน Table'!$D$1:$M$5,5,TRUE),0),
IF($C116="WS SF",VLOOKUP("GOAL",'2) หลักการคำนวน Table'!$D$32:$M$32,HLOOKUP(AD116,'2) หลักการคำนวน Table'!$D$1:$M$5,5,TRUE),0),
IF($C116="WS WH",VLOOKUP("GOAL",'2) หลักการคำนวน Table'!$D$62:$M$62,HLOOKUP(AD116,'2) หลักการคำนวน Table'!$D$1:$M$5,5,TRUE),0),
IF($C116="SF WH",VLOOKUP("GOAL",'2) หลักการคำนวน Table'!$D$92:$M$92,HLOOKUP(AD116,'2) หลักการคำนวน Table'!$D$1:$M$5,5,TRUE),0))))),0)</f>
        <v>0.9</v>
      </c>
      <c r="AQ116" s="232">
        <f>IFERROR(IF($C116="Top WS",VLOOKUP("GOAL",'2) หลักการคำนวน Table'!$D$4:$M$4,HLOOKUP(AE116,'2) หลักการคำนวน Table'!$D$1:$M$5,5,TRUE),0),
IF($C116="WS SF",VLOOKUP("GOAL",'2) หลักการคำนวน Table'!$D$32:$M$32,HLOOKUP(AE116,'2) หลักการคำนวน Table'!$D$1:$M$5,5,TRUE),0),
IF($C116="WS WH",VLOOKUP("GOAL",'2) หลักการคำนวน Table'!$D$62:$M$62,HLOOKUP(AE116,'2) หลักการคำนวน Table'!$D$1:$M$5,5,TRUE),0),
IF($C116="SF WH",VLOOKUP("GOAL",'2) หลักการคำนวน Table'!$D$92:$M$92,HLOOKUP(AE116,'2) หลักการคำนวน Table'!$D$1:$M$5,5,TRUE),0))))),0)</f>
        <v>0.9</v>
      </c>
      <c r="AR116" s="232">
        <f>IFERROR(IF($C116="Top WS",VLOOKUP("GOAL",'2) หลักการคำนวน Table'!$D$4:$M$4,HLOOKUP(AF116,'2) หลักการคำนวน Table'!$D$1:$M$5,5,TRUE),0),
IF($C116="WS SF",VLOOKUP("GOAL",'2) หลักการคำนวน Table'!$D$32:$M$32,HLOOKUP(AF116,'2) หลักการคำนวน Table'!$D$1:$M$5,5,TRUE),0),
IF($C116="WS WH",VLOOKUP("GOAL",'2) หลักการคำนวน Table'!$D$62:$M$62,HLOOKUP(AF116,'2) หลักการคำนวน Table'!$D$1:$M$5,5,TRUE),0),
IF($C116="SF WH",VLOOKUP("GOAL",'2) หลักการคำนวน Table'!$D$92:$M$92,HLOOKUP(AF116,'2) หลักการคำนวน Table'!$D$1:$M$5,5,TRUE),0))))),0)</f>
        <v>0.9</v>
      </c>
      <c r="AS116" s="232">
        <f>IFERROR(IF($C116="Top WS",VLOOKUP("GOAL",'2) หลักการคำนวน Table'!$D$4:$M$4,HLOOKUP(AG116,'2) หลักการคำนวน Table'!$D$1:$M$5,5,TRUE),0),
IF($C116="WS SF",VLOOKUP("GOAL",'2) หลักการคำนวน Table'!$D$32:$M$32,HLOOKUP(AG116,'2) หลักการคำนวน Table'!$D$1:$M$5,5,TRUE),0),
IF($C116="WS WH",VLOOKUP("GOAL",'2) หลักการคำนวน Table'!$D$62:$M$62,HLOOKUP(AG116,'2) หลักการคำนวน Table'!$D$1:$M$5,5,TRUE),0),
IF($C116="SF WH",VLOOKUP("GOAL",'2) หลักการคำนวน Table'!$D$92:$M$92,HLOOKUP(AG116,'2) หลักการคำนวน Table'!$D$1:$M$5,5,TRUE),0))))),0)</f>
        <v>0.9</v>
      </c>
      <c r="AT116" s="232">
        <f>IFERROR(IF($C116="Top WS",VLOOKUP("GOAL",'2) หลักการคำนวน Table'!$D$4:$M$4,HLOOKUP(AH116,'2) หลักการคำนวน Table'!$D$1:$M$5,5,TRUE),0),
IF($C116="WS SF",VLOOKUP("GOAL",'2) หลักการคำนวน Table'!$D$32:$M$32,HLOOKUP(AH116,'2) หลักการคำนวน Table'!$D$1:$M$5,5,TRUE),0),
IF($C116="WS WH",VLOOKUP("GOAL",'2) หลักการคำนวน Table'!$D$62:$M$62,HLOOKUP(AH116,'2) หลักการคำนวน Table'!$D$1:$M$5,5,TRUE),0),
IF($C116="SF WH",VLOOKUP("GOAL",'2) หลักการคำนวน Table'!$D$92:$M$92,HLOOKUP(AH116,'2) หลักการคำนวน Table'!$D$1:$M$5,5,TRUE),0))))),0)</f>
        <v>0.9</v>
      </c>
      <c r="AU116" s="232">
        <f>IFERROR(IF($C116="Top WS",VLOOKUP("GOAL",'2) หลักการคำนวน Table'!$D$4:$M$4,HLOOKUP(AI116,'2) หลักการคำนวน Table'!$D$1:$M$5,5,TRUE),0),
IF($C116="WS SF",VLOOKUP("GOAL",'2) หลักการคำนวน Table'!$D$32:$M$32,HLOOKUP(AI116,'2) หลักการคำนวน Table'!$D$1:$M$5,5,TRUE),0),
IF($C116="WS WH",VLOOKUP("GOAL",'2) หลักการคำนวน Table'!$D$62:$M$62,HLOOKUP(AI116,'2) หลักการคำนวน Table'!$D$1:$M$5,5,TRUE),0),
IF($C116="SF WH",VLOOKUP("GOAL",'2) หลักการคำนวน Table'!$D$92:$M$92,HLOOKUP(AI116,'2) หลักการคำนวน Table'!$D$1:$M$5,5,TRUE),0))))),0)</f>
        <v>0.9</v>
      </c>
      <c r="AV116" s="232">
        <f>IFERROR(IF($C116="Top WS",VLOOKUP("GOAL",'2) หลักการคำนวน Table'!$D$4:$M$4,HLOOKUP(AP116,'2) หลักการคำนวน Table'!$D$1:$M$5,5,TRUE),0),
IF($C116="WS SF",VLOOKUP("GOAL",'2) หลักการคำนวน Table'!$D$32:$M$32,HLOOKUP(AP116,'2) หลักการคำนวน Table'!$D$1:$M$5,5,TRUE),0),
IF($C116="WS WH",VLOOKUP("GOAL",'2) หลักการคำนวน Table'!$D$62:$M$62,HLOOKUP(AP116,'2) หลักการคำนวน Table'!$D$1:$M$5,5,TRUE),0),
IF($C116="SF WH",VLOOKUP("GOAL",'2) หลักการคำนวน Table'!$D$92:$M$92,HLOOKUP(AP116,'2) หลักการคำนวน Table'!$D$1:$M$5,5,TRUE),0))))),0)</f>
        <v>0.9</v>
      </c>
      <c r="AW116" s="232">
        <f>IFERROR(IF($C116="Top WS",VLOOKUP("GOAL",'2) หลักการคำนวน Table'!$D$4:$M$4,HLOOKUP(AK116,'2) หลักการคำนวน Table'!$D$1:$M$5,5,TRUE),0),
IF($C116="WS SF",VLOOKUP("GOAL",'2) หลักการคำนวน Table'!$D$32:$M$32,HLOOKUP(AK116,'2) หลักการคำนวน Table'!$D$1:$M$5,5,TRUE),0),
IF($C116="WS WH",VLOOKUP("GOAL",'2) หลักการคำนวน Table'!$D$62:$M$62,HLOOKUP(AK116,'2) หลักการคำนวน Table'!$D$1:$M$5,5,TRUE),0),
IF($C116="SF WH",VLOOKUP("GOAL",'2) หลักการคำนวน Table'!$D$92:$M$92,HLOOKUP(AK116,'2) หลักการคำนวน Table'!$D$1:$M$5,5,TRUE),0))))),0)</f>
        <v>0.9</v>
      </c>
      <c r="AX116" s="232">
        <f>IFERROR(IF($C116="Top WS",VLOOKUP("GOAL",'2) หลักการคำนวน Table'!$D$4:$M$4,HLOOKUP(AL116,'2) หลักการคำนวน Table'!$D$1:$M$5,5,TRUE),0),
IF($C116="WS SF",VLOOKUP("GOAL",'2) หลักการคำนวน Table'!$D$32:$M$32,HLOOKUP(AL116,'2) หลักการคำนวน Table'!$D$1:$M$5,5,TRUE),0),
IF($C116="WS WH",VLOOKUP("GOAL",'2) หลักการคำนวน Table'!$D$62:$M$62,HLOOKUP(AL116,'2) หลักการคำนวน Table'!$D$1:$M$5,5,TRUE),0),
IF($C116="SF WH",VLOOKUP("GOAL",'2) หลักการคำนวน Table'!$D$92:$M$92,HLOOKUP(AL116,'2) หลักการคำนวน Table'!$D$1:$M$5,5,TRUE),0))))),0)</f>
        <v>0.9</v>
      </c>
      <c r="AY116" s="232">
        <f>IFERROR(IF($C116="Top WS",VLOOKUP("GOAL",'2) หลักการคำนวน Table'!$D$4:$M$4,HLOOKUP(AM116,'2) หลักการคำนวน Table'!$D$1:$M$5,5,TRUE),0),
IF($C116="WS SF",VLOOKUP("GOAL",'2) หลักการคำนวน Table'!$D$32:$M$32,HLOOKUP(AM116,'2) หลักการคำนวน Table'!$D$1:$M$5,5,TRUE),0),
IF($C116="WS WH",VLOOKUP("GOAL",'2) หลักการคำนวน Table'!$D$62:$M$62,HLOOKUP(AM116,'2) หลักการคำนวน Table'!$D$1:$M$5,5,TRUE),0),
IF($C116="SF WH",VLOOKUP("GOAL",'2) หลักการคำนวน Table'!$D$92:$M$92,HLOOKUP(AM116,'2) หลักการคำนวน Table'!$D$1:$M$5,5,TRUE),0))))),0)</f>
        <v>0.9</v>
      </c>
      <c r="AZ116" s="167">
        <f>IFERROR(IF($C116="Top WS",VLOOKUP($B116,'2) หลักการคำนวน Table'!$D$5:$M$20,HLOOKUP(AB116,'2) หลักการคำนวน Table'!$D$1:$M$5,5,TRUE),0),
IF($C116="WS SF",VLOOKUP($B116,'2) หลักการคำนวน Table'!$D$33:$M$48,HLOOKUP(AB116,'2) หลักการคำนวน Table'!$D$1:$M$5,5,TRUE),0),
IF($C116="WS WH",VLOOKUP($B116,'2) หลักการคำนวน Table'!$D$63:$M$78,HLOOKUP(AB116,'2) หลักการคำนวน Table'!$D$1:$M$5,5,TRUE),0),
IF($C116="SF WH",VLOOKUP($B116,'2) หลักการคำนวน Table'!$D$93:$M$108,HLOOKUP(AB116,'2) หลักการคำนวน Table'!$D$1:$M$5,5,TRUE),0))))),0)</f>
        <v>360</v>
      </c>
      <c r="BA116" s="167">
        <f>IFERROR(IF($C116="Top WS",VLOOKUP($B116,'2) หลักการคำนวน Table'!$D$5:$M$20,HLOOKUP(AC116,'2) หลักการคำนวน Table'!$D$1:$M$5,5,TRUE),0),
IF($C116="WS SF",VLOOKUP($B116,'2) หลักการคำนวน Table'!$D$33:$M$48,HLOOKUP(AC116,'2) หลักการคำนวน Table'!$D$1:$M$5,5,TRUE),0),
IF($C116="WS WH",VLOOKUP($B116,'2) หลักการคำนวน Table'!$D$63:$M$78,HLOOKUP(AC116,'2) หลักการคำนวน Table'!$D$1:$M$5,5,TRUE),0),
IF($C116="SF WH",VLOOKUP($B116,'2) หลักการคำนวน Table'!$D$93:$M$108,HLOOKUP(AC116,'2) หลักการคำนวน Table'!$D$1:$M$5,5,TRUE),0))))),0)</f>
        <v>360</v>
      </c>
      <c r="BB116" s="167">
        <f>IFERROR(IF($C116="Top WS",VLOOKUP($B116,'2) หลักการคำนวน Table'!$D$5:$M$20,HLOOKUP(AD116,'2) หลักการคำนวน Table'!$D$1:$M$5,5,TRUE),0),
IF($C116="WS SF",VLOOKUP($B116,'2) หลักการคำนวน Table'!$D$33:$M$48,HLOOKUP(AD116,'2) หลักการคำนวน Table'!$D$1:$M$5,5,TRUE),0),
IF($C116="WS WH",VLOOKUP($B116,'2) หลักการคำนวน Table'!$D$63:$M$78,HLOOKUP(AD116,'2) หลักการคำนวน Table'!$D$1:$M$5,5,TRUE),0),
IF($C116="SF WH",VLOOKUP($B116,'2) หลักการคำนวน Table'!$D$93:$M$108,HLOOKUP(AD116,'2) หลักการคำนวน Table'!$D$1:$M$5,5,TRUE),0))))),0)</f>
        <v>360</v>
      </c>
      <c r="BC116" s="167">
        <f>IFERROR(IF($C116="Top WS",VLOOKUP($B116,'2) หลักการคำนวน Table'!$D$5:$M$20,HLOOKUP(AE116,'2) หลักการคำนวน Table'!$D$1:$M$5,5,TRUE),0),
IF($C116="WS SF",VLOOKUP($B116,'2) หลักการคำนวน Table'!$D$33:$M$48,HLOOKUP(AE116,'2) หลักการคำนวน Table'!$D$1:$M$5,5,TRUE),0),
IF($C116="WS WH",VLOOKUP($B116,'2) หลักการคำนวน Table'!$D$63:$M$78,HLOOKUP(AE116,'2) หลักการคำนวน Table'!$D$1:$M$5,5,TRUE),0),
IF($C116="SF WH",VLOOKUP($B116,'2) หลักการคำนวน Table'!$D$93:$M$108,HLOOKUP(AE116,'2) หลักการคำนวน Table'!$D$1:$M$5,5,TRUE),0))))),0)</f>
        <v>360</v>
      </c>
      <c r="BD116" s="167">
        <f>IFERROR(IF($C116="Top WS",VLOOKUP($B116,'2) หลักการคำนวน Table'!$D$5:$M$20,HLOOKUP(AF116,'2) หลักการคำนวน Table'!$D$1:$M$5,5,TRUE),0),
IF($C116="WS SF",VLOOKUP($B116,'2) หลักการคำนวน Table'!$D$33:$M$48,HLOOKUP(AF116,'2) หลักการคำนวน Table'!$D$1:$M$5,5,TRUE),0),
IF($C116="WS WH",VLOOKUP($B116,'2) หลักการคำนวน Table'!$D$63:$M$78,HLOOKUP(AF116,'2) หลักการคำนวน Table'!$D$1:$M$5,5,TRUE),0),
IF($C116="SF WH",VLOOKUP($B116,'2) หลักการคำนวน Table'!$D$93:$M$108,HLOOKUP(AF116,'2) หลักการคำนวน Table'!$D$1:$M$5,5,TRUE),0))))),0)</f>
        <v>360</v>
      </c>
      <c r="BE116" s="167">
        <f>IFERROR(IF($C116="Top WS",VLOOKUP($B116,'2) หลักการคำนวน Table'!$D$5:$M$20,HLOOKUP(AG116,'2) หลักการคำนวน Table'!$D$1:$M$5,5,TRUE),0),
IF($C116="WS SF",VLOOKUP($B116,'2) หลักการคำนวน Table'!$D$33:$M$48,HLOOKUP(AG116,'2) หลักการคำนวน Table'!$D$1:$M$5,5,TRUE),0),
IF($C116="WS WH",VLOOKUP($B116,'2) หลักการคำนวน Table'!$D$63:$M$78,HLOOKUP(AG116,'2) หลักการคำนวน Table'!$D$1:$M$5,5,TRUE),0),
IF($C116="SF WH",VLOOKUP($B116,'2) หลักการคำนวน Table'!$D$93:$M$108,HLOOKUP(AG116,'2) หลักการคำนวน Table'!$D$1:$M$5,5,TRUE),0))))),0)</f>
        <v>360</v>
      </c>
      <c r="BF116" s="167">
        <f>IFERROR(IF($C116="Top WS",VLOOKUP($B116,'2) หลักการคำนวน Table'!$D$5:$M$20,HLOOKUP(AH116,'2) หลักการคำนวน Table'!$D$1:$M$5,5,TRUE),0),
IF($C116="WS SF",VLOOKUP($B116,'2) หลักการคำนวน Table'!$D$33:$M$48,HLOOKUP(AH116,'2) หลักการคำนวน Table'!$D$1:$M$5,5,TRUE),0),
IF($C116="WS WH",VLOOKUP($B116,'2) หลักการคำนวน Table'!$D$63:$M$78,HLOOKUP(AH116,'2) หลักการคำนวน Table'!$D$1:$M$5,5,TRUE),0),
IF($C116="SF WH",VLOOKUP($B116,'2) หลักการคำนวน Table'!$D$93:$M$108,HLOOKUP(AH116,'2) หลักการคำนวน Table'!$D$1:$M$5,5,TRUE),0))))),0)</f>
        <v>360</v>
      </c>
      <c r="BG116" s="167">
        <f>IFERROR(IF($C116="Top WS",VLOOKUP($B116,'2) หลักการคำนวน Table'!$D$5:$M$20,HLOOKUP(AI116,'2) หลักการคำนวน Table'!$D$1:$M$5,5,TRUE),0),
IF($C116="WS SF",VLOOKUP($B116,'2) หลักการคำนวน Table'!$D$33:$M$48,HLOOKUP(AI116,'2) หลักการคำนวน Table'!$D$1:$M$5,5,TRUE),0),
IF($C116="WS WH",VLOOKUP($B116,'2) หลักการคำนวน Table'!$D$63:$M$78,HLOOKUP(AI116,'2) หลักการคำนวน Table'!$D$1:$M$5,5,TRUE),0),
IF($C116="SF WH",VLOOKUP($B116,'2) หลักการคำนวน Table'!$D$93:$M$108,HLOOKUP(AI116,'2) หลักการคำนวน Table'!$D$1:$M$5,5,TRUE),0))))),0)</f>
        <v>360</v>
      </c>
      <c r="BH116" s="167">
        <f>IFERROR(IF($C116="Top WS",VLOOKUP($B116,'2) หลักการคำนวน Table'!$D$5:$M$20,HLOOKUP(AP116,'2) หลักการคำนวน Table'!$D$1:$M$5,5,TRUE),0),
IF($C116="WS SF",VLOOKUP($B116,'2) หลักการคำนวน Table'!$D$33:$M$48,HLOOKUP(AP116,'2) หลักการคำนวน Table'!$D$1:$M$5,5,TRUE),0),
IF($C116="WS WH",VLOOKUP($B116,'2) หลักการคำนวน Table'!$D$63:$M$78,HLOOKUP(AP116,'2) หลักการคำนวน Table'!$D$1:$M$5,5,TRUE),0),
IF($C116="SF WH",VLOOKUP($B116,'2) หลักการคำนวน Table'!$D$93:$M$108,HLOOKUP(AP116,'2) หลักการคำนวน Table'!$D$1:$M$5,5,TRUE),0))))),0)</f>
        <v>360</v>
      </c>
      <c r="BI116" s="167">
        <f>IFERROR(IF($C116="Top WS",VLOOKUP($B116,'2) หลักการคำนวน Table'!$D$5:$M$20,HLOOKUP(AK116,'2) หลักการคำนวน Table'!$D$1:$M$5,5,TRUE),0),
IF($C116="WS SF",VLOOKUP($B116,'2) หลักการคำนวน Table'!$D$33:$M$48,HLOOKUP(AK116,'2) หลักการคำนวน Table'!$D$1:$M$5,5,TRUE),0),
IF($C116="WS WH",VLOOKUP($B116,'2) หลักการคำนวน Table'!$D$63:$M$78,HLOOKUP(AK116,'2) หลักการคำนวน Table'!$D$1:$M$5,5,TRUE),0),
IF($C116="SF WH",VLOOKUP($B116,'2) หลักการคำนวน Table'!$D$93:$M$108,HLOOKUP(AK116,'2) หลักการคำนวน Table'!$D$1:$M$5,5,TRUE),0))))),0)</f>
        <v>360</v>
      </c>
      <c r="BJ116" s="167">
        <f>IFERROR(IF($C116="Top WS",VLOOKUP($B116,'2) หลักการคำนวน Table'!$D$5:$M$20,HLOOKUP(AL116,'2) หลักการคำนวน Table'!$D$1:$M$5,5,TRUE),0),
IF($C116="WS SF",VLOOKUP($B116,'2) หลักการคำนวน Table'!$D$33:$M$48,HLOOKUP(AL116,'2) หลักการคำนวน Table'!$D$1:$M$5,5,TRUE),0),
IF($C116="WS WH",VLOOKUP($B116,'2) หลักการคำนวน Table'!$D$63:$M$78,HLOOKUP(AL116,'2) หลักการคำนวน Table'!$D$1:$M$5,5,TRUE),0),
IF($C116="SF WH",VLOOKUP($B116,'2) หลักการคำนวน Table'!$D$93:$M$108,HLOOKUP(AL116,'2) หลักการคำนวน Table'!$D$1:$M$5,5,TRUE),0))))),0)</f>
        <v>360</v>
      </c>
      <c r="BK116" s="167">
        <f>IFERROR(IF($C116="Top WS",VLOOKUP($B116,'2) หลักการคำนวน Table'!$D$5:$M$20,HLOOKUP(AM116,'2) หลักการคำนวน Table'!$D$1:$M$5,5,TRUE),0),
IF($C116="WS SF",VLOOKUP($B116,'2) หลักการคำนวน Table'!$D$33:$M$48,HLOOKUP(AM116,'2) หลักการคำนวน Table'!$D$1:$M$5,5,TRUE),0),
IF($C116="WS WH",VLOOKUP($B116,'2) หลักการคำนวน Table'!$D$63:$M$78,HLOOKUP(AM116,'2) หลักการคำนวน Table'!$D$1:$M$5,5,TRUE),0),
IF($C116="SF WH",VLOOKUP($B116,'2) หลักการคำนวน Table'!$D$93:$M$108,HLOOKUP(AM116,'2) หลักการคำนวน Table'!$D$1:$M$5,5,TRUE),0))))),0)</f>
        <v>360</v>
      </c>
      <c r="BM116" s="119">
        <f>VLOOKUP(VLOOKUP(A116,ASTBase!E:S,13,FALSE),ASTBase!F:P,11,FALSE)</f>
        <v>150000</v>
      </c>
      <c r="BN116" s="196" cm="1">
        <f t="array" ref="BN116">INDEX(AN116:AY116,,Period!$D$2)</f>
        <v>0.9</v>
      </c>
    </row>
    <row r="117" spans="1:66" x14ac:dyDescent="0.25">
      <c r="A117" s="117">
        <v>150001</v>
      </c>
      <c r="B117" s="117" t="s">
        <v>391</v>
      </c>
      <c r="C117" s="117" t="s">
        <v>178</v>
      </c>
      <c r="D117" s="118">
        <v>3799</v>
      </c>
      <c r="E117" s="118">
        <v>3023</v>
      </c>
      <c r="F117" s="118">
        <v>4145</v>
      </c>
      <c r="G117" s="118">
        <v>2808</v>
      </c>
      <c r="H117" s="118">
        <v>5584</v>
      </c>
      <c r="I117" s="118">
        <v>3215</v>
      </c>
      <c r="J117" s="118">
        <v>4624</v>
      </c>
      <c r="K117" s="118">
        <v>4930</v>
      </c>
      <c r="L117" s="118">
        <v>4127</v>
      </c>
      <c r="M117" s="118">
        <v>2549</v>
      </c>
      <c r="N117" s="118">
        <v>3312</v>
      </c>
      <c r="O117" s="118">
        <v>3680</v>
      </c>
      <c r="P117" s="117">
        <f>SUMIFS(Actual!C:C,Actual!$A:$A,'3)Target &amp; Cal'!$A117,Actual!$B:$B,'3)Target &amp; Cal'!$B117)</f>
        <v>1728.9999999691674</v>
      </c>
      <c r="Q117" s="117">
        <f>SUMIFS(Actual!D:D,Actual!$A:$A,'3)Target &amp; Cal'!$A117,Actual!$B:$B,'3)Target &amp; Cal'!$B117)</f>
        <v>4609.9999999335105</v>
      </c>
      <c r="R117" s="117">
        <f>SUMIFS(Actual!E:E,Actual!$A:$A,'3)Target &amp; Cal'!$A117,Actual!$B:$B,'3)Target &amp; Cal'!$B117)</f>
        <v>0</v>
      </c>
      <c r="S117" s="117">
        <f>SUMIFS(Actual!F:F,Actual!$A:$A,'3)Target &amp; Cal'!$A117,Actual!$B:$B,'3)Target &amp; Cal'!$B117)</f>
        <v>0</v>
      </c>
      <c r="T117" s="117">
        <f>SUMIFS(Actual!G:G,Actual!$A:$A,'3)Target &amp; Cal'!$A117,Actual!$B:$B,'3)Target &amp; Cal'!$B117)</f>
        <v>0</v>
      </c>
      <c r="U117" s="117">
        <f>SUMIFS(Actual!H:H,Actual!$A:$A,'3)Target &amp; Cal'!$A117,Actual!$B:$B,'3)Target &amp; Cal'!$B117)</f>
        <v>0</v>
      </c>
      <c r="V117" s="117">
        <f>SUMIFS(Actual!I:I,Actual!$A:$A,'3)Target &amp; Cal'!$A117,Actual!$B:$B,'3)Target &amp; Cal'!$B117)</f>
        <v>0</v>
      </c>
      <c r="W117" s="117">
        <f>SUMIFS(Actual!J:J,Actual!$A:$A,'3)Target &amp; Cal'!$A117,Actual!$B:$B,'3)Target &amp; Cal'!$B117)</f>
        <v>0</v>
      </c>
      <c r="X117" s="117">
        <f>SUMIFS(Actual!K:K,Actual!$A:$A,'3)Target &amp; Cal'!$A117,Actual!$B:$B,'3)Target &amp; Cal'!$B117)</f>
        <v>0</v>
      </c>
      <c r="Y117" s="117">
        <f>SUMIFS(Actual!L:L,Actual!$A:$A,'3)Target &amp; Cal'!$A117,Actual!$B:$B,'3)Target &amp; Cal'!$B117)</f>
        <v>0</v>
      </c>
      <c r="Z117" s="117">
        <f>SUMIFS(Actual!M:M,Actual!$A:$A,'3)Target &amp; Cal'!$A117,Actual!$B:$B,'3)Target &amp; Cal'!$B117)</f>
        <v>0</v>
      </c>
      <c r="AA117" s="117">
        <f>SUMIFS(Actual!N:N,Actual!$A:$A,'3)Target &amp; Cal'!$A117,Actual!$B:$B,'3)Target &amp; Cal'!$B117)</f>
        <v>0</v>
      </c>
      <c r="AB117" s="123">
        <f>IFERROR(IF(VLOOKUP($B117,Shortage!$A:$M,AB$2,FALSE)="Shortage",1,IFERROR(ROUND(P117/D117,4),0)),IFERROR(ROUND(P117/D117,4),0))</f>
        <v>1</v>
      </c>
      <c r="AC117" s="123">
        <f>IFERROR(IF(VLOOKUP($B117,Shortage!$A:$M,AC$2,FALSE)="Shortage",1,IFERROR(ROUND(Q117/E117,4),0)),IFERROR(ROUND(Q117/E117,4),0))</f>
        <v>1</v>
      </c>
      <c r="AD117" s="123">
        <f>IFERROR(IF(VLOOKUP($B117,Shortage!$A:$M,AD$2,FALSE)="Shortage",1,IFERROR(ROUND(R117/F117,4),0)),IFERROR(ROUND(R117/F117,4),0))</f>
        <v>0</v>
      </c>
      <c r="AE117" s="123">
        <f>IFERROR(IF(VLOOKUP($B117,Shortage!$A:$M,AE$2,FALSE)="Shortage",1,IFERROR(ROUND(S117/G117,4),0)),IFERROR(ROUND(S117/G117,4),0))</f>
        <v>0</v>
      </c>
      <c r="AF117" s="123">
        <f>IFERROR(IF(VLOOKUP($B117,Shortage!$A:$M,AF$2,FALSE)="Shortage",1,IFERROR(ROUND(T117/H117,4),0)),IFERROR(ROUND(T117/H117,4),0))</f>
        <v>0</v>
      </c>
      <c r="AG117" s="123">
        <f>IFERROR(IF(VLOOKUP($B117,Shortage!$A:$M,AG$2,FALSE)="Shortage",1,IFERROR(ROUND(U117/I117,4),0)),IFERROR(ROUND(U117/I117,4),0))</f>
        <v>0</v>
      </c>
      <c r="AH117" s="123">
        <f>IFERROR(IF(VLOOKUP($B117,Shortage!$A:$M,AH$2,FALSE)="Shortage",1,IFERROR(ROUND(V117/J117,4),0)),IFERROR(ROUND(V117/J117,4),0))</f>
        <v>0</v>
      </c>
      <c r="AI117" s="123">
        <f>IFERROR(IF(VLOOKUP($B117,Shortage!$A:$M,AI$2,FALSE)="Shortage",1,IFERROR(ROUND(W117/K117,4),0)),IFERROR(ROUND(W117/K117,4),0))</f>
        <v>0</v>
      </c>
      <c r="AJ117" s="123">
        <f>IFERROR(IF(VLOOKUP($B117,Shortage!$A:$M,AP$2,FALSE)="Shortage",1,IFERROR(ROUND(X117/L117,4),0)),IFERROR(ROUND(X117/L117,4),0))</f>
        <v>0</v>
      </c>
      <c r="AK117" s="123">
        <f>IFERROR(IF(VLOOKUP($B117,Shortage!$A:$M,AK$2,FALSE)="Shortage",1,IFERROR(ROUND(Y117/M117,4),0)),IFERROR(ROUND(Y117/M117,4),0))</f>
        <v>0</v>
      </c>
      <c r="AL117" s="123">
        <f>IFERROR(IF(VLOOKUP($B117,Shortage!$A:$M,AL$2,FALSE)="Shortage",1,IFERROR(ROUND(Z117/N117,4),0)),IFERROR(ROUND(Z117/N117,4),0))</f>
        <v>0</v>
      </c>
      <c r="AM117" s="123">
        <f>IFERROR(IF(VLOOKUP($B117,Shortage!$A:$M,AM$2,FALSE)="Shortage",1,IFERROR(ROUND(AA117/O117,4),0)),IFERROR(ROUND(AA117/O117,4),0))</f>
        <v>0</v>
      </c>
      <c r="AN117" s="232">
        <f>IFERROR(IF($C117="Top WS",VLOOKUP("GOAL",'2) หลักการคำนวน Table'!$D$4:$M$4,HLOOKUP(AB117,'2) หลักการคำนวน Table'!$D$1:$M$5,5,TRUE),0),
IF($C117="WS SF",VLOOKUP("GOAL",'2) หลักการคำนวน Table'!$D$32:$M$32,HLOOKUP(AB117,'2) หลักการคำนวน Table'!$D$1:$M$5,5,TRUE),0),
IF($C117="WS WH",VLOOKUP("GOAL",'2) หลักการคำนวน Table'!$D$62:$M$62,HLOOKUP(AB117,'2) หลักการคำนวน Table'!$D$1:$M$5,5,TRUE),0),
IF($C117="SF WH",VLOOKUP("GOAL",'2) หลักการคำนวน Table'!$D$92:$M$92,HLOOKUP(AB117,'2) หลักการคำนวน Table'!$D$1:$M$5,5,TRUE),0))))),0)</f>
        <v>1</v>
      </c>
      <c r="AO117" s="232">
        <f>IFERROR(IF($C117="Top WS",VLOOKUP("GOAL",'2) หลักการคำนวน Table'!$D$4:$M$4,HLOOKUP(AC117,'2) หลักการคำนวน Table'!$D$1:$M$5,5,TRUE),0),
IF($C117="WS SF",VLOOKUP("GOAL",'2) หลักการคำนวน Table'!$D$32:$M$32,HLOOKUP(AC117,'2) หลักการคำนวน Table'!$D$1:$M$5,5,TRUE),0),
IF($C117="WS WH",VLOOKUP("GOAL",'2) หลักการคำนวน Table'!$D$62:$M$62,HLOOKUP(AC117,'2) หลักการคำนวน Table'!$D$1:$M$5,5,TRUE),0),
IF($C117="SF WH",VLOOKUP("GOAL",'2) หลักการคำนวน Table'!$D$92:$M$92,HLOOKUP(AC117,'2) หลักการคำนวน Table'!$D$1:$M$5,5,TRUE),0))))),0)</f>
        <v>1</v>
      </c>
      <c r="AP117" s="232">
        <f>IFERROR(IF($C117="Top WS",VLOOKUP("GOAL",'2) หลักการคำนวน Table'!$D$4:$M$4,HLOOKUP(AD117,'2) หลักการคำนวน Table'!$D$1:$M$5,5,TRUE),0),
IF($C117="WS SF",VLOOKUP("GOAL",'2) หลักการคำนวน Table'!$D$32:$M$32,HLOOKUP(AD117,'2) หลักการคำนวน Table'!$D$1:$M$5,5,TRUE),0),
IF($C117="WS WH",VLOOKUP("GOAL",'2) หลักการคำนวน Table'!$D$62:$M$62,HLOOKUP(AD117,'2) หลักการคำนวน Table'!$D$1:$M$5,5,TRUE),0),
IF($C117="SF WH",VLOOKUP("GOAL",'2) หลักการคำนวน Table'!$D$92:$M$92,HLOOKUP(AD117,'2) หลักการคำนวน Table'!$D$1:$M$5,5,TRUE),0))))),0)</f>
        <v>0.9</v>
      </c>
      <c r="AQ117" s="232">
        <f>IFERROR(IF($C117="Top WS",VLOOKUP("GOAL",'2) หลักการคำนวน Table'!$D$4:$M$4,HLOOKUP(AE117,'2) หลักการคำนวน Table'!$D$1:$M$5,5,TRUE),0),
IF($C117="WS SF",VLOOKUP("GOAL",'2) หลักการคำนวน Table'!$D$32:$M$32,HLOOKUP(AE117,'2) หลักการคำนวน Table'!$D$1:$M$5,5,TRUE),0),
IF($C117="WS WH",VLOOKUP("GOAL",'2) หลักการคำนวน Table'!$D$62:$M$62,HLOOKUP(AE117,'2) หลักการคำนวน Table'!$D$1:$M$5,5,TRUE),0),
IF($C117="SF WH",VLOOKUP("GOAL",'2) หลักการคำนวน Table'!$D$92:$M$92,HLOOKUP(AE117,'2) หลักการคำนวน Table'!$D$1:$M$5,5,TRUE),0))))),0)</f>
        <v>0.9</v>
      </c>
      <c r="AR117" s="232">
        <f>IFERROR(IF($C117="Top WS",VLOOKUP("GOAL",'2) หลักการคำนวน Table'!$D$4:$M$4,HLOOKUP(AF117,'2) หลักการคำนวน Table'!$D$1:$M$5,5,TRUE),0),
IF($C117="WS SF",VLOOKUP("GOAL",'2) หลักการคำนวน Table'!$D$32:$M$32,HLOOKUP(AF117,'2) หลักการคำนวน Table'!$D$1:$M$5,5,TRUE),0),
IF($C117="WS WH",VLOOKUP("GOAL",'2) หลักการคำนวน Table'!$D$62:$M$62,HLOOKUP(AF117,'2) หลักการคำนวน Table'!$D$1:$M$5,5,TRUE),0),
IF($C117="SF WH",VLOOKUP("GOAL",'2) หลักการคำนวน Table'!$D$92:$M$92,HLOOKUP(AF117,'2) หลักการคำนวน Table'!$D$1:$M$5,5,TRUE),0))))),0)</f>
        <v>0.9</v>
      </c>
      <c r="AS117" s="232">
        <f>IFERROR(IF($C117="Top WS",VLOOKUP("GOAL",'2) หลักการคำนวน Table'!$D$4:$M$4,HLOOKUP(AG117,'2) หลักการคำนวน Table'!$D$1:$M$5,5,TRUE),0),
IF($C117="WS SF",VLOOKUP("GOAL",'2) หลักการคำนวน Table'!$D$32:$M$32,HLOOKUP(AG117,'2) หลักการคำนวน Table'!$D$1:$M$5,5,TRUE),0),
IF($C117="WS WH",VLOOKUP("GOAL",'2) หลักการคำนวน Table'!$D$62:$M$62,HLOOKUP(AG117,'2) หลักการคำนวน Table'!$D$1:$M$5,5,TRUE),0),
IF($C117="SF WH",VLOOKUP("GOAL",'2) หลักการคำนวน Table'!$D$92:$M$92,HLOOKUP(AG117,'2) หลักการคำนวน Table'!$D$1:$M$5,5,TRUE),0))))),0)</f>
        <v>0.9</v>
      </c>
      <c r="AT117" s="232">
        <f>IFERROR(IF($C117="Top WS",VLOOKUP("GOAL",'2) หลักการคำนวน Table'!$D$4:$M$4,HLOOKUP(AH117,'2) หลักการคำนวน Table'!$D$1:$M$5,5,TRUE),0),
IF($C117="WS SF",VLOOKUP("GOAL",'2) หลักการคำนวน Table'!$D$32:$M$32,HLOOKUP(AH117,'2) หลักการคำนวน Table'!$D$1:$M$5,5,TRUE),0),
IF($C117="WS WH",VLOOKUP("GOAL",'2) หลักการคำนวน Table'!$D$62:$M$62,HLOOKUP(AH117,'2) หลักการคำนวน Table'!$D$1:$M$5,5,TRUE),0),
IF($C117="SF WH",VLOOKUP("GOAL",'2) หลักการคำนวน Table'!$D$92:$M$92,HLOOKUP(AH117,'2) หลักการคำนวน Table'!$D$1:$M$5,5,TRUE),0))))),0)</f>
        <v>0.9</v>
      </c>
      <c r="AU117" s="232">
        <f>IFERROR(IF($C117="Top WS",VLOOKUP("GOAL",'2) หลักการคำนวน Table'!$D$4:$M$4,HLOOKUP(AI117,'2) หลักการคำนวน Table'!$D$1:$M$5,5,TRUE),0),
IF($C117="WS SF",VLOOKUP("GOAL",'2) หลักการคำนวน Table'!$D$32:$M$32,HLOOKUP(AI117,'2) หลักการคำนวน Table'!$D$1:$M$5,5,TRUE),0),
IF($C117="WS WH",VLOOKUP("GOAL",'2) หลักการคำนวน Table'!$D$62:$M$62,HLOOKUP(AI117,'2) หลักการคำนวน Table'!$D$1:$M$5,5,TRUE),0),
IF($C117="SF WH",VLOOKUP("GOAL",'2) หลักการคำนวน Table'!$D$92:$M$92,HLOOKUP(AI117,'2) หลักการคำนวน Table'!$D$1:$M$5,5,TRUE),0))))),0)</f>
        <v>0.9</v>
      </c>
      <c r="AV117" s="232">
        <f>IFERROR(IF($C117="Top WS",VLOOKUP("GOAL",'2) หลักการคำนวน Table'!$D$4:$M$4,HLOOKUP(AP117,'2) หลักการคำนวน Table'!$D$1:$M$5,5,TRUE),0),
IF($C117="WS SF",VLOOKUP("GOAL",'2) หลักการคำนวน Table'!$D$32:$M$32,HLOOKUP(AP117,'2) หลักการคำนวน Table'!$D$1:$M$5,5,TRUE),0),
IF($C117="WS WH",VLOOKUP("GOAL",'2) หลักการคำนวน Table'!$D$62:$M$62,HLOOKUP(AP117,'2) หลักการคำนวน Table'!$D$1:$M$5,5,TRUE),0),
IF($C117="SF WH",VLOOKUP("GOAL",'2) หลักการคำนวน Table'!$D$92:$M$92,HLOOKUP(AP117,'2) หลักการคำนวน Table'!$D$1:$M$5,5,TRUE),0))))),0)</f>
        <v>0.9</v>
      </c>
      <c r="AW117" s="232">
        <f>IFERROR(IF($C117="Top WS",VLOOKUP("GOAL",'2) หลักการคำนวน Table'!$D$4:$M$4,HLOOKUP(AK117,'2) หลักการคำนวน Table'!$D$1:$M$5,5,TRUE),0),
IF($C117="WS SF",VLOOKUP("GOAL",'2) หลักการคำนวน Table'!$D$32:$M$32,HLOOKUP(AK117,'2) หลักการคำนวน Table'!$D$1:$M$5,5,TRUE),0),
IF($C117="WS WH",VLOOKUP("GOAL",'2) หลักการคำนวน Table'!$D$62:$M$62,HLOOKUP(AK117,'2) หลักการคำนวน Table'!$D$1:$M$5,5,TRUE),0),
IF($C117="SF WH",VLOOKUP("GOAL",'2) หลักการคำนวน Table'!$D$92:$M$92,HLOOKUP(AK117,'2) หลักการคำนวน Table'!$D$1:$M$5,5,TRUE),0))))),0)</f>
        <v>0.9</v>
      </c>
      <c r="AX117" s="232">
        <f>IFERROR(IF($C117="Top WS",VLOOKUP("GOAL",'2) หลักการคำนวน Table'!$D$4:$M$4,HLOOKUP(AL117,'2) หลักการคำนวน Table'!$D$1:$M$5,5,TRUE),0),
IF($C117="WS SF",VLOOKUP("GOAL",'2) หลักการคำนวน Table'!$D$32:$M$32,HLOOKUP(AL117,'2) หลักการคำนวน Table'!$D$1:$M$5,5,TRUE),0),
IF($C117="WS WH",VLOOKUP("GOAL",'2) หลักการคำนวน Table'!$D$62:$M$62,HLOOKUP(AL117,'2) หลักการคำนวน Table'!$D$1:$M$5,5,TRUE),0),
IF($C117="SF WH",VLOOKUP("GOAL",'2) หลักการคำนวน Table'!$D$92:$M$92,HLOOKUP(AL117,'2) หลักการคำนวน Table'!$D$1:$M$5,5,TRUE),0))))),0)</f>
        <v>0.9</v>
      </c>
      <c r="AY117" s="232">
        <f>IFERROR(IF($C117="Top WS",VLOOKUP("GOAL",'2) หลักการคำนวน Table'!$D$4:$M$4,HLOOKUP(AM117,'2) หลักการคำนวน Table'!$D$1:$M$5,5,TRUE),0),
IF($C117="WS SF",VLOOKUP("GOAL",'2) หลักการคำนวน Table'!$D$32:$M$32,HLOOKUP(AM117,'2) หลักการคำนวน Table'!$D$1:$M$5,5,TRUE),0),
IF($C117="WS WH",VLOOKUP("GOAL",'2) หลักการคำนวน Table'!$D$62:$M$62,HLOOKUP(AM117,'2) หลักการคำนวน Table'!$D$1:$M$5,5,TRUE),0),
IF($C117="SF WH",VLOOKUP("GOAL",'2) หลักการคำนวน Table'!$D$92:$M$92,HLOOKUP(AM117,'2) หลักการคำนวน Table'!$D$1:$M$5,5,TRUE),0))))),0)</f>
        <v>0.9</v>
      </c>
      <c r="AZ117" s="167">
        <f>IFERROR(IF($C117="Top WS",VLOOKUP($B117,'2) หลักการคำนวน Table'!$D$5:$M$20,HLOOKUP(AB117,'2) หลักการคำนวน Table'!$D$1:$M$5,5,TRUE),0),
IF($C117="WS SF",VLOOKUP($B117,'2) หลักการคำนวน Table'!$D$33:$M$48,HLOOKUP(AB117,'2) หลักการคำนวน Table'!$D$1:$M$5,5,TRUE),0),
IF($C117="WS WH",VLOOKUP($B117,'2) หลักการคำนวน Table'!$D$63:$M$78,HLOOKUP(AB117,'2) หลักการคำนวน Table'!$D$1:$M$5,5,TRUE),0),
IF($C117="SF WH",VLOOKUP($B117,'2) หลักการคำนวน Table'!$D$93:$M$108,HLOOKUP(AB117,'2) หลักการคำนวน Table'!$D$1:$M$5,5,TRUE),0))))),0)</f>
        <v>600</v>
      </c>
      <c r="BA117" s="167">
        <f>IFERROR(IF($C117="Top WS",VLOOKUP($B117,'2) หลักการคำนวน Table'!$D$5:$M$20,HLOOKUP(AC117,'2) หลักการคำนวน Table'!$D$1:$M$5,5,TRUE),0),
IF($C117="WS SF",VLOOKUP($B117,'2) หลักการคำนวน Table'!$D$33:$M$48,HLOOKUP(AC117,'2) หลักการคำนวน Table'!$D$1:$M$5,5,TRUE),0),
IF($C117="WS WH",VLOOKUP($B117,'2) หลักการคำนวน Table'!$D$63:$M$78,HLOOKUP(AC117,'2) หลักการคำนวน Table'!$D$1:$M$5,5,TRUE),0),
IF($C117="SF WH",VLOOKUP($B117,'2) หลักการคำนวน Table'!$D$93:$M$108,HLOOKUP(AC117,'2) หลักการคำนวน Table'!$D$1:$M$5,5,TRUE),0))))),0)</f>
        <v>600</v>
      </c>
      <c r="BB117" s="167">
        <f>IFERROR(IF($C117="Top WS",VLOOKUP($B117,'2) หลักการคำนวน Table'!$D$5:$M$20,HLOOKUP(AD117,'2) หลักการคำนวน Table'!$D$1:$M$5,5,TRUE),0),
IF($C117="WS SF",VLOOKUP($B117,'2) หลักการคำนวน Table'!$D$33:$M$48,HLOOKUP(AD117,'2) หลักการคำนวน Table'!$D$1:$M$5,5,TRUE),0),
IF($C117="WS WH",VLOOKUP($B117,'2) หลักการคำนวน Table'!$D$63:$M$78,HLOOKUP(AD117,'2) หลักการคำนวน Table'!$D$1:$M$5,5,TRUE),0),
IF($C117="SF WH",VLOOKUP($B117,'2) หลักการคำนวน Table'!$D$93:$M$108,HLOOKUP(AD117,'2) หลักการคำนวน Table'!$D$1:$M$5,5,TRUE),0))))),0)</f>
        <v>540</v>
      </c>
      <c r="BC117" s="167">
        <f>IFERROR(IF($C117="Top WS",VLOOKUP($B117,'2) หลักการคำนวน Table'!$D$5:$M$20,HLOOKUP(AE117,'2) หลักการคำนวน Table'!$D$1:$M$5,5,TRUE),0),
IF($C117="WS SF",VLOOKUP($B117,'2) หลักการคำนวน Table'!$D$33:$M$48,HLOOKUP(AE117,'2) หลักการคำนวน Table'!$D$1:$M$5,5,TRUE),0),
IF($C117="WS WH",VLOOKUP($B117,'2) หลักการคำนวน Table'!$D$63:$M$78,HLOOKUP(AE117,'2) หลักการคำนวน Table'!$D$1:$M$5,5,TRUE),0),
IF($C117="SF WH",VLOOKUP($B117,'2) หลักการคำนวน Table'!$D$93:$M$108,HLOOKUP(AE117,'2) หลักการคำนวน Table'!$D$1:$M$5,5,TRUE),0))))),0)</f>
        <v>540</v>
      </c>
      <c r="BD117" s="167">
        <f>IFERROR(IF($C117="Top WS",VLOOKUP($B117,'2) หลักการคำนวน Table'!$D$5:$M$20,HLOOKUP(AF117,'2) หลักการคำนวน Table'!$D$1:$M$5,5,TRUE),0),
IF($C117="WS SF",VLOOKUP($B117,'2) หลักการคำนวน Table'!$D$33:$M$48,HLOOKUP(AF117,'2) หลักการคำนวน Table'!$D$1:$M$5,5,TRUE),0),
IF($C117="WS WH",VLOOKUP($B117,'2) หลักการคำนวน Table'!$D$63:$M$78,HLOOKUP(AF117,'2) หลักการคำนวน Table'!$D$1:$M$5,5,TRUE),0),
IF($C117="SF WH",VLOOKUP($B117,'2) หลักการคำนวน Table'!$D$93:$M$108,HLOOKUP(AF117,'2) หลักการคำนวน Table'!$D$1:$M$5,5,TRUE),0))))),0)</f>
        <v>540</v>
      </c>
      <c r="BE117" s="167">
        <f>IFERROR(IF($C117="Top WS",VLOOKUP($B117,'2) หลักการคำนวน Table'!$D$5:$M$20,HLOOKUP(AG117,'2) หลักการคำนวน Table'!$D$1:$M$5,5,TRUE),0),
IF($C117="WS SF",VLOOKUP($B117,'2) หลักการคำนวน Table'!$D$33:$M$48,HLOOKUP(AG117,'2) หลักการคำนวน Table'!$D$1:$M$5,5,TRUE),0),
IF($C117="WS WH",VLOOKUP($B117,'2) หลักการคำนวน Table'!$D$63:$M$78,HLOOKUP(AG117,'2) หลักการคำนวน Table'!$D$1:$M$5,5,TRUE),0),
IF($C117="SF WH",VLOOKUP($B117,'2) หลักการคำนวน Table'!$D$93:$M$108,HLOOKUP(AG117,'2) หลักการคำนวน Table'!$D$1:$M$5,5,TRUE),0))))),0)</f>
        <v>540</v>
      </c>
      <c r="BF117" s="167">
        <f>IFERROR(IF($C117="Top WS",VLOOKUP($B117,'2) หลักการคำนวน Table'!$D$5:$M$20,HLOOKUP(AH117,'2) หลักการคำนวน Table'!$D$1:$M$5,5,TRUE),0),
IF($C117="WS SF",VLOOKUP($B117,'2) หลักการคำนวน Table'!$D$33:$M$48,HLOOKUP(AH117,'2) หลักการคำนวน Table'!$D$1:$M$5,5,TRUE),0),
IF($C117="WS WH",VLOOKUP($B117,'2) หลักการคำนวน Table'!$D$63:$M$78,HLOOKUP(AH117,'2) หลักการคำนวน Table'!$D$1:$M$5,5,TRUE),0),
IF($C117="SF WH",VLOOKUP($B117,'2) หลักการคำนวน Table'!$D$93:$M$108,HLOOKUP(AH117,'2) หลักการคำนวน Table'!$D$1:$M$5,5,TRUE),0))))),0)</f>
        <v>540</v>
      </c>
      <c r="BG117" s="167">
        <f>IFERROR(IF($C117="Top WS",VLOOKUP($B117,'2) หลักการคำนวน Table'!$D$5:$M$20,HLOOKUP(AI117,'2) หลักการคำนวน Table'!$D$1:$M$5,5,TRUE),0),
IF($C117="WS SF",VLOOKUP($B117,'2) หลักการคำนวน Table'!$D$33:$M$48,HLOOKUP(AI117,'2) หลักการคำนวน Table'!$D$1:$M$5,5,TRUE),0),
IF($C117="WS WH",VLOOKUP($B117,'2) หลักการคำนวน Table'!$D$63:$M$78,HLOOKUP(AI117,'2) หลักการคำนวน Table'!$D$1:$M$5,5,TRUE),0),
IF($C117="SF WH",VLOOKUP($B117,'2) หลักการคำนวน Table'!$D$93:$M$108,HLOOKUP(AI117,'2) หลักการคำนวน Table'!$D$1:$M$5,5,TRUE),0))))),0)</f>
        <v>540</v>
      </c>
      <c r="BH117" s="167">
        <f>IFERROR(IF($C117="Top WS",VLOOKUP($B117,'2) หลักการคำนวน Table'!$D$5:$M$20,HLOOKUP(AP117,'2) หลักการคำนวน Table'!$D$1:$M$5,5,TRUE),0),
IF($C117="WS SF",VLOOKUP($B117,'2) หลักการคำนวน Table'!$D$33:$M$48,HLOOKUP(AP117,'2) หลักการคำนวน Table'!$D$1:$M$5,5,TRUE),0),
IF($C117="WS WH",VLOOKUP($B117,'2) หลักการคำนวน Table'!$D$63:$M$78,HLOOKUP(AP117,'2) หลักการคำนวน Table'!$D$1:$M$5,5,TRUE),0),
IF($C117="SF WH",VLOOKUP($B117,'2) หลักการคำนวน Table'!$D$93:$M$108,HLOOKUP(AP117,'2) หลักการคำนวน Table'!$D$1:$M$5,5,TRUE),0))))),0)</f>
        <v>540</v>
      </c>
      <c r="BI117" s="167">
        <f>IFERROR(IF($C117="Top WS",VLOOKUP($B117,'2) หลักการคำนวน Table'!$D$5:$M$20,HLOOKUP(AK117,'2) หลักการคำนวน Table'!$D$1:$M$5,5,TRUE),0),
IF($C117="WS SF",VLOOKUP($B117,'2) หลักการคำนวน Table'!$D$33:$M$48,HLOOKUP(AK117,'2) หลักการคำนวน Table'!$D$1:$M$5,5,TRUE),0),
IF($C117="WS WH",VLOOKUP($B117,'2) หลักการคำนวน Table'!$D$63:$M$78,HLOOKUP(AK117,'2) หลักการคำนวน Table'!$D$1:$M$5,5,TRUE),0),
IF($C117="SF WH",VLOOKUP($B117,'2) หลักการคำนวน Table'!$D$93:$M$108,HLOOKUP(AK117,'2) หลักการคำนวน Table'!$D$1:$M$5,5,TRUE),0))))),0)</f>
        <v>540</v>
      </c>
      <c r="BJ117" s="167">
        <f>IFERROR(IF($C117="Top WS",VLOOKUP($B117,'2) หลักการคำนวน Table'!$D$5:$M$20,HLOOKUP(AL117,'2) หลักการคำนวน Table'!$D$1:$M$5,5,TRUE),0),
IF($C117="WS SF",VLOOKUP($B117,'2) หลักการคำนวน Table'!$D$33:$M$48,HLOOKUP(AL117,'2) หลักการคำนวน Table'!$D$1:$M$5,5,TRUE),0),
IF($C117="WS WH",VLOOKUP($B117,'2) หลักการคำนวน Table'!$D$63:$M$78,HLOOKUP(AL117,'2) หลักการคำนวน Table'!$D$1:$M$5,5,TRUE),0),
IF($C117="SF WH",VLOOKUP($B117,'2) หลักการคำนวน Table'!$D$93:$M$108,HLOOKUP(AL117,'2) หลักการคำนวน Table'!$D$1:$M$5,5,TRUE),0))))),0)</f>
        <v>540</v>
      </c>
      <c r="BK117" s="167">
        <f>IFERROR(IF($C117="Top WS",VLOOKUP($B117,'2) หลักการคำนวน Table'!$D$5:$M$20,HLOOKUP(AM117,'2) หลักการคำนวน Table'!$D$1:$M$5,5,TRUE),0),
IF($C117="WS SF",VLOOKUP($B117,'2) หลักการคำนวน Table'!$D$33:$M$48,HLOOKUP(AM117,'2) หลักการคำนวน Table'!$D$1:$M$5,5,TRUE),0),
IF($C117="WS WH",VLOOKUP($B117,'2) หลักการคำนวน Table'!$D$63:$M$78,HLOOKUP(AM117,'2) หลักการคำนวน Table'!$D$1:$M$5,5,TRUE),0),
IF($C117="SF WH",VLOOKUP($B117,'2) หลักการคำนวน Table'!$D$93:$M$108,HLOOKUP(AM117,'2) หลักการคำนวน Table'!$D$1:$M$5,5,TRUE),0))))),0)</f>
        <v>540</v>
      </c>
      <c r="BM117" s="119">
        <f>VLOOKUP(VLOOKUP(A117,ASTBase!E:S,13,FALSE),ASTBase!F:P,11,FALSE)</f>
        <v>150000</v>
      </c>
      <c r="BN117" s="196" cm="1">
        <f t="array" ref="BN117">INDEX(AN117:AY117,,Period!$D$2)</f>
        <v>1</v>
      </c>
    </row>
    <row r="118" spans="1:66" x14ac:dyDescent="0.25">
      <c r="A118" s="117">
        <v>150001</v>
      </c>
      <c r="B118" s="117" t="s">
        <v>395</v>
      </c>
      <c r="C118" s="117" t="s">
        <v>178</v>
      </c>
      <c r="D118" s="118">
        <v>3320</v>
      </c>
      <c r="E118" s="118">
        <v>4306</v>
      </c>
      <c r="F118" s="118">
        <v>3993</v>
      </c>
      <c r="G118" s="118">
        <v>4127</v>
      </c>
      <c r="H118" s="118">
        <v>4477</v>
      </c>
      <c r="I118" s="118">
        <v>3506</v>
      </c>
      <c r="J118" s="118">
        <v>5438</v>
      </c>
      <c r="K118" s="118">
        <v>5482</v>
      </c>
      <c r="L118" s="118">
        <v>4280</v>
      </c>
      <c r="M118" s="118">
        <v>4130</v>
      </c>
      <c r="N118" s="118">
        <v>5343</v>
      </c>
      <c r="O118" s="118">
        <v>3750</v>
      </c>
      <c r="P118" s="117">
        <f>SUMIFS(Actual!C:C,Actual!$A:$A,'3)Target &amp; Cal'!$A118,Actual!$B:$B,'3)Target &amp; Cal'!$B118)</f>
        <v>3928.6200000000003</v>
      </c>
      <c r="Q118" s="117">
        <f>SUMIFS(Actual!D:D,Actual!$A:$A,'3)Target &amp; Cal'!$A118,Actual!$B:$B,'3)Target &amp; Cal'!$B118)</f>
        <v>5880.84</v>
      </c>
      <c r="R118" s="117">
        <f>SUMIFS(Actual!E:E,Actual!$A:$A,'3)Target &amp; Cal'!$A118,Actual!$B:$B,'3)Target &amp; Cal'!$B118)</f>
        <v>0</v>
      </c>
      <c r="S118" s="117">
        <f>SUMIFS(Actual!F:F,Actual!$A:$A,'3)Target &amp; Cal'!$A118,Actual!$B:$B,'3)Target &amp; Cal'!$B118)</f>
        <v>0</v>
      </c>
      <c r="T118" s="117">
        <f>SUMIFS(Actual!G:G,Actual!$A:$A,'3)Target &amp; Cal'!$A118,Actual!$B:$B,'3)Target &amp; Cal'!$B118)</f>
        <v>0</v>
      </c>
      <c r="U118" s="117">
        <f>SUMIFS(Actual!H:H,Actual!$A:$A,'3)Target &amp; Cal'!$A118,Actual!$B:$B,'3)Target &amp; Cal'!$B118)</f>
        <v>0</v>
      </c>
      <c r="V118" s="117">
        <f>SUMIFS(Actual!I:I,Actual!$A:$A,'3)Target &amp; Cal'!$A118,Actual!$B:$B,'3)Target &amp; Cal'!$B118)</f>
        <v>0</v>
      </c>
      <c r="W118" s="117">
        <f>SUMIFS(Actual!J:J,Actual!$A:$A,'3)Target &amp; Cal'!$A118,Actual!$B:$B,'3)Target &amp; Cal'!$B118)</f>
        <v>0</v>
      </c>
      <c r="X118" s="117">
        <f>SUMIFS(Actual!K:K,Actual!$A:$A,'3)Target &amp; Cal'!$A118,Actual!$B:$B,'3)Target &amp; Cal'!$B118)</f>
        <v>0</v>
      </c>
      <c r="Y118" s="117">
        <f>SUMIFS(Actual!L:L,Actual!$A:$A,'3)Target &amp; Cal'!$A118,Actual!$B:$B,'3)Target &amp; Cal'!$B118)</f>
        <v>0</v>
      </c>
      <c r="Z118" s="117">
        <f>SUMIFS(Actual!M:M,Actual!$A:$A,'3)Target &amp; Cal'!$A118,Actual!$B:$B,'3)Target &amp; Cal'!$B118)</f>
        <v>0</v>
      </c>
      <c r="AA118" s="117">
        <f>SUMIFS(Actual!N:N,Actual!$A:$A,'3)Target &amp; Cal'!$A118,Actual!$B:$B,'3)Target &amp; Cal'!$B118)</f>
        <v>0</v>
      </c>
      <c r="AB118" s="123">
        <f>IFERROR(IF(VLOOKUP($B118,Shortage!$A:$M,AB$2,FALSE)="Shortage",1,IFERROR(ROUND(P118/D118,4),0)),IFERROR(ROUND(P118/D118,4),0))</f>
        <v>1.1833</v>
      </c>
      <c r="AC118" s="123">
        <f>IFERROR(IF(VLOOKUP($B118,Shortage!$A:$M,AC$2,FALSE)="Shortage",1,IFERROR(ROUND(Q118/E118,4),0)),IFERROR(ROUND(Q118/E118,4),0))</f>
        <v>1.3656999999999999</v>
      </c>
      <c r="AD118" s="123">
        <f>IFERROR(IF(VLOOKUP($B118,Shortage!$A:$M,AD$2,FALSE)="Shortage",1,IFERROR(ROUND(R118/F118,4),0)),IFERROR(ROUND(R118/F118,4),0))</f>
        <v>0</v>
      </c>
      <c r="AE118" s="123">
        <f>IFERROR(IF(VLOOKUP($B118,Shortage!$A:$M,AE$2,FALSE)="Shortage",1,IFERROR(ROUND(S118/G118,4),0)),IFERROR(ROUND(S118/G118,4),0))</f>
        <v>0</v>
      </c>
      <c r="AF118" s="123">
        <f>IFERROR(IF(VLOOKUP($B118,Shortage!$A:$M,AF$2,FALSE)="Shortage",1,IFERROR(ROUND(T118/H118,4),0)),IFERROR(ROUND(T118/H118,4),0))</f>
        <v>0</v>
      </c>
      <c r="AG118" s="123">
        <f>IFERROR(IF(VLOOKUP($B118,Shortage!$A:$M,AG$2,FALSE)="Shortage",1,IFERROR(ROUND(U118/I118,4),0)),IFERROR(ROUND(U118/I118,4),0))</f>
        <v>0</v>
      </c>
      <c r="AH118" s="123">
        <f>IFERROR(IF(VLOOKUP($B118,Shortage!$A:$M,AH$2,FALSE)="Shortage",1,IFERROR(ROUND(V118/J118,4),0)),IFERROR(ROUND(V118/J118,4),0))</f>
        <v>0</v>
      </c>
      <c r="AI118" s="123">
        <f>IFERROR(IF(VLOOKUP($B118,Shortage!$A:$M,AI$2,FALSE)="Shortage",1,IFERROR(ROUND(W118/K118,4),0)),IFERROR(ROUND(W118/K118,4),0))</f>
        <v>0</v>
      </c>
      <c r="AJ118" s="123">
        <f>IFERROR(IF(VLOOKUP($B118,Shortage!$A:$M,AP$2,FALSE)="Shortage",1,IFERROR(ROUND(X118/L118,4),0)),IFERROR(ROUND(X118/L118,4),0))</f>
        <v>0</v>
      </c>
      <c r="AK118" s="123">
        <f>IFERROR(IF(VLOOKUP($B118,Shortage!$A:$M,AK$2,FALSE)="Shortage",1,IFERROR(ROUND(Y118/M118,4),0)),IFERROR(ROUND(Y118/M118,4),0))</f>
        <v>0</v>
      </c>
      <c r="AL118" s="123">
        <f>IFERROR(IF(VLOOKUP($B118,Shortage!$A:$M,AL$2,FALSE)="Shortage",1,IFERROR(ROUND(Z118/N118,4),0)),IFERROR(ROUND(Z118/N118,4),0))</f>
        <v>0</v>
      </c>
      <c r="AM118" s="123">
        <f>IFERROR(IF(VLOOKUP($B118,Shortage!$A:$M,AM$2,FALSE)="Shortage",1,IFERROR(ROUND(AA118/O118,4),0)),IFERROR(ROUND(AA118/O118,4),0))</f>
        <v>0</v>
      </c>
      <c r="AN118" s="232">
        <f>IFERROR(IF($C118="Top WS",VLOOKUP("GOAL",'2) หลักการคำนวน Table'!$D$4:$M$4,HLOOKUP(AB118,'2) หลักการคำนวน Table'!$D$1:$M$5,5,TRUE),0),
IF($C118="WS SF",VLOOKUP("GOAL",'2) หลักการคำนวน Table'!$D$32:$M$32,HLOOKUP(AB118,'2) หลักการคำนวน Table'!$D$1:$M$5,5,TRUE),0),
IF($C118="WS WH",VLOOKUP("GOAL",'2) หลักการคำนวน Table'!$D$62:$M$62,HLOOKUP(AB118,'2) หลักการคำนวน Table'!$D$1:$M$5,5,TRUE),0),
IF($C118="SF WH",VLOOKUP("GOAL",'2) หลักการคำนวน Table'!$D$92:$M$92,HLOOKUP(AB118,'2) หลักการคำนวน Table'!$D$1:$M$5,5,TRUE),0))))),0)</f>
        <v>1.2</v>
      </c>
      <c r="AO118" s="232">
        <f>IFERROR(IF($C118="Top WS",VLOOKUP("GOAL",'2) หลักการคำนวน Table'!$D$4:$M$4,HLOOKUP(AC118,'2) หลักการคำนวน Table'!$D$1:$M$5,5,TRUE),0),
IF($C118="WS SF",VLOOKUP("GOAL",'2) หลักการคำนวน Table'!$D$32:$M$32,HLOOKUP(AC118,'2) หลักการคำนวน Table'!$D$1:$M$5,5,TRUE),0),
IF($C118="WS WH",VLOOKUP("GOAL",'2) หลักการคำนวน Table'!$D$62:$M$62,HLOOKUP(AC118,'2) หลักการคำนวน Table'!$D$1:$M$5,5,TRUE),0),
IF($C118="SF WH",VLOOKUP("GOAL",'2) หลักการคำนวน Table'!$D$92:$M$92,HLOOKUP(AC118,'2) หลักการคำนวน Table'!$D$1:$M$5,5,TRUE),0))))),0)</f>
        <v>1.3</v>
      </c>
      <c r="AP118" s="232">
        <f>IFERROR(IF($C118="Top WS",VLOOKUP("GOAL",'2) หลักการคำนวน Table'!$D$4:$M$4,HLOOKUP(AD118,'2) หลักการคำนวน Table'!$D$1:$M$5,5,TRUE),0),
IF($C118="WS SF",VLOOKUP("GOAL",'2) หลักการคำนวน Table'!$D$32:$M$32,HLOOKUP(AD118,'2) หลักการคำนวน Table'!$D$1:$M$5,5,TRUE),0),
IF($C118="WS WH",VLOOKUP("GOAL",'2) หลักการคำนวน Table'!$D$62:$M$62,HLOOKUP(AD118,'2) หลักการคำนวน Table'!$D$1:$M$5,5,TRUE),0),
IF($C118="SF WH",VLOOKUP("GOAL",'2) หลักการคำนวน Table'!$D$92:$M$92,HLOOKUP(AD118,'2) หลักการคำนวน Table'!$D$1:$M$5,5,TRUE),0))))),0)</f>
        <v>0.9</v>
      </c>
      <c r="AQ118" s="232">
        <f>IFERROR(IF($C118="Top WS",VLOOKUP("GOAL",'2) หลักการคำนวน Table'!$D$4:$M$4,HLOOKUP(AE118,'2) หลักการคำนวน Table'!$D$1:$M$5,5,TRUE),0),
IF($C118="WS SF",VLOOKUP("GOAL",'2) หลักการคำนวน Table'!$D$32:$M$32,HLOOKUP(AE118,'2) หลักการคำนวน Table'!$D$1:$M$5,5,TRUE),0),
IF($C118="WS WH",VLOOKUP("GOAL",'2) หลักการคำนวน Table'!$D$62:$M$62,HLOOKUP(AE118,'2) หลักการคำนวน Table'!$D$1:$M$5,5,TRUE),0),
IF($C118="SF WH",VLOOKUP("GOAL",'2) หลักการคำนวน Table'!$D$92:$M$92,HLOOKUP(AE118,'2) หลักการคำนวน Table'!$D$1:$M$5,5,TRUE),0))))),0)</f>
        <v>0.9</v>
      </c>
      <c r="AR118" s="232">
        <f>IFERROR(IF($C118="Top WS",VLOOKUP("GOAL",'2) หลักการคำนวน Table'!$D$4:$M$4,HLOOKUP(AF118,'2) หลักการคำนวน Table'!$D$1:$M$5,5,TRUE),0),
IF($C118="WS SF",VLOOKUP("GOAL",'2) หลักการคำนวน Table'!$D$32:$M$32,HLOOKUP(AF118,'2) หลักการคำนวน Table'!$D$1:$M$5,5,TRUE),0),
IF($C118="WS WH",VLOOKUP("GOAL",'2) หลักการคำนวน Table'!$D$62:$M$62,HLOOKUP(AF118,'2) หลักการคำนวน Table'!$D$1:$M$5,5,TRUE),0),
IF($C118="SF WH",VLOOKUP("GOAL",'2) หลักการคำนวน Table'!$D$92:$M$92,HLOOKUP(AF118,'2) หลักการคำนวน Table'!$D$1:$M$5,5,TRUE),0))))),0)</f>
        <v>0.9</v>
      </c>
      <c r="AS118" s="232">
        <f>IFERROR(IF($C118="Top WS",VLOOKUP("GOAL",'2) หลักการคำนวน Table'!$D$4:$M$4,HLOOKUP(AG118,'2) หลักการคำนวน Table'!$D$1:$M$5,5,TRUE),0),
IF($C118="WS SF",VLOOKUP("GOAL",'2) หลักการคำนวน Table'!$D$32:$M$32,HLOOKUP(AG118,'2) หลักการคำนวน Table'!$D$1:$M$5,5,TRUE),0),
IF($C118="WS WH",VLOOKUP("GOAL",'2) หลักการคำนวน Table'!$D$62:$M$62,HLOOKUP(AG118,'2) หลักการคำนวน Table'!$D$1:$M$5,5,TRUE),0),
IF($C118="SF WH",VLOOKUP("GOAL",'2) หลักการคำนวน Table'!$D$92:$M$92,HLOOKUP(AG118,'2) หลักการคำนวน Table'!$D$1:$M$5,5,TRUE),0))))),0)</f>
        <v>0.9</v>
      </c>
      <c r="AT118" s="232">
        <f>IFERROR(IF($C118="Top WS",VLOOKUP("GOAL",'2) หลักการคำนวน Table'!$D$4:$M$4,HLOOKUP(AH118,'2) หลักการคำนวน Table'!$D$1:$M$5,5,TRUE),0),
IF($C118="WS SF",VLOOKUP("GOAL",'2) หลักการคำนวน Table'!$D$32:$M$32,HLOOKUP(AH118,'2) หลักการคำนวน Table'!$D$1:$M$5,5,TRUE),0),
IF($C118="WS WH",VLOOKUP("GOAL",'2) หลักการคำนวน Table'!$D$62:$M$62,HLOOKUP(AH118,'2) หลักการคำนวน Table'!$D$1:$M$5,5,TRUE),0),
IF($C118="SF WH",VLOOKUP("GOAL",'2) หลักการคำนวน Table'!$D$92:$M$92,HLOOKUP(AH118,'2) หลักการคำนวน Table'!$D$1:$M$5,5,TRUE),0))))),0)</f>
        <v>0.9</v>
      </c>
      <c r="AU118" s="232">
        <f>IFERROR(IF($C118="Top WS",VLOOKUP("GOAL",'2) หลักการคำนวน Table'!$D$4:$M$4,HLOOKUP(AI118,'2) หลักการคำนวน Table'!$D$1:$M$5,5,TRUE),0),
IF($C118="WS SF",VLOOKUP("GOAL",'2) หลักการคำนวน Table'!$D$32:$M$32,HLOOKUP(AI118,'2) หลักการคำนวน Table'!$D$1:$M$5,5,TRUE),0),
IF($C118="WS WH",VLOOKUP("GOAL",'2) หลักการคำนวน Table'!$D$62:$M$62,HLOOKUP(AI118,'2) หลักการคำนวน Table'!$D$1:$M$5,5,TRUE),0),
IF($C118="SF WH",VLOOKUP("GOAL",'2) หลักการคำนวน Table'!$D$92:$M$92,HLOOKUP(AI118,'2) หลักการคำนวน Table'!$D$1:$M$5,5,TRUE),0))))),0)</f>
        <v>0.9</v>
      </c>
      <c r="AV118" s="232">
        <f>IFERROR(IF($C118="Top WS",VLOOKUP("GOAL",'2) หลักการคำนวน Table'!$D$4:$M$4,HLOOKUP(AP118,'2) หลักการคำนวน Table'!$D$1:$M$5,5,TRUE),0),
IF($C118="WS SF",VLOOKUP("GOAL",'2) หลักการคำนวน Table'!$D$32:$M$32,HLOOKUP(AP118,'2) หลักการคำนวน Table'!$D$1:$M$5,5,TRUE),0),
IF($C118="WS WH",VLOOKUP("GOAL",'2) หลักการคำนวน Table'!$D$62:$M$62,HLOOKUP(AP118,'2) หลักการคำนวน Table'!$D$1:$M$5,5,TRUE),0),
IF($C118="SF WH",VLOOKUP("GOAL",'2) หลักการคำนวน Table'!$D$92:$M$92,HLOOKUP(AP118,'2) หลักการคำนวน Table'!$D$1:$M$5,5,TRUE),0))))),0)</f>
        <v>0.9</v>
      </c>
      <c r="AW118" s="232">
        <f>IFERROR(IF($C118="Top WS",VLOOKUP("GOAL",'2) หลักการคำนวน Table'!$D$4:$M$4,HLOOKUP(AK118,'2) หลักการคำนวน Table'!$D$1:$M$5,5,TRUE),0),
IF($C118="WS SF",VLOOKUP("GOAL",'2) หลักการคำนวน Table'!$D$32:$M$32,HLOOKUP(AK118,'2) หลักการคำนวน Table'!$D$1:$M$5,5,TRUE),0),
IF($C118="WS WH",VLOOKUP("GOAL",'2) หลักการคำนวน Table'!$D$62:$M$62,HLOOKUP(AK118,'2) หลักการคำนวน Table'!$D$1:$M$5,5,TRUE),0),
IF($C118="SF WH",VLOOKUP("GOAL",'2) หลักการคำนวน Table'!$D$92:$M$92,HLOOKUP(AK118,'2) หลักการคำนวน Table'!$D$1:$M$5,5,TRUE),0))))),0)</f>
        <v>0.9</v>
      </c>
      <c r="AX118" s="232">
        <f>IFERROR(IF($C118="Top WS",VLOOKUP("GOAL",'2) หลักการคำนวน Table'!$D$4:$M$4,HLOOKUP(AL118,'2) หลักการคำนวน Table'!$D$1:$M$5,5,TRUE),0),
IF($C118="WS SF",VLOOKUP("GOAL",'2) หลักการคำนวน Table'!$D$32:$M$32,HLOOKUP(AL118,'2) หลักการคำนวน Table'!$D$1:$M$5,5,TRUE),0),
IF($C118="WS WH",VLOOKUP("GOAL",'2) หลักการคำนวน Table'!$D$62:$M$62,HLOOKUP(AL118,'2) หลักการคำนวน Table'!$D$1:$M$5,5,TRUE),0),
IF($C118="SF WH",VLOOKUP("GOAL",'2) หลักการคำนวน Table'!$D$92:$M$92,HLOOKUP(AL118,'2) หลักการคำนวน Table'!$D$1:$M$5,5,TRUE),0))))),0)</f>
        <v>0.9</v>
      </c>
      <c r="AY118" s="232">
        <f>IFERROR(IF($C118="Top WS",VLOOKUP("GOAL",'2) หลักการคำนวน Table'!$D$4:$M$4,HLOOKUP(AM118,'2) หลักการคำนวน Table'!$D$1:$M$5,5,TRUE),0),
IF($C118="WS SF",VLOOKUP("GOAL",'2) หลักการคำนวน Table'!$D$32:$M$32,HLOOKUP(AM118,'2) หลักการคำนวน Table'!$D$1:$M$5,5,TRUE),0),
IF($C118="WS WH",VLOOKUP("GOAL",'2) หลักการคำนวน Table'!$D$62:$M$62,HLOOKUP(AM118,'2) หลักการคำนวน Table'!$D$1:$M$5,5,TRUE),0),
IF($C118="SF WH",VLOOKUP("GOAL",'2) หลักการคำนวน Table'!$D$92:$M$92,HLOOKUP(AM118,'2) หลักการคำนวน Table'!$D$1:$M$5,5,TRUE),0))))),0)</f>
        <v>0.9</v>
      </c>
      <c r="AZ118" s="167">
        <f>IFERROR(IF($C118="Top WS",VLOOKUP($B118,'2) หลักการคำนวน Table'!$D$5:$M$20,HLOOKUP(AB118,'2) หลักการคำนวน Table'!$D$1:$M$5,5,TRUE),0),
IF($C118="WS SF",VLOOKUP($B118,'2) หลักการคำนวน Table'!$D$33:$M$48,HLOOKUP(AB118,'2) หลักการคำนวน Table'!$D$1:$M$5,5,TRUE),0),
IF($C118="WS WH",VLOOKUP($B118,'2) หลักการคำนวน Table'!$D$63:$M$78,HLOOKUP(AB118,'2) หลักการคำนวน Table'!$D$1:$M$5,5,TRUE),0),
IF($C118="SF WH",VLOOKUP($B118,'2) หลักการคำนวน Table'!$D$93:$M$108,HLOOKUP(AB118,'2) หลักการคำนวน Table'!$D$1:$M$5,5,TRUE),0))))),0)</f>
        <v>240</v>
      </c>
      <c r="BA118" s="167">
        <f>IFERROR(IF($C118="Top WS",VLOOKUP($B118,'2) หลักการคำนวน Table'!$D$5:$M$20,HLOOKUP(AC118,'2) หลักการคำนวน Table'!$D$1:$M$5,5,TRUE),0),
IF($C118="WS SF",VLOOKUP($B118,'2) หลักการคำนวน Table'!$D$33:$M$48,HLOOKUP(AC118,'2) หลักการคำนวน Table'!$D$1:$M$5,5,TRUE),0),
IF($C118="WS WH",VLOOKUP($B118,'2) หลักการคำนวน Table'!$D$63:$M$78,HLOOKUP(AC118,'2) หลักการคำนวน Table'!$D$1:$M$5,5,TRUE),0),
IF($C118="SF WH",VLOOKUP($B118,'2) หลักการคำนวน Table'!$D$93:$M$108,HLOOKUP(AC118,'2) หลักการคำนวน Table'!$D$1:$M$5,5,TRUE),0))))),0)</f>
        <v>260</v>
      </c>
      <c r="BB118" s="167">
        <f>IFERROR(IF($C118="Top WS",VLOOKUP($B118,'2) หลักการคำนวน Table'!$D$5:$M$20,HLOOKUP(AD118,'2) หลักการคำนวน Table'!$D$1:$M$5,5,TRUE),0),
IF($C118="WS SF",VLOOKUP($B118,'2) หลักการคำนวน Table'!$D$33:$M$48,HLOOKUP(AD118,'2) หลักการคำนวน Table'!$D$1:$M$5,5,TRUE),0),
IF($C118="WS WH",VLOOKUP($B118,'2) หลักการคำนวน Table'!$D$63:$M$78,HLOOKUP(AD118,'2) หลักการคำนวน Table'!$D$1:$M$5,5,TRUE),0),
IF($C118="SF WH",VLOOKUP($B118,'2) หลักการคำนวน Table'!$D$93:$M$108,HLOOKUP(AD118,'2) หลักการคำนวน Table'!$D$1:$M$5,5,TRUE),0))))),0)</f>
        <v>180</v>
      </c>
      <c r="BC118" s="167">
        <f>IFERROR(IF($C118="Top WS",VLOOKUP($B118,'2) หลักการคำนวน Table'!$D$5:$M$20,HLOOKUP(AE118,'2) หลักการคำนวน Table'!$D$1:$M$5,5,TRUE),0),
IF($C118="WS SF",VLOOKUP($B118,'2) หลักการคำนวน Table'!$D$33:$M$48,HLOOKUP(AE118,'2) หลักการคำนวน Table'!$D$1:$M$5,5,TRUE),0),
IF($C118="WS WH",VLOOKUP($B118,'2) หลักการคำนวน Table'!$D$63:$M$78,HLOOKUP(AE118,'2) หลักการคำนวน Table'!$D$1:$M$5,5,TRUE),0),
IF($C118="SF WH",VLOOKUP($B118,'2) หลักการคำนวน Table'!$D$93:$M$108,HLOOKUP(AE118,'2) หลักการคำนวน Table'!$D$1:$M$5,5,TRUE),0))))),0)</f>
        <v>180</v>
      </c>
      <c r="BD118" s="167">
        <f>IFERROR(IF($C118="Top WS",VLOOKUP($B118,'2) หลักการคำนวน Table'!$D$5:$M$20,HLOOKUP(AF118,'2) หลักการคำนวน Table'!$D$1:$M$5,5,TRUE),0),
IF($C118="WS SF",VLOOKUP($B118,'2) หลักการคำนวน Table'!$D$33:$M$48,HLOOKUP(AF118,'2) หลักการคำนวน Table'!$D$1:$M$5,5,TRUE),0),
IF($C118="WS WH",VLOOKUP($B118,'2) หลักการคำนวน Table'!$D$63:$M$78,HLOOKUP(AF118,'2) หลักการคำนวน Table'!$D$1:$M$5,5,TRUE),0),
IF($C118="SF WH",VLOOKUP($B118,'2) หลักการคำนวน Table'!$D$93:$M$108,HLOOKUP(AF118,'2) หลักการคำนวน Table'!$D$1:$M$5,5,TRUE),0))))),0)</f>
        <v>180</v>
      </c>
      <c r="BE118" s="167">
        <f>IFERROR(IF($C118="Top WS",VLOOKUP($B118,'2) หลักการคำนวน Table'!$D$5:$M$20,HLOOKUP(AG118,'2) หลักการคำนวน Table'!$D$1:$M$5,5,TRUE),0),
IF($C118="WS SF",VLOOKUP($B118,'2) หลักการคำนวน Table'!$D$33:$M$48,HLOOKUP(AG118,'2) หลักการคำนวน Table'!$D$1:$M$5,5,TRUE),0),
IF($C118="WS WH",VLOOKUP($B118,'2) หลักการคำนวน Table'!$D$63:$M$78,HLOOKUP(AG118,'2) หลักการคำนวน Table'!$D$1:$M$5,5,TRUE),0),
IF($C118="SF WH",VLOOKUP($B118,'2) หลักการคำนวน Table'!$D$93:$M$108,HLOOKUP(AG118,'2) หลักการคำนวน Table'!$D$1:$M$5,5,TRUE),0))))),0)</f>
        <v>180</v>
      </c>
      <c r="BF118" s="167">
        <f>IFERROR(IF($C118="Top WS",VLOOKUP($B118,'2) หลักการคำนวน Table'!$D$5:$M$20,HLOOKUP(AH118,'2) หลักการคำนวน Table'!$D$1:$M$5,5,TRUE),0),
IF($C118="WS SF",VLOOKUP($B118,'2) หลักการคำนวน Table'!$D$33:$M$48,HLOOKUP(AH118,'2) หลักการคำนวน Table'!$D$1:$M$5,5,TRUE),0),
IF($C118="WS WH",VLOOKUP($B118,'2) หลักการคำนวน Table'!$D$63:$M$78,HLOOKUP(AH118,'2) หลักการคำนวน Table'!$D$1:$M$5,5,TRUE),0),
IF($C118="SF WH",VLOOKUP($B118,'2) หลักการคำนวน Table'!$D$93:$M$108,HLOOKUP(AH118,'2) หลักการคำนวน Table'!$D$1:$M$5,5,TRUE),0))))),0)</f>
        <v>180</v>
      </c>
      <c r="BG118" s="167">
        <f>IFERROR(IF($C118="Top WS",VLOOKUP($B118,'2) หลักการคำนวน Table'!$D$5:$M$20,HLOOKUP(AI118,'2) หลักการคำนวน Table'!$D$1:$M$5,5,TRUE),0),
IF($C118="WS SF",VLOOKUP($B118,'2) หลักการคำนวน Table'!$D$33:$M$48,HLOOKUP(AI118,'2) หลักการคำนวน Table'!$D$1:$M$5,5,TRUE),0),
IF($C118="WS WH",VLOOKUP($B118,'2) หลักการคำนวน Table'!$D$63:$M$78,HLOOKUP(AI118,'2) หลักการคำนวน Table'!$D$1:$M$5,5,TRUE),0),
IF($C118="SF WH",VLOOKUP($B118,'2) หลักการคำนวน Table'!$D$93:$M$108,HLOOKUP(AI118,'2) หลักการคำนวน Table'!$D$1:$M$5,5,TRUE),0))))),0)</f>
        <v>180</v>
      </c>
      <c r="BH118" s="167">
        <f>IFERROR(IF($C118="Top WS",VLOOKUP($B118,'2) หลักการคำนวน Table'!$D$5:$M$20,HLOOKUP(AP118,'2) หลักการคำนวน Table'!$D$1:$M$5,5,TRUE),0),
IF($C118="WS SF",VLOOKUP($B118,'2) หลักการคำนวน Table'!$D$33:$M$48,HLOOKUP(AP118,'2) หลักการคำนวน Table'!$D$1:$M$5,5,TRUE),0),
IF($C118="WS WH",VLOOKUP($B118,'2) หลักการคำนวน Table'!$D$63:$M$78,HLOOKUP(AP118,'2) หลักการคำนวน Table'!$D$1:$M$5,5,TRUE),0),
IF($C118="SF WH",VLOOKUP($B118,'2) หลักการคำนวน Table'!$D$93:$M$108,HLOOKUP(AP118,'2) หลักการคำนวน Table'!$D$1:$M$5,5,TRUE),0))))),0)</f>
        <v>180</v>
      </c>
      <c r="BI118" s="167">
        <f>IFERROR(IF($C118="Top WS",VLOOKUP($B118,'2) หลักการคำนวน Table'!$D$5:$M$20,HLOOKUP(AK118,'2) หลักการคำนวน Table'!$D$1:$M$5,5,TRUE),0),
IF($C118="WS SF",VLOOKUP($B118,'2) หลักการคำนวน Table'!$D$33:$M$48,HLOOKUP(AK118,'2) หลักการคำนวน Table'!$D$1:$M$5,5,TRUE),0),
IF($C118="WS WH",VLOOKUP($B118,'2) หลักการคำนวน Table'!$D$63:$M$78,HLOOKUP(AK118,'2) หลักการคำนวน Table'!$D$1:$M$5,5,TRUE),0),
IF($C118="SF WH",VLOOKUP($B118,'2) หลักการคำนวน Table'!$D$93:$M$108,HLOOKUP(AK118,'2) หลักการคำนวน Table'!$D$1:$M$5,5,TRUE),0))))),0)</f>
        <v>180</v>
      </c>
      <c r="BJ118" s="167">
        <f>IFERROR(IF($C118="Top WS",VLOOKUP($B118,'2) หลักการคำนวน Table'!$D$5:$M$20,HLOOKUP(AL118,'2) หลักการคำนวน Table'!$D$1:$M$5,5,TRUE),0),
IF($C118="WS SF",VLOOKUP($B118,'2) หลักการคำนวน Table'!$D$33:$M$48,HLOOKUP(AL118,'2) หลักการคำนวน Table'!$D$1:$M$5,5,TRUE),0),
IF($C118="WS WH",VLOOKUP($B118,'2) หลักการคำนวน Table'!$D$63:$M$78,HLOOKUP(AL118,'2) หลักการคำนวน Table'!$D$1:$M$5,5,TRUE),0),
IF($C118="SF WH",VLOOKUP($B118,'2) หลักการคำนวน Table'!$D$93:$M$108,HLOOKUP(AL118,'2) หลักการคำนวน Table'!$D$1:$M$5,5,TRUE),0))))),0)</f>
        <v>180</v>
      </c>
      <c r="BK118" s="167">
        <f>IFERROR(IF($C118="Top WS",VLOOKUP($B118,'2) หลักการคำนวน Table'!$D$5:$M$20,HLOOKUP(AM118,'2) หลักการคำนวน Table'!$D$1:$M$5,5,TRUE),0),
IF($C118="WS SF",VLOOKUP($B118,'2) หลักการคำนวน Table'!$D$33:$M$48,HLOOKUP(AM118,'2) หลักการคำนวน Table'!$D$1:$M$5,5,TRUE),0),
IF($C118="WS WH",VLOOKUP($B118,'2) หลักการคำนวน Table'!$D$63:$M$78,HLOOKUP(AM118,'2) หลักการคำนวน Table'!$D$1:$M$5,5,TRUE),0),
IF($C118="SF WH",VLOOKUP($B118,'2) หลักการคำนวน Table'!$D$93:$M$108,HLOOKUP(AM118,'2) หลักการคำนวน Table'!$D$1:$M$5,5,TRUE),0))))),0)</f>
        <v>180</v>
      </c>
      <c r="BM118" s="119">
        <f>VLOOKUP(VLOOKUP(A118,ASTBase!E:S,13,FALSE),ASTBase!F:P,11,FALSE)</f>
        <v>150000</v>
      </c>
      <c r="BN118" s="196" cm="1">
        <f t="array" ref="BN118">INDEX(AN118:AY118,,Period!$D$2)</f>
        <v>1.3</v>
      </c>
    </row>
    <row r="119" spans="1:66" x14ac:dyDescent="0.25">
      <c r="A119" s="117">
        <v>150001</v>
      </c>
      <c r="B119" s="117" t="s">
        <v>402</v>
      </c>
      <c r="C119" s="117" t="s">
        <v>178</v>
      </c>
      <c r="D119" s="118">
        <v>235</v>
      </c>
      <c r="E119" s="118">
        <v>425</v>
      </c>
      <c r="F119" s="118">
        <v>295</v>
      </c>
      <c r="G119" s="118">
        <v>451</v>
      </c>
      <c r="H119" s="118">
        <v>621</v>
      </c>
      <c r="I119" s="118">
        <v>530</v>
      </c>
      <c r="J119" s="118">
        <v>625</v>
      </c>
      <c r="K119" s="118">
        <v>703</v>
      </c>
      <c r="L119" s="118">
        <v>656</v>
      </c>
      <c r="M119" s="118">
        <v>646</v>
      </c>
      <c r="N119" s="118">
        <v>780</v>
      </c>
      <c r="O119" s="118">
        <v>470</v>
      </c>
      <c r="P119" s="117">
        <f>SUMIFS(Actual!C:C,Actual!$A:$A,'3)Target &amp; Cal'!$A119,Actual!$B:$B,'3)Target &amp; Cal'!$B119)</f>
        <v>818.19999999999993</v>
      </c>
      <c r="Q119" s="117">
        <f>SUMIFS(Actual!D:D,Actual!$A:$A,'3)Target &amp; Cal'!$A119,Actual!$B:$B,'3)Target &amp; Cal'!$B119)</f>
        <v>335.7</v>
      </c>
      <c r="R119" s="117">
        <f>SUMIFS(Actual!E:E,Actual!$A:$A,'3)Target &amp; Cal'!$A119,Actual!$B:$B,'3)Target &amp; Cal'!$B119)</f>
        <v>0</v>
      </c>
      <c r="S119" s="117">
        <f>SUMIFS(Actual!F:F,Actual!$A:$A,'3)Target &amp; Cal'!$A119,Actual!$B:$B,'3)Target &amp; Cal'!$B119)</f>
        <v>0</v>
      </c>
      <c r="T119" s="117">
        <f>SUMIFS(Actual!G:G,Actual!$A:$A,'3)Target &amp; Cal'!$A119,Actual!$B:$B,'3)Target &amp; Cal'!$B119)</f>
        <v>0</v>
      </c>
      <c r="U119" s="117">
        <f>SUMIFS(Actual!H:H,Actual!$A:$A,'3)Target &amp; Cal'!$A119,Actual!$B:$B,'3)Target &amp; Cal'!$B119)</f>
        <v>0</v>
      </c>
      <c r="V119" s="117">
        <f>SUMIFS(Actual!I:I,Actual!$A:$A,'3)Target &amp; Cal'!$A119,Actual!$B:$B,'3)Target &amp; Cal'!$B119)</f>
        <v>0</v>
      </c>
      <c r="W119" s="117">
        <f>SUMIFS(Actual!J:J,Actual!$A:$A,'3)Target &amp; Cal'!$A119,Actual!$B:$B,'3)Target &amp; Cal'!$B119)</f>
        <v>0</v>
      </c>
      <c r="X119" s="117">
        <f>SUMIFS(Actual!K:K,Actual!$A:$A,'3)Target &amp; Cal'!$A119,Actual!$B:$B,'3)Target &amp; Cal'!$B119)</f>
        <v>0</v>
      </c>
      <c r="Y119" s="117">
        <f>SUMIFS(Actual!L:L,Actual!$A:$A,'3)Target &amp; Cal'!$A119,Actual!$B:$B,'3)Target &amp; Cal'!$B119)</f>
        <v>0</v>
      </c>
      <c r="Z119" s="117">
        <f>SUMIFS(Actual!M:M,Actual!$A:$A,'3)Target &amp; Cal'!$A119,Actual!$B:$B,'3)Target &amp; Cal'!$B119)</f>
        <v>0</v>
      </c>
      <c r="AA119" s="117">
        <f>SUMIFS(Actual!N:N,Actual!$A:$A,'3)Target &amp; Cal'!$A119,Actual!$B:$B,'3)Target &amp; Cal'!$B119)</f>
        <v>0</v>
      </c>
      <c r="AB119" s="123">
        <f>IFERROR(IF(VLOOKUP($B119,Shortage!$A:$M,AB$2,FALSE)="Shortage",1,IFERROR(ROUND(P119/D119,4),0)),IFERROR(ROUND(P119/D119,4),0))</f>
        <v>3.4817</v>
      </c>
      <c r="AC119" s="123">
        <f>IFERROR(IF(VLOOKUP($B119,Shortage!$A:$M,AC$2,FALSE)="Shortage",1,IFERROR(ROUND(Q119/E119,4),0)),IFERROR(ROUND(Q119/E119,4),0))</f>
        <v>0.78990000000000005</v>
      </c>
      <c r="AD119" s="123">
        <f>IFERROR(IF(VLOOKUP($B119,Shortage!$A:$M,AD$2,FALSE)="Shortage",1,IFERROR(ROUND(R119/F119,4),0)),IFERROR(ROUND(R119/F119,4),0))</f>
        <v>0</v>
      </c>
      <c r="AE119" s="123">
        <f>IFERROR(IF(VLOOKUP($B119,Shortage!$A:$M,AE$2,FALSE)="Shortage",1,IFERROR(ROUND(S119/G119,4),0)),IFERROR(ROUND(S119/G119,4),0))</f>
        <v>0</v>
      </c>
      <c r="AF119" s="123">
        <f>IFERROR(IF(VLOOKUP($B119,Shortage!$A:$M,AF$2,FALSE)="Shortage",1,IFERROR(ROUND(T119/H119,4),0)),IFERROR(ROUND(T119/H119,4),0))</f>
        <v>0</v>
      </c>
      <c r="AG119" s="123">
        <f>IFERROR(IF(VLOOKUP($B119,Shortage!$A:$M,AG$2,FALSE)="Shortage",1,IFERROR(ROUND(U119/I119,4),0)),IFERROR(ROUND(U119/I119,4),0))</f>
        <v>0</v>
      </c>
      <c r="AH119" s="123">
        <f>IFERROR(IF(VLOOKUP($B119,Shortage!$A:$M,AH$2,FALSE)="Shortage",1,IFERROR(ROUND(V119/J119,4),0)),IFERROR(ROUND(V119/J119,4),0))</f>
        <v>0</v>
      </c>
      <c r="AI119" s="123">
        <f>IFERROR(IF(VLOOKUP($B119,Shortage!$A:$M,AI$2,FALSE)="Shortage",1,IFERROR(ROUND(W119/K119,4),0)),IFERROR(ROUND(W119/K119,4),0))</f>
        <v>0</v>
      </c>
      <c r="AJ119" s="123">
        <f>IFERROR(IF(VLOOKUP($B119,Shortage!$A:$M,AP$2,FALSE)="Shortage",1,IFERROR(ROUND(X119/L119,4),0)),IFERROR(ROUND(X119/L119,4),0))</f>
        <v>0</v>
      </c>
      <c r="AK119" s="123">
        <f>IFERROR(IF(VLOOKUP($B119,Shortage!$A:$M,AK$2,FALSE)="Shortage",1,IFERROR(ROUND(Y119/M119,4),0)),IFERROR(ROUND(Y119/M119,4),0))</f>
        <v>0</v>
      </c>
      <c r="AL119" s="123">
        <f>IFERROR(IF(VLOOKUP($B119,Shortage!$A:$M,AL$2,FALSE)="Shortage",1,IFERROR(ROUND(Z119/N119,4),0)),IFERROR(ROUND(Z119/N119,4),0))</f>
        <v>0</v>
      </c>
      <c r="AM119" s="123">
        <f>IFERROR(IF(VLOOKUP($B119,Shortage!$A:$M,AM$2,FALSE)="Shortage",1,IFERROR(ROUND(AA119/O119,4),0)),IFERROR(ROUND(AA119/O119,4),0))</f>
        <v>0</v>
      </c>
      <c r="AN119" s="232">
        <f>IFERROR(IF($C119="Top WS",VLOOKUP("GOAL",'2) หลักการคำนวน Table'!$D$4:$M$4,HLOOKUP(AB119,'2) หลักการคำนวน Table'!$D$1:$M$5,5,TRUE),0),
IF($C119="WS SF",VLOOKUP("GOAL",'2) หลักการคำนวน Table'!$D$32:$M$32,HLOOKUP(AB119,'2) หลักการคำนวน Table'!$D$1:$M$5,5,TRUE),0),
IF($C119="WS WH",VLOOKUP("GOAL",'2) หลักการคำนวน Table'!$D$62:$M$62,HLOOKUP(AB119,'2) หลักการคำนวน Table'!$D$1:$M$5,5,TRUE),0),
IF($C119="SF WH",VLOOKUP("GOAL",'2) หลักการคำนวน Table'!$D$92:$M$92,HLOOKUP(AB119,'2) หลักการคำนวน Table'!$D$1:$M$5,5,TRUE),0))))),0)</f>
        <v>1.3</v>
      </c>
      <c r="AO119" s="232">
        <f>IFERROR(IF($C119="Top WS",VLOOKUP("GOAL",'2) หลักการคำนวน Table'!$D$4:$M$4,HLOOKUP(AC119,'2) หลักการคำนวน Table'!$D$1:$M$5,5,TRUE),0),
IF($C119="WS SF",VLOOKUP("GOAL",'2) หลักการคำนวน Table'!$D$32:$M$32,HLOOKUP(AC119,'2) หลักการคำนวน Table'!$D$1:$M$5,5,TRUE),0),
IF($C119="WS WH",VLOOKUP("GOAL",'2) หลักการคำนวน Table'!$D$62:$M$62,HLOOKUP(AC119,'2) หลักการคำนวน Table'!$D$1:$M$5,5,TRUE),0),
IF($C119="SF WH",VLOOKUP("GOAL",'2) หลักการคำนวน Table'!$D$92:$M$92,HLOOKUP(AC119,'2) หลักการคำนวน Table'!$D$1:$M$5,5,TRUE),0))))),0)</f>
        <v>0.9</v>
      </c>
      <c r="AP119" s="232">
        <f>IFERROR(IF($C119="Top WS",VLOOKUP("GOAL",'2) หลักการคำนวน Table'!$D$4:$M$4,HLOOKUP(AD119,'2) หลักการคำนวน Table'!$D$1:$M$5,5,TRUE),0),
IF($C119="WS SF",VLOOKUP("GOAL",'2) หลักการคำนวน Table'!$D$32:$M$32,HLOOKUP(AD119,'2) หลักการคำนวน Table'!$D$1:$M$5,5,TRUE),0),
IF($C119="WS WH",VLOOKUP("GOAL",'2) หลักการคำนวน Table'!$D$62:$M$62,HLOOKUP(AD119,'2) หลักการคำนวน Table'!$D$1:$M$5,5,TRUE),0),
IF($C119="SF WH",VLOOKUP("GOAL",'2) หลักการคำนวน Table'!$D$92:$M$92,HLOOKUP(AD119,'2) หลักการคำนวน Table'!$D$1:$M$5,5,TRUE),0))))),0)</f>
        <v>0.9</v>
      </c>
      <c r="AQ119" s="232">
        <f>IFERROR(IF($C119="Top WS",VLOOKUP("GOAL",'2) หลักการคำนวน Table'!$D$4:$M$4,HLOOKUP(AE119,'2) หลักการคำนวน Table'!$D$1:$M$5,5,TRUE),0),
IF($C119="WS SF",VLOOKUP("GOAL",'2) หลักการคำนวน Table'!$D$32:$M$32,HLOOKUP(AE119,'2) หลักการคำนวน Table'!$D$1:$M$5,5,TRUE),0),
IF($C119="WS WH",VLOOKUP("GOAL",'2) หลักการคำนวน Table'!$D$62:$M$62,HLOOKUP(AE119,'2) หลักการคำนวน Table'!$D$1:$M$5,5,TRUE),0),
IF($C119="SF WH",VLOOKUP("GOAL",'2) หลักการคำนวน Table'!$D$92:$M$92,HLOOKUP(AE119,'2) หลักการคำนวน Table'!$D$1:$M$5,5,TRUE),0))))),0)</f>
        <v>0.9</v>
      </c>
      <c r="AR119" s="232">
        <f>IFERROR(IF($C119="Top WS",VLOOKUP("GOAL",'2) หลักการคำนวน Table'!$D$4:$M$4,HLOOKUP(AF119,'2) หลักการคำนวน Table'!$D$1:$M$5,5,TRUE),0),
IF($C119="WS SF",VLOOKUP("GOAL",'2) หลักการคำนวน Table'!$D$32:$M$32,HLOOKUP(AF119,'2) หลักการคำนวน Table'!$D$1:$M$5,5,TRUE),0),
IF($C119="WS WH",VLOOKUP("GOAL",'2) หลักการคำนวน Table'!$D$62:$M$62,HLOOKUP(AF119,'2) หลักการคำนวน Table'!$D$1:$M$5,5,TRUE),0),
IF($C119="SF WH",VLOOKUP("GOAL",'2) หลักการคำนวน Table'!$D$92:$M$92,HLOOKUP(AF119,'2) หลักการคำนวน Table'!$D$1:$M$5,5,TRUE),0))))),0)</f>
        <v>0.9</v>
      </c>
      <c r="AS119" s="232">
        <f>IFERROR(IF($C119="Top WS",VLOOKUP("GOAL",'2) หลักการคำนวน Table'!$D$4:$M$4,HLOOKUP(AG119,'2) หลักการคำนวน Table'!$D$1:$M$5,5,TRUE),0),
IF($C119="WS SF",VLOOKUP("GOAL",'2) หลักการคำนวน Table'!$D$32:$M$32,HLOOKUP(AG119,'2) หลักการคำนวน Table'!$D$1:$M$5,5,TRUE),0),
IF($C119="WS WH",VLOOKUP("GOAL",'2) หลักการคำนวน Table'!$D$62:$M$62,HLOOKUP(AG119,'2) หลักการคำนวน Table'!$D$1:$M$5,5,TRUE),0),
IF($C119="SF WH",VLOOKUP("GOAL",'2) หลักการคำนวน Table'!$D$92:$M$92,HLOOKUP(AG119,'2) หลักการคำนวน Table'!$D$1:$M$5,5,TRUE),0))))),0)</f>
        <v>0.9</v>
      </c>
      <c r="AT119" s="232">
        <f>IFERROR(IF($C119="Top WS",VLOOKUP("GOAL",'2) หลักการคำนวน Table'!$D$4:$M$4,HLOOKUP(AH119,'2) หลักการคำนวน Table'!$D$1:$M$5,5,TRUE),0),
IF($C119="WS SF",VLOOKUP("GOAL",'2) หลักการคำนวน Table'!$D$32:$M$32,HLOOKUP(AH119,'2) หลักการคำนวน Table'!$D$1:$M$5,5,TRUE),0),
IF($C119="WS WH",VLOOKUP("GOAL",'2) หลักการคำนวน Table'!$D$62:$M$62,HLOOKUP(AH119,'2) หลักการคำนวน Table'!$D$1:$M$5,5,TRUE),0),
IF($C119="SF WH",VLOOKUP("GOAL",'2) หลักการคำนวน Table'!$D$92:$M$92,HLOOKUP(AH119,'2) หลักการคำนวน Table'!$D$1:$M$5,5,TRUE),0))))),0)</f>
        <v>0.9</v>
      </c>
      <c r="AU119" s="232">
        <f>IFERROR(IF($C119="Top WS",VLOOKUP("GOAL",'2) หลักการคำนวน Table'!$D$4:$M$4,HLOOKUP(AI119,'2) หลักการคำนวน Table'!$D$1:$M$5,5,TRUE),0),
IF($C119="WS SF",VLOOKUP("GOAL",'2) หลักการคำนวน Table'!$D$32:$M$32,HLOOKUP(AI119,'2) หลักการคำนวน Table'!$D$1:$M$5,5,TRUE),0),
IF($C119="WS WH",VLOOKUP("GOAL",'2) หลักการคำนวน Table'!$D$62:$M$62,HLOOKUP(AI119,'2) หลักการคำนวน Table'!$D$1:$M$5,5,TRUE),0),
IF($C119="SF WH",VLOOKUP("GOAL",'2) หลักการคำนวน Table'!$D$92:$M$92,HLOOKUP(AI119,'2) หลักการคำนวน Table'!$D$1:$M$5,5,TRUE),0))))),0)</f>
        <v>0.9</v>
      </c>
      <c r="AV119" s="232">
        <f>IFERROR(IF($C119="Top WS",VLOOKUP("GOAL",'2) หลักการคำนวน Table'!$D$4:$M$4,HLOOKUP(AP119,'2) หลักการคำนวน Table'!$D$1:$M$5,5,TRUE),0),
IF($C119="WS SF",VLOOKUP("GOAL",'2) หลักการคำนวน Table'!$D$32:$M$32,HLOOKUP(AP119,'2) หลักการคำนวน Table'!$D$1:$M$5,5,TRUE),0),
IF($C119="WS WH",VLOOKUP("GOAL",'2) หลักการคำนวน Table'!$D$62:$M$62,HLOOKUP(AP119,'2) หลักการคำนวน Table'!$D$1:$M$5,5,TRUE),0),
IF($C119="SF WH",VLOOKUP("GOAL",'2) หลักการคำนวน Table'!$D$92:$M$92,HLOOKUP(AP119,'2) หลักการคำนวน Table'!$D$1:$M$5,5,TRUE),0))))),0)</f>
        <v>0.9</v>
      </c>
      <c r="AW119" s="232">
        <f>IFERROR(IF($C119="Top WS",VLOOKUP("GOAL",'2) หลักการคำนวน Table'!$D$4:$M$4,HLOOKUP(AK119,'2) หลักการคำนวน Table'!$D$1:$M$5,5,TRUE),0),
IF($C119="WS SF",VLOOKUP("GOAL",'2) หลักการคำนวน Table'!$D$32:$M$32,HLOOKUP(AK119,'2) หลักการคำนวน Table'!$D$1:$M$5,5,TRUE),0),
IF($C119="WS WH",VLOOKUP("GOAL",'2) หลักการคำนวน Table'!$D$62:$M$62,HLOOKUP(AK119,'2) หลักการคำนวน Table'!$D$1:$M$5,5,TRUE),0),
IF($C119="SF WH",VLOOKUP("GOAL",'2) หลักการคำนวน Table'!$D$92:$M$92,HLOOKUP(AK119,'2) หลักการคำนวน Table'!$D$1:$M$5,5,TRUE),0))))),0)</f>
        <v>0.9</v>
      </c>
      <c r="AX119" s="232">
        <f>IFERROR(IF($C119="Top WS",VLOOKUP("GOAL",'2) หลักการคำนวน Table'!$D$4:$M$4,HLOOKUP(AL119,'2) หลักการคำนวน Table'!$D$1:$M$5,5,TRUE),0),
IF($C119="WS SF",VLOOKUP("GOAL",'2) หลักการคำนวน Table'!$D$32:$M$32,HLOOKUP(AL119,'2) หลักการคำนวน Table'!$D$1:$M$5,5,TRUE),0),
IF($C119="WS WH",VLOOKUP("GOAL",'2) หลักการคำนวน Table'!$D$62:$M$62,HLOOKUP(AL119,'2) หลักการคำนวน Table'!$D$1:$M$5,5,TRUE),0),
IF($C119="SF WH",VLOOKUP("GOAL",'2) หลักการคำนวน Table'!$D$92:$M$92,HLOOKUP(AL119,'2) หลักการคำนวน Table'!$D$1:$M$5,5,TRUE),0))))),0)</f>
        <v>0.9</v>
      </c>
      <c r="AY119" s="232">
        <f>IFERROR(IF($C119="Top WS",VLOOKUP("GOAL",'2) หลักการคำนวน Table'!$D$4:$M$4,HLOOKUP(AM119,'2) หลักการคำนวน Table'!$D$1:$M$5,5,TRUE),0),
IF($C119="WS SF",VLOOKUP("GOAL",'2) หลักการคำนวน Table'!$D$32:$M$32,HLOOKUP(AM119,'2) หลักการคำนวน Table'!$D$1:$M$5,5,TRUE),0),
IF($C119="WS WH",VLOOKUP("GOAL",'2) หลักการคำนวน Table'!$D$62:$M$62,HLOOKUP(AM119,'2) หลักการคำนวน Table'!$D$1:$M$5,5,TRUE),0),
IF($C119="SF WH",VLOOKUP("GOAL",'2) หลักการคำนวน Table'!$D$92:$M$92,HLOOKUP(AM119,'2) หลักการคำนวน Table'!$D$1:$M$5,5,TRUE),0))))),0)</f>
        <v>0.9</v>
      </c>
      <c r="AZ119" s="167">
        <f>IFERROR(IF($C119="Top WS",VLOOKUP($B119,'2) หลักการคำนวน Table'!$D$5:$M$20,HLOOKUP(AB119,'2) หลักการคำนวน Table'!$D$1:$M$5,5,TRUE),0),
IF($C119="WS SF",VLOOKUP($B119,'2) หลักการคำนวน Table'!$D$33:$M$48,HLOOKUP(AB119,'2) หลักการคำนวน Table'!$D$1:$M$5,5,TRUE),0),
IF($C119="WS WH",VLOOKUP($B119,'2) หลักการคำนวน Table'!$D$63:$M$78,HLOOKUP(AB119,'2) หลักการคำนวน Table'!$D$1:$M$5,5,TRUE),0),
IF($C119="SF WH",VLOOKUP($B119,'2) หลักการคำนวน Table'!$D$93:$M$108,HLOOKUP(AB119,'2) หลักการคำนวน Table'!$D$1:$M$5,5,TRUE),0))))),0)</f>
        <v>260</v>
      </c>
      <c r="BA119" s="167">
        <f>IFERROR(IF($C119="Top WS",VLOOKUP($B119,'2) หลักการคำนวน Table'!$D$5:$M$20,HLOOKUP(AC119,'2) หลักการคำนวน Table'!$D$1:$M$5,5,TRUE),0),
IF($C119="WS SF",VLOOKUP($B119,'2) หลักการคำนวน Table'!$D$33:$M$48,HLOOKUP(AC119,'2) หลักการคำนวน Table'!$D$1:$M$5,5,TRUE),0),
IF($C119="WS WH",VLOOKUP($B119,'2) หลักการคำนวน Table'!$D$63:$M$78,HLOOKUP(AC119,'2) หลักการคำนวน Table'!$D$1:$M$5,5,TRUE),0),
IF($C119="SF WH",VLOOKUP($B119,'2) หลักการคำนวน Table'!$D$93:$M$108,HLOOKUP(AC119,'2) หลักการคำนวน Table'!$D$1:$M$5,5,TRUE),0))))),0)</f>
        <v>180</v>
      </c>
      <c r="BB119" s="167">
        <f>IFERROR(IF($C119="Top WS",VLOOKUP($B119,'2) หลักการคำนวน Table'!$D$5:$M$20,HLOOKUP(AD119,'2) หลักการคำนวน Table'!$D$1:$M$5,5,TRUE),0),
IF($C119="WS SF",VLOOKUP($B119,'2) หลักการคำนวน Table'!$D$33:$M$48,HLOOKUP(AD119,'2) หลักการคำนวน Table'!$D$1:$M$5,5,TRUE),0),
IF($C119="WS WH",VLOOKUP($B119,'2) หลักการคำนวน Table'!$D$63:$M$78,HLOOKUP(AD119,'2) หลักการคำนวน Table'!$D$1:$M$5,5,TRUE),0),
IF($C119="SF WH",VLOOKUP($B119,'2) หลักการคำนวน Table'!$D$93:$M$108,HLOOKUP(AD119,'2) หลักการคำนวน Table'!$D$1:$M$5,5,TRUE),0))))),0)</f>
        <v>180</v>
      </c>
      <c r="BC119" s="167">
        <f>IFERROR(IF($C119="Top WS",VLOOKUP($B119,'2) หลักการคำนวน Table'!$D$5:$M$20,HLOOKUP(AE119,'2) หลักการคำนวน Table'!$D$1:$M$5,5,TRUE),0),
IF($C119="WS SF",VLOOKUP($B119,'2) หลักการคำนวน Table'!$D$33:$M$48,HLOOKUP(AE119,'2) หลักการคำนวน Table'!$D$1:$M$5,5,TRUE),0),
IF($C119="WS WH",VLOOKUP($B119,'2) หลักการคำนวน Table'!$D$63:$M$78,HLOOKUP(AE119,'2) หลักการคำนวน Table'!$D$1:$M$5,5,TRUE),0),
IF($C119="SF WH",VLOOKUP($B119,'2) หลักการคำนวน Table'!$D$93:$M$108,HLOOKUP(AE119,'2) หลักการคำนวน Table'!$D$1:$M$5,5,TRUE),0))))),0)</f>
        <v>180</v>
      </c>
      <c r="BD119" s="167">
        <f>IFERROR(IF($C119="Top WS",VLOOKUP($B119,'2) หลักการคำนวน Table'!$D$5:$M$20,HLOOKUP(AF119,'2) หลักการคำนวน Table'!$D$1:$M$5,5,TRUE),0),
IF($C119="WS SF",VLOOKUP($B119,'2) หลักการคำนวน Table'!$D$33:$M$48,HLOOKUP(AF119,'2) หลักการคำนวน Table'!$D$1:$M$5,5,TRUE),0),
IF($C119="WS WH",VLOOKUP($B119,'2) หลักการคำนวน Table'!$D$63:$M$78,HLOOKUP(AF119,'2) หลักการคำนวน Table'!$D$1:$M$5,5,TRUE),0),
IF($C119="SF WH",VLOOKUP($B119,'2) หลักการคำนวน Table'!$D$93:$M$108,HLOOKUP(AF119,'2) หลักการคำนวน Table'!$D$1:$M$5,5,TRUE),0))))),0)</f>
        <v>180</v>
      </c>
      <c r="BE119" s="167">
        <f>IFERROR(IF($C119="Top WS",VLOOKUP($B119,'2) หลักการคำนวน Table'!$D$5:$M$20,HLOOKUP(AG119,'2) หลักการคำนวน Table'!$D$1:$M$5,5,TRUE),0),
IF($C119="WS SF",VLOOKUP($B119,'2) หลักการคำนวน Table'!$D$33:$M$48,HLOOKUP(AG119,'2) หลักการคำนวน Table'!$D$1:$M$5,5,TRUE),0),
IF($C119="WS WH",VLOOKUP($B119,'2) หลักการคำนวน Table'!$D$63:$M$78,HLOOKUP(AG119,'2) หลักการคำนวน Table'!$D$1:$M$5,5,TRUE),0),
IF($C119="SF WH",VLOOKUP($B119,'2) หลักการคำนวน Table'!$D$93:$M$108,HLOOKUP(AG119,'2) หลักการคำนวน Table'!$D$1:$M$5,5,TRUE),0))))),0)</f>
        <v>180</v>
      </c>
      <c r="BF119" s="167">
        <f>IFERROR(IF($C119="Top WS",VLOOKUP($B119,'2) หลักการคำนวน Table'!$D$5:$M$20,HLOOKUP(AH119,'2) หลักการคำนวน Table'!$D$1:$M$5,5,TRUE),0),
IF($C119="WS SF",VLOOKUP($B119,'2) หลักการคำนวน Table'!$D$33:$M$48,HLOOKUP(AH119,'2) หลักการคำนวน Table'!$D$1:$M$5,5,TRUE),0),
IF($C119="WS WH",VLOOKUP($B119,'2) หลักการคำนวน Table'!$D$63:$M$78,HLOOKUP(AH119,'2) หลักการคำนวน Table'!$D$1:$M$5,5,TRUE),0),
IF($C119="SF WH",VLOOKUP($B119,'2) หลักการคำนวน Table'!$D$93:$M$108,HLOOKUP(AH119,'2) หลักการคำนวน Table'!$D$1:$M$5,5,TRUE),0))))),0)</f>
        <v>180</v>
      </c>
      <c r="BG119" s="167">
        <f>IFERROR(IF($C119="Top WS",VLOOKUP($B119,'2) หลักการคำนวน Table'!$D$5:$M$20,HLOOKUP(AI119,'2) หลักการคำนวน Table'!$D$1:$M$5,5,TRUE),0),
IF($C119="WS SF",VLOOKUP($B119,'2) หลักการคำนวน Table'!$D$33:$M$48,HLOOKUP(AI119,'2) หลักการคำนวน Table'!$D$1:$M$5,5,TRUE),0),
IF($C119="WS WH",VLOOKUP($B119,'2) หลักการคำนวน Table'!$D$63:$M$78,HLOOKUP(AI119,'2) หลักการคำนวน Table'!$D$1:$M$5,5,TRUE),0),
IF($C119="SF WH",VLOOKUP($B119,'2) หลักการคำนวน Table'!$D$93:$M$108,HLOOKUP(AI119,'2) หลักการคำนวน Table'!$D$1:$M$5,5,TRUE),0))))),0)</f>
        <v>180</v>
      </c>
      <c r="BH119" s="167">
        <f>IFERROR(IF($C119="Top WS",VLOOKUP($B119,'2) หลักการคำนวน Table'!$D$5:$M$20,HLOOKUP(AP119,'2) หลักการคำนวน Table'!$D$1:$M$5,5,TRUE),0),
IF($C119="WS SF",VLOOKUP($B119,'2) หลักการคำนวน Table'!$D$33:$M$48,HLOOKUP(AP119,'2) หลักการคำนวน Table'!$D$1:$M$5,5,TRUE),0),
IF($C119="WS WH",VLOOKUP($B119,'2) หลักการคำนวน Table'!$D$63:$M$78,HLOOKUP(AP119,'2) หลักการคำนวน Table'!$D$1:$M$5,5,TRUE),0),
IF($C119="SF WH",VLOOKUP($B119,'2) หลักการคำนวน Table'!$D$93:$M$108,HLOOKUP(AP119,'2) หลักการคำนวน Table'!$D$1:$M$5,5,TRUE),0))))),0)</f>
        <v>180</v>
      </c>
      <c r="BI119" s="167">
        <f>IFERROR(IF($C119="Top WS",VLOOKUP($B119,'2) หลักการคำนวน Table'!$D$5:$M$20,HLOOKUP(AK119,'2) หลักการคำนวน Table'!$D$1:$M$5,5,TRUE),0),
IF($C119="WS SF",VLOOKUP($B119,'2) หลักการคำนวน Table'!$D$33:$M$48,HLOOKUP(AK119,'2) หลักการคำนวน Table'!$D$1:$M$5,5,TRUE),0),
IF($C119="WS WH",VLOOKUP($B119,'2) หลักการคำนวน Table'!$D$63:$M$78,HLOOKUP(AK119,'2) หลักการคำนวน Table'!$D$1:$M$5,5,TRUE),0),
IF($C119="SF WH",VLOOKUP($B119,'2) หลักการคำนวน Table'!$D$93:$M$108,HLOOKUP(AK119,'2) หลักการคำนวน Table'!$D$1:$M$5,5,TRUE),0))))),0)</f>
        <v>180</v>
      </c>
      <c r="BJ119" s="167">
        <f>IFERROR(IF($C119="Top WS",VLOOKUP($B119,'2) หลักการคำนวน Table'!$D$5:$M$20,HLOOKUP(AL119,'2) หลักการคำนวน Table'!$D$1:$M$5,5,TRUE),0),
IF($C119="WS SF",VLOOKUP($B119,'2) หลักการคำนวน Table'!$D$33:$M$48,HLOOKUP(AL119,'2) หลักการคำนวน Table'!$D$1:$M$5,5,TRUE),0),
IF($C119="WS WH",VLOOKUP($B119,'2) หลักการคำนวน Table'!$D$63:$M$78,HLOOKUP(AL119,'2) หลักการคำนวน Table'!$D$1:$M$5,5,TRUE),0),
IF($C119="SF WH",VLOOKUP($B119,'2) หลักการคำนวน Table'!$D$93:$M$108,HLOOKUP(AL119,'2) หลักการคำนวน Table'!$D$1:$M$5,5,TRUE),0))))),0)</f>
        <v>180</v>
      </c>
      <c r="BK119" s="167">
        <f>IFERROR(IF($C119="Top WS",VLOOKUP($B119,'2) หลักการคำนวน Table'!$D$5:$M$20,HLOOKUP(AM119,'2) หลักการคำนวน Table'!$D$1:$M$5,5,TRUE),0),
IF($C119="WS SF",VLOOKUP($B119,'2) หลักการคำนวน Table'!$D$33:$M$48,HLOOKUP(AM119,'2) หลักการคำนวน Table'!$D$1:$M$5,5,TRUE),0),
IF($C119="WS WH",VLOOKUP($B119,'2) หลักการคำนวน Table'!$D$63:$M$78,HLOOKUP(AM119,'2) หลักการคำนวน Table'!$D$1:$M$5,5,TRUE),0),
IF($C119="SF WH",VLOOKUP($B119,'2) หลักการคำนวน Table'!$D$93:$M$108,HLOOKUP(AM119,'2) หลักการคำนวน Table'!$D$1:$M$5,5,TRUE),0))))),0)</f>
        <v>180</v>
      </c>
      <c r="BM119" s="119">
        <f>VLOOKUP(VLOOKUP(A119,ASTBase!E:S,13,FALSE),ASTBase!F:P,11,FALSE)</f>
        <v>150000</v>
      </c>
      <c r="BN119" s="196" cm="1">
        <f t="array" ref="BN119">INDEX(AN119:AY119,,Period!$D$2)</f>
        <v>0.9</v>
      </c>
    </row>
    <row r="120" spans="1:66" x14ac:dyDescent="0.25">
      <c r="A120" s="117">
        <v>150001</v>
      </c>
      <c r="B120" s="117" t="s">
        <v>396</v>
      </c>
      <c r="C120" s="117" t="s">
        <v>178</v>
      </c>
      <c r="D120" s="118">
        <v>12</v>
      </c>
      <c r="F120" s="118">
        <v>9</v>
      </c>
      <c r="G120" s="118">
        <v>16</v>
      </c>
      <c r="H120" s="118">
        <v>14</v>
      </c>
      <c r="I120" s="118">
        <v>16</v>
      </c>
      <c r="J120" s="118">
        <v>18</v>
      </c>
      <c r="K120" s="118">
        <v>19</v>
      </c>
      <c r="M120" s="118">
        <v>11</v>
      </c>
      <c r="P120" s="117">
        <f>SUMIFS(Actual!C:C,Actual!$A:$A,'3)Target &amp; Cal'!$A120,Actual!$B:$B,'3)Target &amp; Cal'!$B120)</f>
        <v>5.76</v>
      </c>
      <c r="Q120" s="117">
        <f>SUMIFS(Actual!D:D,Actual!$A:$A,'3)Target &amp; Cal'!$A120,Actual!$B:$B,'3)Target &amp; Cal'!$B120)</f>
        <v>28.224</v>
      </c>
      <c r="R120" s="117">
        <f>SUMIFS(Actual!E:E,Actual!$A:$A,'3)Target &amp; Cal'!$A120,Actual!$B:$B,'3)Target &amp; Cal'!$B120)</f>
        <v>0</v>
      </c>
      <c r="S120" s="117">
        <f>SUMIFS(Actual!F:F,Actual!$A:$A,'3)Target &amp; Cal'!$A120,Actual!$B:$B,'3)Target &amp; Cal'!$B120)</f>
        <v>0</v>
      </c>
      <c r="T120" s="117">
        <f>SUMIFS(Actual!G:G,Actual!$A:$A,'3)Target &amp; Cal'!$A120,Actual!$B:$B,'3)Target &amp; Cal'!$B120)</f>
        <v>0</v>
      </c>
      <c r="U120" s="117">
        <f>SUMIFS(Actual!H:H,Actual!$A:$A,'3)Target &amp; Cal'!$A120,Actual!$B:$B,'3)Target &amp; Cal'!$B120)</f>
        <v>0</v>
      </c>
      <c r="V120" s="117">
        <f>SUMIFS(Actual!I:I,Actual!$A:$A,'3)Target &amp; Cal'!$A120,Actual!$B:$B,'3)Target &amp; Cal'!$B120)</f>
        <v>0</v>
      </c>
      <c r="W120" s="117">
        <f>SUMIFS(Actual!J:J,Actual!$A:$A,'3)Target &amp; Cal'!$A120,Actual!$B:$B,'3)Target &amp; Cal'!$B120)</f>
        <v>0</v>
      </c>
      <c r="X120" s="117">
        <f>SUMIFS(Actual!K:K,Actual!$A:$A,'3)Target &amp; Cal'!$A120,Actual!$B:$B,'3)Target &amp; Cal'!$B120)</f>
        <v>0</v>
      </c>
      <c r="Y120" s="117">
        <f>SUMIFS(Actual!L:L,Actual!$A:$A,'3)Target &amp; Cal'!$A120,Actual!$B:$B,'3)Target &amp; Cal'!$B120)</f>
        <v>0</v>
      </c>
      <c r="Z120" s="117">
        <f>SUMIFS(Actual!M:M,Actual!$A:$A,'3)Target &amp; Cal'!$A120,Actual!$B:$B,'3)Target &amp; Cal'!$B120)</f>
        <v>0</v>
      </c>
      <c r="AA120" s="117">
        <f>SUMIFS(Actual!N:N,Actual!$A:$A,'3)Target &amp; Cal'!$A120,Actual!$B:$B,'3)Target &amp; Cal'!$B120)</f>
        <v>0</v>
      </c>
      <c r="AB120" s="123">
        <f>IFERROR(IF(VLOOKUP($B120,Shortage!$A:$M,AB$2,FALSE)="Shortage",1,IFERROR(ROUND(P120/D120,4),0)),IFERROR(ROUND(P120/D120,4),0))</f>
        <v>0.48</v>
      </c>
      <c r="AC120" s="123">
        <f>IFERROR(IF(VLOOKUP($B120,Shortage!$A:$M,AC$2,FALSE)="Shortage",1,IFERROR(ROUND(Q120/E120,4),0)),IFERROR(ROUND(Q120/E120,4),0))</f>
        <v>0</v>
      </c>
      <c r="AD120" s="123">
        <f>IFERROR(IF(VLOOKUP($B120,Shortage!$A:$M,AD$2,FALSE)="Shortage",1,IFERROR(ROUND(R120/F120,4),0)),IFERROR(ROUND(R120/F120,4),0))</f>
        <v>0</v>
      </c>
      <c r="AE120" s="123">
        <f>IFERROR(IF(VLOOKUP($B120,Shortage!$A:$M,AE$2,FALSE)="Shortage",1,IFERROR(ROUND(S120/G120,4),0)),IFERROR(ROUND(S120/G120,4),0))</f>
        <v>0</v>
      </c>
      <c r="AF120" s="123">
        <f>IFERROR(IF(VLOOKUP($B120,Shortage!$A:$M,AF$2,FALSE)="Shortage",1,IFERROR(ROUND(T120/H120,4),0)),IFERROR(ROUND(T120/H120,4),0))</f>
        <v>0</v>
      </c>
      <c r="AG120" s="123">
        <f>IFERROR(IF(VLOOKUP($B120,Shortage!$A:$M,AG$2,FALSE)="Shortage",1,IFERROR(ROUND(U120/I120,4),0)),IFERROR(ROUND(U120/I120,4),0))</f>
        <v>0</v>
      </c>
      <c r="AH120" s="123">
        <f>IFERROR(IF(VLOOKUP($B120,Shortage!$A:$M,AH$2,FALSE)="Shortage",1,IFERROR(ROUND(V120/J120,4),0)),IFERROR(ROUND(V120/J120,4),0))</f>
        <v>0</v>
      </c>
      <c r="AI120" s="123">
        <f>IFERROR(IF(VLOOKUP($B120,Shortage!$A:$M,AI$2,FALSE)="Shortage",1,IFERROR(ROUND(W120/K120,4),0)),IFERROR(ROUND(W120/K120,4),0))</f>
        <v>0</v>
      </c>
      <c r="AJ120" s="123">
        <f>IFERROR(IF(VLOOKUP($B120,Shortage!$A:$M,AP$2,FALSE)="Shortage",1,IFERROR(ROUND(X120/L120,4),0)),IFERROR(ROUND(X120/L120,4),0))</f>
        <v>0</v>
      </c>
      <c r="AK120" s="123">
        <f>IFERROR(IF(VLOOKUP($B120,Shortage!$A:$M,AK$2,FALSE)="Shortage",1,IFERROR(ROUND(Y120/M120,4),0)),IFERROR(ROUND(Y120/M120,4),0))</f>
        <v>0</v>
      </c>
      <c r="AL120" s="123">
        <f>IFERROR(IF(VLOOKUP($B120,Shortage!$A:$M,AL$2,FALSE)="Shortage",1,IFERROR(ROUND(Z120/N120,4),0)),IFERROR(ROUND(Z120/N120,4),0))</f>
        <v>0</v>
      </c>
      <c r="AM120" s="123">
        <f>IFERROR(IF(VLOOKUP($B120,Shortage!$A:$M,AM$2,FALSE)="Shortage",1,IFERROR(ROUND(AA120/O120,4),0)),IFERROR(ROUND(AA120/O120,4),0))</f>
        <v>0</v>
      </c>
      <c r="AN120" s="232">
        <f>IFERROR(IF($C120="Top WS",VLOOKUP("GOAL",'2) หลักการคำนวน Table'!$D$4:$M$4,HLOOKUP(AB120,'2) หลักการคำนวน Table'!$D$1:$M$5,5,TRUE),0),
IF($C120="WS SF",VLOOKUP("GOAL",'2) หลักการคำนวน Table'!$D$32:$M$32,HLOOKUP(AB120,'2) หลักการคำนวน Table'!$D$1:$M$5,5,TRUE),0),
IF($C120="WS WH",VLOOKUP("GOAL",'2) หลักการคำนวน Table'!$D$62:$M$62,HLOOKUP(AB120,'2) หลักการคำนวน Table'!$D$1:$M$5,5,TRUE),0),
IF($C120="SF WH",VLOOKUP("GOAL",'2) หลักการคำนวน Table'!$D$92:$M$92,HLOOKUP(AB120,'2) หลักการคำนวน Table'!$D$1:$M$5,5,TRUE),0))))),0)</f>
        <v>0.9</v>
      </c>
      <c r="AO120" s="232">
        <f>IFERROR(IF($C120="Top WS",VLOOKUP("GOAL",'2) หลักการคำนวน Table'!$D$4:$M$4,HLOOKUP(AC120,'2) หลักการคำนวน Table'!$D$1:$M$5,5,TRUE),0),
IF($C120="WS SF",VLOOKUP("GOAL",'2) หลักการคำนวน Table'!$D$32:$M$32,HLOOKUP(AC120,'2) หลักการคำนวน Table'!$D$1:$M$5,5,TRUE),0),
IF($C120="WS WH",VLOOKUP("GOAL",'2) หลักการคำนวน Table'!$D$62:$M$62,HLOOKUP(AC120,'2) หลักการคำนวน Table'!$D$1:$M$5,5,TRUE),0),
IF($C120="SF WH",VLOOKUP("GOAL",'2) หลักการคำนวน Table'!$D$92:$M$92,HLOOKUP(AC120,'2) หลักการคำนวน Table'!$D$1:$M$5,5,TRUE),0))))),0)</f>
        <v>0.9</v>
      </c>
      <c r="AP120" s="232">
        <f>IFERROR(IF($C120="Top WS",VLOOKUP("GOAL",'2) หลักการคำนวน Table'!$D$4:$M$4,HLOOKUP(AD120,'2) หลักการคำนวน Table'!$D$1:$M$5,5,TRUE),0),
IF($C120="WS SF",VLOOKUP("GOAL",'2) หลักการคำนวน Table'!$D$32:$M$32,HLOOKUP(AD120,'2) หลักการคำนวน Table'!$D$1:$M$5,5,TRUE),0),
IF($C120="WS WH",VLOOKUP("GOAL",'2) หลักการคำนวน Table'!$D$62:$M$62,HLOOKUP(AD120,'2) หลักการคำนวน Table'!$D$1:$M$5,5,TRUE),0),
IF($C120="SF WH",VLOOKUP("GOAL",'2) หลักการคำนวน Table'!$D$92:$M$92,HLOOKUP(AD120,'2) หลักการคำนวน Table'!$D$1:$M$5,5,TRUE),0))))),0)</f>
        <v>0.9</v>
      </c>
      <c r="AQ120" s="232">
        <f>IFERROR(IF($C120="Top WS",VLOOKUP("GOAL",'2) หลักการคำนวน Table'!$D$4:$M$4,HLOOKUP(AE120,'2) หลักการคำนวน Table'!$D$1:$M$5,5,TRUE),0),
IF($C120="WS SF",VLOOKUP("GOAL",'2) หลักการคำนวน Table'!$D$32:$M$32,HLOOKUP(AE120,'2) หลักการคำนวน Table'!$D$1:$M$5,5,TRUE),0),
IF($C120="WS WH",VLOOKUP("GOAL",'2) หลักการคำนวน Table'!$D$62:$M$62,HLOOKUP(AE120,'2) หลักการคำนวน Table'!$D$1:$M$5,5,TRUE),0),
IF($C120="SF WH",VLOOKUP("GOAL",'2) หลักการคำนวน Table'!$D$92:$M$92,HLOOKUP(AE120,'2) หลักการคำนวน Table'!$D$1:$M$5,5,TRUE),0))))),0)</f>
        <v>0.9</v>
      </c>
      <c r="AR120" s="232">
        <f>IFERROR(IF($C120="Top WS",VLOOKUP("GOAL",'2) หลักการคำนวน Table'!$D$4:$M$4,HLOOKUP(AF120,'2) หลักการคำนวน Table'!$D$1:$M$5,5,TRUE),0),
IF($C120="WS SF",VLOOKUP("GOAL",'2) หลักการคำนวน Table'!$D$32:$M$32,HLOOKUP(AF120,'2) หลักการคำนวน Table'!$D$1:$M$5,5,TRUE),0),
IF($C120="WS WH",VLOOKUP("GOAL",'2) หลักการคำนวน Table'!$D$62:$M$62,HLOOKUP(AF120,'2) หลักการคำนวน Table'!$D$1:$M$5,5,TRUE),0),
IF($C120="SF WH",VLOOKUP("GOAL",'2) หลักการคำนวน Table'!$D$92:$M$92,HLOOKUP(AF120,'2) หลักการคำนวน Table'!$D$1:$M$5,5,TRUE),0))))),0)</f>
        <v>0.9</v>
      </c>
      <c r="AS120" s="232">
        <f>IFERROR(IF($C120="Top WS",VLOOKUP("GOAL",'2) หลักการคำนวน Table'!$D$4:$M$4,HLOOKUP(AG120,'2) หลักการคำนวน Table'!$D$1:$M$5,5,TRUE),0),
IF($C120="WS SF",VLOOKUP("GOAL",'2) หลักการคำนวน Table'!$D$32:$M$32,HLOOKUP(AG120,'2) หลักการคำนวน Table'!$D$1:$M$5,5,TRUE),0),
IF($C120="WS WH",VLOOKUP("GOAL",'2) หลักการคำนวน Table'!$D$62:$M$62,HLOOKUP(AG120,'2) หลักการคำนวน Table'!$D$1:$M$5,5,TRUE),0),
IF($C120="SF WH",VLOOKUP("GOAL",'2) หลักการคำนวน Table'!$D$92:$M$92,HLOOKUP(AG120,'2) หลักการคำนวน Table'!$D$1:$M$5,5,TRUE),0))))),0)</f>
        <v>0.9</v>
      </c>
      <c r="AT120" s="232">
        <f>IFERROR(IF($C120="Top WS",VLOOKUP("GOAL",'2) หลักการคำนวน Table'!$D$4:$M$4,HLOOKUP(AH120,'2) หลักการคำนวน Table'!$D$1:$M$5,5,TRUE),0),
IF($C120="WS SF",VLOOKUP("GOAL",'2) หลักการคำนวน Table'!$D$32:$M$32,HLOOKUP(AH120,'2) หลักการคำนวน Table'!$D$1:$M$5,5,TRUE),0),
IF($C120="WS WH",VLOOKUP("GOAL",'2) หลักการคำนวน Table'!$D$62:$M$62,HLOOKUP(AH120,'2) หลักการคำนวน Table'!$D$1:$M$5,5,TRUE),0),
IF($C120="SF WH",VLOOKUP("GOAL",'2) หลักการคำนวน Table'!$D$92:$M$92,HLOOKUP(AH120,'2) หลักการคำนวน Table'!$D$1:$M$5,5,TRUE),0))))),0)</f>
        <v>0.9</v>
      </c>
      <c r="AU120" s="232">
        <f>IFERROR(IF($C120="Top WS",VLOOKUP("GOAL",'2) หลักการคำนวน Table'!$D$4:$M$4,HLOOKUP(AI120,'2) หลักการคำนวน Table'!$D$1:$M$5,5,TRUE),0),
IF($C120="WS SF",VLOOKUP("GOAL",'2) หลักการคำนวน Table'!$D$32:$M$32,HLOOKUP(AI120,'2) หลักการคำนวน Table'!$D$1:$M$5,5,TRUE),0),
IF($C120="WS WH",VLOOKUP("GOAL",'2) หลักการคำนวน Table'!$D$62:$M$62,HLOOKUP(AI120,'2) หลักการคำนวน Table'!$D$1:$M$5,5,TRUE),0),
IF($C120="SF WH",VLOOKUP("GOAL",'2) หลักการคำนวน Table'!$D$92:$M$92,HLOOKUP(AI120,'2) หลักการคำนวน Table'!$D$1:$M$5,5,TRUE),0))))),0)</f>
        <v>0.9</v>
      </c>
      <c r="AV120" s="232">
        <f>IFERROR(IF($C120="Top WS",VLOOKUP("GOAL",'2) หลักการคำนวน Table'!$D$4:$M$4,HLOOKUP(AP120,'2) หลักการคำนวน Table'!$D$1:$M$5,5,TRUE),0),
IF($C120="WS SF",VLOOKUP("GOAL",'2) หลักการคำนวน Table'!$D$32:$M$32,HLOOKUP(AP120,'2) หลักการคำนวน Table'!$D$1:$M$5,5,TRUE),0),
IF($C120="WS WH",VLOOKUP("GOAL",'2) หลักการคำนวน Table'!$D$62:$M$62,HLOOKUP(AP120,'2) หลักการคำนวน Table'!$D$1:$M$5,5,TRUE),0),
IF($C120="SF WH",VLOOKUP("GOAL",'2) หลักการคำนวน Table'!$D$92:$M$92,HLOOKUP(AP120,'2) หลักการคำนวน Table'!$D$1:$M$5,5,TRUE),0))))),0)</f>
        <v>0.9</v>
      </c>
      <c r="AW120" s="232">
        <f>IFERROR(IF($C120="Top WS",VLOOKUP("GOAL",'2) หลักการคำนวน Table'!$D$4:$M$4,HLOOKUP(AK120,'2) หลักการคำนวน Table'!$D$1:$M$5,5,TRUE),0),
IF($C120="WS SF",VLOOKUP("GOAL",'2) หลักการคำนวน Table'!$D$32:$M$32,HLOOKUP(AK120,'2) หลักการคำนวน Table'!$D$1:$M$5,5,TRUE),0),
IF($C120="WS WH",VLOOKUP("GOAL",'2) หลักการคำนวน Table'!$D$62:$M$62,HLOOKUP(AK120,'2) หลักการคำนวน Table'!$D$1:$M$5,5,TRUE),0),
IF($C120="SF WH",VLOOKUP("GOAL",'2) หลักการคำนวน Table'!$D$92:$M$92,HLOOKUP(AK120,'2) หลักการคำนวน Table'!$D$1:$M$5,5,TRUE),0))))),0)</f>
        <v>0.9</v>
      </c>
      <c r="AX120" s="232">
        <f>IFERROR(IF($C120="Top WS",VLOOKUP("GOAL",'2) หลักการคำนวน Table'!$D$4:$M$4,HLOOKUP(AL120,'2) หลักการคำนวน Table'!$D$1:$M$5,5,TRUE),0),
IF($C120="WS SF",VLOOKUP("GOAL",'2) หลักการคำนวน Table'!$D$32:$M$32,HLOOKUP(AL120,'2) หลักการคำนวน Table'!$D$1:$M$5,5,TRUE),0),
IF($C120="WS WH",VLOOKUP("GOAL",'2) หลักการคำนวน Table'!$D$62:$M$62,HLOOKUP(AL120,'2) หลักการคำนวน Table'!$D$1:$M$5,5,TRUE),0),
IF($C120="SF WH",VLOOKUP("GOAL",'2) หลักการคำนวน Table'!$D$92:$M$92,HLOOKUP(AL120,'2) หลักการคำนวน Table'!$D$1:$M$5,5,TRUE),0))))),0)</f>
        <v>0.9</v>
      </c>
      <c r="AY120" s="232">
        <f>IFERROR(IF($C120="Top WS",VLOOKUP("GOAL",'2) หลักการคำนวน Table'!$D$4:$M$4,HLOOKUP(AM120,'2) หลักการคำนวน Table'!$D$1:$M$5,5,TRUE),0),
IF($C120="WS SF",VLOOKUP("GOAL",'2) หลักการคำนวน Table'!$D$32:$M$32,HLOOKUP(AM120,'2) หลักการคำนวน Table'!$D$1:$M$5,5,TRUE),0),
IF($C120="WS WH",VLOOKUP("GOAL",'2) หลักการคำนวน Table'!$D$62:$M$62,HLOOKUP(AM120,'2) หลักการคำนวน Table'!$D$1:$M$5,5,TRUE),0),
IF($C120="SF WH",VLOOKUP("GOAL",'2) หลักการคำนวน Table'!$D$92:$M$92,HLOOKUP(AM120,'2) หลักการคำนวน Table'!$D$1:$M$5,5,TRUE),0))))),0)</f>
        <v>0.9</v>
      </c>
      <c r="AZ120" s="167">
        <f>IFERROR(IF($C120="Top WS",VLOOKUP($B120,'2) หลักการคำนวน Table'!$D$5:$M$20,HLOOKUP(AB120,'2) หลักการคำนวน Table'!$D$1:$M$5,5,TRUE),0),
IF($C120="WS SF",VLOOKUP($B120,'2) หลักการคำนวน Table'!$D$33:$M$48,HLOOKUP(AB120,'2) หลักการคำนวน Table'!$D$1:$M$5,5,TRUE),0),
IF($C120="WS WH",VLOOKUP($B120,'2) หลักการคำนวน Table'!$D$63:$M$78,HLOOKUP(AB120,'2) หลักการคำนวน Table'!$D$1:$M$5,5,TRUE),0),
IF($C120="SF WH",VLOOKUP($B120,'2) หลักการคำนวน Table'!$D$93:$M$108,HLOOKUP(AB120,'2) หลักการคำนวน Table'!$D$1:$M$5,5,TRUE),0))))),0)</f>
        <v>360</v>
      </c>
      <c r="BA120" s="167">
        <f>IFERROR(IF($C120="Top WS",VLOOKUP($B120,'2) หลักการคำนวน Table'!$D$5:$M$20,HLOOKUP(AC120,'2) หลักการคำนวน Table'!$D$1:$M$5,5,TRUE),0),
IF($C120="WS SF",VLOOKUP($B120,'2) หลักการคำนวน Table'!$D$33:$M$48,HLOOKUP(AC120,'2) หลักการคำนวน Table'!$D$1:$M$5,5,TRUE),0),
IF($C120="WS WH",VLOOKUP($B120,'2) หลักการคำนวน Table'!$D$63:$M$78,HLOOKUP(AC120,'2) หลักการคำนวน Table'!$D$1:$M$5,5,TRUE),0),
IF($C120="SF WH",VLOOKUP($B120,'2) หลักการคำนวน Table'!$D$93:$M$108,HLOOKUP(AC120,'2) หลักการคำนวน Table'!$D$1:$M$5,5,TRUE),0))))),0)</f>
        <v>360</v>
      </c>
      <c r="BB120" s="167">
        <f>IFERROR(IF($C120="Top WS",VLOOKUP($B120,'2) หลักการคำนวน Table'!$D$5:$M$20,HLOOKUP(AD120,'2) หลักการคำนวน Table'!$D$1:$M$5,5,TRUE),0),
IF($C120="WS SF",VLOOKUP($B120,'2) หลักการคำนวน Table'!$D$33:$M$48,HLOOKUP(AD120,'2) หลักการคำนวน Table'!$D$1:$M$5,5,TRUE),0),
IF($C120="WS WH",VLOOKUP($B120,'2) หลักการคำนวน Table'!$D$63:$M$78,HLOOKUP(AD120,'2) หลักการคำนวน Table'!$D$1:$M$5,5,TRUE),0),
IF($C120="SF WH",VLOOKUP($B120,'2) หลักการคำนวน Table'!$D$93:$M$108,HLOOKUP(AD120,'2) หลักการคำนวน Table'!$D$1:$M$5,5,TRUE),0))))),0)</f>
        <v>360</v>
      </c>
      <c r="BC120" s="167">
        <f>IFERROR(IF($C120="Top WS",VLOOKUP($B120,'2) หลักการคำนวน Table'!$D$5:$M$20,HLOOKUP(AE120,'2) หลักการคำนวน Table'!$D$1:$M$5,5,TRUE),0),
IF($C120="WS SF",VLOOKUP($B120,'2) หลักการคำนวน Table'!$D$33:$M$48,HLOOKUP(AE120,'2) หลักการคำนวน Table'!$D$1:$M$5,5,TRUE),0),
IF($C120="WS WH",VLOOKUP($B120,'2) หลักการคำนวน Table'!$D$63:$M$78,HLOOKUP(AE120,'2) หลักการคำนวน Table'!$D$1:$M$5,5,TRUE),0),
IF($C120="SF WH",VLOOKUP($B120,'2) หลักการคำนวน Table'!$D$93:$M$108,HLOOKUP(AE120,'2) หลักการคำนวน Table'!$D$1:$M$5,5,TRUE),0))))),0)</f>
        <v>360</v>
      </c>
      <c r="BD120" s="167">
        <f>IFERROR(IF($C120="Top WS",VLOOKUP($B120,'2) หลักการคำนวน Table'!$D$5:$M$20,HLOOKUP(AF120,'2) หลักการคำนวน Table'!$D$1:$M$5,5,TRUE),0),
IF($C120="WS SF",VLOOKUP($B120,'2) หลักการคำนวน Table'!$D$33:$M$48,HLOOKUP(AF120,'2) หลักการคำนวน Table'!$D$1:$M$5,5,TRUE),0),
IF($C120="WS WH",VLOOKUP($B120,'2) หลักการคำนวน Table'!$D$63:$M$78,HLOOKUP(AF120,'2) หลักการคำนวน Table'!$D$1:$M$5,5,TRUE),0),
IF($C120="SF WH",VLOOKUP($B120,'2) หลักการคำนวน Table'!$D$93:$M$108,HLOOKUP(AF120,'2) หลักการคำนวน Table'!$D$1:$M$5,5,TRUE),0))))),0)</f>
        <v>360</v>
      </c>
      <c r="BE120" s="167">
        <f>IFERROR(IF($C120="Top WS",VLOOKUP($B120,'2) หลักการคำนวน Table'!$D$5:$M$20,HLOOKUP(AG120,'2) หลักการคำนวน Table'!$D$1:$M$5,5,TRUE),0),
IF($C120="WS SF",VLOOKUP($B120,'2) หลักการคำนวน Table'!$D$33:$M$48,HLOOKUP(AG120,'2) หลักการคำนวน Table'!$D$1:$M$5,5,TRUE),0),
IF($C120="WS WH",VLOOKUP($B120,'2) หลักการคำนวน Table'!$D$63:$M$78,HLOOKUP(AG120,'2) หลักการคำนวน Table'!$D$1:$M$5,5,TRUE),0),
IF($C120="SF WH",VLOOKUP($B120,'2) หลักการคำนวน Table'!$D$93:$M$108,HLOOKUP(AG120,'2) หลักการคำนวน Table'!$D$1:$M$5,5,TRUE),0))))),0)</f>
        <v>360</v>
      </c>
      <c r="BF120" s="167">
        <f>IFERROR(IF($C120="Top WS",VLOOKUP($B120,'2) หลักการคำนวน Table'!$D$5:$M$20,HLOOKUP(AH120,'2) หลักการคำนวน Table'!$D$1:$M$5,5,TRUE),0),
IF($C120="WS SF",VLOOKUP($B120,'2) หลักการคำนวน Table'!$D$33:$M$48,HLOOKUP(AH120,'2) หลักการคำนวน Table'!$D$1:$M$5,5,TRUE),0),
IF($C120="WS WH",VLOOKUP($B120,'2) หลักการคำนวน Table'!$D$63:$M$78,HLOOKUP(AH120,'2) หลักการคำนวน Table'!$D$1:$M$5,5,TRUE),0),
IF($C120="SF WH",VLOOKUP($B120,'2) หลักการคำนวน Table'!$D$93:$M$108,HLOOKUP(AH120,'2) หลักการคำนวน Table'!$D$1:$M$5,5,TRUE),0))))),0)</f>
        <v>360</v>
      </c>
      <c r="BG120" s="167">
        <f>IFERROR(IF($C120="Top WS",VLOOKUP($B120,'2) หลักการคำนวน Table'!$D$5:$M$20,HLOOKUP(AI120,'2) หลักการคำนวน Table'!$D$1:$M$5,5,TRUE),0),
IF($C120="WS SF",VLOOKUP($B120,'2) หลักการคำนวน Table'!$D$33:$M$48,HLOOKUP(AI120,'2) หลักการคำนวน Table'!$D$1:$M$5,5,TRUE),0),
IF($C120="WS WH",VLOOKUP($B120,'2) หลักการคำนวน Table'!$D$63:$M$78,HLOOKUP(AI120,'2) หลักการคำนวน Table'!$D$1:$M$5,5,TRUE),0),
IF($C120="SF WH",VLOOKUP($B120,'2) หลักการคำนวน Table'!$D$93:$M$108,HLOOKUP(AI120,'2) หลักการคำนวน Table'!$D$1:$M$5,5,TRUE),0))))),0)</f>
        <v>360</v>
      </c>
      <c r="BH120" s="167">
        <f>IFERROR(IF($C120="Top WS",VLOOKUP($B120,'2) หลักการคำนวน Table'!$D$5:$M$20,HLOOKUP(AP120,'2) หลักการคำนวน Table'!$D$1:$M$5,5,TRUE),0),
IF($C120="WS SF",VLOOKUP($B120,'2) หลักการคำนวน Table'!$D$33:$M$48,HLOOKUP(AP120,'2) หลักการคำนวน Table'!$D$1:$M$5,5,TRUE),0),
IF($C120="WS WH",VLOOKUP($B120,'2) หลักการคำนวน Table'!$D$63:$M$78,HLOOKUP(AP120,'2) หลักการคำนวน Table'!$D$1:$M$5,5,TRUE),0),
IF($C120="SF WH",VLOOKUP($B120,'2) หลักการคำนวน Table'!$D$93:$M$108,HLOOKUP(AP120,'2) หลักการคำนวน Table'!$D$1:$M$5,5,TRUE),0))))),0)</f>
        <v>360</v>
      </c>
      <c r="BI120" s="167">
        <f>IFERROR(IF($C120="Top WS",VLOOKUP($B120,'2) หลักการคำนวน Table'!$D$5:$M$20,HLOOKUP(AK120,'2) หลักการคำนวน Table'!$D$1:$M$5,5,TRUE),0),
IF($C120="WS SF",VLOOKUP($B120,'2) หลักการคำนวน Table'!$D$33:$M$48,HLOOKUP(AK120,'2) หลักการคำนวน Table'!$D$1:$M$5,5,TRUE),0),
IF($C120="WS WH",VLOOKUP($B120,'2) หลักการคำนวน Table'!$D$63:$M$78,HLOOKUP(AK120,'2) หลักการคำนวน Table'!$D$1:$M$5,5,TRUE),0),
IF($C120="SF WH",VLOOKUP($B120,'2) หลักการคำนวน Table'!$D$93:$M$108,HLOOKUP(AK120,'2) หลักการคำนวน Table'!$D$1:$M$5,5,TRUE),0))))),0)</f>
        <v>360</v>
      </c>
      <c r="BJ120" s="167">
        <f>IFERROR(IF($C120="Top WS",VLOOKUP($B120,'2) หลักการคำนวน Table'!$D$5:$M$20,HLOOKUP(AL120,'2) หลักการคำนวน Table'!$D$1:$M$5,5,TRUE),0),
IF($C120="WS SF",VLOOKUP($B120,'2) หลักการคำนวน Table'!$D$33:$M$48,HLOOKUP(AL120,'2) หลักการคำนวน Table'!$D$1:$M$5,5,TRUE),0),
IF($C120="WS WH",VLOOKUP($B120,'2) หลักการคำนวน Table'!$D$63:$M$78,HLOOKUP(AL120,'2) หลักการคำนวน Table'!$D$1:$M$5,5,TRUE),0),
IF($C120="SF WH",VLOOKUP($B120,'2) หลักการคำนวน Table'!$D$93:$M$108,HLOOKUP(AL120,'2) หลักการคำนวน Table'!$D$1:$M$5,5,TRUE),0))))),0)</f>
        <v>360</v>
      </c>
      <c r="BK120" s="167">
        <f>IFERROR(IF($C120="Top WS",VLOOKUP($B120,'2) หลักการคำนวน Table'!$D$5:$M$20,HLOOKUP(AM120,'2) หลักการคำนวน Table'!$D$1:$M$5,5,TRUE),0),
IF($C120="WS SF",VLOOKUP($B120,'2) หลักการคำนวน Table'!$D$33:$M$48,HLOOKUP(AM120,'2) หลักการคำนวน Table'!$D$1:$M$5,5,TRUE),0),
IF($C120="WS WH",VLOOKUP($B120,'2) หลักการคำนวน Table'!$D$63:$M$78,HLOOKUP(AM120,'2) หลักการคำนวน Table'!$D$1:$M$5,5,TRUE),0),
IF($C120="SF WH",VLOOKUP($B120,'2) หลักการคำนวน Table'!$D$93:$M$108,HLOOKUP(AM120,'2) หลักการคำนวน Table'!$D$1:$M$5,5,TRUE),0))))),0)</f>
        <v>360</v>
      </c>
      <c r="BM120" s="119">
        <f>VLOOKUP(VLOOKUP(A120,ASTBase!E:S,13,FALSE),ASTBase!F:P,11,FALSE)</f>
        <v>150000</v>
      </c>
      <c r="BN120" s="196" cm="1">
        <f t="array" ref="BN120">INDEX(AN120:AY120,,Period!$D$2)</f>
        <v>0.9</v>
      </c>
    </row>
    <row r="121" spans="1:66" ht="3.9" customHeight="1" x14ac:dyDescent="0.25">
      <c r="A121" s="117">
        <v>150001</v>
      </c>
      <c r="B121" s="117" t="s">
        <v>394</v>
      </c>
      <c r="C121" s="117" t="s">
        <v>178</v>
      </c>
      <c r="D121" s="118">
        <v>323</v>
      </c>
      <c r="E121" s="118">
        <v>43</v>
      </c>
      <c r="F121" s="118">
        <v>331</v>
      </c>
      <c r="H121" s="118">
        <v>405</v>
      </c>
      <c r="I121" s="118">
        <v>193</v>
      </c>
      <c r="J121" s="118">
        <v>373</v>
      </c>
      <c r="K121" s="118">
        <v>417</v>
      </c>
      <c r="L121" s="118">
        <v>99</v>
      </c>
      <c r="M121" s="118">
        <v>265</v>
      </c>
      <c r="N121" s="118">
        <v>287</v>
      </c>
      <c r="O121" s="118">
        <v>271</v>
      </c>
      <c r="P121" s="117">
        <f>SUMIFS(Actual!C:C,Actual!$A:$A,'3)Target &amp; Cal'!$A121,Actual!$B:$B,'3)Target &amp; Cal'!$B121)</f>
        <v>248.40000000000003</v>
      </c>
      <c r="Q121" s="117">
        <f>SUMIFS(Actual!D:D,Actual!$A:$A,'3)Target &amp; Cal'!$A121,Actual!$B:$B,'3)Target &amp; Cal'!$B121)</f>
        <v>88.2</v>
      </c>
      <c r="R121" s="117">
        <f>SUMIFS(Actual!E:E,Actual!$A:$A,'3)Target &amp; Cal'!$A121,Actual!$B:$B,'3)Target &amp; Cal'!$B121)</f>
        <v>0</v>
      </c>
      <c r="S121" s="117">
        <f>SUMIFS(Actual!F:F,Actual!$A:$A,'3)Target &amp; Cal'!$A121,Actual!$B:$B,'3)Target &amp; Cal'!$B121)</f>
        <v>0</v>
      </c>
      <c r="T121" s="117">
        <f>SUMIFS(Actual!G:G,Actual!$A:$A,'3)Target &amp; Cal'!$A121,Actual!$B:$B,'3)Target &amp; Cal'!$B121)</f>
        <v>0</v>
      </c>
      <c r="U121" s="117">
        <f>SUMIFS(Actual!H:H,Actual!$A:$A,'3)Target &amp; Cal'!$A121,Actual!$B:$B,'3)Target &amp; Cal'!$B121)</f>
        <v>0</v>
      </c>
      <c r="V121" s="117">
        <f>SUMIFS(Actual!I:I,Actual!$A:$A,'3)Target &amp; Cal'!$A121,Actual!$B:$B,'3)Target &amp; Cal'!$B121)</f>
        <v>0</v>
      </c>
      <c r="W121" s="117">
        <f>SUMIFS(Actual!J:J,Actual!$A:$A,'3)Target &amp; Cal'!$A121,Actual!$B:$B,'3)Target &amp; Cal'!$B121)</f>
        <v>0</v>
      </c>
      <c r="X121" s="117">
        <f>SUMIFS(Actual!K:K,Actual!$A:$A,'3)Target &amp; Cal'!$A121,Actual!$B:$B,'3)Target &amp; Cal'!$B121)</f>
        <v>0</v>
      </c>
      <c r="Y121" s="117">
        <f>SUMIFS(Actual!L:L,Actual!$A:$A,'3)Target &amp; Cal'!$A121,Actual!$B:$B,'3)Target &amp; Cal'!$B121)</f>
        <v>0</v>
      </c>
      <c r="Z121" s="117">
        <f>SUMIFS(Actual!M:M,Actual!$A:$A,'3)Target &amp; Cal'!$A121,Actual!$B:$B,'3)Target &amp; Cal'!$B121)</f>
        <v>0</v>
      </c>
      <c r="AA121" s="117">
        <f>SUMIFS(Actual!N:N,Actual!$A:$A,'3)Target &amp; Cal'!$A121,Actual!$B:$B,'3)Target &amp; Cal'!$B121)</f>
        <v>0</v>
      </c>
      <c r="AB121" s="123">
        <f>IFERROR(IF(VLOOKUP($B121,Shortage!$A:$M,AB$2,FALSE)="Shortage",1,IFERROR(ROUND(P121/D121,4),0)),IFERROR(ROUND(P121/D121,4),0))</f>
        <v>0.76900000000000002</v>
      </c>
      <c r="AC121" s="123">
        <f>IFERROR(IF(VLOOKUP($B121,Shortage!$A:$M,AC$2,FALSE)="Shortage",1,IFERROR(ROUND(Q121/E121,4),0)),IFERROR(ROUND(Q121/E121,4),0))</f>
        <v>2.0512000000000001</v>
      </c>
      <c r="AD121" s="123">
        <f>IFERROR(IF(VLOOKUP($B121,Shortage!$A:$M,AD$2,FALSE)="Shortage",1,IFERROR(ROUND(R121/F121,4),0)),IFERROR(ROUND(R121/F121,4),0))</f>
        <v>0</v>
      </c>
      <c r="AE121" s="123">
        <f>IFERROR(IF(VLOOKUP($B121,Shortage!$A:$M,AE$2,FALSE)="Shortage",1,IFERROR(ROUND(S121/G121,4),0)),IFERROR(ROUND(S121/G121,4),0))</f>
        <v>0</v>
      </c>
      <c r="AF121" s="123">
        <f>IFERROR(IF(VLOOKUP($B121,Shortage!$A:$M,AF$2,FALSE)="Shortage",1,IFERROR(ROUND(T121/H121,4),0)),IFERROR(ROUND(T121/H121,4),0))</f>
        <v>0</v>
      </c>
      <c r="AG121" s="123">
        <f>IFERROR(IF(VLOOKUP($B121,Shortage!$A:$M,AG$2,FALSE)="Shortage",1,IFERROR(ROUND(U121/I121,4),0)),IFERROR(ROUND(U121/I121,4),0))</f>
        <v>0</v>
      </c>
      <c r="AH121" s="123">
        <f>IFERROR(IF(VLOOKUP($B121,Shortage!$A:$M,AH$2,FALSE)="Shortage",1,IFERROR(ROUND(V121/J121,4),0)),IFERROR(ROUND(V121/J121,4),0))</f>
        <v>0</v>
      </c>
      <c r="AI121" s="123">
        <f>IFERROR(IF(VLOOKUP($B121,Shortage!$A:$M,AI$2,FALSE)="Shortage",1,IFERROR(ROUND(W121/K121,4),0)),IFERROR(ROUND(W121/K121,4),0))</f>
        <v>0</v>
      </c>
      <c r="AJ121" s="123">
        <f>IFERROR(IF(VLOOKUP($B121,Shortage!$A:$M,AP$2,FALSE)="Shortage",1,IFERROR(ROUND(X121/L121,4),0)),IFERROR(ROUND(X121/L121,4),0))</f>
        <v>0</v>
      </c>
      <c r="AK121" s="123">
        <f>IFERROR(IF(VLOOKUP($B121,Shortage!$A:$M,AK$2,FALSE)="Shortage",1,IFERROR(ROUND(Y121/M121,4),0)),IFERROR(ROUND(Y121/M121,4),0))</f>
        <v>0</v>
      </c>
      <c r="AL121" s="123">
        <f>IFERROR(IF(VLOOKUP($B121,Shortage!$A:$M,AL$2,FALSE)="Shortage",1,IFERROR(ROUND(Z121/N121,4),0)),IFERROR(ROUND(Z121/N121,4),0))</f>
        <v>0</v>
      </c>
      <c r="AM121" s="123">
        <f>IFERROR(IF(VLOOKUP($B121,Shortage!$A:$M,AM$2,FALSE)="Shortage",1,IFERROR(ROUND(AA121/O121,4),0)),IFERROR(ROUND(AA121/O121,4),0))</f>
        <v>0</v>
      </c>
      <c r="AN121" s="232">
        <f>IFERROR(IF($C121="Top WS",VLOOKUP("GOAL",'2) หลักการคำนวน Table'!$D$4:$M$4,HLOOKUP(AB121,'2) หลักการคำนวน Table'!$D$1:$M$5,5,TRUE),0),
IF($C121="WS SF",VLOOKUP("GOAL",'2) หลักการคำนวน Table'!$D$32:$M$32,HLOOKUP(AB121,'2) หลักการคำนวน Table'!$D$1:$M$5,5,TRUE),0),
IF($C121="WS WH",VLOOKUP("GOAL",'2) หลักการคำนวน Table'!$D$62:$M$62,HLOOKUP(AB121,'2) หลักการคำนวน Table'!$D$1:$M$5,5,TRUE),0),
IF($C121="SF WH",VLOOKUP("GOAL",'2) หลักการคำนวน Table'!$D$92:$M$92,HLOOKUP(AB121,'2) หลักการคำนวน Table'!$D$1:$M$5,5,TRUE),0))))),0)</f>
        <v>0.9</v>
      </c>
      <c r="AO121" s="232">
        <f>IFERROR(IF($C121="Top WS",VLOOKUP("GOAL",'2) หลักการคำนวน Table'!$D$4:$M$4,HLOOKUP(AC121,'2) หลักการคำนวน Table'!$D$1:$M$5,5,TRUE),0),
IF($C121="WS SF",VLOOKUP("GOAL",'2) หลักการคำนวน Table'!$D$32:$M$32,HLOOKUP(AC121,'2) หลักการคำนวน Table'!$D$1:$M$5,5,TRUE),0),
IF($C121="WS WH",VLOOKUP("GOAL",'2) หลักการคำนวน Table'!$D$62:$M$62,HLOOKUP(AC121,'2) หลักการคำนวน Table'!$D$1:$M$5,5,TRUE),0),
IF($C121="SF WH",VLOOKUP("GOAL",'2) หลักการคำนวน Table'!$D$92:$M$92,HLOOKUP(AC121,'2) หลักการคำนวน Table'!$D$1:$M$5,5,TRUE),0))))),0)</f>
        <v>1.3</v>
      </c>
      <c r="AP121" s="232">
        <f>IFERROR(IF($C121="Top WS",VLOOKUP("GOAL",'2) หลักการคำนวน Table'!$D$4:$M$4,HLOOKUP(AD121,'2) หลักการคำนวน Table'!$D$1:$M$5,5,TRUE),0),
IF($C121="WS SF",VLOOKUP("GOAL",'2) หลักการคำนวน Table'!$D$32:$M$32,HLOOKUP(AD121,'2) หลักการคำนวน Table'!$D$1:$M$5,5,TRUE),0),
IF($C121="WS WH",VLOOKUP("GOAL",'2) หลักการคำนวน Table'!$D$62:$M$62,HLOOKUP(AD121,'2) หลักการคำนวน Table'!$D$1:$M$5,5,TRUE),0),
IF($C121="SF WH",VLOOKUP("GOAL",'2) หลักการคำนวน Table'!$D$92:$M$92,HLOOKUP(AD121,'2) หลักการคำนวน Table'!$D$1:$M$5,5,TRUE),0))))),0)</f>
        <v>0.9</v>
      </c>
      <c r="AQ121" s="232">
        <f>IFERROR(IF($C121="Top WS",VLOOKUP("GOAL",'2) หลักการคำนวน Table'!$D$4:$M$4,HLOOKUP(AE121,'2) หลักการคำนวน Table'!$D$1:$M$5,5,TRUE),0),
IF($C121="WS SF",VLOOKUP("GOAL",'2) หลักการคำนวน Table'!$D$32:$M$32,HLOOKUP(AE121,'2) หลักการคำนวน Table'!$D$1:$M$5,5,TRUE),0),
IF($C121="WS WH",VLOOKUP("GOAL",'2) หลักการคำนวน Table'!$D$62:$M$62,HLOOKUP(AE121,'2) หลักการคำนวน Table'!$D$1:$M$5,5,TRUE),0),
IF($C121="SF WH",VLOOKUP("GOAL",'2) หลักการคำนวน Table'!$D$92:$M$92,HLOOKUP(AE121,'2) หลักการคำนวน Table'!$D$1:$M$5,5,TRUE),0))))),0)</f>
        <v>0.9</v>
      </c>
      <c r="AR121" s="232">
        <f>IFERROR(IF($C121="Top WS",VLOOKUP("GOAL",'2) หลักการคำนวน Table'!$D$4:$M$4,HLOOKUP(AF121,'2) หลักการคำนวน Table'!$D$1:$M$5,5,TRUE),0),
IF($C121="WS SF",VLOOKUP("GOAL",'2) หลักการคำนวน Table'!$D$32:$M$32,HLOOKUP(AF121,'2) หลักการคำนวน Table'!$D$1:$M$5,5,TRUE),0),
IF($C121="WS WH",VLOOKUP("GOAL",'2) หลักการคำนวน Table'!$D$62:$M$62,HLOOKUP(AF121,'2) หลักการคำนวน Table'!$D$1:$M$5,5,TRUE),0),
IF($C121="SF WH",VLOOKUP("GOAL",'2) หลักการคำนวน Table'!$D$92:$M$92,HLOOKUP(AF121,'2) หลักการคำนวน Table'!$D$1:$M$5,5,TRUE),0))))),0)</f>
        <v>0.9</v>
      </c>
      <c r="AS121" s="232">
        <f>IFERROR(IF($C121="Top WS",VLOOKUP("GOAL",'2) หลักการคำนวน Table'!$D$4:$M$4,HLOOKUP(AG121,'2) หลักการคำนวน Table'!$D$1:$M$5,5,TRUE),0),
IF($C121="WS SF",VLOOKUP("GOAL",'2) หลักการคำนวน Table'!$D$32:$M$32,HLOOKUP(AG121,'2) หลักการคำนวน Table'!$D$1:$M$5,5,TRUE),0),
IF($C121="WS WH",VLOOKUP("GOAL",'2) หลักการคำนวน Table'!$D$62:$M$62,HLOOKUP(AG121,'2) หลักการคำนวน Table'!$D$1:$M$5,5,TRUE),0),
IF($C121="SF WH",VLOOKUP("GOAL",'2) หลักการคำนวน Table'!$D$92:$M$92,HLOOKUP(AG121,'2) หลักการคำนวน Table'!$D$1:$M$5,5,TRUE),0))))),0)</f>
        <v>0.9</v>
      </c>
      <c r="AT121" s="232">
        <f>IFERROR(IF($C121="Top WS",VLOOKUP("GOAL",'2) หลักการคำนวน Table'!$D$4:$M$4,HLOOKUP(AH121,'2) หลักการคำนวน Table'!$D$1:$M$5,5,TRUE),0),
IF($C121="WS SF",VLOOKUP("GOAL",'2) หลักการคำนวน Table'!$D$32:$M$32,HLOOKUP(AH121,'2) หลักการคำนวน Table'!$D$1:$M$5,5,TRUE),0),
IF($C121="WS WH",VLOOKUP("GOAL",'2) หลักการคำนวน Table'!$D$62:$M$62,HLOOKUP(AH121,'2) หลักการคำนวน Table'!$D$1:$M$5,5,TRUE),0),
IF($C121="SF WH",VLOOKUP("GOAL",'2) หลักการคำนวน Table'!$D$92:$M$92,HLOOKUP(AH121,'2) หลักการคำนวน Table'!$D$1:$M$5,5,TRUE),0))))),0)</f>
        <v>0.9</v>
      </c>
      <c r="AU121" s="232">
        <f>IFERROR(IF($C121="Top WS",VLOOKUP("GOAL",'2) หลักการคำนวน Table'!$D$4:$M$4,HLOOKUP(AI121,'2) หลักการคำนวน Table'!$D$1:$M$5,5,TRUE),0),
IF($C121="WS SF",VLOOKUP("GOAL",'2) หลักการคำนวน Table'!$D$32:$M$32,HLOOKUP(AI121,'2) หลักการคำนวน Table'!$D$1:$M$5,5,TRUE),0),
IF($C121="WS WH",VLOOKUP("GOAL",'2) หลักการคำนวน Table'!$D$62:$M$62,HLOOKUP(AI121,'2) หลักการคำนวน Table'!$D$1:$M$5,5,TRUE),0),
IF($C121="SF WH",VLOOKUP("GOAL",'2) หลักการคำนวน Table'!$D$92:$M$92,HLOOKUP(AI121,'2) หลักการคำนวน Table'!$D$1:$M$5,5,TRUE),0))))),0)</f>
        <v>0.9</v>
      </c>
      <c r="AV121" s="232">
        <f>IFERROR(IF($C121="Top WS",VLOOKUP("GOAL",'2) หลักการคำนวน Table'!$D$4:$M$4,HLOOKUP(AP121,'2) หลักการคำนวน Table'!$D$1:$M$5,5,TRUE),0),
IF($C121="WS SF",VLOOKUP("GOAL",'2) หลักการคำนวน Table'!$D$32:$M$32,HLOOKUP(AP121,'2) หลักการคำนวน Table'!$D$1:$M$5,5,TRUE),0),
IF($C121="WS WH",VLOOKUP("GOAL",'2) หลักการคำนวน Table'!$D$62:$M$62,HLOOKUP(AP121,'2) หลักการคำนวน Table'!$D$1:$M$5,5,TRUE),0),
IF($C121="SF WH",VLOOKUP("GOAL",'2) หลักการคำนวน Table'!$D$92:$M$92,HLOOKUP(AP121,'2) หลักการคำนวน Table'!$D$1:$M$5,5,TRUE),0))))),0)</f>
        <v>0.9</v>
      </c>
      <c r="AW121" s="232">
        <f>IFERROR(IF($C121="Top WS",VLOOKUP("GOAL",'2) หลักการคำนวน Table'!$D$4:$M$4,HLOOKUP(AK121,'2) หลักการคำนวน Table'!$D$1:$M$5,5,TRUE),0),
IF($C121="WS SF",VLOOKUP("GOAL",'2) หลักการคำนวน Table'!$D$32:$M$32,HLOOKUP(AK121,'2) หลักการคำนวน Table'!$D$1:$M$5,5,TRUE),0),
IF($C121="WS WH",VLOOKUP("GOAL",'2) หลักการคำนวน Table'!$D$62:$M$62,HLOOKUP(AK121,'2) หลักการคำนวน Table'!$D$1:$M$5,5,TRUE),0),
IF($C121="SF WH",VLOOKUP("GOAL",'2) หลักการคำนวน Table'!$D$92:$M$92,HLOOKUP(AK121,'2) หลักการคำนวน Table'!$D$1:$M$5,5,TRUE),0))))),0)</f>
        <v>0.9</v>
      </c>
      <c r="AX121" s="232">
        <f>IFERROR(IF($C121="Top WS",VLOOKUP("GOAL",'2) หลักการคำนวน Table'!$D$4:$M$4,HLOOKUP(AL121,'2) หลักการคำนวน Table'!$D$1:$M$5,5,TRUE),0),
IF($C121="WS SF",VLOOKUP("GOAL",'2) หลักการคำนวน Table'!$D$32:$M$32,HLOOKUP(AL121,'2) หลักการคำนวน Table'!$D$1:$M$5,5,TRUE),0),
IF($C121="WS WH",VLOOKUP("GOAL",'2) หลักการคำนวน Table'!$D$62:$M$62,HLOOKUP(AL121,'2) หลักการคำนวน Table'!$D$1:$M$5,5,TRUE),0),
IF($C121="SF WH",VLOOKUP("GOAL",'2) หลักการคำนวน Table'!$D$92:$M$92,HLOOKUP(AL121,'2) หลักการคำนวน Table'!$D$1:$M$5,5,TRUE),0))))),0)</f>
        <v>0.9</v>
      </c>
      <c r="AY121" s="232">
        <f>IFERROR(IF($C121="Top WS",VLOOKUP("GOAL",'2) หลักการคำนวน Table'!$D$4:$M$4,HLOOKUP(AM121,'2) หลักการคำนวน Table'!$D$1:$M$5,5,TRUE),0),
IF($C121="WS SF",VLOOKUP("GOAL",'2) หลักการคำนวน Table'!$D$32:$M$32,HLOOKUP(AM121,'2) หลักการคำนวน Table'!$D$1:$M$5,5,TRUE),0),
IF($C121="WS WH",VLOOKUP("GOAL",'2) หลักการคำนวน Table'!$D$62:$M$62,HLOOKUP(AM121,'2) หลักการคำนวน Table'!$D$1:$M$5,5,TRUE),0),
IF($C121="SF WH",VLOOKUP("GOAL",'2) หลักการคำนวน Table'!$D$92:$M$92,HLOOKUP(AM121,'2) หลักการคำนวน Table'!$D$1:$M$5,5,TRUE),0))))),0)</f>
        <v>0.9</v>
      </c>
      <c r="AZ121" s="167">
        <f>IFERROR(IF($C121="Top WS",VLOOKUP($B121,'2) หลักการคำนวน Table'!$D$5:$M$20,HLOOKUP(AB121,'2) หลักการคำนวน Table'!$D$1:$M$5,5,TRUE),0),
IF($C121="WS SF",VLOOKUP($B121,'2) หลักการคำนวน Table'!$D$33:$M$48,HLOOKUP(AB121,'2) หลักการคำนวน Table'!$D$1:$M$5,5,TRUE),0),
IF($C121="WS WH",VLOOKUP($B121,'2) หลักการคำนวน Table'!$D$63:$M$78,HLOOKUP(AB121,'2) หลักการคำนวน Table'!$D$1:$M$5,5,TRUE),0),
IF($C121="SF WH",VLOOKUP($B121,'2) หลักการคำนวน Table'!$D$93:$M$108,HLOOKUP(AB121,'2) หลักการคำนวน Table'!$D$1:$M$5,5,TRUE),0))))),0)</f>
        <v>180</v>
      </c>
      <c r="BA121" s="167">
        <f>IFERROR(IF($C121="Top WS",VLOOKUP($B121,'2) หลักการคำนวน Table'!$D$5:$M$20,HLOOKUP(AC121,'2) หลักการคำนวน Table'!$D$1:$M$5,5,TRUE),0),
IF($C121="WS SF",VLOOKUP($B121,'2) หลักการคำนวน Table'!$D$33:$M$48,HLOOKUP(AC121,'2) หลักการคำนวน Table'!$D$1:$M$5,5,TRUE),0),
IF($C121="WS WH",VLOOKUP($B121,'2) หลักการคำนวน Table'!$D$63:$M$78,HLOOKUP(AC121,'2) หลักการคำนวน Table'!$D$1:$M$5,5,TRUE),0),
IF($C121="SF WH",VLOOKUP($B121,'2) หลักการคำนวน Table'!$D$93:$M$108,HLOOKUP(AC121,'2) หลักการคำนวน Table'!$D$1:$M$5,5,TRUE),0))))),0)</f>
        <v>260</v>
      </c>
      <c r="BB121" s="167">
        <f>IFERROR(IF($C121="Top WS",VLOOKUP($B121,'2) หลักการคำนวน Table'!$D$5:$M$20,HLOOKUP(AD121,'2) หลักการคำนวน Table'!$D$1:$M$5,5,TRUE),0),
IF($C121="WS SF",VLOOKUP($B121,'2) หลักการคำนวน Table'!$D$33:$M$48,HLOOKUP(AD121,'2) หลักการคำนวน Table'!$D$1:$M$5,5,TRUE),0),
IF($C121="WS WH",VLOOKUP($B121,'2) หลักการคำนวน Table'!$D$63:$M$78,HLOOKUP(AD121,'2) หลักการคำนวน Table'!$D$1:$M$5,5,TRUE),0),
IF($C121="SF WH",VLOOKUP($B121,'2) หลักการคำนวน Table'!$D$93:$M$108,HLOOKUP(AD121,'2) หลักการคำนวน Table'!$D$1:$M$5,5,TRUE),0))))),0)</f>
        <v>180</v>
      </c>
      <c r="BC121" s="167">
        <f>IFERROR(IF($C121="Top WS",VLOOKUP($B121,'2) หลักการคำนวน Table'!$D$5:$M$20,HLOOKUP(AE121,'2) หลักการคำนวน Table'!$D$1:$M$5,5,TRUE),0),
IF($C121="WS SF",VLOOKUP($B121,'2) หลักการคำนวน Table'!$D$33:$M$48,HLOOKUP(AE121,'2) หลักการคำนวน Table'!$D$1:$M$5,5,TRUE),0),
IF($C121="WS WH",VLOOKUP($B121,'2) หลักการคำนวน Table'!$D$63:$M$78,HLOOKUP(AE121,'2) หลักการคำนวน Table'!$D$1:$M$5,5,TRUE),0),
IF($C121="SF WH",VLOOKUP($B121,'2) หลักการคำนวน Table'!$D$93:$M$108,HLOOKUP(AE121,'2) หลักการคำนวน Table'!$D$1:$M$5,5,TRUE),0))))),0)</f>
        <v>180</v>
      </c>
      <c r="BD121" s="167">
        <f>IFERROR(IF($C121="Top WS",VLOOKUP($B121,'2) หลักการคำนวน Table'!$D$5:$M$20,HLOOKUP(AF121,'2) หลักการคำนวน Table'!$D$1:$M$5,5,TRUE),0),
IF($C121="WS SF",VLOOKUP($B121,'2) หลักการคำนวน Table'!$D$33:$M$48,HLOOKUP(AF121,'2) หลักการคำนวน Table'!$D$1:$M$5,5,TRUE),0),
IF($C121="WS WH",VLOOKUP($B121,'2) หลักการคำนวน Table'!$D$63:$M$78,HLOOKUP(AF121,'2) หลักการคำนวน Table'!$D$1:$M$5,5,TRUE),0),
IF($C121="SF WH",VLOOKUP($B121,'2) หลักการคำนวน Table'!$D$93:$M$108,HLOOKUP(AF121,'2) หลักการคำนวน Table'!$D$1:$M$5,5,TRUE),0))))),0)</f>
        <v>180</v>
      </c>
      <c r="BE121" s="167">
        <f>IFERROR(IF($C121="Top WS",VLOOKUP($B121,'2) หลักการคำนวน Table'!$D$5:$M$20,HLOOKUP(AG121,'2) หลักการคำนวน Table'!$D$1:$M$5,5,TRUE),0),
IF($C121="WS SF",VLOOKUP($B121,'2) หลักการคำนวน Table'!$D$33:$M$48,HLOOKUP(AG121,'2) หลักการคำนวน Table'!$D$1:$M$5,5,TRUE),0),
IF($C121="WS WH",VLOOKUP($B121,'2) หลักการคำนวน Table'!$D$63:$M$78,HLOOKUP(AG121,'2) หลักการคำนวน Table'!$D$1:$M$5,5,TRUE),0),
IF($C121="SF WH",VLOOKUP($B121,'2) หลักการคำนวน Table'!$D$93:$M$108,HLOOKUP(AG121,'2) หลักการคำนวน Table'!$D$1:$M$5,5,TRUE),0))))),0)</f>
        <v>180</v>
      </c>
      <c r="BF121" s="167">
        <f>IFERROR(IF($C121="Top WS",VLOOKUP($B121,'2) หลักการคำนวน Table'!$D$5:$M$20,HLOOKUP(AH121,'2) หลักการคำนวน Table'!$D$1:$M$5,5,TRUE),0),
IF($C121="WS SF",VLOOKUP($B121,'2) หลักการคำนวน Table'!$D$33:$M$48,HLOOKUP(AH121,'2) หลักการคำนวน Table'!$D$1:$M$5,5,TRUE),0),
IF($C121="WS WH",VLOOKUP($B121,'2) หลักการคำนวน Table'!$D$63:$M$78,HLOOKUP(AH121,'2) หลักการคำนวน Table'!$D$1:$M$5,5,TRUE),0),
IF($C121="SF WH",VLOOKUP($B121,'2) หลักการคำนวน Table'!$D$93:$M$108,HLOOKUP(AH121,'2) หลักการคำนวน Table'!$D$1:$M$5,5,TRUE),0))))),0)</f>
        <v>180</v>
      </c>
      <c r="BG121" s="167">
        <f>IFERROR(IF($C121="Top WS",VLOOKUP($B121,'2) หลักการคำนวน Table'!$D$5:$M$20,HLOOKUP(AI121,'2) หลักการคำนวน Table'!$D$1:$M$5,5,TRUE),0),
IF($C121="WS SF",VLOOKUP($B121,'2) หลักการคำนวน Table'!$D$33:$M$48,HLOOKUP(AI121,'2) หลักการคำนวน Table'!$D$1:$M$5,5,TRUE),0),
IF($C121="WS WH",VLOOKUP($B121,'2) หลักการคำนวน Table'!$D$63:$M$78,HLOOKUP(AI121,'2) หลักการคำนวน Table'!$D$1:$M$5,5,TRUE),0),
IF($C121="SF WH",VLOOKUP($B121,'2) หลักการคำนวน Table'!$D$93:$M$108,HLOOKUP(AI121,'2) หลักการคำนวน Table'!$D$1:$M$5,5,TRUE),0))))),0)</f>
        <v>180</v>
      </c>
      <c r="BH121" s="167">
        <f>IFERROR(IF($C121="Top WS",VLOOKUP($B121,'2) หลักการคำนวน Table'!$D$5:$M$20,HLOOKUP(AP121,'2) หลักการคำนวน Table'!$D$1:$M$5,5,TRUE),0),
IF($C121="WS SF",VLOOKUP($B121,'2) หลักการคำนวน Table'!$D$33:$M$48,HLOOKUP(AP121,'2) หลักการคำนวน Table'!$D$1:$M$5,5,TRUE),0),
IF($C121="WS WH",VLOOKUP($B121,'2) หลักการคำนวน Table'!$D$63:$M$78,HLOOKUP(AP121,'2) หลักการคำนวน Table'!$D$1:$M$5,5,TRUE),0),
IF($C121="SF WH",VLOOKUP($B121,'2) หลักการคำนวน Table'!$D$93:$M$108,HLOOKUP(AP121,'2) หลักการคำนวน Table'!$D$1:$M$5,5,TRUE),0))))),0)</f>
        <v>180</v>
      </c>
      <c r="BI121" s="167">
        <f>IFERROR(IF($C121="Top WS",VLOOKUP($B121,'2) หลักการคำนวน Table'!$D$5:$M$20,HLOOKUP(AK121,'2) หลักการคำนวน Table'!$D$1:$M$5,5,TRUE),0),
IF($C121="WS SF",VLOOKUP($B121,'2) หลักการคำนวน Table'!$D$33:$M$48,HLOOKUP(AK121,'2) หลักการคำนวน Table'!$D$1:$M$5,5,TRUE),0),
IF($C121="WS WH",VLOOKUP($B121,'2) หลักการคำนวน Table'!$D$63:$M$78,HLOOKUP(AK121,'2) หลักการคำนวน Table'!$D$1:$M$5,5,TRUE),0),
IF($C121="SF WH",VLOOKUP($B121,'2) หลักการคำนวน Table'!$D$93:$M$108,HLOOKUP(AK121,'2) หลักการคำนวน Table'!$D$1:$M$5,5,TRUE),0))))),0)</f>
        <v>180</v>
      </c>
      <c r="BJ121" s="167">
        <f>IFERROR(IF($C121="Top WS",VLOOKUP($B121,'2) หลักการคำนวน Table'!$D$5:$M$20,HLOOKUP(AL121,'2) หลักการคำนวน Table'!$D$1:$M$5,5,TRUE),0),
IF($C121="WS SF",VLOOKUP($B121,'2) หลักการคำนวน Table'!$D$33:$M$48,HLOOKUP(AL121,'2) หลักการคำนวน Table'!$D$1:$M$5,5,TRUE),0),
IF($C121="WS WH",VLOOKUP($B121,'2) หลักการคำนวน Table'!$D$63:$M$78,HLOOKUP(AL121,'2) หลักการคำนวน Table'!$D$1:$M$5,5,TRUE),0),
IF($C121="SF WH",VLOOKUP($B121,'2) หลักการคำนวน Table'!$D$93:$M$108,HLOOKUP(AL121,'2) หลักการคำนวน Table'!$D$1:$M$5,5,TRUE),0))))),0)</f>
        <v>180</v>
      </c>
      <c r="BK121" s="167">
        <f>IFERROR(IF($C121="Top WS",VLOOKUP($B121,'2) หลักการคำนวน Table'!$D$5:$M$20,HLOOKUP(AM121,'2) หลักการคำนวน Table'!$D$1:$M$5,5,TRUE),0),
IF($C121="WS SF",VLOOKUP($B121,'2) หลักการคำนวน Table'!$D$33:$M$48,HLOOKUP(AM121,'2) หลักการคำนวน Table'!$D$1:$M$5,5,TRUE),0),
IF($C121="WS WH",VLOOKUP($B121,'2) หลักการคำนวน Table'!$D$63:$M$78,HLOOKUP(AM121,'2) หลักการคำนวน Table'!$D$1:$M$5,5,TRUE),0),
IF($C121="SF WH",VLOOKUP($B121,'2) หลักการคำนวน Table'!$D$93:$M$108,HLOOKUP(AM121,'2) หลักการคำนวน Table'!$D$1:$M$5,5,TRUE),0))))),0)</f>
        <v>180</v>
      </c>
      <c r="BM121" s="119">
        <f>VLOOKUP(VLOOKUP(A121,ASTBase!E:S,13,FALSE),ASTBase!F:P,11,FALSE)</f>
        <v>150000</v>
      </c>
      <c r="BN121" s="196" cm="1">
        <f t="array" ref="BN121">INDEX(AN121:AY121,,Period!$D$2)</f>
        <v>1.3</v>
      </c>
    </row>
    <row r="122" spans="1:66" x14ac:dyDescent="0.25">
      <c r="A122" s="117">
        <v>150001</v>
      </c>
      <c r="B122" s="117" t="s">
        <v>405</v>
      </c>
      <c r="C122" s="117" t="s">
        <v>178</v>
      </c>
      <c r="D122" s="118">
        <v>244</v>
      </c>
      <c r="E122" s="118">
        <v>250</v>
      </c>
      <c r="F122" s="118">
        <v>238</v>
      </c>
      <c r="G122" s="118">
        <v>262</v>
      </c>
      <c r="H122" s="118">
        <v>232</v>
      </c>
      <c r="I122" s="118">
        <v>262</v>
      </c>
      <c r="J122" s="118">
        <v>244</v>
      </c>
      <c r="K122" s="118">
        <v>263</v>
      </c>
      <c r="L122" s="118">
        <v>244</v>
      </c>
      <c r="M122" s="118">
        <v>250</v>
      </c>
      <c r="N122" s="118">
        <v>244</v>
      </c>
      <c r="O122" s="118">
        <v>265</v>
      </c>
      <c r="P122" s="117">
        <f>SUMIFS(Actual!C:C,Actual!$A:$A,'3)Target &amp; Cal'!$A122,Actual!$B:$B,'3)Target &amp; Cal'!$B122)</f>
        <v>0</v>
      </c>
      <c r="Q122" s="117">
        <f>SUMIFS(Actual!D:D,Actual!$A:$A,'3)Target &amp; Cal'!$A122,Actual!$B:$B,'3)Target &amp; Cal'!$B122)</f>
        <v>66.06</v>
      </c>
      <c r="R122" s="117">
        <f>SUMIFS(Actual!E:E,Actual!$A:$A,'3)Target &amp; Cal'!$A122,Actual!$B:$B,'3)Target &amp; Cal'!$B122)</f>
        <v>0</v>
      </c>
      <c r="S122" s="117">
        <f>SUMIFS(Actual!F:F,Actual!$A:$A,'3)Target &amp; Cal'!$A122,Actual!$B:$B,'3)Target &amp; Cal'!$B122)</f>
        <v>0</v>
      </c>
      <c r="T122" s="117">
        <f>SUMIFS(Actual!G:G,Actual!$A:$A,'3)Target &amp; Cal'!$A122,Actual!$B:$B,'3)Target &amp; Cal'!$B122)</f>
        <v>0</v>
      </c>
      <c r="U122" s="117">
        <f>SUMIFS(Actual!H:H,Actual!$A:$A,'3)Target &amp; Cal'!$A122,Actual!$B:$B,'3)Target &amp; Cal'!$B122)</f>
        <v>0</v>
      </c>
      <c r="V122" s="117">
        <f>SUMIFS(Actual!I:I,Actual!$A:$A,'3)Target &amp; Cal'!$A122,Actual!$B:$B,'3)Target &amp; Cal'!$B122)</f>
        <v>0</v>
      </c>
      <c r="W122" s="117">
        <f>SUMIFS(Actual!J:J,Actual!$A:$A,'3)Target &amp; Cal'!$A122,Actual!$B:$B,'3)Target &amp; Cal'!$B122)</f>
        <v>0</v>
      </c>
      <c r="X122" s="117">
        <f>SUMIFS(Actual!K:K,Actual!$A:$A,'3)Target &amp; Cal'!$A122,Actual!$B:$B,'3)Target &amp; Cal'!$B122)</f>
        <v>0</v>
      </c>
      <c r="Y122" s="117">
        <f>SUMIFS(Actual!L:L,Actual!$A:$A,'3)Target &amp; Cal'!$A122,Actual!$B:$B,'3)Target &amp; Cal'!$B122)</f>
        <v>0</v>
      </c>
      <c r="Z122" s="117">
        <f>SUMIFS(Actual!M:M,Actual!$A:$A,'3)Target &amp; Cal'!$A122,Actual!$B:$B,'3)Target &amp; Cal'!$B122)</f>
        <v>0</v>
      </c>
      <c r="AA122" s="117">
        <f>SUMIFS(Actual!N:N,Actual!$A:$A,'3)Target &amp; Cal'!$A122,Actual!$B:$B,'3)Target &amp; Cal'!$B122)</f>
        <v>0</v>
      </c>
      <c r="AB122" s="123">
        <f>IFERROR(IF(VLOOKUP($B122,Shortage!$A:$M,AB$2,FALSE)="Shortage",1,IFERROR(ROUND(P122/D122,4),0)),IFERROR(ROUND(P122/D122,4),0))</f>
        <v>0</v>
      </c>
      <c r="AC122" s="123">
        <f>IFERROR(IF(VLOOKUP($B122,Shortage!$A:$M,AC$2,FALSE)="Shortage",1,IFERROR(ROUND(Q122/E122,4),0)),IFERROR(ROUND(Q122/E122,4),0))</f>
        <v>0.26419999999999999</v>
      </c>
      <c r="AD122" s="123">
        <f>IFERROR(IF(VLOOKUP($B122,Shortage!$A:$M,AD$2,FALSE)="Shortage",1,IFERROR(ROUND(R122/F122,4),0)),IFERROR(ROUND(R122/F122,4),0))</f>
        <v>0</v>
      </c>
      <c r="AE122" s="123">
        <f>IFERROR(IF(VLOOKUP($B122,Shortage!$A:$M,AE$2,FALSE)="Shortage",1,IFERROR(ROUND(S122/G122,4),0)),IFERROR(ROUND(S122/G122,4),0))</f>
        <v>0</v>
      </c>
      <c r="AF122" s="123">
        <f>IFERROR(IF(VLOOKUP($B122,Shortage!$A:$M,AF$2,FALSE)="Shortage",1,IFERROR(ROUND(T122/H122,4),0)),IFERROR(ROUND(T122/H122,4),0))</f>
        <v>0</v>
      </c>
      <c r="AG122" s="123">
        <f>IFERROR(IF(VLOOKUP($B122,Shortage!$A:$M,AG$2,FALSE)="Shortage",1,IFERROR(ROUND(U122/I122,4),0)),IFERROR(ROUND(U122/I122,4),0))</f>
        <v>0</v>
      </c>
      <c r="AH122" s="123">
        <f>IFERROR(IF(VLOOKUP($B122,Shortage!$A:$M,AH$2,FALSE)="Shortage",1,IFERROR(ROUND(V122/J122,4),0)),IFERROR(ROUND(V122/J122,4),0))</f>
        <v>0</v>
      </c>
      <c r="AI122" s="123">
        <f>IFERROR(IF(VLOOKUP($B122,Shortage!$A:$M,AI$2,FALSE)="Shortage",1,IFERROR(ROUND(W122/K122,4),0)),IFERROR(ROUND(W122/K122,4),0))</f>
        <v>0</v>
      </c>
      <c r="AJ122" s="123">
        <f>IFERROR(IF(VLOOKUP($B122,Shortage!$A:$M,AP$2,FALSE)="Shortage",1,IFERROR(ROUND(X122/L122,4),0)),IFERROR(ROUND(X122/L122,4),0))</f>
        <v>0</v>
      </c>
      <c r="AK122" s="123">
        <f>IFERROR(IF(VLOOKUP($B122,Shortage!$A:$M,AK$2,FALSE)="Shortage",1,IFERROR(ROUND(Y122/M122,4),0)),IFERROR(ROUND(Y122/M122,4),0))</f>
        <v>0</v>
      </c>
      <c r="AL122" s="123">
        <f>IFERROR(IF(VLOOKUP($B122,Shortage!$A:$M,AL$2,FALSE)="Shortage",1,IFERROR(ROUND(Z122/N122,4),0)),IFERROR(ROUND(Z122/N122,4),0))</f>
        <v>0</v>
      </c>
      <c r="AM122" s="123">
        <f>IFERROR(IF(VLOOKUP($B122,Shortage!$A:$M,AM$2,FALSE)="Shortage",1,IFERROR(ROUND(AA122/O122,4),0)),IFERROR(ROUND(AA122/O122,4),0))</f>
        <v>0</v>
      </c>
      <c r="AN122" s="232">
        <f>IFERROR(IF($C122="Top WS",VLOOKUP("GOAL",'2) หลักการคำนวน Table'!$D$4:$M$4,HLOOKUP(AB122,'2) หลักการคำนวน Table'!$D$1:$M$5,5,TRUE),0),
IF($C122="WS SF",VLOOKUP("GOAL",'2) หลักการคำนวน Table'!$D$32:$M$32,HLOOKUP(AB122,'2) หลักการคำนวน Table'!$D$1:$M$5,5,TRUE),0),
IF($C122="WS WH",VLOOKUP("GOAL",'2) หลักการคำนวน Table'!$D$62:$M$62,HLOOKUP(AB122,'2) หลักการคำนวน Table'!$D$1:$M$5,5,TRUE),0),
IF($C122="SF WH",VLOOKUP("GOAL",'2) หลักการคำนวน Table'!$D$92:$M$92,HLOOKUP(AB122,'2) หลักการคำนวน Table'!$D$1:$M$5,5,TRUE),0))))),0)</f>
        <v>0.9</v>
      </c>
      <c r="AO122" s="232">
        <f>IFERROR(IF($C122="Top WS",VLOOKUP("GOAL",'2) หลักการคำนวน Table'!$D$4:$M$4,HLOOKUP(AC122,'2) หลักการคำนวน Table'!$D$1:$M$5,5,TRUE),0),
IF($C122="WS SF",VLOOKUP("GOAL",'2) หลักการคำนวน Table'!$D$32:$M$32,HLOOKUP(AC122,'2) หลักการคำนวน Table'!$D$1:$M$5,5,TRUE),0),
IF($C122="WS WH",VLOOKUP("GOAL",'2) หลักการคำนวน Table'!$D$62:$M$62,HLOOKUP(AC122,'2) หลักการคำนวน Table'!$D$1:$M$5,5,TRUE),0),
IF($C122="SF WH",VLOOKUP("GOAL",'2) หลักการคำนวน Table'!$D$92:$M$92,HLOOKUP(AC122,'2) หลักการคำนวน Table'!$D$1:$M$5,5,TRUE),0))))),0)</f>
        <v>0.9</v>
      </c>
      <c r="AP122" s="232">
        <f>IFERROR(IF($C122="Top WS",VLOOKUP("GOAL",'2) หลักการคำนวน Table'!$D$4:$M$4,HLOOKUP(AD122,'2) หลักการคำนวน Table'!$D$1:$M$5,5,TRUE),0),
IF($C122="WS SF",VLOOKUP("GOAL",'2) หลักการคำนวน Table'!$D$32:$M$32,HLOOKUP(AD122,'2) หลักการคำนวน Table'!$D$1:$M$5,5,TRUE),0),
IF($C122="WS WH",VLOOKUP("GOAL",'2) หลักการคำนวน Table'!$D$62:$M$62,HLOOKUP(AD122,'2) หลักการคำนวน Table'!$D$1:$M$5,5,TRUE),0),
IF($C122="SF WH",VLOOKUP("GOAL",'2) หลักการคำนวน Table'!$D$92:$M$92,HLOOKUP(AD122,'2) หลักการคำนวน Table'!$D$1:$M$5,5,TRUE),0))))),0)</f>
        <v>0.9</v>
      </c>
      <c r="AQ122" s="232">
        <f>IFERROR(IF($C122="Top WS",VLOOKUP("GOAL",'2) หลักการคำนวน Table'!$D$4:$M$4,HLOOKUP(AE122,'2) หลักการคำนวน Table'!$D$1:$M$5,5,TRUE),0),
IF($C122="WS SF",VLOOKUP("GOAL",'2) หลักการคำนวน Table'!$D$32:$M$32,HLOOKUP(AE122,'2) หลักการคำนวน Table'!$D$1:$M$5,5,TRUE),0),
IF($C122="WS WH",VLOOKUP("GOAL",'2) หลักการคำนวน Table'!$D$62:$M$62,HLOOKUP(AE122,'2) หลักการคำนวน Table'!$D$1:$M$5,5,TRUE),0),
IF($C122="SF WH",VLOOKUP("GOAL",'2) หลักการคำนวน Table'!$D$92:$M$92,HLOOKUP(AE122,'2) หลักการคำนวน Table'!$D$1:$M$5,5,TRUE),0))))),0)</f>
        <v>0.9</v>
      </c>
      <c r="AR122" s="232">
        <f>IFERROR(IF($C122="Top WS",VLOOKUP("GOAL",'2) หลักการคำนวน Table'!$D$4:$M$4,HLOOKUP(AF122,'2) หลักการคำนวน Table'!$D$1:$M$5,5,TRUE),0),
IF($C122="WS SF",VLOOKUP("GOAL",'2) หลักการคำนวน Table'!$D$32:$M$32,HLOOKUP(AF122,'2) หลักการคำนวน Table'!$D$1:$M$5,5,TRUE),0),
IF($C122="WS WH",VLOOKUP("GOAL",'2) หลักการคำนวน Table'!$D$62:$M$62,HLOOKUP(AF122,'2) หลักการคำนวน Table'!$D$1:$M$5,5,TRUE),0),
IF($C122="SF WH",VLOOKUP("GOAL",'2) หลักการคำนวน Table'!$D$92:$M$92,HLOOKUP(AF122,'2) หลักการคำนวน Table'!$D$1:$M$5,5,TRUE),0))))),0)</f>
        <v>0.9</v>
      </c>
      <c r="AS122" s="232">
        <f>IFERROR(IF($C122="Top WS",VLOOKUP("GOAL",'2) หลักการคำนวน Table'!$D$4:$M$4,HLOOKUP(AG122,'2) หลักการคำนวน Table'!$D$1:$M$5,5,TRUE),0),
IF($C122="WS SF",VLOOKUP("GOAL",'2) หลักการคำนวน Table'!$D$32:$M$32,HLOOKUP(AG122,'2) หลักการคำนวน Table'!$D$1:$M$5,5,TRUE),0),
IF($C122="WS WH",VLOOKUP("GOAL",'2) หลักการคำนวน Table'!$D$62:$M$62,HLOOKUP(AG122,'2) หลักการคำนวน Table'!$D$1:$M$5,5,TRUE),0),
IF($C122="SF WH",VLOOKUP("GOAL",'2) หลักการคำนวน Table'!$D$92:$M$92,HLOOKUP(AG122,'2) หลักการคำนวน Table'!$D$1:$M$5,5,TRUE),0))))),0)</f>
        <v>0.9</v>
      </c>
      <c r="AT122" s="232">
        <f>IFERROR(IF($C122="Top WS",VLOOKUP("GOAL",'2) หลักการคำนวน Table'!$D$4:$M$4,HLOOKUP(AH122,'2) หลักการคำนวน Table'!$D$1:$M$5,5,TRUE),0),
IF($C122="WS SF",VLOOKUP("GOAL",'2) หลักการคำนวน Table'!$D$32:$M$32,HLOOKUP(AH122,'2) หลักการคำนวน Table'!$D$1:$M$5,5,TRUE),0),
IF($C122="WS WH",VLOOKUP("GOAL",'2) หลักการคำนวน Table'!$D$62:$M$62,HLOOKUP(AH122,'2) หลักการคำนวน Table'!$D$1:$M$5,5,TRUE),0),
IF($C122="SF WH",VLOOKUP("GOAL",'2) หลักการคำนวน Table'!$D$92:$M$92,HLOOKUP(AH122,'2) หลักการคำนวน Table'!$D$1:$M$5,5,TRUE),0))))),0)</f>
        <v>0.9</v>
      </c>
      <c r="AU122" s="232">
        <f>IFERROR(IF($C122="Top WS",VLOOKUP("GOAL",'2) หลักการคำนวน Table'!$D$4:$M$4,HLOOKUP(AI122,'2) หลักการคำนวน Table'!$D$1:$M$5,5,TRUE),0),
IF($C122="WS SF",VLOOKUP("GOAL",'2) หลักการคำนวน Table'!$D$32:$M$32,HLOOKUP(AI122,'2) หลักการคำนวน Table'!$D$1:$M$5,5,TRUE),0),
IF($C122="WS WH",VLOOKUP("GOAL",'2) หลักการคำนวน Table'!$D$62:$M$62,HLOOKUP(AI122,'2) หลักการคำนวน Table'!$D$1:$M$5,5,TRUE),0),
IF($C122="SF WH",VLOOKUP("GOAL",'2) หลักการคำนวน Table'!$D$92:$M$92,HLOOKUP(AI122,'2) หลักการคำนวน Table'!$D$1:$M$5,5,TRUE),0))))),0)</f>
        <v>0.9</v>
      </c>
      <c r="AV122" s="232">
        <f>IFERROR(IF($C122="Top WS",VLOOKUP("GOAL",'2) หลักการคำนวน Table'!$D$4:$M$4,HLOOKUP(AP122,'2) หลักการคำนวน Table'!$D$1:$M$5,5,TRUE),0),
IF($C122="WS SF",VLOOKUP("GOAL",'2) หลักการคำนวน Table'!$D$32:$M$32,HLOOKUP(AP122,'2) หลักการคำนวน Table'!$D$1:$M$5,5,TRUE),0),
IF($C122="WS WH",VLOOKUP("GOAL",'2) หลักการคำนวน Table'!$D$62:$M$62,HLOOKUP(AP122,'2) หลักการคำนวน Table'!$D$1:$M$5,5,TRUE),0),
IF($C122="SF WH",VLOOKUP("GOAL",'2) หลักการคำนวน Table'!$D$92:$M$92,HLOOKUP(AP122,'2) หลักการคำนวน Table'!$D$1:$M$5,5,TRUE),0))))),0)</f>
        <v>0.9</v>
      </c>
      <c r="AW122" s="232">
        <f>IFERROR(IF($C122="Top WS",VLOOKUP("GOAL",'2) หลักการคำนวน Table'!$D$4:$M$4,HLOOKUP(AK122,'2) หลักการคำนวน Table'!$D$1:$M$5,5,TRUE),0),
IF($C122="WS SF",VLOOKUP("GOAL",'2) หลักการคำนวน Table'!$D$32:$M$32,HLOOKUP(AK122,'2) หลักการคำนวน Table'!$D$1:$M$5,5,TRUE),0),
IF($C122="WS WH",VLOOKUP("GOAL",'2) หลักการคำนวน Table'!$D$62:$M$62,HLOOKUP(AK122,'2) หลักการคำนวน Table'!$D$1:$M$5,5,TRUE),0),
IF($C122="SF WH",VLOOKUP("GOAL",'2) หลักการคำนวน Table'!$D$92:$M$92,HLOOKUP(AK122,'2) หลักการคำนวน Table'!$D$1:$M$5,5,TRUE),0))))),0)</f>
        <v>0.9</v>
      </c>
      <c r="AX122" s="232">
        <f>IFERROR(IF($C122="Top WS",VLOOKUP("GOAL",'2) หลักการคำนวน Table'!$D$4:$M$4,HLOOKUP(AL122,'2) หลักการคำนวน Table'!$D$1:$M$5,5,TRUE),0),
IF($C122="WS SF",VLOOKUP("GOAL",'2) หลักการคำนวน Table'!$D$32:$M$32,HLOOKUP(AL122,'2) หลักการคำนวน Table'!$D$1:$M$5,5,TRUE),0),
IF($C122="WS WH",VLOOKUP("GOAL",'2) หลักการคำนวน Table'!$D$62:$M$62,HLOOKUP(AL122,'2) หลักการคำนวน Table'!$D$1:$M$5,5,TRUE),0),
IF($C122="SF WH",VLOOKUP("GOAL",'2) หลักการคำนวน Table'!$D$92:$M$92,HLOOKUP(AL122,'2) หลักการคำนวน Table'!$D$1:$M$5,5,TRUE),0))))),0)</f>
        <v>0.9</v>
      </c>
      <c r="AY122" s="232">
        <f>IFERROR(IF($C122="Top WS",VLOOKUP("GOAL",'2) หลักการคำนวน Table'!$D$4:$M$4,HLOOKUP(AM122,'2) หลักการคำนวน Table'!$D$1:$M$5,5,TRUE),0),
IF($C122="WS SF",VLOOKUP("GOAL",'2) หลักการคำนวน Table'!$D$32:$M$32,HLOOKUP(AM122,'2) หลักการคำนวน Table'!$D$1:$M$5,5,TRUE),0),
IF($C122="WS WH",VLOOKUP("GOAL",'2) หลักการคำนวน Table'!$D$62:$M$62,HLOOKUP(AM122,'2) หลักการคำนวน Table'!$D$1:$M$5,5,TRUE),0),
IF($C122="SF WH",VLOOKUP("GOAL",'2) หลักการคำนวน Table'!$D$92:$M$92,HLOOKUP(AM122,'2) หลักการคำนวน Table'!$D$1:$M$5,5,TRUE),0))))),0)</f>
        <v>0.9</v>
      </c>
      <c r="AZ122" s="167">
        <f>IFERROR(IF($C122="Top WS",VLOOKUP($B122,'2) หลักการคำนวน Table'!$D$5:$M$20,HLOOKUP(AB122,'2) หลักการคำนวน Table'!$D$1:$M$5,5,TRUE),0),#REF!
                                                                                                                                                                                                                                                                IF($C122="WS SF",VLOOKUP($B122,'2) หลักการคำนวน Table'!$D$33:$M$48,HLOOKUP(AB122,'2) หลักการคำนวน Table'!$D$1:$M$5,5,TRUE),0),
IF($C122="WS WH",VLOOKUP($B122,'2) หลักการคำนวน Table'!$D$63:$M$78,HLOOKUP(AB122,'2) หลักการคำนวน Table'!$D$1:$M$5,5,TRUE),0),
IF($C122="SF WH",VLOOKUP($B122,'2) หลักการคำนวน Table'!$D$93:$M$108,HLOOKUP(AB122,'2) หลักการคำนวน Table'!$D$1:$M$5,5,TRUE),0))))),0)</f>
        <v>360</v>
      </c>
      <c r="BA122" s="167">
        <f>IFERROR(IF($C122="Top WS",VLOOKUP($B122,'2) หลักการคำนวน Table'!$D$5:$M$20,HLOOKUP(AC122,'2) หลักการคำนวน Table'!$D$1:$M$5,5,TRUE),0),
IF($C122="WS SF",VLOOKUP($B122,'2) หลักการคำนวน Table'!$D$33:$M$48,HLOOKUP(AC122,'2) หลักการคำนวน Table'!$D$1:$M$5,5,TRUE),0),
IF($C122="WS WH",VLOOKUP($B122,'2) หลักการคำนวน Table'!$D$63:$M$78,HLOOKUP(AC122,'2) หลักการคำนวน Table'!$D$1:$M$5,5,TRUE),0),
IF($C122="SF WH",VLOOKUP($B122,'2) หลักการคำนวน Table'!$D$93:$M$108,HLOOKUP(AC122,'2) หลักการคำนวน Table'!$D$1:$M$5,5,TRUE),0))))),0)</f>
        <v>360</v>
      </c>
      <c r="BB122" s="167">
        <f>IFERROR(IF($C122="Top WS",VLOOKUP($B122,'2) หลักการคำนวน Table'!$D$5:$M$20,HLOOKUP(AD122,'2) หลักการคำนวน Table'!$D$1:$M$5,5,TRUE),0),
IF($C122="WS SF",VLOOKUP($B122,'2) หลักการคำนวน Table'!$D$33:$M$48,HLOOKUP(AD122,'2) หลักการคำนวน Table'!$D$1:$M$5,5,TRUE),0),
IF($C122="WS WH",VLOOKUP($B122,'2) หลักการคำนวน Table'!$D$63:$M$78,HLOOKUP(AD122,'2) หลักการคำนวน Table'!$D$1:$M$5,5,TRUE),0),
IF($C122="SF WH",VLOOKUP($B122,'2) หลักการคำนวน Table'!$D$93:$M$108,HLOOKUP(AD122,'2) หลักการคำนวน Table'!$D$1:$M$5,5,TRUE),0))))),0)</f>
        <v>360</v>
      </c>
      <c r="BC122" s="167">
        <f>IFERROR(IF($C122="Top WS",VLOOKUP($B122,'2) หลักการคำนวน Table'!$D$5:$M$20,HLOOKUP(AE122,'2) หลักการคำนวน Table'!$D$1:$M$5,5,TRUE),0),
IF($C122="WS SF",VLOOKUP($B122,'2) หลักการคำนวน Table'!$D$33:$M$48,HLOOKUP(AE122,'2) หลักการคำนวน Table'!$D$1:$M$5,5,TRUE),0),
IF($C122="WS WH",VLOOKUP($B122,'2) หลักการคำนวน Table'!$D$63:$M$78,HLOOKUP(AE122,'2) หลักการคำนวน Table'!$D$1:$M$5,5,TRUE),0),
IF($C122="SF WH",VLOOKUP($B122,'2) หลักการคำนวน Table'!$D$93:$M$108,HLOOKUP(AE122,'2) หลักการคำนวน Table'!$D$1:$M$5,5,TRUE),0))))),0)</f>
        <v>360</v>
      </c>
      <c r="BD122" s="167">
        <f>IFERROR(IF($C122="Top WS",VLOOKUP($B122,'2) หลักการคำนวน Table'!$D$5:$M$20,HLOOKUP(AF122,'2) หลักการคำนวน Table'!$D$1:$M$5,5,TRUE),0),
IF($C122="WS SF",VLOOKUP($B122,'2) หลักการคำนวน Table'!$D$33:$M$48,HLOOKUP(AF122,'2) หลักการคำนวน Table'!$D$1:$M$5,5,TRUE),0),
IF($C122="WS WH",VLOOKUP($B122,'2) หลักการคำนวน Table'!$D$63:$M$78,HLOOKUP(AF122,'2) หลักการคำนวน Table'!$D$1:$M$5,5,TRUE),0),
IF($C122="SF WH",VLOOKUP($B122,'2) หลักการคำนวน Table'!$D$93:$M$108,HLOOKUP(AF122,'2) หลักการคำนวน Table'!$D$1:$M$5,5,TRUE),0))))),0)</f>
        <v>360</v>
      </c>
      <c r="BE122" s="167">
        <f>IFERROR(IF($C122="Top WS",VLOOKUP($B122,'2) หลักการคำนวน Table'!$D$5:$M$20,HLOOKUP(AG122,'2) หลักการคำนวน Table'!$D$1:$M$5,5,TRUE),0),
IF($C122="WS SF",VLOOKUP($B122,'2) หลักการคำนวน Table'!$D$33:$M$48,HLOOKUP(AG122,'2) หลักการคำนวน Table'!$D$1:$M$5,5,TRUE),0),
IF($C122="WS WH",VLOOKUP($B122,'2) หลักการคำนวน Table'!$D$63:$M$78,HLOOKUP(AG122,'2) หลักการคำนวน Table'!$D$1:$M$5,5,TRUE),0),
IF($C122="SF WH",VLOOKUP($B122,'2) หลักการคำนวน Table'!$D$93:$M$108,HLOOKUP(AG122,'2) หลักการคำนวน Table'!$D$1:$M$5,5,TRUE),0))))),0)</f>
        <v>360</v>
      </c>
      <c r="BF122" s="167">
        <f>IFERROR(IF($C122="Top WS",VLOOKUP($B122,'2) หลักการคำนวน Table'!$D$5:$M$20,HLOOKUP(AH122,'2) หลักการคำนวน Table'!$D$1:$M$5,5,TRUE),0),
IF($C122="WS SF",VLOOKUP($B122,'2) หลักการคำนวน Table'!$D$33:$M$48,HLOOKUP(AH122,'2) หลักการคำนวน Table'!$D$1:$M$5,5,TRUE),0),
IF($C122="WS WH",VLOOKUP($B122,'2) หลักการคำนวน Table'!$D$63:$M$78,HLOOKUP(AH122,'2) หลักการคำนวน Table'!$D$1:$M$5,5,TRUE),0),
IF($C122="SF WH",VLOOKUP($B122,'2) หลักการคำนวน Table'!$D$93:$M$108,HLOOKUP(AH122,'2) หลักการคำนวน Table'!$D$1:$M$5,5,TRUE),0))))),0)</f>
        <v>360</v>
      </c>
      <c r="BG122" s="167">
        <f>IFERROR(IF($C122="Top WS",VLOOKUP($B122,'2) หลักการคำนวน Table'!$D$5:$M$20,HLOOKUP(AI122,'2) หลักการคำนวน Table'!$D$1:$M$5,5,TRUE),0),
IF($C122="WS SF",VLOOKUP($B122,'2) หลักการคำนวน Table'!$D$33:$M$48,HLOOKUP(AI122,'2) หลักการคำนวน Table'!$D$1:$M$5,5,TRUE),0),
IF($C122="WS WH",VLOOKUP($B122,'2) หลักการคำนวน Table'!$D$63:$M$78,HLOOKUP(AI122,'2) หลักการคำนวน Table'!$D$1:$M$5,5,TRUE),0),
IF($C122="SF WH",VLOOKUP($B122,'2) หลักการคำนวน Table'!$D$93:$M$108,HLOOKUP(AI122,'2) หลักการคำนวน Table'!$D$1:$M$5,5,TRUE),0))))),0)</f>
        <v>360</v>
      </c>
      <c r="BH122" s="167">
        <f>IFERROR(IF($C122="Top WS",VLOOKUP($B122,'2) หลักการคำนวน Table'!$D$5:$M$20,HLOOKUP(AP122,'2) หลักการคำนวน Table'!$D$1:$M$5,5,TRUE),0),
IF($C122="WS SF",VLOOKUP($B122,'2) หลักการคำนวน Table'!$D$33:$M$48,HLOOKUP(AP122,'2) หลักการคำนวน Table'!$D$1:$M$5,5,TRUE),0),
IF($C122="WS WH",VLOOKUP($B122,'2) หลักการคำนวน Table'!$D$63:$M$78,HLOOKUP(AP122,'2) หลักการคำนวน Table'!$D$1:$M$5,5,TRUE),0),
IF($C122="SF WH",VLOOKUP($B122,'2) หลักการคำนวน Table'!$D$93:$M$108,HLOOKUP(AP122,'2) หลักการคำนวน Table'!$D$1:$M$5,5,TRUE),0))))),0)</f>
        <v>360</v>
      </c>
      <c r="BI122" s="167">
        <f>IFERROR(IF($C122="Top WS",VLOOKUP($B122,'2) หลักการคำนวน Table'!$D$5:$M$20,HLOOKUP(AK122,'2) หลักการคำนวน Table'!$D$1:$M$5,5,TRUE),0),
IF($C122="WS SF",VLOOKUP($B122,'2) หลักการคำนวน Table'!$D$33:$M$48,HLOOKUP(AK122,'2) หลักการคำนวน Table'!$D$1:$M$5,5,TRUE),0),
IF($C122="WS WH",VLOOKUP($B122,'2) หลักการคำนวน Table'!$D$63:$M$78,HLOOKUP(AK122,'2) หลักการคำนวน Table'!$D$1:$M$5,5,TRUE),0),
IF($C122="SF WH",VLOOKUP($B122,'2) หลักการคำนวน Table'!$D$93:$M$108,HLOOKUP(AK122,'2) หลักการคำนวน Table'!$D$1:$M$5,5,TRUE),0))))),0)</f>
        <v>360</v>
      </c>
      <c r="BJ122" s="167">
        <f>IFERROR(IF($C122="Top WS",VLOOKUP($B122,'2) หลักการคำนวน Table'!$D$5:$M$20,HLOOKUP(AL122,'2) หลักการคำนวน Table'!$D$1:$M$5,5,TRUE),0),
IF($C122="WS SF",VLOOKUP($B122,'2) หลักการคำนวน Table'!$D$33:$M$48,HLOOKUP(AL122,'2) หลักการคำนวน Table'!$D$1:$M$5,5,TRUE),0),
IF($C122="WS WH",VLOOKUP($B122,'2) หลักการคำนวน Table'!$D$63:$M$78,HLOOKUP(AL122,'2) หลักการคำนวน Table'!$D$1:$M$5,5,TRUE),0),
IF($C122="SF WH",VLOOKUP($B122,'2) หลักการคำนวน Table'!$D$93:$M$108,HLOOKUP(AL122,'2) หลักการคำนวน Table'!$D$1:$M$5,5,TRUE),0))))),0)</f>
        <v>360</v>
      </c>
      <c r="BK122" s="167">
        <f>IFERROR(IF($C122="Top WS",VLOOKUP($B122,'2) หลักการคำนวน Table'!$D$5:$M$20,HLOOKUP(AM122,'2) หลักการคำนวน Table'!$D$1:$M$5,5,TRUE),0),
IF($C122="WS SF",VLOOKUP($B122,'2) หลักการคำนวน Table'!$D$33:$M$48,HLOOKUP(AM122,'2) หลักการคำนวน Table'!$D$1:$M$5,5,TRUE),0),
IF($C122="WS WH",VLOOKUP($B122,'2) หลักการคำนวน Table'!$D$63:$M$78,HLOOKUP(AM122,'2) หลักการคำนวน Table'!$D$1:$M$5,5,TRUE),0),
IF($C122="SF WH",VLOOKUP($B122,'2) หลักการคำนวน Table'!$D$93:$M$108,HLOOKUP(AM122,'2) หลักการคำนวน Table'!$D$1:$M$5,5,TRUE),0))))),0)</f>
        <v>360</v>
      </c>
      <c r="BM122" s="119">
        <f>VLOOKUP(VLOOKUP(A122,ASTBase!E:S,13,FALSE),ASTBase!F:P,11,FALSE)</f>
        <v>150000</v>
      </c>
      <c r="BN122" s="196" cm="1">
        <f t="array" ref="BN122">INDEX(AN122:AY122,,Period!$D$2)</f>
        <v>0.9</v>
      </c>
    </row>
    <row r="123" spans="1:66" x14ac:dyDescent="0.25">
      <c r="A123" s="117">
        <v>150001</v>
      </c>
      <c r="B123" s="117" t="s">
        <v>393</v>
      </c>
      <c r="C123" s="117" t="s">
        <v>178</v>
      </c>
      <c r="D123" s="118">
        <v>546</v>
      </c>
      <c r="E123" s="118">
        <v>156</v>
      </c>
      <c r="F123" s="118">
        <v>383</v>
      </c>
      <c r="G123" s="118">
        <v>243</v>
      </c>
      <c r="H123" s="118">
        <v>260</v>
      </c>
      <c r="I123" s="118">
        <v>266</v>
      </c>
      <c r="J123" s="118">
        <v>282</v>
      </c>
      <c r="K123" s="118">
        <v>333</v>
      </c>
      <c r="L123" s="118">
        <v>342</v>
      </c>
      <c r="M123" s="118">
        <v>258</v>
      </c>
      <c r="N123" s="118">
        <v>96</v>
      </c>
      <c r="O123" s="118">
        <v>222</v>
      </c>
      <c r="P123" s="117">
        <f>SUMIFS(Actual!C:C,Actual!$A:$A,'3)Target &amp; Cal'!$A123,Actual!$B:$B,'3)Target &amp; Cal'!$B123)</f>
        <v>265.20000000000005</v>
      </c>
      <c r="Q123" s="117">
        <f>SUMIFS(Actual!D:D,Actual!$A:$A,'3)Target &amp; Cal'!$A123,Actual!$B:$B,'3)Target &amp; Cal'!$B123)</f>
        <v>261.60000000000002</v>
      </c>
      <c r="R123" s="117">
        <f>SUMIFS(Actual!E:E,Actual!$A:$A,'3)Target &amp; Cal'!$A123,Actual!$B:$B,'3)Target &amp; Cal'!$B123)</f>
        <v>0</v>
      </c>
      <c r="S123" s="117">
        <f>SUMIFS(Actual!F:F,Actual!$A:$A,'3)Target &amp; Cal'!$A123,Actual!$B:$B,'3)Target &amp; Cal'!$B123)</f>
        <v>0</v>
      </c>
      <c r="T123" s="117">
        <f>SUMIFS(Actual!G:G,Actual!$A:$A,'3)Target &amp; Cal'!$A123,Actual!$B:$B,'3)Target &amp; Cal'!$B123)</f>
        <v>0</v>
      </c>
      <c r="U123" s="117">
        <f>SUMIFS(Actual!H:H,Actual!$A:$A,'3)Target &amp; Cal'!$A123,Actual!$B:$B,'3)Target &amp; Cal'!$B123)</f>
        <v>0</v>
      </c>
      <c r="V123" s="117">
        <f>SUMIFS(Actual!I:I,Actual!$A:$A,'3)Target &amp; Cal'!$A123,Actual!$B:$B,'3)Target &amp; Cal'!$B123)</f>
        <v>0</v>
      </c>
      <c r="W123" s="117">
        <f>SUMIFS(Actual!J:J,Actual!$A:$A,'3)Target &amp; Cal'!$A123,Actual!$B:$B,'3)Target &amp; Cal'!$B123)</f>
        <v>0</v>
      </c>
      <c r="X123" s="117">
        <f>SUMIFS(Actual!K:K,Actual!$A:$A,'3)Target &amp; Cal'!$A123,Actual!$B:$B,'3)Target &amp; Cal'!$B123)</f>
        <v>0</v>
      </c>
      <c r="Y123" s="117">
        <f>SUMIFS(Actual!L:L,Actual!$A:$A,'3)Target &amp; Cal'!$A123,Actual!$B:$B,'3)Target &amp; Cal'!$B123)</f>
        <v>0</v>
      </c>
      <c r="Z123" s="117">
        <f>SUMIFS(Actual!M:M,Actual!$A:$A,'3)Target &amp; Cal'!$A123,Actual!$B:$B,'3)Target &amp; Cal'!$B123)</f>
        <v>0</v>
      </c>
      <c r="AA123" s="117">
        <f>SUMIFS(Actual!N:N,Actual!$A:$A,'3)Target &amp; Cal'!$A123,Actual!$B:$B,'3)Target &amp; Cal'!$B123)</f>
        <v>0</v>
      </c>
      <c r="AB123" s="123">
        <f>IFERROR(IF(VLOOKUP($B123,Shortage!$A:$M,AB$2,FALSE)="Shortage",1,IFERROR(ROUND(P123/D123,4),0)),IFERROR(ROUND(P123/D123,4),0))</f>
        <v>0.48570000000000002</v>
      </c>
      <c r="AC123" s="123">
        <f>IFERROR(IF(VLOOKUP($B123,Shortage!$A:$M,AC$2,FALSE)="Shortage",1,IFERROR(ROUND(Q123/E123,4),0)),IFERROR(ROUND(Q123/E123,4),0))</f>
        <v>1.6769000000000001</v>
      </c>
      <c r="AD123" s="123">
        <f>IFERROR(IF(VLOOKUP($B123,Shortage!$A:$M,AD$2,FALSE)="Shortage",1,IFERROR(ROUND(R123/F123,4),0)),IFERROR(ROUND(R123/F123,4),0))</f>
        <v>0</v>
      </c>
      <c r="AE123" s="123">
        <f>IFERROR(IF(VLOOKUP($B123,Shortage!$A:$M,AE$2,FALSE)="Shortage",1,IFERROR(ROUND(S123/G123,4),0)),IFERROR(ROUND(S123/G123,4),0))</f>
        <v>0</v>
      </c>
      <c r="AF123" s="123">
        <f>IFERROR(IF(VLOOKUP($B123,Shortage!$A:$M,AF$2,FALSE)="Shortage",1,IFERROR(ROUND(T123/H123,4),0)),IFERROR(ROUND(T123/H123,4),0))</f>
        <v>0</v>
      </c>
      <c r="AG123" s="123">
        <f>IFERROR(IF(VLOOKUP($B123,Shortage!$A:$M,AG$2,FALSE)="Shortage",1,IFERROR(ROUND(U123/I123,4),0)),IFERROR(ROUND(U123/I123,4),0))</f>
        <v>0</v>
      </c>
      <c r="AH123" s="123">
        <f>IFERROR(IF(VLOOKUP($B123,Shortage!$A:$M,AH$2,FALSE)="Shortage",1,IFERROR(ROUND(V123/J123,4),0)),IFERROR(ROUND(V123/J123,4),0))</f>
        <v>0</v>
      </c>
      <c r="AI123" s="123">
        <f>IFERROR(IF(VLOOKUP($B123,Shortage!$A:$M,AI$2,FALSE)="Shortage",1,IFERROR(ROUND(W123/K123,4),0)),IFERROR(ROUND(W123/K123,4),0))</f>
        <v>0</v>
      </c>
      <c r="AJ123" s="123">
        <f>IFERROR(IF(VLOOKUP($B123,Shortage!$A:$M,AP$2,FALSE)="Shortage",1,IFERROR(ROUND(X123/L123,4),0)),IFERROR(ROUND(X123/L123,4),0))</f>
        <v>0</v>
      </c>
      <c r="AK123" s="123">
        <f>IFERROR(IF(VLOOKUP($B123,Shortage!$A:$M,AK$2,FALSE)="Shortage",1,IFERROR(ROUND(Y123/M123,4),0)),IFERROR(ROUND(Y123/M123,4),0))</f>
        <v>0</v>
      </c>
      <c r="AL123" s="123">
        <f>IFERROR(IF(VLOOKUP($B123,Shortage!$A:$M,AL$2,FALSE)="Shortage",1,IFERROR(ROUND(Z123/N123,4),0)),IFERROR(ROUND(Z123/N123,4),0))</f>
        <v>0</v>
      </c>
      <c r="AM123" s="123">
        <f>IFERROR(IF(VLOOKUP($B123,Shortage!$A:$M,AM$2,FALSE)="Shortage",1,IFERROR(ROUND(AA123/O123,4),0)),IFERROR(ROUND(AA123/O123,4),0))</f>
        <v>0</v>
      </c>
      <c r="AN123" s="232">
        <f>IFERROR(IF($C123="Top WS",VLOOKUP("GOAL",'2) หลักการคำนวน Table'!$D$4:$M$4,HLOOKUP(AB123,'2) หลักการคำนวน Table'!$D$1:$M$5,5,TRUE),0),
IF($C123="WS SF",VLOOKUP("GOAL",'2) หลักการคำนวน Table'!$D$32:$M$32,HLOOKUP(AB123,'2) หลักการคำนวน Table'!$D$1:$M$5,5,TRUE),0),
IF($C123="WS WH",VLOOKUP("GOAL",'2) หลักการคำนวน Table'!$D$62:$M$62,HLOOKUP(AB123,'2) หลักการคำนวน Table'!$D$1:$M$5,5,TRUE),0),
IF($C123="SF WH",VLOOKUP("GOAL",'2) หลักการคำนวน Table'!$D$92:$M$92,HLOOKUP(AB123,'2) หลักการคำนวน Table'!$D$1:$M$5,5,TRUE),0))))),0)</f>
        <v>0.9</v>
      </c>
      <c r="AO123" s="232">
        <f>IFERROR(IF($C123="Top WS",VLOOKUP("GOAL",'2) หลักการคำนวน Table'!$D$4:$M$4,HLOOKUP(AC123,'2) หลักการคำนวน Table'!$D$1:$M$5,5,TRUE),0),
IF($C123="WS SF",VLOOKUP("GOAL",'2) หลักการคำนวน Table'!$D$32:$M$32,HLOOKUP(AC123,'2) หลักการคำนวน Table'!$D$1:$M$5,5,TRUE),0),
IF($C123="WS WH",VLOOKUP("GOAL",'2) หลักการคำนวน Table'!$D$62:$M$62,HLOOKUP(AC123,'2) หลักการคำนวน Table'!$D$1:$M$5,5,TRUE),0),
IF($C123="SF WH",VLOOKUP("GOAL",'2) หลักการคำนวน Table'!$D$92:$M$92,HLOOKUP(AC123,'2) หลักการคำนวน Table'!$D$1:$M$5,5,TRUE),0))))),0)</f>
        <v>1.3</v>
      </c>
      <c r="AP123" s="232">
        <f>IFERROR(IF($C123="Top WS",VLOOKUP("GOAL",'2) หลักการคำนวน Table'!$D$4:$M$4,HLOOKUP(AD123,'2) หลักการคำนวน Table'!$D$1:$M$5,5,TRUE),0),
IF($C123="WS SF",VLOOKUP("GOAL",'2) หลักการคำนวน Table'!$D$32:$M$32,HLOOKUP(AD123,'2) หลักการคำนวน Table'!$D$1:$M$5,5,TRUE),0),
IF($C123="WS WH",VLOOKUP("GOAL",'2) หลักการคำนวน Table'!$D$62:$M$62,HLOOKUP(AD123,'2) หลักการคำนวน Table'!$D$1:$M$5,5,TRUE),0),
IF($C123="SF WH",VLOOKUP("GOAL",'2) หลักการคำนวน Table'!$D$92:$M$92,HLOOKUP(AD123,'2) หลักการคำนวน Table'!$D$1:$M$5,5,TRUE),0))))),0)</f>
        <v>0.9</v>
      </c>
      <c r="AQ123" s="232">
        <f>IFERROR(IF($C123="Top WS",VLOOKUP("GOAL",'2) หลักการคำนวน Table'!$D$4:$M$4,HLOOKUP(AE123,'2) หลักการคำนวน Table'!$D$1:$M$5,5,TRUE),0),
IF($C123="WS SF",VLOOKUP("GOAL",'2) หลักการคำนวน Table'!$D$32:$M$32,HLOOKUP(AE123,'2) หลักการคำนวน Table'!$D$1:$M$5,5,TRUE),0),
IF($C123="WS WH",VLOOKUP("GOAL",'2) หลักการคำนวน Table'!$D$62:$M$62,HLOOKUP(AE123,'2) หลักการคำนวน Table'!$D$1:$M$5,5,TRUE),0),
IF($C123="SF WH",VLOOKUP("GOAL",'2) หลักการคำนวน Table'!$D$92:$M$92,HLOOKUP(AE123,'2) หลักการคำนวน Table'!$D$1:$M$5,5,TRUE),0))))),0)</f>
        <v>0.9</v>
      </c>
      <c r="AR123" s="232">
        <f>IFERROR(IF($C123="Top WS",VLOOKUP("GOAL",'2) หลักการคำนวน Table'!$D$4:$M$4,HLOOKUP(AF123,'2) หลักการคำนวน Table'!$D$1:$M$5,5,TRUE),0),
IF($C123="WS SF",VLOOKUP("GOAL",'2) หลักการคำนวน Table'!$D$32:$M$32,HLOOKUP(AF123,'2) หลักการคำนวน Table'!$D$1:$M$5,5,TRUE),0),
IF($C123="WS WH",VLOOKUP("GOAL",'2) หลักการคำนวน Table'!$D$62:$M$62,HLOOKUP(AF123,'2) หลักการคำนวน Table'!$D$1:$M$5,5,TRUE),0),
IF($C123="SF WH",VLOOKUP("GOAL",'2) หลักการคำนวน Table'!$D$92:$M$92,HLOOKUP(AF123,'2) หลักการคำนวน Table'!$D$1:$M$5,5,TRUE),0))))),0)</f>
        <v>0.9</v>
      </c>
      <c r="AS123" s="232">
        <f>IFERROR(IF($C123="Top WS",VLOOKUP("GOAL",'2) หลักการคำนวน Table'!$D$4:$M$4,HLOOKUP(AG123,'2) หลักการคำนวน Table'!$D$1:$M$5,5,TRUE),0),
IF($C123="WS SF",VLOOKUP("GOAL",'2) หลักการคำนวน Table'!$D$32:$M$32,HLOOKUP(AG123,'2) หลักการคำนวน Table'!$D$1:$M$5,5,TRUE),0),
IF($C123="WS WH",VLOOKUP("GOAL",'2) หลักการคำนวน Table'!$D$62:$M$62,HLOOKUP(AG123,'2) หลักการคำนวน Table'!$D$1:$M$5,5,TRUE),0),
IF($C123="SF WH",VLOOKUP("GOAL",'2) หลักการคำนวน Table'!$D$92:$M$92,HLOOKUP(AG123,'2) หลักการคำนวน Table'!$D$1:$M$5,5,TRUE),0))))),0)</f>
        <v>0.9</v>
      </c>
      <c r="AT123" s="232">
        <f>IFERROR(IF($C123="Top WS",VLOOKUP("GOAL",'2) หลักการคำนวน Table'!$D$4:$M$4,HLOOKUP(AH123,'2) หลักการคำนวน Table'!$D$1:$M$5,5,TRUE),0),
IF($C123="WS SF",VLOOKUP("GOAL",'2) หลักการคำนวน Table'!$D$32:$M$32,HLOOKUP(AH123,'2) หลักการคำนวน Table'!$D$1:$M$5,5,TRUE),0),
IF($C123="WS WH",VLOOKUP("GOAL",'2) หลักการคำนวน Table'!$D$62:$M$62,HLOOKUP(AH123,'2) หลักการคำนวน Table'!$D$1:$M$5,5,TRUE),0),
IF($C123="SF WH",VLOOKUP("GOAL",'2) หลักการคำนวน Table'!$D$92:$M$92,HLOOKUP(AH123,'2) หลักการคำนวน Table'!$D$1:$M$5,5,TRUE),0))))),0)</f>
        <v>0.9</v>
      </c>
      <c r="AU123" s="232">
        <f>IFERROR(IF($C123="Top WS",VLOOKUP("GOAL",'2) หลักการคำนวน Table'!$D$4:$M$4,HLOOKUP(AI123,'2) หลักการคำนวน Table'!$D$1:$M$5,5,TRUE),0),
IF($C123="WS SF",VLOOKUP("GOAL",'2) หลักการคำนวน Table'!$D$32:$M$32,HLOOKUP(AI123,'2) หลักการคำนวน Table'!$D$1:$M$5,5,TRUE),0),
IF($C123="WS WH",VLOOKUP("GOAL",'2) หลักการคำนวน Table'!$D$62:$M$62,HLOOKUP(AI123,'2) หลักการคำนวน Table'!$D$1:$M$5,5,TRUE),0),
IF($C123="SF WH",VLOOKUP("GOAL",'2) หลักการคำนวน Table'!$D$92:$M$92,HLOOKUP(AI123,'2) หลักการคำนวน Table'!$D$1:$M$5,5,TRUE),0))))),0)</f>
        <v>0.9</v>
      </c>
      <c r="AV123" s="232">
        <f>IFERROR(IF($C123="Top WS",VLOOKUP("GOAL",'2) หลักการคำนวน Table'!$D$4:$M$4,HLOOKUP(AP123,'2) หลักการคำนวน Table'!$D$1:$M$5,5,TRUE),0),
IF($C123="WS SF",VLOOKUP("GOAL",'2) หลักการคำนวน Table'!$D$32:$M$32,HLOOKUP(AP123,'2) หลักการคำนวน Table'!$D$1:$M$5,5,TRUE),0),
IF($C123="WS WH",VLOOKUP("GOAL",'2) หลักการคำนวน Table'!$D$62:$M$62,HLOOKUP(AP123,'2) หลักการคำนวน Table'!$D$1:$M$5,5,TRUE),0),
IF($C123="SF WH",VLOOKUP("GOAL",'2) หลักการคำนวน Table'!$D$92:$M$92,HLOOKUP(AP123,'2) หลักการคำนวน Table'!$D$1:$M$5,5,TRUE),0))))),0)</f>
        <v>0.9</v>
      </c>
      <c r="AW123" s="232">
        <f>IFERROR(IF($C123="Top WS",VLOOKUP("GOAL",'2) หลักการคำนวน Table'!$D$4:$M$4,HLOOKUP(AK123,'2) หลักการคำนวน Table'!$D$1:$M$5,5,TRUE),0),
IF($C123="WS SF",VLOOKUP("GOAL",'2) หลักการคำนวน Table'!$D$32:$M$32,HLOOKUP(AK123,'2) หลักการคำนวน Table'!$D$1:$M$5,5,TRUE),0),
IF($C123="WS WH",VLOOKUP("GOAL",'2) หลักการคำนวน Table'!$D$62:$M$62,HLOOKUP(AK123,'2) หลักการคำนวน Table'!$D$1:$M$5,5,TRUE),0),
IF($C123="SF WH",VLOOKUP("GOAL",'2) หลักการคำนวน Table'!$D$92:$M$92,HLOOKUP(AK123,'2) หลักการคำนวน Table'!$D$1:$M$5,5,TRUE),0))))),0)</f>
        <v>0.9</v>
      </c>
      <c r="AX123" s="232">
        <f>IFERROR(IF($C123="Top WS",VLOOKUP("GOAL",'2) หลักการคำนวน Table'!$D$4:$M$4,HLOOKUP(AL123,'2) หลักการคำนวน Table'!$D$1:$M$5,5,TRUE),0),
IF($C123="WS SF",VLOOKUP("GOAL",'2) หลักการคำนวน Table'!$D$32:$M$32,HLOOKUP(AL123,'2) หลักการคำนวน Table'!$D$1:$M$5,5,TRUE),0),
IF($C123="WS WH",VLOOKUP("GOAL",'2) หลักการคำนวน Table'!$D$62:$M$62,HLOOKUP(AL123,'2) หลักการคำนวน Table'!$D$1:$M$5,5,TRUE),0),
IF($C123="SF WH",VLOOKUP("GOAL",'2) หลักการคำนวน Table'!$D$92:$M$92,HLOOKUP(AL123,'2) หลักการคำนวน Table'!$D$1:$M$5,5,TRUE),0))))),0)</f>
        <v>0.9</v>
      </c>
      <c r="AY123" s="232">
        <f>IFERROR(IF($C123="Top WS",VLOOKUP("GOAL",'2) หลักการคำนวน Table'!$D$4:$M$4,HLOOKUP(AM123,'2) หลักการคำนวน Table'!$D$1:$M$5,5,TRUE),0),
IF($C123="WS SF",VLOOKUP("GOAL",'2) หลักการคำนวน Table'!$D$32:$M$32,HLOOKUP(AM123,'2) หลักการคำนวน Table'!$D$1:$M$5,5,TRUE),0),
IF($C123="WS WH",VLOOKUP("GOAL",'2) หลักการคำนวน Table'!$D$62:$M$62,HLOOKUP(AM123,'2) หลักการคำนวน Table'!$D$1:$M$5,5,TRUE),0),
IF($C123="SF WH",VLOOKUP("GOAL",'2) หลักการคำนวน Table'!$D$92:$M$92,HLOOKUP(AM123,'2) หลักการคำนวน Table'!$D$1:$M$5,5,TRUE),0))))),0)</f>
        <v>0.9</v>
      </c>
      <c r="AZ123" s="167">
        <f>IFERROR(IF($C123="Top WS",VLOOKUP($B123,'2) หลักการคำนวน Table'!$D$5:$M$20,HLOOKUP(AB123,'2) หลักการคำนวน Table'!$D$1:$M$5,5,TRUE),0),
IF($C123="WS SF",VLOOKUP($B123,'2) หลักการคำนวน Table'!$D$33:$M$48,HLOOKUP(AB123,'2) หลักการคำนวน Table'!$D$1:$M$5,5,TRUE),0),
IF($C123="WS WH",VLOOKUP($B123,'2) หลักการคำนวน Table'!$D$63:$M$78,HLOOKUP(AB123,'2) หลักการคำนวน Table'!$D$1:$M$5,5,TRUE),0),
IF($C123="SF WH",VLOOKUP($B123,'2) หลักการคำนวน Table'!$D$93:$M$108,HLOOKUP(AB123,'2) หลักการคำนวน Table'!$D$1:$M$5,5,TRUE),0))))),0)</f>
        <v>180</v>
      </c>
      <c r="BA123" s="167">
        <f>IFERROR(IF($C123="Top WS",VLOOKUP($B123,'2) หลักการคำนวน Table'!$D$5:$M$20,HLOOKUP(AC123,'2) หลักการคำนวน Table'!$D$1:$M$5,5,TRUE),0),
IF($C123="WS SF",VLOOKUP($B123,'2) หลักการคำนวน Table'!$D$33:$M$48,HLOOKUP(AC123,'2) หลักการคำนวน Table'!$D$1:$M$5,5,TRUE),0),
IF($C123="WS WH",VLOOKUP($B123,'2) หลักการคำนวน Table'!$D$63:$M$78,HLOOKUP(AC123,'2) หลักการคำนวน Table'!$D$1:$M$5,5,TRUE),0),
IF($C123="SF WH",VLOOKUP($B123,'2) หลักการคำนวน Table'!$D$93:$M$108,HLOOKUP(AC123,'2) หลักการคำนวน Table'!$D$1:$M$5,5,TRUE),0))))),0)</f>
        <v>260</v>
      </c>
      <c r="BB123" s="167">
        <f>IFERROR(IF($C123="Top WS",VLOOKUP($B123,'2) หลักการคำนวน Table'!$D$5:$M$20,HLOOKUP(AD123,'2) หลักการคำนวน Table'!$D$1:$M$5,5,TRUE),0),
IF($C123="WS SF",VLOOKUP($B123,'2) หลักการคำนวน Table'!$D$33:$M$48,HLOOKUP(AD123,'2) หลักการคำนวน Table'!$D$1:$M$5,5,TRUE),0),
IF($C123="WS WH",VLOOKUP($B123,'2) หลักการคำนวน Table'!$D$63:$M$78,HLOOKUP(AD123,'2) หลักการคำนวน Table'!$D$1:$M$5,5,TRUE),0),
IF($C123="SF WH",VLOOKUP($B123,'2) หลักการคำนวน Table'!$D$93:$M$108,HLOOKUP(AD123,'2) หลักการคำนวน Table'!$D$1:$M$5,5,TRUE),0))))),0)</f>
        <v>180</v>
      </c>
      <c r="BC123" s="167">
        <f>IFERROR(IF($C123="Top WS",VLOOKUP($B123,'2) หลักการคำนวน Table'!$D$5:$M$20,HLOOKUP(AE123,'2) หลักการคำนวน Table'!$D$1:$M$5,5,TRUE),0),
IF($C123="WS SF",VLOOKUP($B123,'2) หลักการคำนวน Table'!$D$33:$M$48,HLOOKUP(AE123,'2) หลักการคำนวน Table'!$D$1:$M$5,5,TRUE),0),
IF($C123="WS WH",VLOOKUP($B123,'2) หลักการคำนวน Table'!$D$63:$M$78,HLOOKUP(AE123,'2) หลักการคำนวน Table'!$D$1:$M$5,5,TRUE),0),
IF($C123="SF WH",VLOOKUP($B123,'2) หลักการคำนวน Table'!$D$93:$M$108,HLOOKUP(AE123,'2) หลักการคำนวน Table'!$D$1:$M$5,5,TRUE),0))))),0)</f>
        <v>180</v>
      </c>
      <c r="BD123" s="167">
        <f>IFERROR(IF($C123="Top WS",VLOOKUP($B123,'2) หลักการคำนวน Table'!$D$5:$M$20,HLOOKUP(AF123,'2) หลักการคำนวน Table'!$D$1:$M$5,5,TRUE),0),
IF($C123="WS SF",VLOOKUP($B123,'2) หลักการคำนวน Table'!$D$33:$M$48,HLOOKUP(AF123,'2) หลักการคำนวน Table'!$D$1:$M$5,5,TRUE),0),
IF($C123="WS WH",VLOOKUP($B123,'2) หลักการคำนวน Table'!$D$63:$M$78,HLOOKUP(AF123,'2) หลักการคำนวน Table'!$D$1:$M$5,5,TRUE),0),
IF($C123="SF WH",VLOOKUP($B123,'2) หลักการคำนวน Table'!$D$93:$M$108,HLOOKUP(AF123,'2) หลักการคำนวน Table'!$D$1:$M$5,5,TRUE),0))))),0)</f>
        <v>180</v>
      </c>
      <c r="BE123" s="167">
        <f>IFERROR(IF($C123="Top WS",VLOOKUP($B123,'2) หลักการคำนวน Table'!$D$5:$M$20,HLOOKUP(AG123,'2) หลักการคำนวน Table'!$D$1:$M$5,5,TRUE),0),
IF($C123="WS SF",VLOOKUP($B123,'2) หลักการคำนวน Table'!$D$33:$M$48,HLOOKUP(AG123,'2) หลักการคำนวน Table'!$D$1:$M$5,5,TRUE),0),
IF($C123="WS WH",VLOOKUP($B123,'2) หลักการคำนวน Table'!$D$63:$M$78,HLOOKUP(AG123,'2) หลักการคำนวน Table'!$D$1:$M$5,5,TRUE),0),
IF($C123="SF WH",VLOOKUP($B123,'2) หลักการคำนวน Table'!$D$93:$M$108,HLOOKUP(AG123,'2) หลักการคำนวน Table'!$D$1:$M$5,5,TRUE),0))))),0)</f>
        <v>180</v>
      </c>
      <c r="BF123" s="167">
        <f>IFERROR(IF($C123="Top WS",VLOOKUP($B123,'2) หลักการคำนวน Table'!$D$5:$M$20,HLOOKUP(AH123,'2) หลักการคำนวน Table'!$D$1:$M$5,5,TRUE),0),
IF($C123="WS SF",VLOOKUP($B123,'2) หลักการคำนวน Table'!$D$33:$M$48,HLOOKUP(AH123,'2) หลักการคำนวน Table'!$D$1:$M$5,5,TRUE),0),
IF($C123="WS WH",VLOOKUP($B123,'2) หลักการคำนวน Table'!$D$63:$M$78,HLOOKUP(AH123,'2) หลักการคำนวน Table'!$D$1:$M$5,5,TRUE),0),
IF($C123="SF WH",VLOOKUP($B123,'2) หลักการคำนวน Table'!$D$93:$M$108,HLOOKUP(AH123,'2) หลักการคำนวน Table'!$D$1:$M$5,5,TRUE),0))))),0)</f>
        <v>180</v>
      </c>
      <c r="BG123" s="167">
        <f>IFERROR(IF($C123="Top WS",VLOOKUP($B123,'2) หลักการคำนวน Table'!$D$5:$M$20,HLOOKUP(AI123,'2) หลักการคำนวน Table'!$D$1:$M$5,5,TRUE),0),
IF($C123="WS SF",VLOOKUP($B123,'2) หลักการคำนวน Table'!$D$33:$M$48,HLOOKUP(AI123,'2) หลักการคำนวน Table'!$D$1:$M$5,5,TRUE),0),
IF($C123="WS WH",VLOOKUP($B123,'2) หลักการคำนวน Table'!$D$63:$M$78,HLOOKUP(AI123,'2) หลักการคำนวน Table'!$D$1:$M$5,5,TRUE),0),
IF($C123="SF WH",VLOOKUP($B123,'2) หลักการคำนวน Table'!$D$93:$M$108,HLOOKUP(AI123,'2) หลักการคำนวน Table'!$D$1:$M$5,5,TRUE),0))))),0)</f>
        <v>180</v>
      </c>
      <c r="BH123" s="167">
        <f>IFERROR(IF($C123="Top WS",VLOOKUP($B123,'2) หลักการคำนวน Table'!$D$5:$M$20,HLOOKUP(AP123,'2) หลักการคำนวน Table'!$D$1:$M$5,5,TRUE),0),
IF($C123="WS SF",VLOOKUP($B123,'2) หลักการคำนวน Table'!$D$33:$M$48,HLOOKUP(AP123,'2) หลักการคำนวน Table'!$D$1:$M$5,5,TRUE),0),
IF($C123="WS WH",VLOOKUP($B123,'2) หลักการคำนวน Table'!$D$63:$M$78,HLOOKUP(AP123,'2) หลักการคำนวน Table'!$D$1:$M$5,5,TRUE),0),
IF($C123="SF WH",VLOOKUP($B123,'2) หลักการคำนวน Table'!$D$93:$M$108,HLOOKUP(AP123,'2) หลักการคำนวน Table'!$D$1:$M$5,5,TRUE),0))))),0)</f>
        <v>180</v>
      </c>
      <c r="BI123" s="167">
        <f>IFERROR(IF($C123="Top WS",VLOOKUP($B123,'2) หลักการคำนวน Table'!$D$5:$M$20,HLOOKUP(AK123,'2) หลักการคำนวน Table'!$D$1:$M$5,5,TRUE),0),
IF($C123="WS SF",VLOOKUP($B123,'2) หลักการคำนวน Table'!$D$33:$M$48,HLOOKUP(AK123,'2) หลักการคำนวน Table'!$D$1:$M$5,5,TRUE),0),
IF($C123="WS WH",VLOOKUP($B123,'2) หลักการคำนวน Table'!$D$63:$M$78,HLOOKUP(AK123,'2) หลักการคำนวน Table'!$D$1:$M$5,5,TRUE),0),
IF($C123="SF WH",VLOOKUP($B123,'2) หลักการคำนวน Table'!$D$93:$M$108,HLOOKUP(AK123,'2) หลักการคำนวน Table'!$D$1:$M$5,5,TRUE),0))))),0)</f>
        <v>180</v>
      </c>
      <c r="BJ123" s="167">
        <f>IFERROR(IF($C123="Top WS",VLOOKUP($B123,'2) หลักการคำนวน Table'!$D$5:$M$20,HLOOKUP(AL123,'2) หลักการคำนวน Table'!$D$1:$M$5,5,TRUE),0),
IF($C123="WS SF",VLOOKUP($B123,'2) หลักการคำนวน Table'!$D$33:$M$48,HLOOKUP(AL123,'2) หลักการคำนวน Table'!$D$1:$M$5,5,TRUE),0),
IF($C123="WS WH",VLOOKUP($B123,'2) หลักการคำนวน Table'!$D$63:$M$78,HLOOKUP(AL123,'2) หลักการคำนวน Table'!$D$1:$M$5,5,TRUE),0),
IF($C123="SF WH",VLOOKUP($B123,'2) หลักการคำนวน Table'!$D$93:$M$108,HLOOKUP(AL123,'2) หลักการคำนวน Table'!$D$1:$M$5,5,TRUE),0))))),0)</f>
        <v>180</v>
      </c>
      <c r="BK123" s="167">
        <f>IFERROR(IF($C123="Top WS",VLOOKUP($B123,'2) หลักการคำนวน Table'!$D$5:$M$20,HLOOKUP(AM123,'2) หลักการคำนวน Table'!$D$1:$M$5,5,TRUE),0),
IF($C123="WS SF",VLOOKUP($B123,'2) หลักการคำนวน Table'!$D$33:$M$48,HLOOKUP(AM123,'2) หลักการคำนวน Table'!$D$1:$M$5,5,TRUE),0),
IF($C123="WS WH",VLOOKUP($B123,'2) หลักการคำนวน Table'!$D$63:$M$78,HLOOKUP(AM123,'2) หลักการคำนวน Table'!$D$1:$M$5,5,TRUE),0),
IF($C123="SF WH",VLOOKUP($B123,'2) หลักการคำนวน Table'!$D$93:$M$108,HLOOKUP(AM123,'2) หลักการคำนวน Table'!$D$1:$M$5,5,TRUE),0))))),0)</f>
        <v>180</v>
      </c>
      <c r="BM123" s="119">
        <f>VLOOKUP(VLOOKUP(A123,ASTBase!E:S,13,FALSE),ASTBase!F:P,11,FALSE)</f>
        <v>150000</v>
      </c>
      <c r="BN123" s="196" cm="1">
        <f t="array" ref="BN123">INDEX(AN123:AY123,,Period!$D$2)</f>
        <v>1.3</v>
      </c>
    </row>
    <row r="124" spans="1:66" x14ac:dyDescent="0.25">
      <c r="A124" s="117">
        <v>130001</v>
      </c>
      <c r="B124" s="117" t="s">
        <v>388</v>
      </c>
      <c r="C124" s="117" t="s">
        <v>178</v>
      </c>
      <c r="D124" s="118">
        <v>220236</v>
      </c>
      <c r="E124" s="118">
        <v>247537</v>
      </c>
      <c r="F124" s="118">
        <v>243862</v>
      </c>
      <c r="G124" s="118">
        <v>228132</v>
      </c>
      <c r="H124" s="118">
        <v>244855</v>
      </c>
      <c r="I124" s="118">
        <v>249128</v>
      </c>
      <c r="J124" s="118">
        <v>243376</v>
      </c>
      <c r="K124" s="118">
        <v>258315</v>
      </c>
      <c r="L124" s="118">
        <v>253152</v>
      </c>
      <c r="M124" s="118">
        <v>282572</v>
      </c>
      <c r="N124" s="118">
        <v>247134</v>
      </c>
      <c r="O124" s="118">
        <v>247128</v>
      </c>
      <c r="P124" s="117">
        <f>SUMIFS(Actual!C:C,Actual!$A:$A,'3)Target &amp; Cal'!$A124,Actual!$B:$B,'3)Target &amp; Cal'!$B124)</f>
        <v>236700.4</v>
      </c>
      <c r="Q124" s="117">
        <f>SUMIFS(Actual!D:D,Actual!$A:$A,'3)Target &amp; Cal'!$A124,Actual!$B:$B,'3)Target &amp; Cal'!$B124)</f>
        <v>226483.9</v>
      </c>
      <c r="R124" s="117">
        <f>SUMIFS(Actual!E:E,Actual!$A:$A,'3)Target &amp; Cal'!$A124,Actual!$B:$B,'3)Target &amp; Cal'!$B124)</f>
        <v>0</v>
      </c>
      <c r="S124" s="117">
        <f>SUMIFS(Actual!F:F,Actual!$A:$A,'3)Target &amp; Cal'!$A124,Actual!$B:$B,'3)Target &amp; Cal'!$B124)</f>
        <v>0</v>
      </c>
      <c r="T124" s="117">
        <f>SUMIFS(Actual!G:G,Actual!$A:$A,'3)Target &amp; Cal'!$A124,Actual!$B:$B,'3)Target &amp; Cal'!$B124)</f>
        <v>0</v>
      </c>
      <c r="U124" s="117">
        <f>SUMIFS(Actual!H:H,Actual!$A:$A,'3)Target &amp; Cal'!$A124,Actual!$B:$B,'3)Target &amp; Cal'!$B124)</f>
        <v>0</v>
      </c>
      <c r="V124" s="117">
        <f>SUMIFS(Actual!I:I,Actual!$A:$A,'3)Target &amp; Cal'!$A124,Actual!$B:$B,'3)Target &amp; Cal'!$B124)</f>
        <v>0</v>
      </c>
      <c r="W124" s="117">
        <f>SUMIFS(Actual!J:J,Actual!$A:$A,'3)Target &amp; Cal'!$A124,Actual!$B:$B,'3)Target &amp; Cal'!$B124)</f>
        <v>0</v>
      </c>
      <c r="X124" s="117">
        <f>SUMIFS(Actual!K:K,Actual!$A:$A,'3)Target &amp; Cal'!$A124,Actual!$B:$B,'3)Target &amp; Cal'!$B124)</f>
        <v>0</v>
      </c>
      <c r="Y124" s="117">
        <f>SUMIFS(Actual!L:L,Actual!$A:$A,'3)Target &amp; Cal'!$A124,Actual!$B:$B,'3)Target &amp; Cal'!$B124)</f>
        <v>0</v>
      </c>
      <c r="Z124" s="117">
        <f>SUMIFS(Actual!M:M,Actual!$A:$A,'3)Target &amp; Cal'!$A124,Actual!$B:$B,'3)Target &amp; Cal'!$B124)</f>
        <v>0</v>
      </c>
      <c r="AA124" s="117">
        <f>SUMIFS(Actual!N:N,Actual!$A:$A,'3)Target &amp; Cal'!$A124,Actual!$B:$B,'3)Target &amp; Cal'!$B124)</f>
        <v>0</v>
      </c>
      <c r="AB124" s="123">
        <f>IFERROR(IF(VLOOKUP($B124,Shortage!$A:$M,AB$2,FALSE)="Shortage",1,IFERROR(ROUND(P124/D124,4),0)),IFERROR(ROUND(P124/D124,4),0))</f>
        <v>1</v>
      </c>
      <c r="AC124" s="123">
        <f>IFERROR(IF(VLOOKUP($B124,Shortage!$A:$M,AC$2,FALSE)="Shortage",1,IFERROR(ROUND(Q124/E124,4),0)),IFERROR(ROUND(Q124/E124,4),0))</f>
        <v>0.91490000000000005</v>
      </c>
      <c r="AD124" s="123">
        <f>IFERROR(IF(VLOOKUP($B124,Shortage!$A:$M,AD$2,FALSE)="Shortage",1,IFERROR(ROUND(R124/F124,4),0)),IFERROR(ROUND(R124/F124,4),0))</f>
        <v>0</v>
      </c>
      <c r="AE124" s="123">
        <f>IFERROR(IF(VLOOKUP($B124,Shortage!$A:$M,AE$2,FALSE)="Shortage",1,IFERROR(ROUND(S124/G124,4),0)),IFERROR(ROUND(S124/G124,4),0))</f>
        <v>0</v>
      </c>
      <c r="AF124" s="123">
        <f>IFERROR(IF(VLOOKUP($B124,Shortage!$A:$M,AF$2,FALSE)="Shortage",1,IFERROR(ROUND(T124/H124,4),0)),IFERROR(ROUND(T124/H124,4),0))</f>
        <v>0</v>
      </c>
      <c r="AG124" s="123">
        <f>IFERROR(IF(VLOOKUP($B124,Shortage!$A:$M,AG$2,FALSE)="Shortage",1,IFERROR(ROUND(U124/I124,4),0)),IFERROR(ROUND(U124/I124,4),0))</f>
        <v>0</v>
      </c>
      <c r="AH124" s="123">
        <f>IFERROR(IF(VLOOKUP($B124,Shortage!$A:$M,AH$2,FALSE)="Shortage",1,IFERROR(ROUND(V124/J124,4),0)),IFERROR(ROUND(V124/J124,4),0))</f>
        <v>0</v>
      </c>
      <c r="AI124" s="123">
        <f>IFERROR(IF(VLOOKUP($B124,Shortage!$A:$M,AI$2,FALSE)="Shortage",1,IFERROR(ROUND(W124/K124,4),0)),IFERROR(ROUND(W124/K124,4),0))</f>
        <v>0</v>
      </c>
      <c r="AJ124" s="123">
        <f>IFERROR(IF(VLOOKUP($B124,Shortage!$A:$M,AP$2,FALSE)="Shortage",1,IFERROR(ROUND(X124/L124,4),0)),IFERROR(ROUND(X124/L124,4),0))</f>
        <v>0</v>
      </c>
      <c r="AK124" s="123">
        <f>IFERROR(IF(VLOOKUP($B124,Shortage!$A:$M,AK$2,FALSE)="Shortage",1,IFERROR(ROUND(Y124/M124,4),0)),IFERROR(ROUND(Y124/M124,4),0))</f>
        <v>0</v>
      </c>
      <c r="AL124" s="123">
        <f>IFERROR(IF(VLOOKUP($B124,Shortage!$A:$M,AL$2,FALSE)="Shortage",1,IFERROR(ROUND(Z124/N124,4),0)),IFERROR(ROUND(Z124/N124,4),0))</f>
        <v>0</v>
      </c>
      <c r="AM124" s="123">
        <f>IFERROR(IF(VLOOKUP($B124,Shortage!$A:$M,AM$2,FALSE)="Shortage",1,IFERROR(ROUND(AA124/O124,4),0)),IFERROR(ROUND(AA124/O124,4),0))</f>
        <v>0</v>
      </c>
      <c r="AN124" s="232">
        <f>IFERROR(IF($C124="Top WS",VLOOKUP("GOAL",'2) หลักการคำนวน Table'!$D$4:$M$4,HLOOKUP(AB124,'2) หลักการคำนวน Table'!$D$1:$M$5,5,TRUE),0),
IF($C124="WS SF",VLOOKUP("GOAL",'2) หลักการคำนวน Table'!$D$32:$M$32,HLOOKUP(AB124,'2) หลักการคำนวน Table'!$D$1:$M$5,5,TRUE),0),
IF($C124="WS WH",VLOOKUP("GOAL",'2) หลักการคำนวน Table'!$D$62:$M$62,HLOOKUP(AB124,'2) หลักการคำนวน Table'!$D$1:$M$5,5,TRUE),0),
IF($C124="SF WH",VLOOKUP("GOAL",'2) หลักการคำนวน Table'!$D$92:$M$92,HLOOKUP(AB124,'2) หลักการคำนวน Table'!$D$1:$M$5,5,TRUE),0))))),0)</f>
        <v>1</v>
      </c>
      <c r="AO124" s="232">
        <f>IFERROR(IF($C124="Top WS",VLOOKUP("GOAL",'2) หลักการคำนวน Table'!$D$4:$M$4,HLOOKUP(AC124,'2) หลักการคำนวน Table'!$D$1:$M$5,5,TRUE),0),
IF($C124="WS SF",VLOOKUP("GOAL",'2) หลักการคำนวน Table'!$D$32:$M$32,HLOOKUP(AC124,'2) หลักการคำนวน Table'!$D$1:$M$5,5,TRUE),0),
IF($C124="WS WH",VLOOKUP("GOAL",'2) หลักการคำนวน Table'!$D$62:$M$62,HLOOKUP(AC124,'2) หลักการคำนวน Table'!$D$1:$M$5,5,TRUE),0),
IF($C124="SF WH",VLOOKUP("GOAL",'2) หลักการคำนวน Table'!$D$92:$M$92,HLOOKUP(AC124,'2) หลักการคำนวน Table'!$D$1:$M$5,5,TRUE),0))))),0)</f>
        <v>0.95</v>
      </c>
      <c r="AP124" s="232">
        <f>IFERROR(IF($C124="Top WS",VLOOKUP("GOAL",'2) หลักการคำนวน Table'!$D$4:$M$4,HLOOKUP(AD124,'2) หลักการคำนวน Table'!$D$1:$M$5,5,TRUE),0),
IF($C124="WS SF",VLOOKUP("GOAL",'2) หลักการคำนวน Table'!$D$32:$M$32,HLOOKUP(AD124,'2) หลักการคำนวน Table'!$D$1:$M$5,5,TRUE),0),
IF($C124="WS WH",VLOOKUP("GOAL",'2) หลักการคำนวน Table'!$D$62:$M$62,HLOOKUP(AD124,'2) หลักการคำนวน Table'!$D$1:$M$5,5,TRUE),0),
IF($C124="SF WH",VLOOKUP("GOAL",'2) หลักการคำนวน Table'!$D$92:$M$92,HLOOKUP(AD124,'2) หลักการคำนวน Table'!$D$1:$M$5,5,TRUE),0))))),0)</f>
        <v>0.9</v>
      </c>
      <c r="AQ124" s="232">
        <f>IFERROR(IF($C124="Top WS",VLOOKUP("GOAL",'2) หลักการคำนวน Table'!$D$4:$M$4,HLOOKUP(AE124,'2) หลักการคำนวน Table'!$D$1:$M$5,5,TRUE),0),
IF($C124="WS SF",VLOOKUP("GOAL",'2) หลักการคำนวน Table'!$D$32:$M$32,HLOOKUP(AE124,'2) หลักการคำนวน Table'!$D$1:$M$5,5,TRUE),0),
IF($C124="WS WH",VLOOKUP("GOAL",'2) หลักการคำนวน Table'!$D$62:$M$62,HLOOKUP(AE124,'2) หลักการคำนวน Table'!$D$1:$M$5,5,TRUE),0),
IF($C124="SF WH",VLOOKUP("GOAL",'2) หลักการคำนวน Table'!$D$92:$M$92,HLOOKUP(AE124,'2) หลักการคำนวน Table'!$D$1:$M$5,5,TRUE),0))))),0)</f>
        <v>0.9</v>
      </c>
      <c r="AR124" s="232">
        <f>IFERROR(IF($C124="Top WS",VLOOKUP("GOAL",'2) หลักการคำนวน Table'!$D$4:$M$4,HLOOKUP(AF124,'2) หลักการคำนวน Table'!$D$1:$M$5,5,TRUE),0),
IF($C124="WS SF",VLOOKUP("GOAL",'2) หลักการคำนวน Table'!$D$32:$M$32,HLOOKUP(AF124,'2) หลักการคำนวน Table'!$D$1:$M$5,5,TRUE),0),
IF($C124="WS WH",VLOOKUP("GOAL",'2) หลักการคำนวน Table'!$D$62:$M$62,HLOOKUP(AF124,'2) หลักการคำนวน Table'!$D$1:$M$5,5,TRUE),0),
IF($C124="SF WH",VLOOKUP("GOAL",'2) หลักการคำนวน Table'!$D$92:$M$92,HLOOKUP(AF124,'2) หลักการคำนวน Table'!$D$1:$M$5,5,TRUE),0))))),0)</f>
        <v>0.9</v>
      </c>
      <c r="AS124" s="232">
        <f>IFERROR(IF($C124="Top WS",VLOOKUP("GOAL",'2) หลักการคำนวน Table'!$D$4:$M$4,HLOOKUP(AG124,'2) หลักการคำนวน Table'!$D$1:$M$5,5,TRUE),0),
IF($C124="WS SF",VLOOKUP("GOAL",'2) หลักการคำนวน Table'!$D$32:$M$32,HLOOKUP(AG124,'2) หลักการคำนวน Table'!$D$1:$M$5,5,TRUE),0),
IF($C124="WS WH",VLOOKUP("GOAL",'2) หลักการคำนวน Table'!$D$62:$M$62,HLOOKUP(AG124,'2) หลักการคำนวน Table'!$D$1:$M$5,5,TRUE),0),
IF($C124="SF WH",VLOOKUP("GOAL",'2) หลักการคำนวน Table'!$D$92:$M$92,HLOOKUP(AG124,'2) หลักการคำนวน Table'!$D$1:$M$5,5,TRUE),0))))),0)</f>
        <v>0.9</v>
      </c>
      <c r="AT124" s="232">
        <f>IFERROR(IF($C124="Top WS",VLOOKUP("GOAL",'2) หลักการคำนวน Table'!$D$4:$M$4,HLOOKUP(AH124,'2) หลักการคำนวน Table'!$D$1:$M$5,5,TRUE),0),
IF($C124="WS SF",VLOOKUP("GOAL",'2) หลักการคำนวน Table'!$D$32:$M$32,HLOOKUP(AH124,'2) หลักการคำนวน Table'!$D$1:$M$5,5,TRUE),0),
IF($C124="WS WH",VLOOKUP("GOAL",'2) หลักการคำนวน Table'!$D$62:$M$62,HLOOKUP(AH124,'2) หลักการคำนวน Table'!$D$1:$M$5,5,TRUE),0),
IF($C124="SF WH",VLOOKUP("GOAL",'2) หลักการคำนวน Table'!$D$92:$M$92,HLOOKUP(AH124,'2) หลักการคำนวน Table'!$D$1:$M$5,5,TRUE),0))))),0)</f>
        <v>0.9</v>
      </c>
      <c r="AU124" s="232">
        <f>IFERROR(IF($C124="Top WS",VLOOKUP("GOAL",'2) หลักการคำนวน Table'!$D$4:$M$4,HLOOKUP(AI124,'2) หลักการคำนวน Table'!$D$1:$M$5,5,TRUE),0),
IF($C124="WS SF",VLOOKUP("GOAL",'2) หลักการคำนวน Table'!$D$32:$M$32,HLOOKUP(AI124,'2) หลักการคำนวน Table'!$D$1:$M$5,5,TRUE),0),
IF($C124="WS WH",VLOOKUP("GOAL",'2) หลักการคำนวน Table'!$D$62:$M$62,HLOOKUP(AI124,'2) หลักการคำนวน Table'!$D$1:$M$5,5,TRUE),0),
IF($C124="SF WH",VLOOKUP("GOAL",'2) หลักการคำนวน Table'!$D$92:$M$92,HLOOKUP(AI124,'2) หลักการคำนวน Table'!$D$1:$M$5,5,TRUE),0))))),0)</f>
        <v>0.9</v>
      </c>
      <c r="AV124" s="232">
        <f>IFERROR(IF($C124="Top WS",VLOOKUP("GOAL",'2) หลักการคำนวน Table'!$D$4:$M$4,HLOOKUP(AP124,'2) หลักการคำนวน Table'!$D$1:$M$5,5,TRUE),0),
IF($C124="WS SF",VLOOKUP("GOAL",'2) หลักการคำนวน Table'!$D$32:$M$32,HLOOKUP(AP124,'2) หลักการคำนวน Table'!$D$1:$M$5,5,TRUE),0),
IF($C124="WS WH",VLOOKUP("GOAL",'2) หลักการคำนวน Table'!$D$62:$M$62,HLOOKUP(AP124,'2) หลักการคำนวน Table'!$D$1:$M$5,5,TRUE),0),
IF($C124="SF WH",VLOOKUP("GOAL",'2) หลักการคำนวน Table'!$D$92:$M$92,HLOOKUP(AP124,'2) หลักการคำนวน Table'!$D$1:$M$5,5,TRUE),0))))),0)</f>
        <v>0.9</v>
      </c>
      <c r="AW124" s="232">
        <f>IFERROR(IF($C124="Top WS",VLOOKUP("GOAL",'2) หลักการคำนวน Table'!$D$4:$M$4,HLOOKUP(AK124,'2) หลักการคำนวน Table'!$D$1:$M$5,5,TRUE),0),
IF($C124="WS SF",VLOOKUP("GOAL",'2) หลักการคำนวน Table'!$D$32:$M$32,HLOOKUP(AK124,'2) หลักการคำนวน Table'!$D$1:$M$5,5,TRUE),0),
IF($C124="WS WH",VLOOKUP("GOAL",'2) หลักการคำนวน Table'!$D$62:$M$62,HLOOKUP(AK124,'2) หลักการคำนวน Table'!$D$1:$M$5,5,TRUE),0),
IF($C124="SF WH",VLOOKUP("GOAL",'2) หลักการคำนวน Table'!$D$92:$M$92,HLOOKUP(AK124,'2) หลักการคำนวน Table'!$D$1:$M$5,5,TRUE),0))))),0)</f>
        <v>0.9</v>
      </c>
      <c r="AX124" s="232">
        <f>IFERROR(IF($C124="Top WS",VLOOKUP("GOAL",'2) หลักการคำนวน Table'!$D$4:$M$4,HLOOKUP(AL124,'2) หลักการคำนวน Table'!$D$1:$M$5,5,TRUE),0),
IF($C124="WS SF",VLOOKUP("GOAL",'2) หลักการคำนวน Table'!$D$32:$M$32,HLOOKUP(AL124,'2) หลักการคำนวน Table'!$D$1:$M$5,5,TRUE),0),
IF($C124="WS WH",VLOOKUP("GOAL",'2) หลักการคำนวน Table'!$D$62:$M$62,HLOOKUP(AL124,'2) หลักการคำนวน Table'!$D$1:$M$5,5,TRUE),0),
IF($C124="SF WH",VLOOKUP("GOAL",'2) หลักการคำนวน Table'!$D$92:$M$92,HLOOKUP(AL124,'2) หลักการคำนวน Table'!$D$1:$M$5,5,TRUE),0))))),0)</f>
        <v>0.9</v>
      </c>
      <c r="AY124" s="232">
        <f>IFERROR(IF($C124="Top WS",VLOOKUP("GOAL",'2) หลักการคำนวน Table'!$D$4:$M$4,HLOOKUP(AM124,'2) หลักการคำนวน Table'!$D$1:$M$5,5,TRUE),0),
IF($C124="WS SF",VLOOKUP("GOAL",'2) หลักการคำนวน Table'!$D$32:$M$32,HLOOKUP(AM124,'2) หลักการคำนวน Table'!$D$1:$M$5,5,TRUE),0),
IF($C124="WS WH",VLOOKUP("GOAL",'2) หลักการคำนวน Table'!$D$62:$M$62,HLOOKUP(AM124,'2) หลักการคำนวน Table'!$D$1:$M$5,5,TRUE),0),
IF($C124="SF WH",VLOOKUP("GOAL",'2) หลักการคำนวน Table'!$D$92:$M$92,HLOOKUP(AM124,'2) หลักการคำนวน Table'!$D$1:$M$5,5,TRUE),0))))),0)</f>
        <v>0.9</v>
      </c>
      <c r="AZ124" s="167">
        <f>IFERROR(IF($C124="Top WS",VLOOKUP($B124,'2) หลักการคำนวน Table'!$D$5:$M$20,HLOOKUP(AB124,'2) หลักการคำนวน Table'!$D$1:$M$5,5,TRUE),0),
IF($C124="WS SF",VLOOKUP($B124,'2) หลักการคำนวน Table'!$D$33:$M$48,HLOOKUP(AB124,'2) หลักการคำนวน Table'!$D$1:$M$5,5,TRUE),0),
IF($C124="WS WH",VLOOKUP($B124,'2) หลักการคำนวน Table'!$D$63:$M$78,HLOOKUP(AB124,'2) หลักการคำนวน Table'!$D$1:$M$5,5,TRUE),0),
IF($C124="SF WH",VLOOKUP($B124,'2) หลักการคำนวน Table'!$D$93:$M$108,HLOOKUP(AB124,'2) หลักการคำนวน Table'!$D$1:$M$5,5,TRUE),0))))),0)</f>
        <v>200</v>
      </c>
      <c r="BA124" s="167">
        <f>IFERROR(IF($C124="Top WS",VLOOKUP($B124,'2) หลักการคำนวน Table'!$D$5:$M$20,HLOOKUP(AC124,'2) หลักการคำนวน Table'!$D$1:$M$5,5,TRUE),0),
IF($C124="WS SF",VLOOKUP($B124,'2) หลักการคำนวน Table'!$D$33:$M$48,HLOOKUP(AC124,'2) หลักการคำนวน Table'!$D$1:$M$5,5,TRUE),0),
IF($C124="WS WH",VLOOKUP($B124,'2) หลักการคำนวน Table'!$D$63:$M$78,HLOOKUP(AC124,'2) หลักการคำนวน Table'!$D$1:$M$5,5,TRUE),0),
IF($C124="SF WH",VLOOKUP($B124,'2) หลักการคำนวน Table'!$D$93:$M$108,HLOOKUP(AC124,'2) หลักการคำนวน Table'!$D$1:$M$5,5,TRUE),0))))),0)</f>
        <v>190</v>
      </c>
      <c r="BB124" s="167">
        <f>IFERROR(IF($C124="Top WS",VLOOKUP($B124,'2) หลักการคำนวน Table'!$D$5:$M$20,HLOOKUP(AD124,'2) หลักการคำนวน Table'!$D$1:$M$5,5,TRUE),0),
IF($C124="WS SF",VLOOKUP($B124,'2) หลักการคำนวน Table'!$D$33:$M$48,HLOOKUP(AD124,'2) หลักการคำนวน Table'!$D$1:$M$5,5,TRUE),0),
IF($C124="WS WH",VLOOKUP($B124,'2) หลักการคำนวน Table'!$D$63:$M$78,HLOOKUP(AD124,'2) หลักการคำนวน Table'!$D$1:$M$5,5,TRUE),0),
IF($C124="SF WH",VLOOKUP($B124,'2) หลักการคำนวน Table'!$D$93:$M$108,HLOOKUP(AD124,'2) หลักการคำนวน Table'!$D$1:$M$5,5,TRUE),0))))),0)</f>
        <v>180</v>
      </c>
      <c r="BC124" s="167">
        <f>IFERROR(IF($C124="Top WS",VLOOKUP($B124,'2) หลักการคำนวน Table'!$D$5:$M$20,HLOOKUP(AE124,'2) หลักการคำนวน Table'!$D$1:$M$5,5,TRUE),0),
IF($C124="WS SF",VLOOKUP($B124,'2) หลักการคำนวน Table'!$D$33:$M$48,HLOOKUP(AE124,'2) หลักการคำนวน Table'!$D$1:$M$5,5,TRUE),0),
IF($C124="WS WH",VLOOKUP($B124,'2) หลักการคำนวน Table'!$D$63:$M$78,HLOOKUP(AE124,'2) หลักการคำนวน Table'!$D$1:$M$5,5,TRUE),0),
IF($C124="SF WH",VLOOKUP($B124,'2) หลักการคำนวน Table'!$D$93:$M$108,HLOOKUP(AE124,'2) หลักการคำนวน Table'!$D$1:$M$5,5,TRUE),0))))),0)</f>
        <v>180</v>
      </c>
      <c r="BD124" s="167">
        <f>IFERROR(IF($C124="Top WS",VLOOKUP($B124,'2) หลักการคำนวน Table'!$D$5:$M$20,HLOOKUP(AF124,'2) หลักการคำนวน Table'!$D$1:$M$5,5,TRUE),0),
IF($C124="WS SF",VLOOKUP($B124,'2) หลักการคำนวน Table'!$D$33:$M$48,HLOOKUP(AF124,'2) หลักการคำนวน Table'!$D$1:$M$5,5,TRUE),0),
IF($C124="WS WH",VLOOKUP($B124,'2) หลักการคำนวน Table'!$D$63:$M$78,HLOOKUP(AF124,'2) หลักการคำนวน Table'!$D$1:$M$5,5,TRUE),0),
IF($C124="SF WH",VLOOKUP($B124,'2) หลักการคำนวน Table'!$D$93:$M$108,HLOOKUP(AF124,'2) หลักการคำนวน Table'!$D$1:$M$5,5,TRUE),0))))),0)</f>
        <v>180</v>
      </c>
      <c r="BE124" s="167">
        <f>IFERROR(IF($C124="Top WS",VLOOKUP($B124,'2) หลักการคำนวน Table'!$D$5:$M$20,HLOOKUP(AG124,'2) หลักการคำนวน Table'!$D$1:$M$5,5,TRUE),0),
IF($C124="WS SF",VLOOKUP($B124,'2) หลักการคำนวน Table'!$D$33:$M$48,HLOOKUP(AG124,'2) หลักการคำนวน Table'!$D$1:$M$5,5,TRUE),0),
IF($C124="WS WH",VLOOKUP($B124,'2) หลักการคำนวน Table'!$D$63:$M$78,HLOOKUP(AG124,'2) หลักการคำนวน Table'!$D$1:$M$5,5,TRUE),0),
IF($C124="SF WH",VLOOKUP($B124,'2) หลักการคำนวน Table'!$D$93:$M$108,HLOOKUP(AG124,'2) หลักการคำนวน Table'!$D$1:$M$5,5,TRUE),0))))),0)</f>
        <v>180</v>
      </c>
      <c r="BF124" s="167">
        <f>IFERROR(IF($C124="Top WS",VLOOKUP($B124,'2) หลักการคำนวน Table'!$D$5:$M$20,HLOOKUP(AH124,'2) หลักการคำนวน Table'!$D$1:$M$5,5,TRUE),0),
IF($C124="WS SF",VLOOKUP($B124,'2) หลักการคำนวน Table'!$D$33:$M$48,HLOOKUP(AH124,'2) หลักการคำนวน Table'!$D$1:$M$5,5,TRUE),0),
IF($C124="WS WH",VLOOKUP($B124,'2) หลักการคำนวน Table'!$D$63:$M$78,HLOOKUP(AH124,'2) หลักการคำนวน Table'!$D$1:$M$5,5,TRUE),0),
IF($C124="SF WH",VLOOKUP($B124,'2) หลักการคำนวน Table'!$D$93:$M$108,HLOOKUP(AH124,'2) หลักการคำนวน Table'!$D$1:$M$5,5,TRUE),0))))),0)</f>
        <v>180</v>
      </c>
      <c r="BG124" s="167">
        <f>IFERROR(IF($C124="Top WS",VLOOKUP($B124,'2) หลักการคำนวน Table'!$D$5:$M$20,HLOOKUP(AI124,'2) หลักการคำนวน Table'!$D$1:$M$5,5,TRUE),0),
IF($C124="WS SF",VLOOKUP($B124,'2) หลักการคำนวน Table'!$D$33:$M$48,HLOOKUP(AI124,'2) หลักการคำนวน Table'!$D$1:$M$5,5,TRUE),0),
IF($C124="WS WH",VLOOKUP($B124,'2) หลักการคำนวน Table'!$D$63:$M$78,HLOOKUP(AI124,'2) หลักการคำนวน Table'!$D$1:$M$5,5,TRUE),0),
IF($C124="SF WH",VLOOKUP($B124,'2) หลักการคำนวน Table'!$D$93:$M$108,HLOOKUP(AI124,'2) หลักการคำนวน Table'!$D$1:$M$5,5,TRUE),0))))),0)</f>
        <v>180</v>
      </c>
      <c r="BH124" s="167">
        <f>IFERROR(IF($C124="Top WS",VLOOKUP($B124,'2) หลักการคำนวน Table'!$D$5:$M$20,HLOOKUP(AP124,'2) หลักการคำนวน Table'!$D$1:$M$5,5,TRUE),0),
IF($C124="WS SF",VLOOKUP($B124,'2) หลักการคำนวน Table'!$D$33:$M$48,HLOOKUP(AP124,'2) หลักการคำนวน Table'!$D$1:$M$5,5,TRUE),0),
IF($C124="WS WH",VLOOKUP($B124,'2) หลักการคำนวน Table'!$D$63:$M$78,HLOOKUP(AP124,'2) หลักการคำนวน Table'!$D$1:$M$5,5,TRUE),0),
IF($C124="SF WH",VLOOKUP($B124,'2) หลักการคำนวน Table'!$D$93:$M$108,HLOOKUP(AP124,'2) หลักการคำนวน Table'!$D$1:$M$5,5,TRUE),0))))),0)</f>
        <v>180</v>
      </c>
      <c r="BI124" s="167">
        <f>IFERROR(IF($C124="Top WS",VLOOKUP($B124,'2) หลักการคำนวน Table'!$D$5:$M$20,HLOOKUP(AK124,'2) หลักการคำนวน Table'!$D$1:$M$5,5,TRUE),0),
IF($C124="WS SF",VLOOKUP($B124,'2) หลักการคำนวน Table'!$D$33:$M$48,HLOOKUP(AK124,'2) หลักการคำนวน Table'!$D$1:$M$5,5,TRUE),0),
IF($C124="WS WH",VLOOKUP($B124,'2) หลักการคำนวน Table'!$D$63:$M$78,HLOOKUP(AK124,'2) หลักการคำนวน Table'!$D$1:$M$5,5,TRUE),0),
IF($C124="SF WH",VLOOKUP($B124,'2) หลักการคำนวน Table'!$D$93:$M$108,HLOOKUP(AK124,'2) หลักการคำนวน Table'!$D$1:$M$5,5,TRUE),0))))),0)</f>
        <v>180</v>
      </c>
      <c r="BJ124" s="167">
        <f>IFERROR(IF($C124="Top WS",VLOOKUP($B124,'2) หลักการคำนวน Table'!$D$5:$M$20,HLOOKUP(AL124,'2) หลักการคำนวน Table'!$D$1:$M$5,5,TRUE),0),
IF($C124="WS SF",VLOOKUP($B124,'2) หลักการคำนวน Table'!$D$33:$M$48,HLOOKUP(AL124,'2) หลักการคำนวน Table'!$D$1:$M$5,5,TRUE),0),
IF($C124="WS WH",VLOOKUP($B124,'2) หลักการคำนวน Table'!$D$63:$M$78,HLOOKUP(AL124,'2) หลักการคำนวน Table'!$D$1:$M$5,5,TRUE),0),
IF($C124="SF WH",VLOOKUP($B124,'2) หลักการคำนวน Table'!$D$93:$M$108,HLOOKUP(AL124,'2) หลักการคำนวน Table'!$D$1:$M$5,5,TRUE),0))))),0)</f>
        <v>180</v>
      </c>
      <c r="BK124" s="167">
        <f>IFERROR(IF($C124="Top WS",VLOOKUP($B124,'2) หลักการคำนวน Table'!$D$5:$M$20,HLOOKUP(AM124,'2) หลักการคำนวน Table'!$D$1:$M$5,5,TRUE),0),
IF($C124="WS SF",VLOOKUP($B124,'2) หลักการคำนวน Table'!$D$33:$M$48,HLOOKUP(AM124,'2) หลักการคำนวน Table'!$D$1:$M$5,5,TRUE),0),
IF($C124="WS WH",VLOOKUP($B124,'2) หลักการคำนวน Table'!$D$63:$M$78,HLOOKUP(AM124,'2) หลักการคำนวน Table'!$D$1:$M$5,5,TRUE),0),
IF($C124="SF WH",VLOOKUP($B124,'2) หลักการคำนวน Table'!$D$93:$M$108,HLOOKUP(AM124,'2) หลักการคำนวน Table'!$D$1:$M$5,5,TRUE),0))))),0)</f>
        <v>180</v>
      </c>
      <c r="BM124" s="119">
        <f>VLOOKUP(VLOOKUP(A124,ASTBase!E:S,13,FALSE),ASTBase!F:P,11,FALSE)</f>
        <v>130000</v>
      </c>
      <c r="BN124" s="196" cm="1">
        <f t="array" ref="BN124">INDEX(AN124:AY124,,Period!$D$2)</f>
        <v>0.95</v>
      </c>
    </row>
    <row r="125" spans="1:66" x14ac:dyDescent="0.25">
      <c r="A125" s="117">
        <v>130001</v>
      </c>
      <c r="B125" s="117" t="s">
        <v>389</v>
      </c>
      <c r="C125" s="117" t="s">
        <v>178</v>
      </c>
      <c r="D125" s="118">
        <v>70644</v>
      </c>
      <c r="E125" s="118">
        <v>66627</v>
      </c>
      <c r="F125" s="118">
        <v>77064</v>
      </c>
      <c r="G125" s="118">
        <v>63182</v>
      </c>
      <c r="H125" s="118">
        <v>52862</v>
      </c>
      <c r="I125" s="118">
        <v>67067</v>
      </c>
      <c r="J125" s="118">
        <v>61561</v>
      </c>
      <c r="K125" s="118">
        <v>69952</v>
      </c>
      <c r="L125" s="118">
        <v>70153</v>
      </c>
      <c r="M125" s="118">
        <v>78091</v>
      </c>
      <c r="N125" s="118">
        <v>63166</v>
      </c>
      <c r="O125" s="118">
        <v>63160</v>
      </c>
      <c r="P125" s="117">
        <f>SUMIFS(Actual!C:C,Actual!$A:$A,'3)Target &amp; Cal'!$A125,Actual!$B:$B,'3)Target &amp; Cal'!$B125)</f>
        <v>52658</v>
      </c>
      <c r="Q125" s="117">
        <f>SUMIFS(Actual!D:D,Actual!$A:$A,'3)Target &amp; Cal'!$A125,Actual!$B:$B,'3)Target &amp; Cal'!$B125)</f>
        <v>55385.1</v>
      </c>
      <c r="R125" s="117">
        <f>SUMIFS(Actual!E:E,Actual!$A:$A,'3)Target &amp; Cal'!$A125,Actual!$B:$B,'3)Target &amp; Cal'!$B125)</f>
        <v>0</v>
      </c>
      <c r="S125" s="117">
        <f>SUMIFS(Actual!F:F,Actual!$A:$A,'3)Target &amp; Cal'!$A125,Actual!$B:$B,'3)Target &amp; Cal'!$B125)</f>
        <v>0</v>
      </c>
      <c r="T125" s="117">
        <f>SUMIFS(Actual!G:G,Actual!$A:$A,'3)Target &amp; Cal'!$A125,Actual!$B:$B,'3)Target &amp; Cal'!$B125)</f>
        <v>0</v>
      </c>
      <c r="U125" s="117">
        <f>SUMIFS(Actual!H:H,Actual!$A:$A,'3)Target &amp; Cal'!$A125,Actual!$B:$B,'3)Target &amp; Cal'!$B125)</f>
        <v>0</v>
      </c>
      <c r="V125" s="117">
        <f>SUMIFS(Actual!I:I,Actual!$A:$A,'3)Target &amp; Cal'!$A125,Actual!$B:$B,'3)Target &amp; Cal'!$B125)</f>
        <v>0</v>
      </c>
      <c r="W125" s="117">
        <f>SUMIFS(Actual!J:J,Actual!$A:$A,'3)Target &amp; Cal'!$A125,Actual!$B:$B,'3)Target &amp; Cal'!$B125)</f>
        <v>0</v>
      </c>
      <c r="X125" s="117">
        <f>SUMIFS(Actual!K:K,Actual!$A:$A,'3)Target &amp; Cal'!$A125,Actual!$B:$B,'3)Target &amp; Cal'!$B125)</f>
        <v>0</v>
      </c>
      <c r="Y125" s="117">
        <f>SUMIFS(Actual!L:L,Actual!$A:$A,'3)Target &amp; Cal'!$A125,Actual!$B:$B,'3)Target &amp; Cal'!$B125)</f>
        <v>0</v>
      </c>
      <c r="Z125" s="117">
        <f>SUMIFS(Actual!M:M,Actual!$A:$A,'3)Target &amp; Cal'!$A125,Actual!$B:$B,'3)Target &amp; Cal'!$B125)</f>
        <v>0</v>
      </c>
      <c r="AA125" s="117">
        <f>SUMIFS(Actual!N:N,Actual!$A:$A,'3)Target &amp; Cal'!$A125,Actual!$B:$B,'3)Target &amp; Cal'!$B125)</f>
        <v>0</v>
      </c>
      <c r="AB125" s="123">
        <f>IFERROR(IF(VLOOKUP($B125,Shortage!$A:$M,AB$2,FALSE)="Shortage",1,IFERROR(ROUND(P125/D125,4),0)),IFERROR(ROUND(P125/D125,4),0))</f>
        <v>1</v>
      </c>
      <c r="AC125" s="123">
        <f>IFERROR(IF(VLOOKUP($B125,Shortage!$A:$M,AC$2,FALSE)="Shortage",1,IFERROR(ROUND(Q125/E125,4),0)),IFERROR(ROUND(Q125/E125,4),0))</f>
        <v>1</v>
      </c>
      <c r="AD125" s="123">
        <f>IFERROR(IF(VLOOKUP($B125,Shortage!$A:$M,AD$2,FALSE)="Shortage",1,IFERROR(ROUND(R125/F125,4),0)),IFERROR(ROUND(R125/F125,4),0))</f>
        <v>0</v>
      </c>
      <c r="AE125" s="123">
        <f>IFERROR(IF(VLOOKUP($B125,Shortage!$A:$M,AE$2,FALSE)="Shortage",1,IFERROR(ROUND(S125/G125,4),0)),IFERROR(ROUND(S125/G125,4),0))</f>
        <v>0</v>
      </c>
      <c r="AF125" s="123">
        <f>IFERROR(IF(VLOOKUP($B125,Shortage!$A:$M,AF$2,FALSE)="Shortage",1,IFERROR(ROUND(T125/H125,4),0)),IFERROR(ROUND(T125/H125,4),0))</f>
        <v>0</v>
      </c>
      <c r="AG125" s="123">
        <f>IFERROR(IF(VLOOKUP($B125,Shortage!$A:$M,AG$2,FALSE)="Shortage",1,IFERROR(ROUND(U125/I125,4),0)),IFERROR(ROUND(U125/I125,4),0))</f>
        <v>0</v>
      </c>
      <c r="AH125" s="123">
        <f>IFERROR(IF(VLOOKUP($B125,Shortage!$A:$M,AH$2,FALSE)="Shortage",1,IFERROR(ROUND(V125/J125,4),0)),IFERROR(ROUND(V125/J125,4),0))</f>
        <v>0</v>
      </c>
      <c r="AI125" s="123">
        <f>IFERROR(IF(VLOOKUP($B125,Shortage!$A:$M,AI$2,FALSE)="Shortage",1,IFERROR(ROUND(W125/K125,4),0)),IFERROR(ROUND(W125/K125,4),0))</f>
        <v>0</v>
      </c>
      <c r="AJ125" s="123">
        <f>IFERROR(IF(VLOOKUP($B125,Shortage!$A:$M,AP$2,FALSE)="Shortage",1,IFERROR(ROUND(X125/L125,4),0)),IFERROR(ROUND(X125/L125,4),0))</f>
        <v>0</v>
      </c>
      <c r="AK125" s="123">
        <f>IFERROR(IF(VLOOKUP($B125,Shortage!$A:$M,AK$2,FALSE)="Shortage",1,IFERROR(ROUND(Y125/M125,4),0)),IFERROR(ROUND(Y125/M125,4),0))</f>
        <v>0</v>
      </c>
      <c r="AL125" s="123">
        <f>IFERROR(IF(VLOOKUP($B125,Shortage!$A:$M,AL$2,FALSE)="Shortage",1,IFERROR(ROUND(Z125/N125,4),0)),IFERROR(ROUND(Z125/N125,4),0))</f>
        <v>0</v>
      </c>
      <c r="AM125" s="123">
        <f>IFERROR(IF(VLOOKUP($B125,Shortage!$A:$M,AM$2,FALSE)="Shortage",1,IFERROR(ROUND(AA125/O125,4),0)),IFERROR(ROUND(AA125/O125,4),0))</f>
        <v>0</v>
      </c>
      <c r="AN125" s="232">
        <f>IFERROR(IF($C125="Top WS",VLOOKUP("GOAL",'2) หลักการคำนวน Table'!$D$4:$M$4,HLOOKUP(AB125,'2) หลักการคำนวน Table'!$D$1:$M$5,5,TRUE),0),
IF($C125="WS SF",VLOOKUP("GOAL",'2) หลักการคำนวน Table'!$D$32:$M$32,HLOOKUP(AB125,'2) หลักการคำนวน Table'!$D$1:$M$5,5,TRUE),0),
IF($C125="WS WH",VLOOKUP("GOAL",'2) หลักการคำนวน Table'!$D$62:$M$62,HLOOKUP(AB125,'2) หลักการคำนวน Table'!$D$1:$M$5,5,TRUE),0),
IF($C125="SF WH",VLOOKUP("GOAL",'2) หลักการคำนวน Table'!$D$92:$M$92,HLOOKUP(AB125,'2) หลักการคำนวน Table'!$D$1:$M$5,5,TRUE),0))))),0)</f>
        <v>1</v>
      </c>
      <c r="AO125" s="232">
        <f>IFERROR(IF($C125="Top WS",VLOOKUP("GOAL",'2) หลักการคำนวน Table'!$D$4:$M$4,HLOOKUP(AC125,'2) หลักการคำนวน Table'!$D$1:$M$5,5,TRUE),0),
IF($C125="WS SF",VLOOKUP("GOAL",'2) หลักการคำนวน Table'!$D$32:$M$32,HLOOKUP(AC125,'2) หลักการคำนวน Table'!$D$1:$M$5,5,TRUE),0),
IF($C125="WS WH",VLOOKUP("GOAL",'2) หลักการคำนวน Table'!$D$62:$M$62,HLOOKUP(AC125,'2) หลักการคำนวน Table'!$D$1:$M$5,5,TRUE),0),
IF($C125="SF WH",VLOOKUP("GOAL",'2) หลักการคำนวน Table'!$D$92:$M$92,HLOOKUP(AC125,'2) หลักการคำนวน Table'!$D$1:$M$5,5,TRUE),0))))),0)</f>
        <v>1</v>
      </c>
      <c r="AP125" s="232">
        <f>IFERROR(IF($C125="Top WS",VLOOKUP("GOAL",'2) หลักการคำนวน Table'!$D$4:$M$4,HLOOKUP(AD125,'2) หลักการคำนวน Table'!$D$1:$M$5,5,TRUE),0),
IF($C125="WS SF",VLOOKUP("GOAL",'2) หลักการคำนวน Table'!$D$32:$M$32,HLOOKUP(AD125,'2) หลักการคำนวน Table'!$D$1:$M$5,5,TRUE),0),
IF($C125="WS WH",VLOOKUP("GOAL",'2) หลักการคำนวน Table'!$D$62:$M$62,HLOOKUP(AD125,'2) หลักการคำนวน Table'!$D$1:$M$5,5,TRUE),0),
IF($C125="SF WH",VLOOKUP("GOAL",'2) หลักการคำนวน Table'!$D$92:$M$92,HLOOKUP(AD125,'2) หลักการคำนวน Table'!$D$1:$M$5,5,TRUE),0))))),0)</f>
        <v>0.9</v>
      </c>
      <c r="AQ125" s="232">
        <f>IFERROR(IF($C125="Top WS",VLOOKUP("GOAL",'2) หลักการคำนวน Table'!$D$4:$M$4,HLOOKUP(AE125,'2) หลักการคำนวน Table'!$D$1:$M$5,5,TRUE),0),
IF($C125="WS SF",VLOOKUP("GOAL",'2) หลักการคำนวน Table'!$D$32:$M$32,HLOOKUP(AE125,'2) หลักการคำนวน Table'!$D$1:$M$5,5,TRUE),0),
IF($C125="WS WH",VLOOKUP("GOAL",'2) หลักการคำนวน Table'!$D$62:$M$62,HLOOKUP(AE125,'2) หลักการคำนวน Table'!$D$1:$M$5,5,TRUE),0),
IF($C125="SF WH",VLOOKUP("GOAL",'2) หลักการคำนวน Table'!$D$92:$M$92,HLOOKUP(AE125,'2) หลักการคำนวน Table'!$D$1:$M$5,5,TRUE),0))))),0)</f>
        <v>0.9</v>
      </c>
      <c r="AR125" s="232">
        <f>IFERROR(IF($C125="Top WS",VLOOKUP("GOAL",'2) หลักการคำนวน Table'!$D$4:$M$4,HLOOKUP(AF125,'2) หลักการคำนวน Table'!$D$1:$M$5,5,TRUE),0),
IF($C125="WS SF",VLOOKUP("GOAL",'2) หลักการคำนวน Table'!$D$32:$M$32,HLOOKUP(AF125,'2) หลักการคำนวน Table'!$D$1:$M$5,5,TRUE),0),
IF($C125="WS WH",VLOOKUP("GOAL",'2) หลักการคำนวน Table'!$D$62:$M$62,HLOOKUP(AF125,'2) หลักการคำนวน Table'!$D$1:$M$5,5,TRUE),0),
IF($C125="SF WH",VLOOKUP("GOAL",'2) หลักการคำนวน Table'!$D$92:$M$92,HLOOKUP(AF125,'2) หลักการคำนวน Table'!$D$1:$M$5,5,TRUE),0))))),0)</f>
        <v>0.9</v>
      </c>
      <c r="AS125" s="232">
        <f>IFERROR(IF($C125="Top WS",VLOOKUP("GOAL",'2) หลักการคำนวน Table'!$D$4:$M$4,HLOOKUP(AG125,'2) หลักการคำนวน Table'!$D$1:$M$5,5,TRUE),0),
IF($C125="WS SF",VLOOKUP("GOAL",'2) หลักการคำนวน Table'!$D$32:$M$32,HLOOKUP(AG125,'2) หลักการคำนวน Table'!$D$1:$M$5,5,TRUE),0),
IF($C125="WS WH",VLOOKUP("GOAL",'2) หลักการคำนวน Table'!$D$62:$M$62,HLOOKUP(AG125,'2) หลักการคำนวน Table'!$D$1:$M$5,5,TRUE),0),
IF($C125="SF WH",VLOOKUP("GOAL",'2) หลักการคำนวน Table'!$D$92:$M$92,HLOOKUP(AG125,'2) หลักการคำนวน Table'!$D$1:$M$5,5,TRUE),0))))),0)</f>
        <v>0.9</v>
      </c>
      <c r="AT125" s="232">
        <f>IFERROR(IF($C125="Top WS",VLOOKUP("GOAL",'2) หลักการคำนวน Table'!$D$4:$M$4,HLOOKUP(AH125,'2) หลักการคำนวน Table'!$D$1:$M$5,5,TRUE),0),
IF($C125="WS SF",VLOOKUP("GOAL",'2) หลักการคำนวน Table'!$D$32:$M$32,HLOOKUP(AH125,'2) หลักการคำนวน Table'!$D$1:$M$5,5,TRUE),0),
IF($C125="WS WH",VLOOKUP("GOAL",'2) หลักการคำนวน Table'!$D$62:$M$62,HLOOKUP(AH125,'2) หลักการคำนวน Table'!$D$1:$M$5,5,TRUE),0),
IF($C125="SF WH",VLOOKUP("GOAL",'2) หลักการคำนวน Table'!$D$92:$M$92,HLOOKUP(AH125,'2) หลักการคำนวน Table'!$D$1:$M$5,5,TRUE),0))))),0)</f>
        <v>0.9</v>
      </c>
      <c r="AU125" s="232">
        <f>IFERROR(IF($C125="Top WS",VLOOKUP("GOAL",'2) หลักการคำนวน Table'!$D$4:$M$4,HLOOKUP(AI125,'2) หลักการคำนวน Table'!$D$1:$M$5,5,TRUE),0),
IF($C125="WS SF",VLOOKUP("GOAL",'2) หลักการคำนวน Table'!$D$32:$M$32,HLOOKUP(AI125,'2) หลักการคำนวน Table'!$D$1:$M$5,5,TRUE),0),
IF($C125="WS WH",VLOOKUP("GOAL",'2) หลักการคำนวน Table'!$D$62:$M$62,HLOOKUP(AI125,'2) หลักการคำนวน Table'!$D$1:$M$5,5,TRUE),0),
IF($C125="SF WH",VLOOKUP("GOAL",'2) หลักการคำนวน Table'!$D$92:$M$92,HLOOKUP(AI125,'2) หลักการคำนวน Table'!$D$1:$M$5,5,TRUE),0))))),0)</f>
        <v>0.9</v>
      </c>
      <c r="AV125" s="232">
        <f>IFERROR(IF($C125="Top WS",VLOOKUP("GOAL",'2) หลักการคำนวน Table'!$D$4:$M$4,HLOOKUP(AP125,'2) หลักการคำนวน Table'!$D$1:$M$5,5,TRUE),0),
IF($C125="WS SF",VLOOKUP("GOAL",'2) หลักการคำนวน Table'!$D$32:$M$32,HLOOKUP(AP125,'2) หลักการคำนวน Table'!$D$1:$M$5,5,TRUE),0),
IF($C125="WS WH",VLOOKUP("GOAL",'2) หลักการคำนวน Table'!$D$62:$M$62,HLOOKUP(AP125,'2) หลักการคำนวน Table'!$D$1:$M$5,5,TRUE),0),
IF($C125="SF WH",VLOOKUP("GOAL",'2) หลักการคำนวน Table'!$D$92:$M$92,HLOOKUP(AP125,'2) หลักการคำนวน Table'!$D$1:$M$5,5,TRUE),0))))),0)</f>
        <v>0.9</v>
      </c>
      <c r="AW125" s="232">
        <f>IFERROR(IF($C125="Top WS",VLOOKUP("GOAL",'2) หลักการคำนวน Table'!$D$4:$M$4,HLOOKUP(AK125,'2) หลักการคำนวน Table'!$D$1:$M$5,5,TRUE),0),
IF($C125="WS SF",VLOOKUP("GOAL",'2) หลักการคำนวน Table'!$D$32:$M$32,HLOOKUP(AK125,'2) หลักการคำนวน Table'!$D$1:$M$5,5,TRUE),0),
IF($C125="WS WH",VLOOKUP("GOAL",'2) หลักการคำนวน Table'!$D$62:$M$62,HLOOKUP(AK125,'2) หลักการคำนวน Table'!$D$1:$M$5,5,TRUE),0),
IF($C125="SF WH",VLOOKUP("GOAL",'2) หลักการคำนวน Table'!$D$92:$M$92,HLOOKUP(AK125,'2) หลักการคำนวน Table'!$D$1:$M$5,5,TRUE),0))))),0)</f>
        <v>0.9</v>
      </c>
      <c r="AX125" s="232">
        <f>IFERROR(IF($C125="Top WS",VLOOKUP("GOAL",'2) หลักการคำนวน Table'!$D$4:$M$4,HLOOKUP(AL125,'2) หลักการคำนวน Table'!$D$1:$M$5,5,TRUE),0),
IF($C125="WS SF",VLOOKUP("GOAL",'2) หลักการคำนวน Table'!$D$32:$M$32,HLOOKUP(AL125,'2) หลักการคำนวน Table'!$D$1:$M$5,5,TRUE),0),
IF($C125="WS WH",VLOOKUP("GOAL",'2) หลักการคำนวน Table'!$D$62:$M$62,HLOOKUP(AL125,'2) หลักการคำนวน Table'!$D$1:$M$5,5,TRUE),0),
IF($C125="SF WH",VLOOKUP("GOAL",'2) หลักการคำนวน Table'!$D$92:$M$92,HLOOKUP(AL125,'2) หลักการคำนวน Table'!$D$1:$M$5,5,TRUE),0))))),0)</f>
        <v>0.9</v>
      </c>
      <c r="AY125" s="232">
        <f>IFERROR(IF($C125="Top WS",VLOOKUP("GOAL",'2) หลักการคำนวน Table'!$D$4:$M$4,HLOOKUP(AM125,'2) หลักการคำนวน Table'!$D$1:$M$5,5,TRUE),0),
IF($C125="WS SF",VLOOKUP("GOAL",'2) หลักการคำนวน Table'!$D$32:$M$32,HLOOKUP(AM125,'2) หลักการคำนวน Table'!$D$1:$M$5,5,TRUE),0),
IF($C125="WS WH",VLOOKUP("GOAL",'2) หลักการคำนวน Table'!$D$62:$M$62,HLOOKUP(AM125,'2) หลักการคำนวน Table'!$D$1:$M$5,5,TRUE),0),
IF($C125="SF WH",VLOOKUP("GOAL",'2) หลักการคำนวน Table'!$D$92:$M$92,HLOOKUP(AM125,'2) หลักการคำนวน Table'!$D$1:$M$5,5,TRUE),0))))),0)</f>
        <v>0.9</v>
      </c>
      <c r="AZ125" s="167">
        <f>IFERROR(IF($C125="Top WS",VLOOKUP($B125,'2) หลักการคำนวน Table'!$D$5:$M$20,HLOOKUP(AB125,'2) หลักการคำนวน Table'!$D$1:$M$5,5,TRUE),0),
IF($C125="WS SF",VLOOKUP($B125,'2) หลักการคำนวน Table'!$D$33:$M$48,HLOOKUP(AB125,'2) หลักการคำนวน Table'!$D$1:$M$5,5,TRUE),0),
IF($C125="WS WH",VLOOKUP($B125,'2) หลักการคำนวน Table'!$D$63:$M$78,HLOOKUP(AB125,'2) หลักการคำนวน Table'!$D$1:$M$5,5,TRUE),0),
IF($C125="SF WH",VLOOKUP($B125,'2) หลักการคำนวน Table'!$D$93:$M$108,HLOOKUP(AB125,'2) หลักการคำนวน Table'!$D$1:$M$5,5,TRUE),0))))),0)</f>
        <v>400</v>
      </c>
      <c r="BA125" s="167">
        <f>IFERROR(IF($C125="Top WS",VLOOKUP($B125,'2) หลักการคำนวน Table'!$D$5:$M$20,HLOOKUP(AC125,'2) หลักการคำนวน Table'!$D$1:$M$5,5,TRUE),0),
IF($C125="WS SF",VLOOKUP($B125,'2) หลักการคำนวน Table'!$D$33:$M$48,HLOOKUP(AC125,'2) หลักการคำนวน Table'!$D$1:$M$5,5,TRUE),0),
IF($C125="WS WH",VLOOKUP($B125,'2) หลักการคำนวน Table'!$D$63:$M$78,HLOOKUP(AC125,'2) หลักการคำนวน Table'!$D$1:$M$5,5,TRUE),0),
IF($C125="SF WH",VLOOKUP($B125,'2) หลักการคำนวน Table'!$D$93:$M$108,HLOOKUP(AC125,'2) หลักการคำนวน Table'!$D$1:$M$5,5,TRUE),0))))),0)</f>
        <v>400</v>
      </c>
      <c r="BB125" s="167">
        <f>IFERROR(IF($C125="Top WS",VLOOKUP($B125,'2) หลักการคำนวน Table'!$D$5:$M$20,HLOOKUP(AD125,'2) หลักการคำนวน Table'!$D$1:$M$5,5,TRUE),0),
IF($C125="WS SF",VLOOKUP($B125,'2) หลักการคำนวน Table'!$D$33:$M$48,HLOOKUP(AD125,'2) หลักการคำนวน Table'!$D$1:$M$5,5,TRUE),0),
IF($C125="WS WH",VLOOKUP($B125,'2) หลักการคำนวน Table'!$D$63:$M$78,HLOOKUP(AD125,'2) หลักการคำนวน Table'!$D$1:$M$5,5,TRUE),0),
IF($C125="SF WH",VLOOKUP($B125,'2) หลักการคำนวน Table'!$D$93:$M$108,HLOOKUP(AD125,'2) หลักการคำนวน Table'!$D$1:$M$5,5,TRUE),0))))),0)</f>
        <v>360</v>
      </c>
      <c r="BC125" s="167">
        <f>IFERROR(IF($C125="Top WS",VLOOKUP($B125,'2) หลักการคำนวน Table'!$D$5:$M$20,HLOOKUP(AE125,'2) หลักการคำนวน Table'!$D$1:$M$5,5,TRUE),0),
IF($C125="WS SF",VLOOKUP($B125,'2) หลักการคำนวน Table'!$D$33:$M$48,HLOOKUP(AE125,'2) หลักการคำนวน Table'!$D$1:$M$5,5,TRUE),0),
IF($C125="WS WH",VLOOKUP($B125,'2) หลักการคำนวน Table'!$D$63:$M$78,HLOOKUP(AE125,'2) หลักการคำนวน Table'!$D$1:$M$5,5,TRUE),0),
IF($C125="SF WH",VLOOKUP($B125,'2) หลักการคำนวน Table'!$D$93:$M$108,HLOOKUP(AE125,'2) หลักการคำนวน Table'!$D$1:$M$5,5,TRUE),0))))),0)</f>
        <v>360</v>
      </c>
      <c r="BD125" s="167">
        <f>IFERROR(IF($C125="Top WS",VLOOKUP($B125,'2) หลักการคำนวน Table'!$D$5:$M$20,HLOOKUP(AF125,'2) หลักการคำนวน Table'!$D$1:$M$5,5,TRUE),0),
IF($C125="WS SF",VLOOKUP($B125,'2) หลักการคำนวน Table'!$D$33:$M$48,HLOOKUP(AF125,'2) หลักการคำนวน Table'!$D$1:$M$5,5,TRUE),0),
IF($C125="WS WH",VLOOKUP($B125,'2) หลักการคำนวน Table'!$D$63:$M$78,HLOOKUP(AF125,'2) หลักการคำนวน Table'!$D$1:$M$5,5,TRUE),0),
IF($C125="SF WH",VLOOKUP($B125,'2) หลักการคำนวน Table'!$D$93:$M$108,HLOOKUP(AF125,'2) หลักการคำนวน Table'!$D$1:$M$5,5,TRUE),0))))),0)</f>
        <v>360</v>
      </c>
      <c r="BE125" s="167">
        <f>IFERROR(IF($C125="Top WS",VLOOKUP($B125,'2) หลักการคำนวน Table'!$D$5:$M$20,HLOOKUP(AG125,'2) หลักการคำนวน Table'!$D$1:$M$5,5,TRUE),0),
IF($C125="WS SF",VLOOKUP($B125,'2) หลักการคำนวน Table'!$D$33:$M$48,HLOOKUP(AG125,'2) หลักการคำนวน Table'!$D$1:$M$5,5,TRUE),0),
IF($C125="WS WH",VLOOKUP($B125,'2) หลักการคำนวน Table'!$D$63:$M$78,HLOOKUP(AG125,'2) หลักการคำนวน Table'!$D$1:$M$5,5,TRUE),0),
IF($C125="SF WH",VLOOKUP($B125,'2) หลักการคำนวน Table'!$D$93:$M$108,HLOOKUP(AG125,'2) หลักการคำนวน Table'!$D$1:$M$5,5,TRUE),0))))),0)</f>
        <v>360</v>
      </c>
      <c r="BF125" s="167">
        <f>IFERROR(IF($C125="Top WS",VLOOKUP($B125,'2) หลักการคำนวน Table'!$D$5:$M$20,HLOOKUP(AH125,'2) หลักการคำนวน Table'!$D$1:$M$5,5,TRUE),0),
IF($C125="WS SF",VLOOKUP($B125,'2) หลักการคำนวน Table'!$D$33:$M$48,HLOOKUP(AH125,'2) หลักการคำนวน Table'!$D$1:$M$5,5,TRUE),0),
IF($C125="WS WH",VLOOKUP($B125,'2) หลักการคำนวน Table'!$D$63:$M$78,HLOOKUP(AH125,'2) หลักการคำนวน Table'!$D$1:$M$5,5,TRUE),0),
IF($C125="SF WH",VLOOKUP($B125,'2) หลักการคำนวน Table'!$D$93:$M$108,HLOOKUP(AH125,'2) หลักการคำนวน Table'!$D$1:$M$5,5,TRUE),0))))),0)</f>
        <v>360</v>
      </c>
      <c r="BG125" s="167">
        <f>IFERROR(IF($C125="Top WS",VLOOKUP($B125,'2) หลักการคำนวน Table'!$D$5:$M$20,HLOOKUP(AI125,'2) หลักการคำนวน Table'!$D$1:$M$5,5,TRUE),0),
IF($C125="WS SF",VLOOKUP($B125,'2) หลักการคำนวน Table'!$D$33:$M$48,HLOOKUP(AI125,'2) หลักการคำนวน Table'!$D$1:$M$5,5,TRUE),0),
IF($C125="WS WH",VLOOKUP($B125,'2) หลักการคำนวน Table'!$D$63:$M$78,HLOOKUP(AI125,'2) หลักการคำนวน Table'!$D$1:$M$5,5,TRUE),0),
IF($C125="SF WH",VLOOKUP($B125,'2) หลักการคำนวน Table'!$D$93:$M$108,HLOOKUP(AI125,'2) หลักการคำนวน Table'!$D$1:$M$5,5,TRUE),0))))),0)</f>
        <v>360</v>
      </c>
      <c r="BH125" s="167">
        <f>IFERROR(IF($C125="Top WS",VLOOKUP($B125,'2) หลักการคำนวน Table'!$D$5:$M$20,HLOOKUP(AP125,'2) หลักการคำนวน Table'!$D$1:$M$5,5,TRUE),0),
IF($C125="WS SF",VLOOKUP($B125,'2) หลักการคำนวน Table'!$D$33:$M$48,HLOOKUP(AP125,'2) หลักการคำนวน Table'!$D$1:$M$5,5,TRUE),0),
IF($C125="WS WH",VLOOKUP($B125,'2) หลักการคำนวน Table'!$D$63:$M$78,HLOOKUP(AP125,'2) หลักการคำนวน Table'!$D$1:$M$5,5,TRUE),0),
IF($C125="SF WH",VLOOKUP($B125,'2) หลักการคำนวน Table'!$D$93:$M$108,HLOOKUP(AP125,'2) หลักการคำนวน Table'!$D$1:$M$5,5,TRUE),0))))),0)</f>
        <v>360</v>
      </c>
      <c r="BI125" s="167">
        <f>IFERROR(IF($C125="Top WS",VLOOKUP($B125,'2) หลักการคำนวน Table'!$D$5:$M$20,HLOOKUP(AK125,'2) หลักการคำนวน Table'!$D$1:$M$5,5,TRUE),0),
IF($C125="WS SF",VLOOKUP($B125,'2) หลักการคำนวน Table'!$D$33:$M$48,HLOOKUP(AK125,'2) หลักการคำนวน Table'!$D$1:$M$5,5,TRUE),0),
IF($C125="WS WH",VLOOKUP($B125,'2) หลักการคำนวน Table'!$D$63:$M$78,HLOOKUP(AK125,'2) หลักการคำนวน Table'!$D$1:$M$5,5,TRUE),0),
IF($C125="SF WH",VLOOKUP($B125,'2) หลักการคำนวน Table'!$D$93:$M$108,HLOOKUP(AK125,'2) หลักการคำนวน Table'!$D$1:$M$5,5,TRUE),0))))),0)</f>
        <v>360</v>
      </c>
      <c r="BJ125" s="167">
        <f>IFERROR(IF($C125="Top WS",VLOOKUP($B125,'2) หลักการคำนวน Table'!$D$5:$M$20,HLOOKUP(AL125,'2) หลักการคำนวน Table'!$D$1:$M$5,5,TRUE),0),
IF($C125="WS SF",VLOOKUP($B125,'2) หลักการคำนวน Table'!$D$33:$M$48,HLOOKUP(AL125,'2) หลักการคำนวน Table'!$D$1:$M$5,5,TRUE),0),
IF($C125="WS WH",VLOOKUP($B125,'2) หลักการคำนวน Table'!$D$63:$M$78,HLOOKUP(AL125,'2) หลักการคำนวน Table'!$D$1:$M$5,5,TRUE),0),
IF($C125="SF WH",VLOOKUP($B125,'2) หลักการคำนวน Table'!$D$93:$M$108,HLOOKUP(AL125,'2) หลักการคำนวน Table'!$D$1:$M$5,5,TRUE),0))))),0)</f>
        <v>360</v>
      </c>
      <c r="BK125" s="167">
        <f>IFERROR(IF($C125="Top WS",VLOOKUP($B125,'2) หลักการคำนวน Table'!$D$5:$M$20,HLOOKUP(AM125,'2) หลักการคำนวน Table'!$D$1:$M$5,5,TRUE),0),
IF($C125="WS SF",VLOOKUP($B125,'2) หลักการคำนวน Table'!$D$33:$M$48,HLOOKUP(AM125,'2) หลักการคำนวน Table'!$D$1:$M$5,5,TRUE),0),
IF($C125="WS WH",VLOOKUP($B125,'2) หลักการคำนวน Table'!$D$63:$M$78,HLOOKUP(AM125,'2) หลักการคำนวน Table'!$D$1:$M$5,5,TRUE),0),
IF($C125="SF WH",VLOOKUP($B125,'2) หลักการคำนวน Table'!$D$93:$M$108,HLOOKUP(AM125,'2) หลักการคำนวน Table'!$D$1:$M$5,5,TRUE),0))))),0)</f>
        <v>360</v>
      </c>
      <c r="BM125" s="119">
        <f>VLOOKUP(VLOOKUP(A125,ASTBase!E:S,13,FALSE),ASTBase!F:P,11,FALSE)</f>
        <v>130000</v>
      </c>
      <c r="BN125" s="196" cm="1">
        <f t="array" ref="BN125">INDEX(AN125:AY125,,Period!$D$2)</f>
        <v>1</v>
      </c>
    </row>
    <row r="126" spans="1:66" x14ac:dyDescent="0.25">
      <c r="A126" s="117">
        <v>130001</v>
      </c>
      <c r="B126" s="117" t="s">
        <v>390</v>
      </c>
      <c r="C126" s="117" t="s">
        <v>178</v>
      </c>
      <c r="D126" s="118">
        <v>4407</v>
      </c>
      <c r="E126" s="118">
        <v>2481</v>
      </c>
      <c r="F126" s="118">
        <v>2776</v>
      </c>
      <c r="G126" s="118">
        <v>4079</v>
      </c>
      <c r="H126" s="118">
        <v>3780</v>
      </c>
      <c r="I126" s="118">
        <v>4406</v>
      </c>
      <c r="J126" s="118">
        <v>4041</v>
      </c>
      <c r="K126" s="118">
        <v>4210</v>
      </c>
      <c r="L126" s="118">
        <v>3976</v>
      </c>
      <c r="M126" s="118">
        <v>3897</v>
      </c>
      <c r="N126" s="118">
        <v>3976</v>
      </c>
      <c r="O126" s="118">
        <v>4044</v>
      </c>
      <c r="P126" s="117">
        <f>SUMIFS(Actual!C:C,Actual!$A:$A,'3)Target &amp; Cal'!$A126,Actual!$B:$B,'3)Target &amp; Cal'!$B126)</f>
        <v>2799.9999999720003</v>
      </c>
      <c r="Q126" s="117">
        <f>SUMIFS(Actual!D:D,Actual!$A:$A,'3)Target &amp; Cal'!$A126,Actual!$B:$B,'3)Target &amp; Cal'!$B126)</f>
        <v>4299.999999957</v>
      </c>
      <c r="R126" s="117">
        <f>SUMIFS(Actual!E:E,Actual!$A:$A,'3)Target &amp; Cal'!$A126,Actual!$B:$B,'3)Target &amp; Cal'!$B126)</f>
        <v>0</v>
      </c>
      <c r="S126" s="117">
        <f>SUMIFS(Actual!F:F,Actual!$A:$A,'3)Target &amp; Cal'!$A126,Actual!$B:$B,'3)Target &amp; Cal'!$B126)</f>
        <v>0</v>
      </c>
      <c r="T126" s="117">
        <f>SUMIFS(Actual!G:G,Actual!$A:$A,'3)Target &amp; Cal'!$A126,Actual!$B:$B,'3)Target &amp; Cal'!$B126)</f>
        <v>0</v>
      </c>
      <c r="U126" s="117">
        <f>SUMIFS(Actual!H:H,Actual!$A:$A,'3)Target &amp; Cal'!$A126,Actual!$B:$B,'3)Target &amp; Cal'!$B126)</f>
        <v>0</v>
      </c>
      <c r="V126" s="117">
        <f>SUMIFS(Actual!I:I,Actual!$A:$A,'3)Target &amp; Cal'!$A126,Actual!$B:$B,'3)Target &amp; Cal'!$B126)</f>
        <v>0</v>
      </c>
      <c r="W126" s="117">
        <f>SUMIFS(Actual!J:J,Actual!$A:$A,'3)Target &amp; Cal'!$A126,Actual!$B:$B,'3)Target &amp; Cal'!$B126)</f>
        <v>0</v>
      </c>
      <c r="X126" s="117">
        <f>SUMIFS(Actual!K:K,Actual!$A:$A,'3)Target &amp; Cal'!$A126,Actual!$B:$B,'3)Target &amp; Cal'!$B126)</f>
        <v>0</v>
      </c>
      <c r="Y126" s="117">
        <f>SUMIFS(Actual!L:L,Actual!$A:$A,'3)Target &amp; Cal'!$A126,Actual!$B:$B,'3)Target &amp; Cal'!$B126)</f>
        <v>0</v>
      </c>
      <c r="Z126" s="117">
        <f>SUMIFS(Actual!M:M,Actual!$A:$A,'3)Target &amp; Cal'!$A126,Actual!$B:$B,'3)Target &amp; Cal'!$B126)</f>
        <v>0</v>
      </c>
      <c r="AA126" s="117">
        <f>SUMIFS(Actual!N:N,Actual!$A:$A,'3)Target &amp; Cal'!$A126,Actual!$B:$B,'3)Target &amp; Cal'!$B126)</f>
        <v>0</v>
      </c>
      <c r="AB126" s="123">
        <f>IFERROR(IF(VLOOKUP($B126,Shortage!$A:$M,AB$2,FALSE)="Shortage",1,IFERROR(ROUND(P126/D126,4),0)),IFERROR(ROUND(P126/D126,4),0))</f>
        <v>0.63539999999999996</v>
      </c>
      <c r="AC126" s="123">
        <f>IFERROR(IF(VLOOKUP($B126,Shortage!$A:$M,AC$2,FALSE)="Shortage",1,IFERROR(ROUND(Q126/E126,4),0)),IFERROR(ROUND(Q126/E126,4),0))</f>
        <v>1.7332000000000001</v>
      </c>
      <c r="AD126" s="123">
        <f>IFERROR(IF(VLOOKUP($B126,Shortage!$A:$M,AD$2,FALSE)="Shortage",1,IFERROR(ROUND(R126/F126,4),0)),IFERROR(ROUND(R126/F126,4),0))</f>
        <v>0</v>
      </c>
      <c r="AE126" s="123">
        <f>IFERROR(IF(VLOOKUP($B126,Shortage!$A:$M,AE$2,FALSE)="Shortage",1,IFERROR(ROUND(S126/G126,4),0)),IFERROR(ROUND(S126/G126,4),0))</f>
        <v>0</v>
      </c>
      <c r="AF126" s="123">
        <f>IFERROR(IF(VLOOKUP($B126,Shortage!$A:$M,AF$2,FALSE)="Shortage",1,IFERROR(ROUND(T126/H126,4),0)),IFERROR(ROUND(T126/H126,4),0))</f>
        <v>0</v>
      </c>
      <c r="AG126" s="123">
        <f>IFERROR(IF(VLOOKUP($B126,Shortage!$A:$M,AG$2,FALSE)="Shortage",1,IFERROR(ROUND(U126/I126,4),0)),IFERROR(ROUND(U126/I126,4),0))</f>
        <v>0</v>
      </c>
      <c r="AH126" s="123">
        <f>IFERROR(IF(VLOOKUP($B126,Shortage!$A:$M,AH$2,FALSE)="Shortage",1,IFERROR(ROUND(V126/J126,4),0)),IFERROR(ROUND(V126/J126,4),0))</f>
        <v>0</v>
      </c>
      <c r="AI126" s="123">
        <f>IFERROR(IF(VLOOKUP($B126,Shortage!$A:$M,AI$2,FALSE)="Shortage",1,IFERROR(ROUND(W126/K126,4),0)),IFERROR(ROUND(W126/K126,4),0))</f>
        <v>0</v>
      </c>
      <c r="AJ126" s="123">
        <f>IFERROR(IF(VLOOKUP($B126,Shortage!$A:$M,AP$2,FALSE)="Shortage",1,IFERROR(ROUND(X126/L126,4),0)),IFERROR(ROUND(X126/L126,4),0))</f>
        <v>0</v>
      </c>
      <c r="AK126" s="123">
        <f>IFERROR(IF(VLOOKUP($B126,Shortage!$A:$M,AK$2,FALSE)="Shortage",1,IFERROR(ROUND(Y126/M126,4),0)),IFERROR(ROUND(Y126/M126,4),0))</f>
        <v>0</v>
      </c>
      <c r="AL126" s="123">
        <f>IFERROR(IF(VLOOKUP($B126,Shortage!$A:$M,AL$2,FALSE)="Shortage",1,IFERROR(ROUND(Z126/N126,4),0)),IFERROR(ROUND(Z126/N126,4),0))</f>
        <v>0</v>
      </c>
      <c r="AM126" s="123">
        <f>IFERROR(IF(VLOOKUP($B126,Shortage!$A:$M,AM$2,FALSE)="Shortage",1,IFERROR(ROUND(AA126/O126,4),0)),IFERROR(ROUND(AA126/O126,4),0))</f>
        <v>0</v>
      </c>
      <c r="AN126" s="232">
        <f>IFERROR(IF($C126="Top WS",VLOOKUP("GOAL",'2) หลักการคำนวน Table'!$D$4:$M$4,HLOOKUP(AB126,'2) หลักการคำนวน Table'!$D$1:$M$5,5,TRUE),0),
IF($C126="WS SF",VLOOKUP("GOAL",'2) หลักการคำนวน Table'!$D$32:$M$32,HLOOKUP(AB126,'2) หลักการคำนวน Table'!$D$1:$M$5,5,TRUE),0),
IF($C126="WS WH",VLOOKUP("GOAL",'2) หลักการคำนวน Table'!$D$62:$M$62,HLOOKUP(AB126,'2) หลักการคำนวน Table'!$D$1:$M$5,5,TRUE),0),
IF($C126="SF WH",VLOOKUP("GOAL",'2) หลักการคำนวน Table'!$D$92:$M$92,HLOOKUP(AB126,'2) หลักการคำนวน Table'!$D$1:$M$5,5,TRUE),0))))),0)</f>
        <v>0.9</v>
      </c>
      <c r="AO126" s="232">
        <f>IFERROR(IF($C126="Top WS",VLOOKUP("GOAL",'2) หลักการคำนวน Table'!$D$4:$M$4,HLOOKUP(AC126,'2) หลักการคำนวน Table'!$D$1:$M$5,5,TRUE),0),
IF($C126="WS SF",VLOOKUP("GOAL",'2) หลักการคำนวน Table'!$D$32:$M$32,HLOOKUP(AC126,'2) หลักการคำนวน Table'!$D$1:$M$5,5,TRUE),0),
IF($C126="WS WH",VLOOKUP("GOAL",'2) หลักการคำนวน Table'!$D$62:$M$62,HLOOKUP(AC126,'2) หลักการคำนวน Table'!$D$1:$M$5,5,TRUE),0),
IF($C126="SF WH",VLOOKUP("GOAL",'2) หลักการคำนวน Table'!$D$92:$M$92,HLOOKUP(AC126,'2) หลักการคำนวน Table'!$D$1:$M$5,5,TRUE),0))))),0)</f>
        <v>1.3</v>
      </c>
      <c r="AP126" s="232">
        <f>IFERROR(IF($C126="Top WS",VLOOKUP("GOAL",'2) หลักการคำนวน Table'!$D$4:$M$4,HLOOKUP(AD126,'2) หลักการคำนวน Table'!$D$1:$M$5,5,TRUE),0),
IF($C126="WS SF",VLOOKUP("GOAL",'2) หลักการคำนวน Table'!$D$32:$M$32,HLOOKUP(AD126,'2) หลักการคำนวน Table'!$D$1:$M$5,5,TRUE),0),
IF($C126="WS WH",VLOOKUP("GOAL",'2) หลักการคำนวน Table'!$D$62:$M$62,HLOOKUP(AD126,'2) หลักการคำนวน Table'!$D$1:$M$5,5,TRUE),0),
IF($C126="SF WH",VLOOKUP("GOAL",'2) หลักการคำนวน Table'!$D$92:$M$92,HLOOKUP(AD126,'2) หลักการคำนวน Table'!$D$1:$M$5,5,TRUE),0))))),0)</f>
        <v>0.9</v>
      </c>
      <c r="AQ126" s="232">
        <f>IFERROR(IF($C126="Top WS",VLOOKUP("GOAL",'2) หลักการคำนวน Table'!$D$4:$M$4,HLOOKUP(AE126,'2) หลักการคำนวน Table'!$D$1:$M$5,5,TRUE),0),
IF($C126="WS SF",VLOOKUP("GOAL",'2) หลักการคำนวน Table'!$D$32:$M$32,HLOOKUP(AE126,'2) หลักการคำนวน Table'!$D$1:$M$5,5,TRUE),0),
IF($C126="WS WH",VLOOKUP("GOAL",'2) หลักการคำนวน Table'!$D$62:$M$62,HLOOKUP(AE126,'2) หลักการคำนวน Table'!$D$1:$M$5,5,TRUE),0),
IF($C126="SF WH",VLOOKUP("GOAL",'2) หลักการคำนวน Table'!$D$92:$M$92,HLOOKUP(AE126,'2) หลักการคำนวน Table'!$D$1:$M$5,5,TRUE),0))))),0)</f>
        <v>0.9</v>
      </c>
      <c r="AR126" s="232">
        <f>IFERROR(IF($C126="Top WS",VLOOKUP("GOAL",'2) หลักการคำนวน Table'!$D$4:$M$4,HLOOKUP(AF126,'2) หลักการคำนวน Table'!$D$1:$M$5,5,TRUE),0),
IF($C126="WS SF",VLOOKUP("GOAL",'2) หลักการคำนวน Table'!$D$32:$M$32,HLOOKUP(AF126,'2) หลักการคำนวน Table'!$D$1:$M$5,5,TRUE),0),
IF($C126="WS WH",VLOOKUP("GOAL",'2) หลักการคำนวน Table'!$D$62:$M$62,HLOOKUP(AF126,'2) หลักการคำนวน Table'!$D$1:$M$5,5,TRUE),0),
IF($C126="SF WH",VLOOKUP("GOAL",'2) หลักการคำนวน Table'!$D$92:$M$92,HLOOKUP(AF126,'2) หลักการคำนวน Table'!$D$1:$M$5,5,TRUE),0))))),0)</f>
        <v>0.9</v>
      </c>
      <c r="AS126" s="232">
        <f>IFERROR(IF($C126="Top WS",VLOOKUP("GOAL",'2) หลักการคำนวน Table'!$D$4:$M$4,HLOOKUP(AG126,'2) หลักการคำนวน Table'!$D$1:$M$5,5,TRUE),0),
IF($C126="WS SF",VLOOKUP("GOAL",'2) หลักการคำนวน Table'!$D$32:$M$32,HLOOKUP(AG126,'2) หลักการคำนวน Table'!$D$1:$M$5,5,TRUE),0),
IF($C126="WS WH",VLOOKUP("GOAL",'2) หลักการคำนวน Table'!$D$62:$M$62,HLOOKUP(AG126,'2) หลักการคำนวน Table'!$D$1:$M$5,5,TRUE),0),
IF($C126="SF WH",VLOOKUP("GOAL",'2) หลักการคำนวน Table'!$D$92:$M$92,HLOOKUP(AG126,'2) หลักการคำนวน Table'!$D$1:$M$5,5,TRUE),0))))),0)</f>
        <v>0.9</v>
      </c>
      <c r="AT126" s="232">
        <f>IFERROR(IF($C126="Top WS",VLOOKUP("GOAL",'2) หลักการคำนวน Table'!$D$4:$M$4,HLOOKUP(AH126,'2) หลักการคำนวน Table'!$D$1:$M$5,5,TRUE),0),
IF($C126="WS SF",VLOOKUP("GOAL",'2) หลักการคำนวน Table'!$D$32:$M$32,HLOOKUP(AH126,'2) หลักการคำนวน Table'!$D$1:$M$5,5,TRUE),0),
IF($C126="WS WH",VLOOKUP("GOAL",'2) หลักการคำนวน Table'!$D$62:$M$62,HLOOKUP(AH126,'2) หลักการคำนวน Table'!$D$1:$M$5,5,TRUE),0),
IF($C126="SF WH",VLOOKUP("GOAL",'2) หลักการคำนวน Table'!$D$92:$M$92,HLOOKUP(AH126,'2) หลักการคำนวน Table'!$D$1:$M$5,5,TRUE),0))))),0)</f>
        <v>0.9</v>
      </c>
      <c r="AU126" s="232">
        <f>IFERROR(IF($C126="Top WS",VLOOKUP("GOAL",'2) หลักการคำนวน Table'!$D$4:$M$4,HLOOKUP(AI126,'2) หลักการคำนวน Table'!$D$1:$M$5,5,TRUE),0),
IF($C126="WS SF",VLOOKUP("GOAL",'2) หลักการคำนวน Table'!$D$32:$M$32,HLOOKUP(AI126,'2) หลักการคำนวน Table'!$D$1:$M$5,5,TRUE),0),
IF($C126="WS WH",VLOOKUP("GOAL",'2) หลักการคำนวน Table'!$D$62:$M$62,HLOOKUP(AI126,'2) หลักการคำนวน Table'!$D$1:$M$5,5,TRUE),0),
IF($C126="SF WH",VLOOKUP("GOAL",'2) หลักการคำนวน Table'!$D$92:$M$92,HLOOKUP(AI126,'2) หลักการคำนวน Table'!$D$1:$M$5,5,TRUE),0))))),0)</f>
        <v>0.9</v>
      </c>
      <c r="AV126" s="232">
        <f>IFERROR(IF($C126="Top WS",VLOOKUP("GOAL",'2) หลักการคำนวน Table'!$D$4:$M$4,HLOOKUP(AP126,'2) หลักการคำนวน Table'!$D$1:$M$5,5,TRUE),0),
IF($C126="WS SF",VLOOKUP("GOAL",'2) หลักการคำนวน Table'!$D$32:$M$32,HLOOKUP(AP126,'2) หลักการคำนวน Table'!$D$1:$M$5,5,TRUE),0),
IF($C126="WS WH",VLOOKUP("GOAL",'2) หลักการคำนวน Table'!$D$62:$M$62,HLOOKUP(AP126,'2) หลักการคำนวน Table'!$D$1:$M$5,5,TRUE),0),
IF($C126="SF WH",VLOOKUP("GOAL",'2) หลักการคำนวน Table'!$D$92:$M$92,HLOOKUP(AP126,'2) หลักการคำนวน Table'!$D$1:$M$5,5,TRUE),0))))),0)</f>
        <v>0.9</v>
      </c>
      <c r="AW126" s="232">
        <f>IFERROR(IF($C126="Top WS",VLOOKUP("GOAL",'2) หลักการคำนวน Table'!$D$4:$M$4,HLOOKUP(AK126,'2) หลักการคำนวน Table'!$D$1:$M$5,5,TRUE),0),
IF($C126="WS SF",VLOOKUP("GOAL",'2) หลักการคำนวน Table'!$D$32:$M$32,HLOOKUP(AK126,'2) หลักการคำนวน Table'!$D$1:$M$5,5,TRUE),0),
IF($C126="WS WH",VLOOKUP("GOAL",'2) หลักการคำนวน Table'!$D$62:$M$62,HLOOKUP(AK126,'2) หลักการคำนวน Table'!$D$1:$M$5,5,TRUE),0),
IF($C126="SF WH",VLOOKUP("GOAL",'2) หลักการคำนวน Table'!$D$92:$M$92,HLOOKUP(AK126,'2) หลักการคำนวน Table'!$D$1:$M$5,5,TRUE),0))))),0)</f>
        <v>0.9</v>
      </c>
      <c r="AX126" s="232">
        <f>IFERROR(IF($C126="Top WS",VLOOKUP("GOAL",'2) หลักการคำนวน Table'!$D$4:$M$4,HLOOKUP(AL126,'2) หลักการคำนวน Table'!$D$1:$M$5,5,TRUE),0),
IF($C126="WS SF",VLOOKUP("GOAL",'2) หลักการคำนวน Table'!$D$32:$M$32,HLOOKUP(AL126,'2) หลักการคำนวน Table'!$D$1:$M$5,5,TRUE),0),
IF($C126="WS WH",VLOOKUP("GOAL",'2) หลักการคำนวน Table'!$D$62:$M$62,HLOOKUP(AL126,'2) หลักการคำนวน Table'!$D$1:$M$5,5,TRUE),0),
IF($C126="SF WH",VLOOKUP("GOAL",'2) หลักการคำนวน Table'!$D$92:$M$92,HLOOKUP(AL126,'2) หลักการคำนวน Table'!$D$1:$M$5,5,TRUE),0))))),0)</f>
        <v>0.9</v>
      </c>
      <c r="AY126" s="232">
        <f>IFERROR(IF($C126="Top WS",VLOOKUP("GOAL",'2) หลักการคำนวน Table'!$D$4:$M$4,HLOOKUP(AM126,'2) หลักการคำนวน Table'!$D$1:$M$5,5,TRUE),0),
IF($C126="WS SF",VLOOKUP("GOAL",'2) หลักการคำนวน Table'!$D$32:$M$32,HLOOKUP(AM126,'2) หลักการคำนวน Table'!$D$1:$M$5,5,TRUE),0),
IF($C126="WS WH",VLOOKUP("GOAL",'2) หลักการคำนวน Table'!$D$62:$M$62,HLOOKUP(AM126,'2) หลักการคำนวน Table'!$D$1:$M$5,5,TRUE),0),
IF($C126="SF WH",VLOOKUP("GOAL",'2) หลักการคำนวน Table'!$D$92:$M$92,HLOOKUP(AM126,'2) หลักการคำนวน Table'!$D$1:$M$5,5,TRUE),0))))),0)</f>
        <v>0.9</v>
      </c>
      <c r="AZ126" s="167">
        <f>IFERROR(IF($C126="Top WS",VLOOKUP($B126,'2) หลักการคำนวน Table'!$D$5:$M$20,HLOOKUP(AB126,'2) หลักการคำนวน Table'!$D$1:$M$5,5,TRUE),0),
IF($C126="WS SF",VLOOKUP($B126,'2) หลักการคำนวน Table'!$D$33:$M$48,HLOOKUP(AB126,'2) หลักการคำนวน Table'!$D$1:$M$5,5,TRUE),0),
IF($C126="WS WH",VLOOKUP($B126,'2) หลักการคำนวน Table'!$D$63:$M$78,HLOOKUP(AB126,'2) หลักการคำนวน Table'!$D$1:$M$5,5,TRUE),0),
IF($C126="SF WH",VLOOKUP($B126,'2) หลักการคำนวน Table'!$D$93:$M$108,HLOOKUP(AB126,'2) หลักการคำนวน Table'!$D$1:$M$5,5,TRUE),0))))),0)</f>
        <v>720</v>
      </c>
      <c r="BA126" s="167">
        <f>IFERROR(IF($C126="Top WS",VLOOKUP($B126,'2) หลักการคำนวน Table'!$D$5:$M$20,HLOOKUP(AC126,'2) หลักการคำนวน Table'!$D$1:$M$5,5,TRUE),0),
IF($C126="WS SF",VLOOKUP($B126,'2) หลักการคำนวน Table'!$D$33:$M$48,HLOOKUP(AC126,'2) หลักการคำนวน Table'!$D$1:$M$5,5,TRUE),0),
IF($C126="WS WH",VLOOKUP($B126,'2) หลักการคำนวน Table'!$D$63:$M$78,HLOOKUP(AC126,'2) หลักการคำนวน Table'!$D$1:$M$5,5,TRUE),0),
IF($C126="SF WH",VLOOKUP($B126,'2) หลักการคำนวน Table'!$D$93:$M$108,HLOOKUP(AC126,'2) หลักการคำนวน Table'!$D$1:$M$5,5,TRUE),0))))),0)</f>
        <v>1040</v>
      </c>
      <c r="BB126" s="167">
        <f>IFERROR(IF($C126="Top WS",VLOOKUP($B126,'2) หลักการคำนวน Table'!$D$5:$M$20,HLOOKUP(AD126,'2) หลักการคำนวน Table'!$D$1:$M$5,5,TRUE),0),
IF($C126="WS SF",VLOOKUP($B126,'2) หลักการคำนวน Table'!$D$33:$M$48,HLOOKUP(AD126,'2) หลักการคำนวน Table'!$D$1:$M$5,5,TRUE),0),
IF($C126="WS WH",VLOOKUP($B126,'2) หลักการคำนวน Table'!$D$63:$M$78,HLOOKUP(AD126,'2) หลักการคำนวน Table'!$D$1:$M$5,5,TRUE),0),
IF($C126="SF WH",VLOOKUP($B126,'2) หลักการคำนวน Table'!$D$93:$M$108,HLOOKUP(AD126,'2) หลักการคำนวน Table'!$D$1:$M$5,5,TRUE),0))))),0)</f>
        <v>720</v>
      </c>
      <c r="BC126" s="167">
        <f>IFERROR(IF($C126="Top WS",VLOOKUP($B126,'2) หลักการคำนวน Table'!$D$5:$M$20,HLOOKUP(AE126,'2) หลักการคำนวน Table'!$D$1:$M$5,5,TRUE),0),
IF($C126="WS SF",VLOOKUP($B126,'2) หลักการคำนวน Table'!$D$33:$M$48,HLOOKUP(AE126,'2) หลักการคำนวน Table'!$D$1:$M$5,5,TRUE),0),
IF($C126="WS WH",VLOOKUP($B126,'2) หลักการคำนวน Table'!$D$63:$M$78,HLOOKUP(AE126,'2) หลักการคำนวน Table'!$D$1:$M$5,5,TRUE),0),
IF($C126="SF WH",VLOOKUP($B126,'2) หลักการคำนวน Table'!$D$93:$M$108,HLOOKUP(AE126,'2) หลักการคำนวน Table'!$D$1:$M$5,5,TRUE),0))))),0)</f>
        <v>720</v>
      </c>
      <c r="BD126" s="167">
        <f>IFERROR(IF($C126="Top WS",VLOOKUP($B126,'2) หลักการคำนวน Table'!$D$5:$M$20,HLOOKUP(AF126,'2) หลักการคำนวน Table'!$D$1:$M$5,5,TRUE),0),
IF($C126="WS SF",VLOOKUP($B126,'2) หลักการคำนวน Table'!$D$33:$M$48,HLOOKUP(AF126,'2) หลักการคำนวน Table'!$D$1:$M$5,5,TRUE),0),
IF($C126="WS WH",VLOOKUP($B126,'2) หลักการคำนวน Table'!$D$63:$M$78,HLOOKUP(AF126,'2) หลักการคำนวน Table'!$D$1:$M$5,5,TRUE),0),
IF($C126="SF WH",VLOOKUP($B126,'2) หลักการคำนวน Table'!$D$93:$M$108,HLOOKUP(AF126,'2) หลักการคำนวน Table'!$D$1:$M$5,5,TRUE),0))))),0)</f>
        <v>720</v>
      </c>
      <c r="BE126" s="167">
        <f>IFERROR(IF($C126="Top WS",VLOOKUP($B126,'2) หลักการคำนวน Table'!$D$5:$M$20,HLOOKUP(AG126,'2) หลักการคำนวน Table'!$D$1:$M$5,5,TRUE),0),
IF($C126="WS SF",VLOOKUP($B126,'2) หลักการคำนวน Table'!$D$33:$M$48,HLOOKUP(AG126,'2) หลักการคำนวน Table'!$D$1:$M$5,5,TRUE),0),
IF($C126="WS WH",VLOOKUP($B126,'2) หลักการคำนวน Table'!$D$63:$M$78,HLOOKUP(AG126,'2) หลักการคำนวน Table'!$D$1:$M$5,5,TRUE),0),
IF($C126="SF WH",VLOOKUP($B126,'2) หลักการคำนวน Table'!$D$93:$M$108,HLOOKUP(AG126,'2) หลักการคำนวน Table'!$D$1:$M$5,5,TRUE),0))))),0)</f>
        <v>720</v>
      </c>
      <c r="BF126" s="167">
        <f>IFERROR(IF($C126="Top WS",VLOOKUP($B126,'2) หลักการคำนวน Table'!$D$5:$M$20,HLOOKUP(AH126,'2) หลักการคำนวน Table'!$D$1:$M$5,5,TRUE),0),
IF($C126="WS SF",VLOOKUP($B126,'2) หลักการคำนวน Table'!$D$33:$M$48,HLOOKUP(AH126,'2) หลักการคำนวน Table'!$D$1:$M$5,5,TRUE),0),
IF($C126="WS WH",VLOOKUP($B126,'2) หลักการคำนวน Table'!$D$63:$M$78,HLOOKUP(AH126,'2) หลักการคำนวน Table'!$D$1:$M$5,5,TRUE),0),
IF($C126="SF WH",VLOOKUP($B126,'2) หลักการคำนวน Table'!$D$93:$M$108,HLOOKUP(AH126,'2) หลักการคำนวน Table'!$D$1:$M$5,5,TRUE),0))))),0)</f>
        <v>720</v>
      </c>
      <c r="BG126" s="167">
        <f>IFERROR(IF($C126="Top WS",VLOOKUP($B126,'2) หลักการคำนวน Table'!$D$5:$M$20,HLOOKUP(AI126,'2) หลักการคำนวน Table'!$D$1:$M$5,5,TRUE),0),
IF($C126="WS SF",VLOOKUP($B126,'2) หลักการคำนวน Table'!$D$33:$M$48,HLOOKUP(AI126,'2) หลักการคำนวน Table'!$D$1:$M$5,5,TRUE),0),
IF($C126="WS WH",VLOOKUP($B126,'2) หลักการคำนวน Table'!$D$63:$M$78,HLOOKUP(AI126,'2) หลักการคำนวน Table'!$D$1:$M$5,5,TRUE),0),
IF($C126="SF WH",VLOOKUP($B126,'2) หลักการคำนวน Table'!$D$93:$M$108,HLOOKUP(AI126,'2) หลักการคำนวน Table'!$D$1:$M$5,5,TRUE),0))))),0)</f>
        <v>720</v>
      </c>
      <c r="BH126" s="167">
        <f>IFERROR(IF($C126="Top WS",VLOOKUP($B126,'2) หลักการคำนวน Table'!$D$5:$M$20,HLOOKUP(AP126,'2) หลักการคำนวน Table'!$D$1:$M$5,5,TRUE),0),
IF($C126="WS SF",VLOOKUP($B126,'2) หลักการคำนวน Table'!$D$33:$M$48,HLOOKUP(AP126,'2) หลักการคำนวน Table'!$D$1:$M$5,5,TRUE),0),
IF($C126="WS WH",VLOOKUP($B126,'2) หลักการคำนวน Table'!$D$63:$M$78,HLOOKUP(AP126,'2) หลักการคำนวน Table'!$D$1:$M$5,5,TRUE),0),
IF($C126="SF WH",VLOOKUP($B126,'2) หลักการคำนวน Table'!$D$93:$M$108,HLOOKUP(AP126,'2) หลักการคำนวน Table'!$D$1:$M$5,5,TRUE),0))))),0)</f>
        <v>720</v>
      </c>
      <c r="BI126" s="167">
        <f>IFERROR(IF($C126="Top WS",VLOOKUP($B126,'2) หลักการคำนวน Table'!$D$5:$M$20,HLOOKUP(AK126,'2) หลักการคำนวน Table'!$D$1:$M$5,5,TRUE),0),
IF($C126="WS SF",VLOOKUP($B126,'2) หลักการคำนวน Table'!$D$33:$M$48,HLOOKUP(AK126,'2) หลักการคำนวน Table'!$D$1:$M$5,5,TRUE),0),
IF($C126="WS WH",VLOOKUP($B126,'2) หลักการคำนวน Table'!$D$63:$M$78,HLOOKUP(AK126,'2) หลักการคำนวน Table'!$D$1:$M$5,5,TRUE),0),
IF($C126="SF WH",VLOOKUP($B126,'2) หลักการคำนวน Table'!$D$93:$M$108,HLOOKUP(AK126,'2) หลักการคำนวน Table'!$D$1:$M$5,5,TRUE),0))))),0)</f>
        <v>720</v>
      </c>
      <c r="BJ126" s="167">
        <f>IFERROR(IF($C126="Top WS",VLOOKUP($B126,'2) หลักการคำนวน Table'!$D$5:$M$20,HLOOKUP(AL126,'2) หลักการคำนวน Table'!$D$1:$M$5,5,TRUE),0),
IF($C126="WS SF",VLOOKUP($B126,'2) หลักการคำนวน Table'!$D$33:$M$48,HLOOKUP(AL126,'2) หลักการคำนวน Table'!$D$1:$M$5,5,TRUE),0),
IF($C126="WS WH",VLOOKUP($B126,'2) หลักการคำนวน Table'!$D$63:$M$78,HLOOKUP(AL126,'2) หลักการคำนวน Table'!$D$1:$M$5,5,TRUE),0),
IF($C126="SF WH",VLOOKUP($B126,'2) หลักการคำนวน Table'!$D$93:$M$108,HLOOKUP(AL126,'2) หลักการคำนวน Table'!$D$1:$M$5,5,TRUE),0))))),0)</f>
        <v>720</v>
      </c>
      <c r="BK126" s="167">
        <f>IFERROR(IF($C126="Top WS",VLOOKUP($B126,'2) หลักการคำนวน Table'!$D$5:$M$20,HLOOKUP(AM126,'2) หลักการคำนวน Table'!$D$1:$M$5,5,TRUE),0),
IF($C126="WS SF",VLOOKUP($B126,'2) หลักการคำนวน Table'!$D$33:$M$48,HLOOKUP(AM126,'2) หลักการคำนวน Table'!$D$1:$M$5,5,TRUE),0),
IF($C126="WS WH",VLOOKUP($B126,'2) หลักการคำนวน Table'!$D$63:$M$78,HLOOKUP(AM126,'2) หลักการคำนวน Table'!$D$1:$M$5,5,TRUE),0),
IF($C126="SF WH",VLOOKUP($B126,'2) หลักการคำนวน Table'!$D$93:$M$108,HLOOKUP(AM126,'2) หลักการคำนวน Table'!$D$1:$M$5,5,TRUE),0))))),0)</f>
        <v>720</v>
      </c>
      <c r="BM126" s="119">
        <f>VLOOKUP(VLOOKUP(A126,ASTBase!E:S,13,FALSE),ASTBase!F:P,11,FALSE)</f>
        <v>130000</v>
      </c>
      <c r="BN126" s="196" cm="1">
        <f t="array" ref="BN126">INDEX(AN126:AY126,,Period!$D$2)</f>
        <v>1.3</v>
      </c>
    </row>
    <row r="127" spans="1:66" ht="11.85" customHeight="1" x14ac:dyDescent="0.25">
      <c r="A127" s="117">
        <v>130001</v>
      </c>
      <c r="B127" s="117" t="s">
        <v>392</v>
      </c>
      <c r="C127" s="117" t="s">
        <v>178</v>
      </c>
      <c r="D127" s="118">
        <v>3251</v>
      </c>
      <c r="E127" s="118">
        <v>1436</v>
      </c>
      <c r="F127" s="118">
        <v>1443</v>
      </c>
      <c r="G127" s="118">
        <v>2405</v>
      </c>
      <c r="H127" s="118">
        <v>1970</v>
      </c>
      <c r="I127" s="118">
        <v>1221</v>
      </c>
      <c r="J127" s="118">
        <v>3122</v>
      </c>
      <c r="K127" s="118">
        <v>1789</v>
      </c>
      <c r="L127" s="118">
        <v>2020</v>
      </c>
      <c r="M127" s="118">
        <v>2660</v>
      </c>
      <c r="N127" s="118">
        <v>2785</v>
      </c>
      <c r="O127" s="118">
        <v>2786</v>
      </c>
      <c r="P127" s="117">
        <f>SUMIFS(Actual!C:C,Actual!$A:$A,'3)Target &amp; Cal'!$A127,Actual!$B:$B,'3)Target &amp; Cal'!$B127)</f>
        <v>4299.1289999999999</v>
      </c>
      <c r="Q127" s="117">
        <f>SUMIFS(Actual!D:D,Actual!$A:$A,'3)Target &amp; Cal'!$A127,Actual!$B:$B,'3)Target &amp; Cal'!$B127)</f>
        <v>0</v>
      </c>
      <c r="R127" s="117">
        <f>SUMIFS(Actual!E:E,Actual!$A:$A,'3)Target &amp; Cal'!$A127,Actual!$B:$B,'3)Target &amp; Cal'!$B127)</f>
        <v>0</v>
      </c>
      <c r="S127" s="117">
        <f>SUMIFS(Actual!F:F,Actual!$A:$A,'3)Target &amp; Cal'!$A127,Actual!$B:$B,'3)Target &amp; Cal'!$B127)</f>
        <v>0</v>
      </c>
      <c r="T127" s="117">
        <f>SUMIFS(Actual!G:G,Actual!$A:$A,'3)Target &amp; Cal'!$A127,Actual!$B:$B,'3)Target &amp; Cal'!$B127)</f>
        <v>0</v>
      </c>
      <c r="U127" s="117">
        <f>SUMIFS(Actual!H:H,Actual!$A:$A,'3)Target &amp; Cal'!$A127,Actual!$B:$B,'3)Target &amp; Cal'!$B127)</f>
        <v>0</v>
      </c>
      <c r="V127" s="117">
        <f>SUMIFS(Actual!I:I,Actual!$A:$A,'3)Target &amp; Cal'!$A127,Actual!$B:$B,'3)Target &amp; Cal'!$B127)</f>
        <v>0</v>
      </c>
      <c r="W127" s="117">
        <f>SUMIFS(Actual!J:J,Actual!$A:$A,'3)Target &amp; Cal'!$A127,Actual!$B:$B,'3)Target &amp; Cal'!$B127)</f>
        <v>0</v>
      </c>
      <c r="X127" s="117">
        <f>SUMIFS(Actual!K:K,Actual!$A:$A,'3)Target &amp; Cal'!$A127,Actual!$B:$B,'3)Target &amp; Cal'!$B127)</f>
        <v>0</v>
      </c>
      <c r="Y127" s="117">
        <f>SUMIFS(Actual!L:L,Actual!$A:$A,'3)Target &amp; Cal'!$A127,Actual!$B:$B,'3)Target &amp; Cal'!$B127)</f>
        <v>0</v>
      </c>
      <c r="Z127" s="117">
        <f>SUMIFS(Actual!M:M,Actual!$A:$A,'3)Target &amp; Cal'!$A127,Actual!$B:$B,'3)Target &amp; Cal'!$B127)</f>
        <v>0</v>
      </c>
      <c r="AA127" s="117">
        <f>SUMIFS(Actual!N:N,Actual!$A:$A,'3)Target &amp; Cal'!$A127,Actual!$B:$B,'3)Target &amp; Cal'!$B127)</f>
        <v>0</v>
      </c>
      <c r="AB127" s="123">
        <f>IFERROR(IF(VLOOKUP($B127,Shortage!$A:$M,AB$2,FALSE)="Shortage",1,IFERROR(ROUND(P127/D127,4),0)),IFERROR(ROUND(P127/D127,4),0))</f>
        <v>1.3224</v>
      </c>
      <c r="AC127" s="123">
        <f>IFERROR(IF(VLOOKUP($B127,Shortage!$A:$M,AC$2,FALSE)="Shortage",1,IFERROR(ROUND(Q127/E127,4),0)),IFERROR(ROUND(Q127/E127,4),0))</f>
        <v>0</v>
      </c>
      <c r="AD127" s="123">
        <f>IFERROR(IF(VLOOKUP($B127,Shortage!$A:$M,AD$2,FALSE)="Shortage",1,IFERROR(ROUND(R127/F127,4),0)),IFERROR(ROUND(R127/F127,4),0))</f>
        <v>0</v>
      </c>
      <c r="AE127" s="123">
        <f>IFERROR(IF(VLOOKUP($B127,Shortage!$A:$M,AE$2,FALSE)="Shortage",1,IFERROR(ROUND(S127/G127,4),0)),IFERROR(ROUND(S127/G127,4),0))</f>
        <v>0</v>
      </c>
      <c r="AF127" s="123">
        <f>IFERROR(IF(VLOOKUP($B127,Shortage!$A:$M,AF$2,FALSE)="Shortage",1,IFERROR(ROUND(T127/H127,4),0)),IFERROR(ROUND(T127/H127,4),0))</f>
        <v>0</v>
      </c>
      <c r="AG127" s="123">
        <f>IFERROR(IF(VLOOKUP($B127,Shortage!$A:$M,AG$2,FALSE)="Shortage",1,IFERROR(ROUND(U127/I127,4),0)),IFERROR(ROUND(U127/I127,4),0))</f>
        <v>0</v>
      </c>
      <c r="AH127" s="123">
        <f>IFERROR(IF(VLOOKUP($B127,Shortage!$A:$M,AH$2,FALSE)="Shortage",1,IFERROR(ROUND(V127/J127,4),0)),IFERROR(ROUND(V127/J127,4),0))</f>
        <v>0</v>
      </c>
      <c r="AI127" s="123">
        <f>IFERROR(IF(VLOOKUP($B127,Shortage!$A:$M,AI$2,FALSE)="Shortage",1,IFERROR(ROUND(W127/K127,4),0)),IFERROR(ROUND(W127/K127,4),0))</f>
        <v>0</v>
      </c>
      <c r="AJ127" s="123">
        <f>IFERROR(IF(VLOOKUP($B127,Shortage!$A:$M,AP$2,FALSE)="Shortage",1,IFERROR(ROUND(X127/L127,4),0)),IFERROR(ROUND(X127/L127,4),0))</f>
        <v>0</v>
      </c>
      <c r="AK127" s="123">
        <f>IFERROR(IF(VLOOKUP($B127,Shortage!$A:$M,AK$2,FALSE)="Shortage",1,IFERROR(ROUND(Y127/M127,4),0)),IFERROR(ROUND(Y127/M127,4),0))</f>
        <v>0</v>
      </c>
      <c r="AL127" s="123">
        <f>IFERROR(IF(VLOOKUP($B127,Shortage!$A:$M,AL$2,FALSE)="Shortage",1,IFERROR(ROUND(Z127/N127,4),0)),IFERROR(ROUND(Z127/N127,4),0))</f>
        <v>0</v>
      </c>
      <c r="AM127" s="123">
        <f>IFERROR(IF(VLOOKUP($B127,Shortage!$A:$M,AM$2,FALSE)="Shortage",1,IFERROR(ROUND(AA127/O127,4),0)),IFERROR(ROUND(AA127/O127,4),0))</f>
        <v>0</v>
      </c>
      <c r="AN127" s="232">
        <f>IFERROR(IF($C127="Top WS",VLOOKUP("GOAL",'2) หลักการคำนวน Table'!$D$4:$M$4,HLOOKUP(AB127,'2) หลักการคำนวน Table'!$D$1:$M$5,5,TRUE),0),
IF($C127="WS SF",VLOOKUP("GOAL",'2) หลักการคำนวน Table'!$D$32:$M$32,HLOOKUP(AB127,'2) หลักการคำนวน Table'!$D$1:$M$5,5,TRUE),0),
IF($C127="WS WH",VLOOKUP("GOAL",'2) หลักการคำนวน Table'!$D$62:$M$62,HLOOKUP(AB127,'2) หลักการคำนวน Table'!$D$1:$M$5,5,TRUE),0),
IF($C127="SF WH",VLOOKUP("GOAL",'2) หลักการคำนวน Table'!$D$92:$M$92,HLOOKUP(AB127,'2) หลักการคำนวน Table'!$D$1:$M$5,5,TRUE),0))))),0)</f>
        <v>1.3</v>
      </c>
      <c r="AO127" s="232">
        <f>IFERROR(IF($C127="Top WS",VLOOKUP("GOAL",'2) หลักการคำนวน Table'!$D$4:$M$4,HLOOKUP(AC127,'2) หลักการคำนวน Table'!$D$1:$M$5,5,TRUE),0),
IF($C127="WS SF",VLOOKUP("GOAL",'2) หลักการคำนวน Table'!$D$32:$M$32,HLOOKUP(AC127,'2) หลักการคำนวน Table'!$D$1:$M$5,5,TRUE),0),
IF($C127="WS WH",VLOOKUP("GOAL",'2) หลักการคำนวน Table'!$D$62:$M$62,HLOOKUP(AC127,'2) หลักการคำนวน Table'!$D$1:$M$5,5,TRUE),0),
IF($C127="SF WH",VLOOKUP("GOAL",'2) หลักการคำนวน Table'!$D$92:$M$92,HLOOKUP(AC127,'2) หลักการคำนวน Table'!$D$1:$M$5,5,TRUE),0))))),0)</f>
        <v>0.9</v>
      </c>
      <c r="AP127" s="232">
        <f>IFERROR(IF($C127="Top WS",VLOOKUP("GOAL",'2) หลักการคำนวน Table'!$D$4:$M$4,HLOOKUP(AD127,'2) หลักการคำนวน Table'!$D$1:$M$5,5,TRUE),0),
IF($C127="WS SF",VLOOKUP("GOAL",'2) หลักการคำนวน Table'!$D$32:$M$32,HLOOKUP(AD127,'2) หลักการคำนวน Table'!$D$1:$M$5,5,TRUE),0),
IF($C127="WS WH",VLOOKUP("GOAL",'2) หลักการคำนวน Table'!$D$62:$M$62,HLOOKUP(AD127,'2) หลักการคำนวน Table'!$D$1:$M$5,5,TRUE),0),
IF($C127="SF WH",VLOOKUP("GOAL",'2) หลักการคำนวน Table'!$D$92:$M$92,HLOOKUP(AD127,'2) หลักการคำนวน Table'!$D$1:$M$5,5,TRUE),0))))),0)</f>
        <v>0.9</v>
      </c>
      <c r="AQ127" s="232">
        <f>IFERROR(IF($C127="Top WS",VLOOKUP("GOAL",'2) หลักการคำนวน Table'!$D$4:$M$4,HLOOKUP(AE127,'2) หลักการคำนวน Table'!$D$1:$M$5,5,TRUE),0),
IF($C127="WS SF",VLOOKUP("GOAL",'2) หลักการคำนวน Table'!$D$32:$M$32,HLOOKUP(AE127,'2) หลักการคำนวน Table'!$D$1:$M$5,5,TRUE),0),
IF($C127="WS WH",VLOOKUP("GOAL",'2) หลักการคำนวน Table'!$D$62:$M$62,HLOOKUP(AE127,'2) หลักการคำนวน Table'!$D$1:$M$5,5,TRUE),0),
IF($C127="SF WH",VLOOKUP("GOAL",'2) หลักการคำนวน Table'!$D$92:$M$92,HLOOKUP(AE127,'2) หลักการคำนวน Table'!$D$1:$M$5,5,TRUE),0))))),0)</f>
        <v>0.9</v>
      </c>
      <c r="AR127" s="232">
        <f>IFERROR(IF($C127="Top WS",VLOOKUP("GOAL",'2) หลักการคำนวน Table'!$D$4:$M$4,HLOOKUP(AF127,'2) หลักการคำนวน Table'!$D$1:$M$5,5,TRUE),0),
IF($C127="WS SF",VLOOKUP("GOAL",'2) หลักการคำนวน Table'!$D$32:$M$32,HLOOKUP(AF127,'2) หลักการคำนวน Table'!$D$1:$M$5,5,TRUE),0),
IF($C127="WS WH",VLOOKUP("GOAL",'2) หลักการคำนวน Table'!$D$62:$M$62,HLOOKUP(AF127,'2) หลักการคำนวน Table'!$D$1:$M$5,5,TRUE),0),
IF($C127="SF WH",VLOOKUP("GOAL",'2) หลักการคำนวน Table'!$D$92:$M$92,HLOOKUP(AF127,'2) หลักการคำนวน Table'!$D$1:$M$5,5,TRUE),0))))),0)</f>
        <v>0.9</v>
      </c>
      <c r="AS127" s="232">
        <f>IFERROR(IF($C127="Top WS",VLOOKUP("GOAL",'2) หลักการคำนวน Table'!$D$4:$M$4,HLOOKUP(AG127,'2) หลักการคำนวน Table'!$D$1:$M$5,5,TRUE),0),
IF($C127="WS SF",VLOOKUP("GOAL",'2) หลักการคำนวน Table'!$D$32:$M$32,HLOOKUP(AG127,'2) หลักการคำนวน Table'!$D$1:$M$5,5,TRUE),0),
IF($C127="WS WH",VLOOKUP("GOAL",'2) หลักการคำนวน Table'!$D$62:$M$62,HLOOKUP(AG127,'2) หลักการคำนวน Table'!$D$1:$M$5,5,TRUE),0),
IF($C127="SF WH",VLOOKUP("GOAL",'2) หลักการคำนวน Table'!$D$92:$M$92,HLOOKUP(AG127,'2) หลักการคำนวน Table'!$D$1:$M$5,5,TRUE),0))))),0)</f>
        <v>0.9</v>
      </c>
      <c r="AT127" s="232">
        <f>IFERROR(IF($C127="Top WS",VLOOKUP("GOAL",'2) หลักการคำนวน Table'!$D$4:$M$4,HLOOKUP(AH127,'2) หลักการคำนวน Table'!$D$1:$M$5,5,TRUE),0),
IF($C127="WS SF",VLOOKUP("GOAL",'2) หลักการคำนวน Table'!$D$32:$M$32,HLOOKUP(AH127,'2) หลักการคำนวน Table'!$D$1:$M$5,5,TRUE),0),
IF($C127="WS WH",VLOOKUP("GOAL",'2) หลักการคำนวน Table'!$D$62:$M$62,HLOOKUP(AH127,'2) หลักการคำนวน Table'!$D$1:$M$5,5,TRUE),0),
IF($C127="SF WH",VLOOKUP("GOAL",'2) หลักการคำนวน Table'!$D$92:$M$92,HLOOKUP(AH127,'2) หลักการคำนวน Table'!$D$1:$M$5,5,TRUE),0))))),0)</f>
        <v>0.9</v>
      </c>
      <c r="AU127" s="232">
        <f>IFERROR(IF($C127="Top WS",VLOOKUP("GOAL",'2) หลักการคำนวน Table'!$D$4:$M$4,HLOOKUP(AI127,'2) หลักการคำนวน Table'!$D$1:$M$5,5,TRUE),0),
IF($C127="WS SF",VLOOKUP("GOAL",'2) หลักการคำนวน Table'!$D$32:$M$32,HLOOKUP(AI127,'2) หลักการคำนวน Table'!$D$1:$M$5,5,TRUE),0),
IF($C127="WS WH",VLOOKUP("GOAL",'2) หลักการคำนวน Table'!$D$62:$M$62,HLOOKUP(AI127,'2) หลักการคำนวน Table'!$D$1:$M$5,5,TRUE),0),
IF($C127="SF WH",VLOOKUP("GOAL",'2) หลักการคำนวน Table'!$D$92:$M$92,HLOOKUP(AI127,'2) หลักการคำนวน Table'!$D$1:$M$5,5,TRUE),0))))),0)</f>
        <v>0.9</v>
      </c>
      <c r="AV127" s="232">
        <f>IFERROR(IF($C127="Top WS",VLOOKUP("GOAL",'2) หลักการคำนวน Table'!$D$4:$M$4,HLOOKUP(AP127,'2) หลักการคำนวน Table'!$D$1:$M$5,5,TRUE),0),
IF($C127="WS SF",VLOOKUP("GOAL",'2) หลักการคำนวน Table'!$D$32:$M$32,HLOOKUP(AP127,'2) หลักการคำนวน Table'!$D$1:$M$5,5,TRUE),0),
IF($C127="WS WH",VLOOKUP("GOAL",'2) หลักการคำนวน Table'!$D$62:$M$62,HLOOKUP(AP127,'2) หลักการคำนวน Table'!$D$1:$M$5,5,TRUE),0),
IF($C127="SF WH",VLOOKUP("GOAL",'2) หลักการคำนวน Table'!$D$92:$M$92,HLOOKUP(AP127,'2) หลักการคำนวน Table'!$D$1:$M$5,5,TRUE),0))))),0)</f>
        <v>0.9</v>
      </c>
      <c r="AW127" s="232">
        <f>IFERROR(IF($C127="Top WS",VLOOKUP("GOAL",'2) หลักการคำนวน Table'!$D$4:$M$4,HLOOKUP(AK127,'2) หลักการคำนวน Table'!$D$1:$M$5,5,TRUE),0),
IF($C127="WS SF",VLOOKUP("GOAL",'2) หลักการคำนวน Table'!$D$32:$M$32,HLOOKUP(AK127,'2) หลักการคำนวน Table'!$D$1:$M$5,5,TRUE),0),
IF($C127="WS WH",VLOOKUP("GOAL",'2) หลักการคำนวน Table'!$D$62:$M$62,HLOOKUP(AK127,'2) หลักการคำนวน Table'!$D$1:$M$5,5,TRUE),0),
IF($C127="SF WH",VLOOKUP("GOAL",'2) หลักการคำนวน Table'!$D$92:$M$92,HLOOKUP(AK127,'2) หลักการคำนวน Table'!$D$1:$M$5,5,TRUE),0))))),0)</f>
        <v>0.9</v>
      </c>
      <c r="AX127" s="232">
        <f>IFERROR(IF($C127="Top WS",VLOOKUP("GOAL",'2) หลักการคำนวน Table'!$D$4:$M$4,HLOOKUP(AL127,'2) หลักการคำนวน Table'!$D$1:$M$5,5,TRUE),0),
IF($C127="WS SF",VLOOKUP("GOAL",'2) หลักการคำนวน Table'!$D$32:$M$32,HLOOKUP(AL127,'2) หลักการคำนวน Table'!$D$1:$M$5,5,TRUE),0),
IF($C127="WS WH",VLOOKUP("GOAL",'2) หลักการคำนวน Table'!$D$62:$M$62,HLOOKUP(AL127,'2) หลักการคำนวน Table'!$D$1:$M$5,5,TRUE),0),
IF($C127="SF WH",VLOOKUP("GOAL",'2) หลักการคำนวน Table'!$D$92:$M$92,HLOOKUP(AL127,'2) หลักการคำนวน Table'!$D$1:$M$5,5,TRUE),0))))),0)</f>
        <v>0.9</v>
      </c>
      <c r="AY127" s="232">
        <f>IFERROR(IF($C127="Top WS",VLOOKUP("GOAL",'2) หลักการคำนวน Table'!$D$4:$M$4,HLOOKUP(AM127,'2) หลักการคำนวน Table'!$D$1:$M$5,5,TRUE),0),
IF($C127="WS SF",VLOOKUP("GOAL",'2) หลักการคำนวน Table'!$D$32:$M$32,HLOOKUP(AM127,'2) หลักการคำนวน Table'!$D$1:$M$5,5,TRUE),0),
IF($C127="WS WH",VLOOKUP("GOAL",'2) หลักการคำนวน Table'!$D$62:$M$62,HLOOKUP(AM127,'2) หลักการคำนวน Table'!$D$1:$M$5,5,TRUE),0),
IF($C127="SF WH",VLOOKUP("GOAL",'2) หลักการคำนวน Table'!$D$92:$M$92,HLOOKUP(AM127,'2) หลักการคำนวน Table'!$D$1:$M$5,5,TRUE),0))))),0)</f>
        <v>0.9</v>
      </c>
      <c r="AZ127" s="167">
        <f>IFERROR(IF($C127="Top WS",VLOOKUP($B127,'2) หลักการคำนวน Table'!$D$5:$M$20,HLOOKUP(AB127,'2) หลักการคำนวน Table'!$D$1:$M$5,5,TRUE),0),
IF($C127="WS SF",VLOOKUP($B127,'2) หลักการคำนวน Table'!$D$33:$M$48,HLOOKUP(AB127,'2) หลักการคำนวน Table'!$D$1:$M$5,5,TRUE),0),
IF($C127="WS WH",VLOOKUP($B127,'2) หลักการคำนวน Table'!$D$63:$M$78,HLOOKUP(AB127,'2) หลักการคำนวน Table'!$D$1:$M$5,5,TRUE),0),
IF($C127="SF WH",VLOOKUP($B127,'2) หลักการคำนวน Table'!$D$93:$M$108,HLOOKUP(AB127,'2) หลักการคำนวน Table'!$D$1:$M$5,5,TRUE),0))))),0)</f>
        <v>520</v>
      </c>
      <c r="BA127" s="167">
        <f>IFERROR(IF($C127="Top WS",VLOOKUP($B127,'2) หลักการคำนวน Table'!$D$5:$M$20,HLOOKUP(AC127,'2) หลักการคำนวน Table'!$D$1:$M$5,5,TRUE),0),
IF($C127="WS SF",VLOOKUP($B127,'2) หลักการคำนวน Table'!$D$33:$M$48,HLOOKUP(AC127,'2) หลักการคำนวน Table'!$D$1:$M$5,5,TRUE),0),
IF($C127="WS WH",VLOOKUP($B127,'2) หลักการคำนวน Table'!$D$63:$M$78,HLOOKUP(AC127,'2) หลักการคำนวน Table'!$D$1:$M$5,5,TRUE),0),
IF($C127="SF WH",VLOOKUP($B127,'2) หลักการคำนวน Table'!$D$93:$M$108,HLOOKUP(AC127,'2) หลักการคำนวน Table'!$D$1:$M$5,5,TRUE),0))))),0)</f>
        <v>360</v>
      </c>
      <c r="BB127" s="167">
        <f>IFERROR(IF($C127="Top WS",VLOOKUP($B127,'2) หลักการคำนวน Table'!$D$5:$M$20,HLOOKUP(AD127,'2) หลักการคำนวน Table'!$D$1:$M$5,5,TRUE),0),
IF($C127="WS SF",VLOOKUP($B127,'2) หลักการคำนวน Table'!$D$33:$M$48,HLOOKUP(AD127,'2) หลักการคำนวน Table'!$D$1:$M$5,5,TRUE),0),
IF($C127="WS WH",VLOOKUP($B127,'2) หลักการคำนวน Table'!$D$63:$M$78,HLOOKUP(AD127,'2) หลักการคำนวน Table'!$D$1:$M$5,5,TRUE),0),
IF($C127="SF WH",VLOOKUP($B127,'2) หลักการคำนวน Table'!$D$93:$M$108,HLOOKUP(AD127,'2) หลักการคำนวน Table'!$D$1:$M$5,5,TRUE),0))))),0)</f>
        <v>360</v>
      </c>
      <c r="BC127" s="167">
        <f>IFERROR(IF($C127="Top WS",VLOOKUP($B127,'2) หลักการคำนวน Table'!$D$5:$M$20,HLOOKUP(AE127,'2) หลักการคำนวน Table'!$D$1:$M$5,5,TRUE),0),
IF($C127="WS SF",VLOOKUP($B127,'2) หลักการคำนวน Table'!$D$33:$M$48,HLOOKUP(AE127,'2) หลักการคำนวน Table'!$D$1:$M$5,5,TRUE),0),
IF($C127="WS WH",VLOOKUP($B127,'2) หลักการคำนวน Table'!$D$63:$M$78,HLOOKUP(AE127,'2) หลักการคำนวน Table'!$D$1:$M$5,5,TRUE),0),
IF($C127="SF WH",VLOOKUP($B127,'2) หลักการคำนวน Table'!$D$93:$M$108,HLOOKUP(AE127,'2) หลักการคำนวน Table'!$D$1:$M$5,5,TRUE),0))))),0)</f>
        <v>360</v>
      </c>
      <c r="BD127" s="167">
        <f>IFERROR(IF($C127="Top WS",VLOOKUP($B127,'2) หลักการคำนวน Table'!$D$5:$M$20,HLOOKUP(AF127,'2) หลักการคำนวน Table'!$D$1:$M$5,5,TRUE),0),
IF($C127="WS SF",VLOOKUP($B127,'2) หลักการคำนวน Table'!$D$33:$M$48,HLOOKUP(AF127,'2) หลักการคำนวน Table'!$D$1:$M$5,5,TRUE),0),
IF($C127="WS WH",VLOOKUP($B127,'2) หลักการคำนวน Table'!$D$63:$M$78,HLOOKUP(AF127,'2) หลักการคำนวน Table'!$D$1:$M$5,5,TRUE),0),
IF($C127="SF WH",VLOOKUP($B127,'2) หลักการคำนวน Table'!$D$93:$M$108,HLOOKUP(AF127,'2) หลักการคำนวน Table'!$D$1:$M$5,5,TRUE),0))))),0)</f>
        <v>360</v>
      </c>
      <c r="BE127" s="167">
        <f>IFERROR(IF($C127="Top WS",VLOOKUP($B127,'2) หลักการคำนวน Table'!$D$5:$M$20,HLOOKUP(AG127,'2) หลักการคำนวน Table'!$D$1:$M$5,5,TRUE),0),
IF($C127="WS SF",VLOOKUP($B127,'2) หลักการคำนวน Table'!$D$33:$M$48,HLOOKUP(AG127,'2) หลักการคำนวน Table'!$D$1:$M$5,5,TRUE),0),
IF($C127="WS WH",VLOOKUP($B127,'2) หลักการคำนวน Table'!$D$63:$M$78,HLOOKUP(AG127,'2) หลักการคำนวน Table'!$D$1:$M$5,5,TRUE),0),
IF($C127="SF WH",VLOOKUP($B127,'2) หลักการคำนวน Table'!$D$93:$M$108,HLOOKUP(AG127,'2) หลักการคำนวน Table'!$D$1:$M$5,5,TRUE),0))))),0)</f>
        <v>360</v>
      </c>
      <c r="BF127" s="167">
        <f>IFERROR(IF($C127="Top WS",VLOOKUP($B127,'2) หลักการคำนวน Table'!$D$5:$M$20,HLOOKUP(AH127,'2) หลักการคำนวน Table'!$D$1:$M$5,5,TRUE),0),
IF($C127="WS SF",VLOOKUP($B127,'2) หลักการคำนวน Table'!$D$33:$M$48,HLOOKUP(AH127,'2) หลักการคำนวน Table'!$D$1:$M$5,5,TRUE),0),
IF($C127="WS WH",VLOOKUP($B127,'2) หลักการคำนวน Table'!$D$63:$M$78,HLOOKUP(AH127,'2) หลักการคำนวน Table'!$D$1:$M$5,5,TRUE),0),
IF($C127="SF WH",VLOOKUP($B127,'2) หลักการคำนวน Table'!$D$93:$M$108,HLOOKUP(AH127,'2) หลักการคำนวน Table'!$D$1:$M$5,5,TRUE),0))))),0)</f>
        <v>360</v>
      </c>
      <c r="BG127" s="167">
        <f>IFERROR(IF($C127="Top WS",VLOOKUP($B127,'2) หลักการคำนวน Table'!$D$5:$M$20,HLOOKUP(AI127,'2) หลักการคำนวน Table'!$D$1:$M$5,5,TRUE),0),
IF($C127="WS SF",VLOOKUP($B127,'2) หลักการคำนวน Table'!$D$33:$M$48,HLOOKUP(AI127,'2) หลักการคำนวน Table'!$D$1:$M$5,5,TRUE),0),
IF($C127="WS WH",VLOOKUP($B127,'2) หลักการคำนวน Table'!$D$63:$M$78,HLOOKUP(AI127,'2) หลักการคำนวน Table'!$D$1:$M$5,5,TRUE),0),
IF($C127="SF WH",VLOOKUP($B127,'2) หลักการคำนวน Table'!$D$93:$M$108,HLOOKUP(AI127,'2) หลักการคำนวน Table'!$D$1:$M$5,5,TRUE),0))))),0)</f>
        <v>360</v>
      </c>
      <c r="BH127" s="167">
        <f>IFERROR(IF($C127="Top WS",VLOOKUP($B127,'2) หลักการคำนวน Table'!$D$5:$M$20,HLOOKUP(AP127,'2) หลักการคำนวน Table'!$D$1:$M$5,5,TRUE),0),
IF($C127="WS SF",VLOOKUP($B127,'2) หลักการคำนวน Table'!$D$33:$M$48,HLOOKUP(AP127,'2) หลักการคำนวน Table'!$D$1:$M$5,5,TRUE),0),
IF($C127="WS WH",VLOOKUP($B127,'2) หลักการคำนวน Table'!$D$63:$M$78,HLOOKUP(AP127,'2) หลักการคำนวน Table'!$D$1:$M$5,5,TRUE),0),
IF($C127="SF WH",VLOOKUP($B127,'2) หลักการคำนวน Table'!$D$93:$M$108,HLOOKUP(AP127,'2) หลักการคำนวน Table'!$D$1:$M$5,5,TRUE),0))))),0)</f>
        <v>360</v>
      </c>
      <c r="BI127" s="167">
        <f>IFERROR(IF($C127="Top WS",VLOOKUP($B127,'2) หลักการคำนวน Table'!$D$5:$M$20,HLOOKUP(AK127,'2) หลักการคำนวน Table'!$D$1:$M$5,5,TRUE),0),
IF($C127="WS SF",VLOOKUP($B127,'2) หลักการคำนวน Table'!$D$33:$M$48,HLOOKUP(AK127,'2) หลักการคำนวน Table'!$D$1:$M$5,5,TRUE),0),
IF($C127="WS WH",VLOOKUP($B127,'2) หลักการคำนวน Table'!$D$63:$M$78,HLOOKUP(AK127,'2) หลักการคำนวน Table'!$D$1:$M$5,5,TRUE),0),
IF($C127="SF WH",VLOOKUP($B127,'2) หลักการคำนวน Table'!$D$93:$M$108,HLOOKUP(AK127,'2) หลักการคำนวน Table'!$D$1:$M$5,5,TRUE),0))))),0)</f>
        <v>360</v>
      </c>
      <c r="BJ127" s="167">
        <f>IFERROR(IF($C127="Top WS",VLOOKUP($B127,'2) หลักการคำนวน Table'!$D$5:$M$20,HLOOKUP(AL127,'2) หลักการคำนวน Table'!$D$1:$M$5,5,TRUE),0),
IF($C127="WS SF",VLOOKUP($B127,'2) หลักการคำนวน Table'!$D$33:$M$48,HLOOKUP(AL127,'2) หลักการคำนวน Table'!$D$1:$M$5,5,TRUE),0),
IF($C127="WS WH",VLOOKUP($B127,'2) หลักการคำนวน Table'!$D$63:$M$78,HLOOKUP(AL127,'2) หลักการคำนวน Table'!$D$1:$M$5,5,TRUE),0),
IF($C127="SF WH",VLOOKUP($B127,'2) หลักการคำนวน Table'!$D$93:$M$108,HLOOKUP(AL127,'2) หลักการคำนวน Table'!$D$1:$M$5,5,TRUE),0))))),0)</f>
        <v>360</v>
      </c>
      <c r="BK127" s="167">
        <f>IFERROR(IF($C127="Top WS",VLOOKUP($B127,'2) หลักการคำนวน Table'!$D$5:$M$20,HLOOKUP(AM127,'2) หลักการคำนวน Table'!$D$1:$M$5,5,TRUE),0),
IF($C127="WS SF",VLOOKUP($B127,'2) หลักการคำนวน Table'!$D$33:$M$48,HLOOKUP(AM127,'2) หลักการคำนวน Table'!$D$1:$M$5,5,TRUE),0),
IF($C127="WS WH",VLOOKUP($B127,'2) หลักการคำนวน Table'!$D$63:$M$78,HLOOKUP(AM127,'2) หลักการคำนวน Table'!$D$1:$M$5,5,TRUE),0),
IF($C127="SF WH",VLOOKUP($B127,'2) หลักการคำนวน Table'!$D$93:$M$108,HLOOKUP(AM127,'2) หลักการคำนวน Table'!$D$1:$M$5,5,TRUE),0))))),0)</f>
        <v>360</v>
      </c>
      <c r="BM127" s="119">
        <f>VLOOKUP(VLOOKUP(A127,ASTBase!E:S,13,FALSE),ASTBase!F:P,11,FALSE)</f>
        <v>130000</v>
      </c>
      <c r="BN127" s="196" cm="1">
        <f t="array" ref="BN127">INDEX(AN127:AY127,,Period!$D$2)</f>
        <v>0.9</v>
      </c>
    </row>
    <row r="128" spans="1:66" x14ac:dyDescent="0.25">
      <c r="A128" s="117">
        <v>130001</v>
      </c>
      <c r="B128" s="117" t="s">
        <v>391</v>
      </c>
      <c r="C128" s="117" t="s">
        <v>178</v>
      </c>
      <c r="D128" s="118">
        <v>1855</v>
      </c>
      <c r="E128" s="118">
        <v>2187</v>
      </c>
      <c r="F128" s="118">
        <v>2363</v>
      </c>
      <c r="G128" s="118">
        <v>2654</v>
      </c>
      <c r="H128" s="118">
        <v>2445</v>
      </c>
      <c r="I128" s="118">
        <v>2414</v>
      </c>
      <c r="J128" s="118">
        <v>2690</v>
      </c>
      <c r="K128" s="118">
        <v>2787</v>
      </c>
      <c r="L128" s="118">
        <v>3196</v>
      </c>
      <c r="M128" s="118">
        <v>2391</v>
      </c>
      <c r="N128" s="118">
        <v>2007</v>
      </c>
      <c r="O128" s="118">
        <v>2010</v>
      </c>
      <c r="P128" s="117">
        <f>SUMIFS(Actual!C:C,Actual!$A:$A,'3)Target &amp; Cal'!$A128,Actual!$B:$B,'3)Target &amp; Cal'!$B128)</f>
        <v>5519.9999998596186</v>
      </c>
      <c r="Q128" s="117">
        <f>SUMIFS(Actual!D:D,Actual!$A:$A,'3)Target &amp; Cal'!$A128,Actual!$B:$B,'3)Target &amp; Cal'!$B128)</f>
        <v>2024.9999999689201</v>
      </c>
      <c r="R128" s="117">
        <f>SUMIFS(Actual!E:E,Actual!$A:$A,'3)Target &amp; Cal'!$A128,Actual!$B:$B,'3)Target &amp; Cal'!$B128)</f>
        <v>0</v>
      </c>
      <c r="S128" s="117">
        <f>SUMIFS(Actual!F:F,Actual!$A:$A,'3)Target &amp; Cal'!$A128,Actual!$B:$B,'3)Target &amp; Cal'!$B128)</f>
        <v>0</v>
      </c>
      <c r="T128" s="117">
        <f>SUMIFS(Actual!G:G,Actual!$A:$A,'3)Target &amp; Cal'!$A128,Actual!$B:$B,'3)Target &amp; Cal'!$B128)</f>
        <v>0</v>
      </c>
      <c r="U128" s="117">
        <f>SUMIFS(Actual!H:H,Actual!$A:$A,'3)Target &amp; Cal'!$A128,Actual!$B:$B,'3)Target &amp; Cal'!$B128)</f>
        <v>0</v>
      </c>
      <c r="V128" s="117">
        <f>SUMIFS(Actual!I:I,Actual!$A:$A,'3)Target &amp; Cal'!$A128,Actual!$B:$B,'3)Target &amp; Cal'!$B128)</f>
        <v>0</v>
      </c>
      <c r="W128" s="117">
        <f>SUMIFS(Actual!J:J,Actual!$A:$A,'3)Target &amp; Cal'!$A128,Actual!$B:$B,'3)Target &amp; Cal'!$B128)</f>
        <v>0</v>
      </c>
      <c r="X128" s="117">
        <f>SUMIFS(Actual!K:K,Actual!$A:$A,'3)Target &amp; Cal'!$A128,Actual!$B:$B,'3)Target &amp; Cal'!$B128)</f>
        <v>0</v>
      </c>
      <c r="Y128" s="117">
        <f>SUMIFS(Actual!L:L,Actual!$A:$A,'3)Target &amp; Cal'!$A128,Actual!$B:$B,'3)Target &amp; Cal'!$B128)</f>
        <v>0</v>
      </c>
      <c r="Z128" s="117">
        <f>SUMIFS(Actual!M:M,Actual!$A:$A,'3)Target &amp; Cal'!$A128,Actual!$B:$B,'3)Target &amp; Cal'!$B128)</f>
        <v>0</v>
      </c>
      <c r="AA128" s="117">
        <f>SUMIFS(Actual!N:N,Actual!$A:$A,'3)Target &amp; Cal'!$A128,Actual!$B:$B,'3)Target &amp; Cal'!$B128)</f>
        <v>0</v>
      </c>
      <c r="AB128" s="123">
        <f>IFERROR(IF(VLOOKUP($B128,Shortage!$A:$M,AB$2,FALSE)="Shortage",1,IFERROR(ROUND(P128/D128,4),0)),IFERROR(ROUND(P128/D128,4),0))</f>
        <v>1</v>
      </c>
      <c r="AC128" s="123">
        <f>IFERROR(IF(VLOOKUP($B128,Shortage!$A:$M,AC$2,FALSE)="Shortage",1,IFERROR(ROUND(Q128/E128,4),0)),IFERROR(ROUND(Q128/E128,4),0))</f>
        <v>1</v>
      </c>
      <c r="AD128" s="123">
        <f>IFERROR(IF(VLOOKUP($B128,Shortage!$A:$M,AD$2,FALSE)="Shortage",1,IFERROR(ROUND(R128/F128,4),0)),IFERROR(ROUND(R128/F128,4),0))</f>
        <v>0</v>
      </c>
      <c r="AE128" s="123">
        <f>IFERROR(IF(VLOOKUP($B128,Shortage!$A:$M,AE$2,FALSE)="Shortage",1,IFERROR(ROUND(S128/G128,4),0)),IFERROR(ROUND(S128/G128,4),0))</f>
        <v>0</v>
      </c>
      <c r="AF128" s="123">
        <f>IFERROR(IF(VLOOKUP($B128,Shortage!$A:$M,AF$2,FALSE)="Shortage",1,IFERROR(ROUND(T128/H128,4),0)),IFERROR(ROUND(T128/H128,4),0))</f>
        <v>0</v>
      </c>
      <c r="AG128" s="123">
        <f>IFERROR(IF(VLOOKUP($B128,Shortage!$A:$M,AG$2,FALSE)="Shortage",1,IFERROR(ROUND(U128/I128,4),0)),IFERROR(ROUND(U128/I128,4),0))</f>
        <v>0</v>
      </c>
      <c r="AH128" s="123">
        <f>IFERROR(IF(VLOOKUP($B128,Shortage!$A:$M,AH$2,FALSE)="Shortage",1,IFERROR(ROUND(V128/J128,4),0)),IFERROR(ROUND(V128/J128,4),0))</f>
        <v>0</v>
      </c>
      <c r="AI128" s="123">
        <f>IFERROR(IF(VLOOKUP($B128,Shortage!$A:$M,AI$2,FALSE)="Shortage",1,IFERROR(ROUND(W128/K128,4),0)),IFERROR(ROUND(W128/K128,4),0))</f>
        <v>0</v>
      </c>
      <c r="AJ128" s="123">
        <f>IFERROR(IF(VLOOKUP($B128,Shortage!$A:$M,AP$2,FALSE)="Shortage",1,IFERROR(ROUND(X128/L128,4),0)),IFERROR(ROUND(X128/L128,4),0))</f>
        <v>0</v>
      </c>
      <c r="AK128" s="123">
        <f>IFERROR(IF(VLOOKUP($B128,Shortage!$A:$M,AK$2,FALSE)="Shortage",1,IFERROR(ROUND(Y128/M128,4),0)),IFERROR(ROUND(Y128/M128,4),0))</f>
        <v>0</v>
      </c>
      <c r="AL128" s="123">
        <f>IFERROR(IF(VLOOKUP($B128,Shortage!$A:$M,AL$2,FALSE)="Shortage",1,IFERROR(ROUND(Z128/N128,4),0)),IFERROR(ROUND(Z128/N128,4),0))</f>
        <v>0</v>
      </c>
      <c r="AM128" s="123">
        <f>IFERROR(IF(VLOOKUP($B128,Shortage!$A:$M,AM$2,FALSE)="Shortage",1,IFERROR(ROUND(AA128/O128,4),0)),IFERROR(ROUND(AA128/O128,4),0))</f>
        <v>0</v>
      </c>
      <c r="AN128" s="232">
        <f>IFERROR(IF($C128="Top WS",VLOOKUP("GOAL",'2) หลักการคำนวน Table'!$D$4:$M$4,HLOOKUP(AB128,'2) หลักการคำนวน Table'!$D$1:$M$5,5,TRUE),0),
IF($C128="WS SF",VLOOKUP("GOAL",'2) หลักการคำนวน Table'!$D$32:$M$32,HLOOKUP(AB128,'2) หลักการคำนวน Table'!$D$1:$M$5,5,TRUE),0),
IF($C128="WS WH",VLOOKUP("GOAL",'2) หลักการคำนวน Table'!$D$62:$M$62,HLOOKUP(AB128,'2) หลักการคำนวน Table'!$D$1:$M$5,5,TRUE),0),
IF($C128="SF WH",VLOOKUP("GOAL",'2) หลักการคำนวน Table'!$D$92:$M$92,HLOOKUP(AB128,'2) หลักการคำนวน Table'!$D$1:$M$5,5,TRUE),0))))),0)</f>
        <v>1</v>
      </c>
      <c r="AO128" s="232">
        <f>IFERROR(IF($C128="Top WS",VLOOKUP("GOAL",'2) หลักการคำนวน Table'!$D$4:$M$4,HLOOKUP(AC128,'2) หลักการคำนวน Table'!$D$1:$M$5,5,TRUE),0),
IF($C128="WS SF",VLOOKUP("GOAL",'2) หลักการคำนวน Table'!$D$32:$M$32,HLOOKUP(AC128,'2) หลักการคำนวน Table'!$D$1:$M$5,5,TRUE),0),
IF($C128="WS WH",VLOOKUP("GOAL",'2) หลักการคำนวน Table'!$D$62:$M$62,HLOOKUP(AC128,'2) หลักการคำนวน Table'!$D$1:$M$5,5,TRUE),0),
IF($C128="SF WH",VLOOKUP("GOAL",'2) หลักการคำนวน Table'!$D$92:$M$92,HLOOKUP(AC128,'2) หลักการคำนวน Table'!$D$1:$M$5,5,TRUE),0))))),0)</f>
        <v>1</v>
      </c>
      <c r="AP128" s="232">
        <f>IFERROR(IF($C128="Top WS",VLOOKUP("GOAL",'2) หลักการคำนวน Table'!$D$4:$M$4,HLOOKUP(AD128,'2) หลักการคำนวน Table'!$D$1:$M$5,5,TRUE),0),
IF($C128="WS SF",VLOOKUP("GOAL",'2) หลักการคำนวน Table'!$D$32:$M$32,HLOOKUP(AD128,'2) หลักการคำนวน Table'!$D$1:$M$5,5,TRUE),0),
IF($C128="WS WH",VLOOKUP("GOAL",'2) หลักการคำนวน Table'!$D$62:$M$62,HLOOKUP(AD128,'2) หลักการคำนวน Table'!$D$1:$M$5,5,TRUE),0),
IF($C128="SF WH",VLOOKUP("GOAL",'2) หลักการคำนวน Table'!$D$92:$M$92,HLOOKUP(AD128,'2) หลักการคำนวน Table'!$D$1:$M$5,5,TRUE),0))))),0)</f>
        <v>0.9</v>
      </c>
      <c r="AQ128" s="232">
        <f>IFERROR(IF($C128="Top WS",VLOOKUP("GOAL",'2) หลักการคำนวน Table'!$D$4:$M$4,HLOOKUP(AE128,'2) หลักการคำนวน Table'!$D$1:$M$5,5,TRUE),0),
IF($C128="WS SF",VLOOKUP("GOAL",'2) หลักการคำนวน Table'!$D$32:$M$32,HLOOKUP(AE128,'2) หลักการคำนวน Table'!$D$1:$M$5,5,TRUE),0),
IF($C128="WS WH",VLOOKUP("GOAL",'2) หลักการคำนวน Table'!$D$62:$M$62,HLOOKUP(AE128,'2) หลักการคำนวน Table'!$D$1:$M$5,5,TRUE),0),
IF($C128="SF WH",VLOOKUP("GOAL",'2) หลักการคำนวน Table'!$D$92:$M$92,HLOOKUP(AE128,'2) หลักการคำนวน Table'!$D$1:$M$5,5,TRUE),0))))),0)</f>
        <v>0.9</v>
      </c>
      <c r="AR128" s="232">
        <f>IFERROR(IF($C128="Top WS",VLOOKUP("GOAL",'2) หลักการคำนวน Table'!$D$4:$M$4,HLOOKUP(AF128,'2) หลักการคำนวน Table'!$D$1:$M$5,5,TRUE),0),
IF($C128="WS SF",VLOOKUP("GOAL",'2) หลักการคำนวน Table'!$D$32:$M$32,HLOOKUP(AF128,'2) หลักการคำนวน Table'!$D$1:$M$5,5,TRUE),0),
IF($C128="WS WH",VLOOKUP("GOAL",'2) หลักการคำนวน Table'!$D$62:$M$62,HLOOKUP(AF128,'2) หลักการคำนวน Table'!$D$1:$M$5,5,TRUE),0),
IF($C128="SF WH",VLOOKUP("GOAL",'2) หลักการคำนวน Table'!$D$92:$M$92,HLOOKUP(AF128,'2) หลักการคำนวน Table'!$D$1:$M$5,5,TRUE),0))))),0)</f>
        <v>0.9</v>
      </c>
      <c r="AS128" s="232">
        <f>IFERROR(IF($C128="Top WS",VLOOKUP("GOAL",'2) หลักการคำนวน Table'!$D$4:$M$4,HLOOKUP(AG128,'2) หลักการคำนวน Table'!$D$1:$M$5,5,TRUE),0),
IF($C128="WS SF",VLOOKUP("GOAL",'2) หลักการคำนวน Table'!$D$32:$M$32,HLOOKUP(AG128,'2) หลักการคำนวน Table'!$D$1:$M$5,5,TRUE),0),
IF($C128="WS WH",VLOOKUP("GOAL",'2) หลักการคำนวน Table'!$D$62:$M$62,HLOOKUP(AG128,'2) หลักการคำนวน Table'!$D$1:$M$5,5,TRUE),0),
IF($C128="SF WH",VLOOKUP("GOAL",'2) หลักการคำนวน Table'!$D$92:$M$92,HLOOKUP(AG128,'2) หลักการคำนวน Table'!$D$1:$M$5,5,TRUE),0))))),0)</f>
        <v>0.9</v>
      </c>
      <c r="AT128" s="232">
        <f>IFERROR(IF($C128="Top WS",VLOOKUP("GOAL",'2) หลักการคำนวน Table'!$D$4:$M$4,HLOOKUP(AH128,'2) หลักการคำนวน Table'!$D$1:$M$5,5,TRUE),0),
IF($C128="WS SF",VLOOKUP("GOAL",'2) หลักการคำนวน Table'!$D$32:$M$32,HLOOKUP(AH128,'2) หลักการคำนวน Table'!$D$1:$M$5,5,TRUE),0),
IF($C128="WS WH",VLOOKUP("GOAL",'2) หลักการคำนวน Table'!$D$62:$M$62,HLOOKUP(AH128,'2) หลักการคำนวน Table'!$D$1:$M$5,5,TRUE),0),
IF($C128="SF WH",VLOOKUP("GOAL",'2) หลักการคำนวน Table'!$D$92:$M$92,HLOOKUP(AH128,'2) หลักการคำนวน Table'!$D$1:$M$5,5,TRUE),0))))),0)</f>
        <v>0.9</v>
      </c>
      <c r="AU128" s="232">
        <f>IFERROR(IF($C128="Top WS",VLOOKUP("GOAL",'2) หลักการคำนวน Table'!$D$4:$M$4,HLOOKUP(AI128,'2) หลักการคำนวน Table'!$D$1:$M$5,5,TRUE),0),
IF($C128="WS SF",VLOOKUP("GOAL",'2) หลักการคำนวน Table'!$D$32:$M$32,HLOOKUP(AI128,'2) หลักการคำนวน Table'!$D$1:$M$5,5,TRUE),0),
IF($C128="WS WH",VLOOKUP("GOAL",'2) หลักการคำนวน Table'!$D$62:$M$62,HLOOKUP(AI128,'2) หลักการคำนวน Table'!$D$1:$M$5,5,TRUE),0),
IF($C128="SF WH",VLOOKUP("GOAL",'2) หลักการคำนวน Table'!$D$92:$M$92,HLOOKUP(AI128,'2) หลักการคำนวน Table'!$D$1:$M$5,5,TRUE),0))))),0)</f>
        <v>0.9</v>
      </c>
      <c r="AV128" s="232">
        <f>IFERROR(IF($C128="Top WS",VLOOKUP("GOAL",'2) หลักการคำนวน Table'!$D$4:$M$4,HLOOKUP(AP128,'2) หลักการคำนวน Table'!$D$1:$M$5,5,TRUE),0),
IF($C128="WS SF",VLOOKUP("GOAL",'2) หลักการคำนวน Table'!$D$32:$M$32,HLOOKUP(AP128,'2) หลักการคำนวน Table'!$D$1:$M$5,5,TRUE),0),
IF($C128="WS WH",VLOOKUP("GOAL",'2) หลักการคำนวน Table'!$D$62:$M$62,HLOOKUP(AP128,'2) หลักการคำนวน Table'!$D$1:$M$5,5,TRUE),0),
IF($C128="SF WH",VLOOKUP("GOAL",'2) หลักการคำนวน Table'!$D$92:$M$92,HLOOKUP(AP128,'2) หลักการคำนวน Table'!$D$1:$M$5,5,TRUE),0))))),0)</f>
        <v>0.9</v>
      </c>
      <c r="AW128" s="232">
        <f>IFERROR(IF($C128="Top WS",VLOOKUP("GOAL",'2) หลักการคำนวน Table'!$D$4:$M$4,HLOOKUP(AK128,'2) หลักการคำนวน Table'!$D$1:$M$5,5,TRUE),0),
IF($C128="WS SF",VLOOKUP("GOAL",'2) หลักการคำนวน Table'!$D$32:$M$32,HLOOKUP(AK128,'2) หลักการคำนวน Table'!$D$1:$M$5,5,TRUE),0),
IF($C128="WS WH",VLOOKUP("GOAL",'2) หลักการคำนวน Table'!$D$62:$M$62,HLOOKUP(AK128,'2) หลักการคำนวน Table'!$D$1:$M$5,5,TRUE),0),
IF($C128="SF WH",VLOOKUP("GOAL",'2) หลักการคำนวน Table'!$D$92:$M$92,HLOOKUP(AK128,'2) หลักการคำนวน Table'!$D$1:$M$5,5,TRUE),0))))),0)</f>
        <v>0.9</v>
      </c>
      <c r="AX128" s="232">
        <f>IFERROR(IF($C128="Top WS",VLOOKUP("GOAL",'2) หลักการคำนวน Table'!$D$4:$M$4,HLOOKUP(AL128,'2) หลักการคำนวน Table'!$D$1:$M$5,5,TRUE),0),
IF($C128="WS SF",VLOOKUP("GOAL",'2) หลักการคำนวน Table'!$D$32:$M$32,HLOOKUP(AL128,'2) หลักการคำนวน Table'!$D$1:$M$5,5,TRUE),0),
IF($C128="WS WH",VLOOKUP("GOAL",'2) หลักการคำนวน Table'!$D$62:$M$62,HLOOKUP(AL128,'2) หลักการคำนวน Table'!$D$1:$M$5,5,TRUE),0),
IF($C128="SF WH",VLOOKUP("GOAL",'2) หลักการคำนวน Table'!$D$92:$M$92,HLOOKUP(AL128,'2) หลักการคำนวน Table'!$D$1:$M$5,5,TRUE),0))))),0)</f>
        <v>0.9</v>
      </c>
      <c r="AY128" s="232">
        <f>IFERROR(IF($C128="Top WS",VLOOKUP("GOAL",'2) หลักการคำนวน Table'!$D$4:$M$4,HLOOKUP(AM128,'2) หลักการคำนวน Table'!$D$1:$M$5,5,TRUE),0),
IF($C128="WS SF",VLOOKUP("GOAL",'2) หลักการคำนวน Table'!$D$32:$M$32,HLOOKUP(AM128,'2) หลักการคำนวน Table'!$D$1:$M$5,5,TRUE),0),
IF($C128="WS WH",VLOOKUP("GOAL",'2) หลักการคำนวน Table'!$D$62:$M$62,HLOOKUP(AM128,'2) หลักการคำนวน Table'!$D$1:$M$5,5,TRUE),0),
IF($C128="SF WH",VLOOKUP("GOAL",'2) หลักการคำนวน Table'!$D$92:$M$92,HLOOKUP(AM128,'2) หลักการคำนวน Table'!$D$1:$M$5,5,TRUE),0))))),0)</f>
        <v>0.9</v>
      </c>
      <c r="AZ128" s="167">
        <f>IFERROR(IF($C128="Top WS",VLOOKUP($B128,'2) หลักการคำนวน Table'!$D$5:$M$20,HLOOKUP(AB128,'2) หลักการคำนวน Table'!$D$1:$M$5,5,TRUE),0),
IF($C128="WS SF",VLOOKUP($B128,'2) หลักการคำนวน Table'!$D$33:$M$48,HLOOKUP(AB128,'2) หลักการคำนวน Table'!$D$1:$M$5,5,TRUE),0),
IF($C128="WS WH",VLOOKUP($B128,'2) หลักการคำนวน Table'!$D$63:$M$78,HLOOKUP(AB128,'2) หลักการคำนวน Table'!$D$1:$M$5,5,TRUE),0),
IF($C128="SF WH",VLOOKUP($B128,'2) หลักการคำนวน Table'!$D$93:$M$108,HLOOKUP(AB128,'2) หลักการคำนวน Table'!$D$1:$M$5,5,TRUE),0))))),0)</f>
        <v>600</v>
      </c>
      <c r="BA128" s="167">
        <f>IFERROR(IF($C128="Top WS",VLOOKUP($B128,'2) หลักการคำนวน Table'!$D$5:$M$20,HLOOKUP(AC128,'2) หลักการคำนวน Table'!$D$1:$M$5,5,TRUE),0),
IF($C128="WS SF",VLOOKUP($B128,'2) หลักการคำนวน Table'!$D$33:$M$48,HLOOKUP(AC128,'2) หลักการคำนวน Table'!$D$1:$M$5,5,TRUE),0),
IF($C128="WS WH",VLOOKUP($B128,'2) หลักการคำนวน Table'!$D$63:$M$78,HLOOKUP(AC128,'2) หลักการคำนวน Table'!$D$1:$M$5,5,TRUE),0),
IF($C128="SF WH",VLOOKUP($B128,'2) หลักการคำนวน Table'!$D$93:$M$108,HLOOKUP(AC128,'2) หลักการคำนวน Table'!$D$1:$M$5,5,TRUE),0))))),0)</f>
        <v>600</v>
      </c>
      <c r="BB128" s="167">
        <f>IFERROR(IF($C128="Top WS",VLOOKUP($B128,'2) หลักการคำนวน Table'!$D$5:$M$20,HLOOKUP(AD128,'2) หลักการคำนวน Table'!$D$1:$M$5,5,TRUE),0),
IF($C128="WS SF",VLOOKUP($B128,'2) หลักการคำนวน Table'!$D$33:$M$48,HLOOKUP(AD128,'2) หลักการคำนวน Table'!$D$1:$M$5,5,TRUE),0),
IF($C128="WS WH",VLOOKUP($B128,'2) หลักการคำนวน Table'!$D$63:$M$78,HLOOKUP(AD128,'2) หลักการคำนวน Table'!$D$1:$M$5,5,TRUE),0),
IF($C128="SF WH",VLOOKUP($B128,'2) หลักการคำนวน Table'!$D$93:$M$108,HLOOKUP(AD128,'2) หลักการคำนวน Table'!$D$1:$M$5,5,TRUE),0))))),0)</f>
        <v>540</v>
      </c>
      <c r="BC128" s="167">
        <f>IFERROR(IF($C128="Top WS",VLOOKUP($B128,'2) หลักการคำนวน Table'!$D$5:$M$20,HLOOKUP(AE128,'2) หลักการคำนวน Table'!$D$1:$M$5,5,TRUE),0),
IF($C128="WS SF",VLOOKUP($B128,'2) หลักการคำนวน Table'!$D$33:$M$48,HLOOKUP(AE128,'2) หลักการคำนวน Table'!$D$1:$M$5,5,TRUE),0),
IF($C128="WS WH",VLOOKUP($B128,'2) หลักการคำนวน Table'!$D$63:$M$78,HLOOKUP(AE128,'2) หลักการคำนวน Table'!$D$1:$M$5,5,TRUE),0),
IF($C128="SF WH",VLOOKUP($B128,'2) หลักการคำนวน Table'!$D$93:$M$108,HLOOKUP(AE128,'2) หลักการคำนวน Table'!$D$1:$M$5,5,TRUE),0))))),0)</f>
        <v>540</v>
      </c>
      <c r="BD128" s="167">
        <f>IFERROR(IF($C128="Top WS",VLOOKUP($B128,'2) หลักการคำนวน Table'!$D$5:$M$20,HLOOKUP(AF128,'2) หลักการคำนวน Table'!$D$1:$M$5,5,TRUE),0),
IF($C128="WS SF",VLOOKUP($B128,'2) หลักการคำนวน Table'!$D$33:$M$48,HLOOKUP(AF128,'2) หลักการคำนวน Table'!$D$1:$M$5,5,TRUE),0),
IF($C128="WS WH",VLOOKUP($B128,'2) หลักการคำนวน Table'!$D$63:$M$78,HLOOKUP(AF128,'2) หลักการคำนวน Table'!$D$1:$M$5,5,TRUE),0),
IF($C128="SF WH",VLOOKUP($B128,'2) หลักการคำนวน Table'!$D$93:$M$108,HLOOKUP(AF128,'2) หลักการคำนวน Table'!$D$1:$M$5,5,TRUE),0))))),0)</f>
        <v>540</v>
      </c>
      <c r="BE128" s="167">
        <f>IFERROR(IF($C128="Top WS",VLOOKUP($B128,'2) หลักการคำนวน Table'!$D$5:$M$20,HLOOKUP(AG128,'2) หลักการคำนวน Table'!$D$1:$M$5,5,TRUE),0),
IF($C128="WS SF",VLOOKUP($B128,'2) หลักการคำนวน Table'!$D$33:$M$48,HLOOKUP(AG128,'2) หลักการคำนวน Table'!$D$1:$M$5,5,TRUE),0),
IF($C128="WS WH",VLOOKUP($B128,'2) หลักการคำนวน Table'!$D$63:$M$78,HLOOKUP(AG128,'2) หลักการคำนวน Table'!$D$1:$M$5,5,TRUE),0),
IF($C128="SF WH",VLOOKUP($B128,'2) หลักการคำนวน Table'!$D$93:$M$108,HLOOKUP(AG128,'2) หลักการคำนวน Table'!$D$1:$M$5,5,TRUE),0))))),0)</f>
        <v>540</v>
      </c>
      <c r="BF128" s="167">
        <f>IFERROR(IF($C128="Top WS",VLOOKUP($B128,'2) หลักการคำนวน Table'!$D$5:$M$20,HLOOKUP(AH128,'2) หลักการคำนวน Table'!$D$1:$M$5,5,TRUE),0),
IF($C128="WS SF",VLOOKUP($B128,'2) หลักการคำนวน Table'!$D$33:$M$48,HLOOKUP(AH128,'2) หลักการคำนวน Table'!$D$1:$M$5,5,TRUE),0),
IF($C128="WS WH",VLOOKUP($B128,'2) หลักการคำนวน Table'!$D$63:$M$78,HLOOKUP(AH128,'2) หลักการคำนวน Table'!$D$1:$M$5,5,TRUE),0),
IF($C128="SF WH",VLOOKUP($B128,'2) หลักการคำนวน Table'!$D$93:$M$108,HLOOKUP(AH128,'2) หลักการคำนวน Table'!$D$1:$M$5,5,TRUE),0))))),0)</f>
        <v>540</v>
      </c>
      <c r="BG128" s="167">
        <f>IFERROR(IF($C128="Top WS",VLOOKUP($B128,'2) หลักการคำนวน Table'!$D$5:$M$20,HLOOKUP(AI128,'2) หลักการคำนวน Table'!$D$1:$M$5,5,TRUE),0),
IF($C128="WS SF",VLOOKUP($B128,'2) หลักการคำนวน Table'!$D$33:$M$48,HLOOKUP(AI128,'2) หลักการคำนวน Table'!$D$1:$M$5,5,TRUE),0),
IF($C128="WS WH",VLOOKUP($B128,'2) หลักการคำนวน Table'!$D$63:$M$78,HLOOKUP(AI128,'2) หลักการคำนวน Table'!$D$1:$M$5,5,TRUE),0),
IF($C128="SF WH",VLOOKUP($B128,'2) หลักการคำนวน Table'!$D$93:$M$108,HLOOKUP(AI128,'2) หลักการคำนวน Table'!$D$1:$M$5,5,TRUE),0))))),0)</f>
        <v>540</v>
      </c>
      <c r="BH128" s="167">
        <f>IFERROR(IF($C128="Top WS",VLOOKUP($B128,'2) หลักการคำนวน Table'!$D$5:$M$20,HLOOKUP(AP128,'2) หลักการคำนวน Table'!$D$1:$M$5,5,TRUE),0),
IF($C128="WS SF",VLOOKUP($B128,'2) หลักการคำนวน Table'!$D$33:$M$48,HLOOKUP(AP128,'2) หลักการคำนวน Table'!$D$1:$M$5,5,TRUE),0),
IF($C128="WS WH",VLOOKUP($B128,'2) หลักการคำนวน Table'!$D$63:$M$78,HLOOKUP(AP128,'2) หลักการคำนวน Table'!$D$1:$M$5,5,TRUE),0),
IF($C128="SF WH",VLOOKUP($B128,'2) หลักการคำนวน Table'!$D$93:$M$108,HLOOKUP(AP128,'2) หลักการคำนวน Table'!$D$1:$M$5,5,TRUE),0))))),0)</f>
        <v>540</v>
      </c>
      <c r="BI128" s="167">
        <f>IFERROR(IF($C128="Top WS",VLOOKUP($B128,'2) หลักการคำนวน Table'!$D$5:$M$20,HLOOKUP(AK128,'2) หลักการคำนวน Table'!$D$1:$M$5,5,TRUE),0),
IF($C128="WS SF",VLOOKUP($B128,'2) หลักการคำนวน Table'!$D$33:$M$48,HLOOKUP(AK128,'2) หลักการคำนวน Table'!$D$1:$M$5,5,TRUE),0),
IF($C128="WS WH",VLOOKUP($B128,'2) หลักการคำนวน Table'!$D$63:$M$78,HLOOKUP(AK128,'2) หลักการคำนวน Table'!$D$1:$M$5,5,TRUE),0),
IF($C128="SF WH",VLOOKUP($B128,'2) หลักการคำนวน Table'!$D$93:$M$108,HLOOKUP(AK128,'2) หลักการคำนวน Table'!$D$1:$M$5,5,TRUE),0))))),0)</f>
        <v>540</v>
      </c>
      <c r="BJ128" s="167">
        <f>IFERROR(IF($C128="Top WS",VLOOKUP($B128,'2) หลักการคำนวน Table'!$D$5:$M$20,HLOOKUP(AL128,'2) หลักการคำนวน Table'!$D$1:$M$5,5,TRUE),0),
IF($C128="WS SF",VLOOKUP($B128,'2) หลักการคำนวน Table'!$D$33:$M$48,HLOOKUP(AL128,'2) หลักการคำนวน Table'!$D$1:$M$5,5,TRUE),0),
IF($C128="WS WH",VLOOKUP($B128,'2) หลักการคำนวน Table'!$D$63:$M$78,HLOOKUP(AL128,'2) หลักการคำนวน Table'!$D$1:$M$5,5,TRUE),0),
IF($C128="SF WH",VLOOKUP($B128,'2) หลักการคำนวน Table'!$D$93:$M$108,HLOOKUP(AL128,'2) หลักการคำนวน Table'!$D$1:$M$5,5,TRUE),0))))),0)</f>
        <v>540</v>
      </c>
      <c r="BK128" s="167">
        <f>IFERROR(IF($C128="Top WS",VLOOKUP($B128,'2) หลักการคำนวน Table'!$D$5:$M$20,HLOOKUP(AM128,'2) หลักการคำนวน Table'!$D$1:$M$5,5,TRUE),0),
IF($C128="WS SF",VLOOKUP($B128,'2) หลักการคำนวน Table'!$D$33:$M$48,HLOOKUP(AM128,'2) หลักการคำนวน Table'!$D$1:$M$5,5,TRUE),0),
IF($C128="WS WH",VLOOKUP($B128,'2) หลักการคำนวน Table'!$D$63:$M$78,HLOOKUP(AM128,'2) หลักการคำนวน Table'!$D$1:$M$5,5,TRUE),0),
IF($C128="SF WH",VLOOKUP($B128,'2) หลักการคำนวน Table'!$D$93:$M$108,HLOOKUP(AM128,'2) หลักการคำนวน Table'!$D$1:$M$5,5,TRUE),0))))),0)</f>
        <v>540</v>
      </c>
      <c r="BM128" s="119">
        <f>VLOOKUP(VLOOKUP(A128,ASTBase!E:S,13,FALSE),ASTBase!F:P,11,FALSE)</f>
        <v>130000</v>
      </c>
      <c r="BN128" s="196" cm="1">
        <f t="array" ref="BN128">INDEX(AN128:AY128,,Period!$D$2)</f>
        <v>1</v>
      </c>
    </row>
    <row r="129" spans="1:66" x14ac:dyDescent="0.25">
      <c r="A129" s="117">
        <v>130001</v>
      </c>
      <c r="B129" s="117" t="s">
        <v>395</v>
      </c>
      <c r="C129" s="117" t="s">
        <v>178</v>
      </c>
      <c r="D129" s="118">
        <v>20587</v>
      </c>
      <c r="E129" s="118">
        <v>22514</v>
      </c>
      <c r="F129" s="118">
        <v>24734</v>
      </c>
      <c r="G129" s="118">
        <v>28218</v>
      </c>
      <c r="H129" s="118">
        <v>23185</v>
      </c>
      <c r="I129" s="118">
        <v>20250</v>
      </c>
      <c r="J129" s="118">
        <v>28954</v>
      </c>
      <c r="K129" s="118">
        <v>30318</v>
      </c>
      <c r="L129" s="118">
        <v>24410</v>
      </c>
      <c r="M129" s="118">
        <v>25904</v>
      </c>
      <c r="N129" s="118">
        <v>21838</v>
      </c>
      <c r="O129" s="118">
        <v>21837</v>
      </c>
      <c r="P129" s="117">
        <f>SUMIFS(Actual!C:C,Actual!$A:$A,'3)Target &amp; Cal'!$A129,Actual!$B:$B,'3)Target &amp; Cal'!$B129)</f>
        <v>24595.200000000001</v>
      </c>
      <c r="Q129" s="117">
        <f>SUMIFS(Actual!D:D,Actual!$A:$A,'3)Target &amp; Cal'!$A129,Actual!$B:$B,'3)Target &amp; Cal'!$B129)</f>
        <v>26230.499999999996</v>
      </c>
      <c r="R129" s="117">
        <f>SUMIFS(Actual!E:E,Actual!$A:$A,'3)Target &amp; Cal'!$A129,Actual!$B:$B,'3)Target &amp; Cal'!$B129)</f>
        <v>0</v>
      </c>
      <c r="S129" s="117">
        <f>SUMIFS(Actual!F:F,Actual!$A:$A,'3)Target &amp; Cal'!$A129,Actual!$B:$B,'3)Target &amp; Cal'!$B129)</f>
        <v>0</v>
      </c>
      <c r="T129" s="117">
        <f>SUMIFS(Actual!G:G,Actual!$A:$A,'3)Target &amp; Cal'!$A129,Actual!$B:$B,'3)Target &amp; Cal'!$B129)</f>
        <v>0</v>
      </c>
      <c r="U129" s="117">
        <f>SUMIFS(Actual!H:H,Actual!$A:$A,'3)Target &amp; Cal'!$A129,Actual!$B:$B,'3)Target &amp; Cal'!$B129)</f>
        <v>0</v>
      </c>
      <c r="V129" s="117">
        <f>SUMIFS(Actual!I:I,Actual!$A:$A,'3)Target &amp; Cal'!$A129,Actual!$B:$B,'3)Target &amp; Cal'!$B129)</f>
        <v>0</v>
      </c>
      <c r="W129" s="117">
        <f>SUMIFS(Actual!J:J,Actual!$A:$A,'3)Target &amp; Cal'!$A129,Actual!$B:$B,'3)Target &amp; Cal'!$B129)</f>
        <v>0</v>
      </c>
      <c r="X129" s="117">
        <f>SUMIFS(Actual!K:K,Actual!$A:$A,'3)Target &amp; Cal'!$A129,Actual!$B:$B,'3)Target &amp; Cal'!$B129)</f>
        <v>0</v>
      </c>
      <c r="Y129" s="117">
        <f>SUMIFS(Actual!L:L,Actual!$A:$A,'3)Target &amp; Cal'!$A129,Actual!$B:$B,'3)Target &amp; Cal'!$B129)</f>
        <v>0</v>
      </c>
      <c r="Z129" s="117">
        <f>SUMIFS(Actual!M:M,Actual!$A:$A,'3)Target &amp; Cal'!$A129,Actual!$B:$B,'3)Target &amp; Cal'!$B129)</f>
        <v>0</v>
      </c>
      <c r="AA129" s="117">
        <f>SUMIFS(Actual!N:N,Actual!$A:$A,'3)Target &amp; Cal'!$A129,Actual!$B:$B,'3)Target &amp; Cal'!$B129)</f>
        <v>0</v>
      </c>
      <c r="AB129" s="123">
        <f>IFERROR(IF(VLOOKUP($B129,Shortage!$A:$M,AB$2,FALSE)="Shortage",1,IFERROR(ROUND(P129/D129,4),0)),IFERROR(ROUND(P129/D129,4),0))</f>
        <v>1.1947000000000001</v>
      </c>
      <c r="AC129" s="123">
        <f>IFERROR(IF(VLOOKUP($B129,Shortage!$A:$M,AC$2,FALSE)="Shortage",1,IFERROR(ROUND(Q129/E129,4),0)),IFERROR(ROUND(Q129/E129,4),0))</f>
        <v>1.1651</v>
      </c>
      <c r="AD129" s="123">
        <f>IFERROR(IF(VLOOKUP($B129,Shortage!$A:$M,AD$2,FALSE)="Shortage",1,IFERROR(ROUND(R129/F129,4),0)),IFERROR(ROUND(R129/F129,4),0))</f>
        <v>0</v>
      </c>
      <c r="AE129" s="123">
        <f>IFERROR(IF(VLOOKUP($B129,Shortage!$A:$M,AE$2,FALSE)="Shortage",1,IFERROR(ROUND(S129/G129,4),0)),IFERROR(ROUND(S129/G129,4),0))</f>
        <v>0</v>
      </c>
      <c r="AF129" s="123">
        <f>IFERROR(IF(VLOOKUP($B129,Shortage!$A:$M,AF$2,FALSE)="Shortage",1,IFERROR(ROUND(T129/H129,4),0)),IFERROR(ROUND(T129/H129,4),0))</f>
        <v>0</v>
      </c>
      <c r="AG129" s="123">
        <f>IFERROR(IF(VLOOKUP($B129,Shortage!$A:$M,AG$2,FALSE)="Shortage",1,IFERROR(ROUND(U129/I129,4),0)),IFERROR(ROUND(U129/I129,4),0))</f>
        <v>0</v>
      </c>
      <c r="AH129" s="123">
        <f>IFERROR(IF(VLOOKUP($B129,Shortage!$A:$M,AH$2,FALSE)="Shortage",1,IFERROR(ROUND(V129/J129,4),0)),IFERROR(ROUND(V129/J129,4),0))</f>
        <v>0</v>
      </c>
      <c r="AI129" s="123">
        <f>IFERROR(IF(VLOOKUP($B129,Shortage!$A:$M,AI$2,FALSE)="Shortage",1,IFERROR(ROUND(W129/K129,4),0)),IFERROR(ROUND(W129/K129,4),0))</f>
        <v>0</v>
      </c>
      <c r="AJ129" s="123">
        <f>IFERROR(IF(VLOOKUP($B129,Shortage!$A:$M,AP$2,FALSE)="Shortage",1,IFERROR(ROUND(X129/L129,4),0)),IFERROR(ROUND(X129/L129,4),0))</f>
        <v>0</v>
      </c>
      <c r="AK129" s="123">
        <f>IFERROR(IF(VLOOKUP($B129,Shortage!$A:$M,AK$2,FALSE)="Shortage",1,IFERROR(ROUND(Y129/M129,4),0)),IFERROR(ROUND(Y129/M129,4),0))</f>
        <v>0</v>
      </c>
      <c r="AL129" s="123">
        <f>IFERROR(IF(VLOOKUP($B129,Shortage!$A:$M,AL$2,FALSE)="Shortage",1,IFERROR(ROUND(Z129/N129,4),0)),IFERROR(ROUND(Z129/N129,4),0))</f>
        <v>0</v>
      </c>
      <c r="AM129" s="123">
        <f>IFERROR(IF(VLOOKUP($B129,Shortage!$A:$M,AM$2,FALSE)="Shortage",1,IFERROR(ROUND(AA129/O129,4),0)),IFERROR(ROUND(AA129/O129,4),0))</f>
        <v>0</v>
      </c>
      <c r="AN129" s="232">
        <f>IFERROR(IF($C129="Top WS",VLOOKUP("GOAL",'2) หลักการคำนวน Table'!$D$4:$M$4,HLOOKUP(AB129,'2) หลักการคำนวน Table'!$D$1:$M$5,5,TRUE),0),
IF($C129="WS SF",VLOOKUP("GOAL",'2) หลักการคำนวน Table'!$D$32:$M$32,HLOOKUP(AB129,'2) หลักการคำนวน Table'!$D$1:$M$5,5,TRUE),0),
IF($C129="WS WH",VLOOKUP("GOAL",'2) หลักการคำนวน Table'!$D$62:$M$62,HLOOKUP(AB129,'2) หลักการคำนวน Table'!$D$1:$M$5,5,TRUE),0),
IF($C129="SF WH",VLOOKUP("GOAL",'2) หลักการคำนวน Table'!$D$92:$M$92,HLOOKUP(AB129,'2) หลักการคำนวน Table'!$D$1:$M$5,5,TRUE),0))))),0)</f>
        <v>1.2</v>
      </c>
      <c r="AO129" s="232">
        <f>IFERROR(IF($C129="Top WS",VLOOKUP("GOAL",'2) หลักการคำนวน Table'!$D$4:$M$4,HLOOKUP(AC129,'2) หลักการคำนวน Table'!$D$1:$M$5,5,TRUE),0),
IF($C129="WS SF",VLOOKUP("GOAL",'2) หลักการคำนวน Table'!$D$32:$M$32,HLOOKUP(AC129,'2) หลักการคำนวน Table'!$D$1:$M$5,5,TRUE),0),
IF($C129="WS WH",VLOOKUP("GOAL",'2) หลักการคำนวน Table'!$D$62:$M$62,HLOOKUP(AC129,'2) หลักการคำนวน Table'!$D$1:$M$5,5,TRUE),0),
IF($C129="SF WH",VLOOKUP("GOAL",'2) หลักการคำนวน Table'!$D$92:$M$92,HLOOKUP(AC129,'2) หลักการคำนวน Table'!$D$1:$M$5,5,TRUE),0))))),0)</f>
        <v>1.2</v>
      </c>
      <c r="AP129" s="232">
        <f>IFERROR(IF($C129="Top WS",VLOOKUP("GOAL",'2) หลักการคำนวน Table'!$D$4:$M$4,HLOOKUP(AD129,'2) หลักการคำนวน Table'!$D$1:$M$5,5,TRUE),0),
IF($C129="WS SF",VLOOKUP("GOAL",'2) หลักการคำนวน Table'!$D$32:$M$32,HLOOKUP(AD129,'2) หลักการคำนวน Table'!$D$1:$M$5,5,TRUE),0),
IF($C129="WS WH",VLOOKUP("GOAL",'2) หลักการคำนวน Table'!$D$62:$M$62,HLOOKUP(AD129,'2) หลักการคำนวน Table'!$D$1:$M$5,5,TRUE),0),
IF($C129="SF WH",VLOOKUP("GOAL",'2) หลักการคำนวน Table'!$D$92:$M$92,HLOOKUP(AD129,'2) หลักการคำนวน Table'!$D$1:$M$5,5,TRUE),0))))),0)</f>
        <v>0.9</v>
      </c>
      <c r="AQ129" s="232">
        <f>IFERROR(IF($C129="Top WS",VLOOKUP("GOAL",'2) หลักการคำนวน Table'!$D$4:$M$4,HLOOKUP(AE129,'2) หลักการคำนวน Table'!$D$1:$M$5,5,TRUE),0),
IF($C129="WS SF",VLOOKUP("GOAL",'2) หลักการคำนวน Table'!$D$32:$M$32,HLOOKUP(AE129,'2) หลักการคำนวน Table'!$D$1:$M$5,5,TRUE),0),
IF($C129="WS WH",VLOOKUP("GOAL",'2) หลักการคำนวน Table'!$D$62:$M$62,HLOOKUP(AE129,'2) หลักการคำนวน Table'!$D$1:$M$5,5,TRUE),0),
IF($C129="SF WH",VLOOKUP("GOAL",'2) หลักการคำนวน Table'!$D$92:$M$92,HLOOKUP(AE129,'2) หลักการคำนวน Table'!$D$1:$M$5,5,TRUE),0))))),0)</f>
        <v>0.9</v>
      </c>
      <c r="AR129" s="232">
        <f>IFERROR(IF($C129="Top WS",VLOOKUP("GOAL",'2) หลักการคำนวน Table'!$D$4:$M$4,HLOOKUP(AF129,'2) หลักการคำนวน Table'!$D$1:$M$5,5,TRUE),0),
IF($C129="WS SF",VLOOKUP("GOAL",'2) หลักการคำนวน Table'!$D$32:$M$32,HLOOKUP(AF129,'2) หลักการคำนวน Table'!$D$1:$M$5,5,TRUE),0),
IF($C129="WS WH",VLOOKUP("GOAL",'2) หลักการคำนวน Table'!$D$62:$M$62,HLOOKUP(AF129,'2) หลักการคำนวน Table'!$D$1:$M$5,5,TRUE),0),
IF($C129="SF WH",VLOOKUP("GOAL",'2) หลักการคำนวน Table'!$D$92:$M$92,HLOOKUP(AF129,'2) หลักการคำนวน Table'!$D$1:$M$5,5,TRUE),0))))),0)</f>
        <v>0.9</v>
      </c>
      <c r="AS129" s="232">
        <f>IFERROR(IF($C129="Top WS",VLOOKUP("GOAL",'2) หลักการคำนวน Table'!$D$4:$M$4,HLOOKUP(AG129,'2) หลักการคำนวน Table'!$D$1:$M$5,5,TRUE),0),
IF($C129="WS SF",VLOOKUP("GOAL",'2) หลักการคำนวน Table'!$D$32:$M$32,HLOOKUP(AG129,'2) หลักการคำนวน Table'!$D$1:$M$5,5,TRUE),0),
IF($C129="WS WH",VLOOKUP("GOAL",'2) หลักการคำนวน Table'!$D$62:$M$62,HLOOKUP(AG129,'2) หลักการคำนวน Table'!$D$1:$M$5,5,TRUE),0),
IF($C129="SF WH",VLOOKUP("GOAL",'2) หลักการคำนวน Table'!$D$92:$M$92,HLOOKUP(AG129,'2) หลักการคำนวน Table'!$D$1:$M$5,5,TRUE),0))))),0)</f>
        <v>0.9</v>
      </c>
      <c r="AT129" s="232">
        <f>IFERROR(IF($C129="Top WS",VLOOKUP("GOAL",'2) หลักการคำนวน Table'!$D$4:$M$4,HLOOKUP(AH129,'2) หลักการคำนวน Table'!$D$1:$M$5,5,TRUE),0),
IF($C129="WS SF",VLOOKUP("GOAL",'2) หลักการคำนวน Table'!$D$32:$M$32,HLOOKUP(AH129,'2) หลักการคำนวน Table'!$D$1:$M$5,5,TRUE),0),
IF($C129="WS WH",VLOOKUP("GOAL",'2) หลักการคำนวน Table'!$D$62:$M$62,HLOOKUP(AH129,'2) หลักการคำนวน Table'!$D$1:$M$5,5,TRUE),0),
IF($C129="SF WH",VLOOKUP("GOAL",'2) หลักการคำนวน Table'!$D$92:$M$92,HLOOKUP(AH129,'2) หลักการคำนวน Table'!$D$1:$M$5,5,TRUE),0))))),0)</f>
        <v>0.9</v>
      </c>
      <c r="AU129" s="232">
        <f>IFERROR(IF($C129="Top WS",VLOOKUP("GOAL",'2) หลักการคำนวน Table'!$D$4:$M$4,HLOOKUP(AI129,'2) หลักการคำนวน Table'!$D$1:$M$5,5,TRUE),0),
IF($C129="WS SF",VLOOKUP("GOAL",'2) หลักการคำนวน Table'!$D$32:$M$32,HLOOKUP(AI129,'2) หลักการคำนวน Table'!$D$1:$M$5,5,TRUE),0),
IF($C129="WS WH",VLOOKUP("GOAL",'2) หลักการคำนวน Table'!$D$62:$M$62,HLOOKUP(AI129,'2) หลักการคำนวน Table'!$D$1:$M$5,5,TRUE),0),
IF($C129="SF WH",VLOOKUP("GOAL",'2) หลักการคำนวน Table'!$D$92:$M$92,HLOOKUP(AI129,'2) หลักการคำนวน Table'!$D$1:$M$5,5,TRUE),0))))),0)</f>
        <v>0.9</v>
      </c>
      <c r="AV129" s="232">
        <f>IFERROR(IF($C129="Top WS",VLOOKUP("GOAL",'2) หลักการคำนวน Table'!$D$4:$M$4,HLOOKUP(AP129,'2) หลักการคำนวน Table'!$D$1:$M$5,5,TRUE),0),
IF($C129="WS SF",VLOOKUP("GOAL",'2) หลักการคำนวน Table'!$D$32:$M$32,HLOOKUP(AP129,'2) หลักการคำนวน Table'!$D$1:$M$5,5,TRUE),0),
IF($C129="WS WH",VLOOKUP("GOAL",'2) หลักการคำนวน Table'!$D$62:$M$62,HLOOKUP(AP129,'2) หลักการคำนวน Table'!$D$1:$M$5,5,TRUE),0),
IF($C129="SF WH",VLOOKUP("GOAL",'2) หลักการคำนวน Table'!$D$92:$M$92,HLOOKUP(AP129,'2) หลักการคำนวน Table'!$D$1:$M$5,5,TRUE),0))))),0)</f>
        <v>0.9</v>
      </c>
      <c r="AW129" s="232">
        <f>IFERROR(IF($C129="Top WS",VLOOKUP("GOAL",'2) หลักการคำนวน Table'!$D$4:$M$4,HLOOKUP(AK129,'2) หลักการคำนวน Table'!$D$1:$M$5,5,TRUE),0),
IF($C129="WS SF",VLOOKUP("GOAL",'2) หลักการคำนวน Table'!$D$32:$M$32,HLOOKUP(AK129,'2) หลักการคำนวน Table'!$D$1:$M$5,5,TRUE),0),
IF($C129="WS WH",VLOOKUP("GOAL",'2) หลักการคำนวน Table'!$D$62:$M$62,HLOOKUP(AK129,'2) หลักการคำนวน Table'!$D$1:$M$5,5,TRUE),0),
IF($C129="SF WH",VLOOKUP("GOAL",'2) หลักการคำนวน Table'!$D$92:$M$92,HLOOKUP(AK129,'2) หลักการคำนวน Table'!$D$1:$M$5,5,TRUE),0))))),0)</f>
        <v>0.9</v>
      </c>
      <c r="AX129" s="232">
        <f>IFERROR(IF($C129="Top WS",VLOOKUP("GOAL",'2) หลักการคำนวน Table'!$D$4:$M$4,HLOOKUP(AL129,'2) หลักการคำนวน Table'!$D$1:$M$5,5,TRUE),0),
IF($C129="WS SF",VLOOKUP("GOAL",'2) หลักการคำนวน Table'!$D$32:$M$32,HLOOKUP(AL129,'2) หลักการคำนวน Table'!$D$1:$M$5,5,TRUE),0),
IF($C129="WS WH",VLOOKUP("GOAL",'2) หลักการคำนวน Table'!$D$62:$M$62,HLOOKUP(AL129,'2) หลักการคำนวน Table'!$D$1:$M$5,5,TRUE),0),
IF($C129="SF WH",VLOOKUP("GOAL",'2) หลักการคำนวน Table'!$D$92:$M$92,HLOOKUP(AL129,'2) หลักการคำนวน Table'!$D$1:$M$5,5,TRUE),0))))),0)</f>
        <v>0.9</v>
      </c>
      <c r="AY129" s="232">
        <f>IFERROR(IF($C129="Top WS",VLOOKUP("GOAL",'2) หลักการคำนวน Table'!$D$4:$M$4,HLOOKUP(AM129,'2) หลักการคำนวน Table'!$D$1:$M$5,5,TRUE),0),
IF($C129="WS SF",VLOOKUP("GOAL",'2) หลักการคำนวน Table'!$D$32:$M$32,HLOOKUP(AM129,'2) หลักการคำนวน Table'!$D$1:$M$5,5,TRUE),0),
IF($C129="WS WH",VLOOKUP("GOAL",'2) หลักการคำนวน Table'!$D$62:$M$62,HLOOKUP(AM129,'2) หลักการคำนวน Table'!$D$1:$M$5,5,TRUE),0),
IF($C129="SF WH",VLOOKUP("GOAL",'2) หลักการคำนวน Table'!$D$92:$M$92,HLOOKUP(AM129,'2) หลักการคำนวน Table'!$D$1:$M$5,5,TRUE),0))))),0)</f>
        <v>0.9</v>
      </c>
      <c r="AZ129" s="167">
        <f>IFERROR(IF($C129="Top WS",VLOOKUP($B129,'2) หลักการคำนวน Table'!$D$5:$M$20,HLOOKUP(AB129,'2) หลักการคำนวน Table'!$D$1:$M$5,5,TRUE),0),
IF($C129="WS SF",VLOOKUP($B129,'2) หลักการคำนวน Table'!$D$33:$M$48,HLOOKUP(AB129,'2) หลักการคำนวน Table'!$D$1:$M$5,5,TRUE),0),
IF($C129="WS WH",VLOOKUP($B129,'2) หลักการคำนวน Table'!$D$63:$M$78,HLOOKUP(AB129,'2) หลักการคำนวน Table'!$D$1:$M$5,5,TRUE),0),
IF($C129="SF WH",VLOOKUP($B129,'2) หลักการคำนวน Table'!$D$93:$M$108,HLOOKUP(AB129,'2) หลักการคำนวน Table'!$D$1:$M$5,5,TRUE),0))))),0)</f>
        <v>240</v>
      </c>
      <c r="BA129" s="167">
        <f>IFERROR(IF($C129="Top WS",VLOOKUP($B129,'2) หลักการคำนวน Table'!$D$5:$M$20,HLOOKUP(AC129,'2) หลักการคำนวน Table'!$D$1:$M$5,5,TRUE),0),
IF($C129="WS SF",VLOOKUP($B129,'2) หลักการคำนวน Table'!$D$33:$M$48,HLOOKUP(AC129,'2) หลักการคำนวน Table'!$D$1:$M$5,5,TRUE),0),
IF($C129="WS WH",VLOOKUP($B129,'2) หลักการคำนวน Table'!$D$63:$M$78,HLOOKUP(AC129,'2) หลักการคำนวน Table'!$D$1:$M$5,5,TRUE),0),
IF($C129="SF WH",VLOOKUP($B129,'2) หลักการคำนวน Table'!$D$93:$M$108,HLOOKUP(AC129,'2) หลักการคำนวน Table'!$D$1:$M$5,5,TRUE),0))))),0)</f>
        <v>240</v>
      </c>
      <c r="BB129" s="167">
        <f>IFERROR(IF($C129="Top WS",VLOOKUP($B129,'2) หลักการคำนวน Table'!$D$5:$M$20,HLOOKUP(AD129,'2) หลักการคำนวน Table'!$D$1:$M$5,5,TRUE),0),
IF($C129="WS SF",VLOOKUP($B129,'2) หลักการคำนวน Table'!$D$33:$M$48,HLOOKUP(AD129,'2) หลักการคำนวน Table'!$D$1:$M$5,5,TRUE),0),
IF($C129="WS WH",VLOOKUP($B129,'2) หลักการคำนวน Table'!$D$63:$M$78,HLOOKUP(AD129,'2) หลักการคำนวน Table'!$D$1:$M$5,5,TRUE),0),
IF($C129="SF WH",VLOOKUP($B129,'2) หลักการคำนวน Table'!$D$93:$M$108,HLOOKUP(AD129,'2) หลักการคำนวน Table'!$D$1:$M$5,5,TRUE),0))))),0)</f>
        <v>180</v>
      </c>
      <c r="BC129" s="167">
        <f>IFERROR(IF($C129="Top WS",VLOOKUP($B129,'2) หลักการคำนวน Table'!$D$5:$M$20,HLOOKUP(AE129,'2) หลักการคำนวน Table'!$D$1:$M$5,5,TRUE),0),
IF($C129="WS SF",VLOOKUP($B129,'2) หลักการคำนวน Table'!$D$33:$M$48,HLOOKUP(AE129,'2) หลักการคำนวน Table'!$D$1:$M$5,5,TRUE),0),
IF($C129="WS WH",VLOOKUP($B129,'2) หลักการคำนวน Table'!$D$63:$M$78,HLOOKUP(AE129,'2) หลักการคำนวน Table'!$D$1:$M$5,5,TRUE),0),
IF($C129="SF WH",VLOOKUP($B129,'2) หลักการคำนวน Table'!$D$93:$M$108,HLOOKUP(AE129,'2) หลักการคำนวน Table'!$D$1:$M$5,5,TRUE),0))))),0)</f>
        <v>180</v>
      </c>
      <c r="BD129" s="167">
        <f>IFERROR(IF($C129="Top WS",VLOOKUP($B129,'2) หลักการคำนวน Table'!$D$5:$M$20,HLOOKUP(AF129,'2) หลักการคำนวน Table'!$D$1:$M$5,5,TRUE),0),
IF($C129="WS SF",VLOOKUP($B129,'2) หลักการคำนวน Table'!$D$33:$M$48,HLOOKUP(AF129,'2) หลักการคำนวน Table'!$D$1:$M$5,5,TRUE),0),
IF($C129="WS WH",VLOOKUP($B129,'2) หลักการคำนวน Table'!$D$63:$M$78,HLOOKUP(AF129,'2) หลักการคำนวน Table'!$D$1:$M$5,5,TRUE),0),
IF($C129="SF WH",VLOOKUP($B129,'2) หลักการคำนวน Table'!$D$93:$M$108,HLOOKUP(AF129,'2) หลักการคำนวน Table'!$D$1:$M$5,5,TRUE),0))))),0)</f>
        <v>180</v>
      </c>
      <c r="BE129" s="167">
        <f>IFERROR(IF($C129="Top WS",VLOOKUP($B129,'2) หลักการคำนวน Table'!$D$5:$M$20,HLOOKUP(AG129,'2) หลักการคำนวน Table'!$D$1:$M$5,5,TRUE),0),
IF($C129="WS SF",VLOOKUP($B129,'2) หลักการคำนวน Table'!$D$33:$M$48,HLOOKUP(AG129,'2) หลักการคำนวน Table'!$D$1:$M$5,5,TRUE),0),
IF($C129="WS WH",VLOOKUP($B129,'2) หลักการคำนวน Table'!$D$63:$M$78,HLOOKUP(AG129,'2) หลักการคำนวน Table'!$D$1:$M$5,5,TRUE),0),
IF($C129="SF WH",VLOOKUP($B129,'2) หลักการคำนวน Table'!$D$93:$M$108,HLOOKUP(AG129,'2) หลักการคำนวน Table'!$D$1:$M$5,5,TRUE),0))))),0)</f>
        <v>180</v>
      </c>
      <c r="BF129" s="167">
        <f>IFERROR(IF($C129="Top WS",VLOOKUP($B129,'2) หลักการคำนวน Table'!$D$5:$M$20,HLOOKUP(AH129,'2) หลักการคำนวน Table'!$D$1:$M$5,5,TRUE),0),
IF($C129="WS SF",VLOOKUP($B129,'2) หลักการคำนวน Table'!$D$33:$M$48,HLOOKUP(AH129,'2) หลักการคำนวน Table'!$D$1:$M$5,5,TRUE),0),
IF($C129="WS WH",VLOOKUP($B129,'2) หลักการคำนวน Table'!$D$63:$M$78,HLOOKUP(AH129,'2) หลักการคำนวน Table'!$D$1:$M$5,5,TRUE),0),
IF($C129="SF WH",VLOOKUP($B129,'2) หลักการคำนวน Table'!$D$93:$M$108,HLOOKUP(AH129,'2) หลักการคำนวน Table'!$D$1:$M$5,5,TRUE),0))))),0)</f>
        <v>180</v>
      </c>
      <c r="BG129" s="167">
        <f>IFERROR(IF($C129="Top WS",VLOOKUP($B129,'2) หลักการคำนวน Table'!$D$5:$M$20,HLOOKUP(AI129,'2) หลักการคำนวน Table'!$D$1:$M$5,5,TRUE),0),
IF($C129="WS SF",VLOOKUP($B129,'2) หลักการคำนวน Table'!$D$33:$M$48,HLOOKUP(AI129,'2) หลักการคำนวน Table'!$D$1:$M$5,5,TRUE),0),
IF($C129="WS WH",VLOOKUP($B129,'2) หลักการคำนวน Table'!$D$63:$M$78,HLOOKUP(AI129,'2) หลักการคำนวน Table'!$D$1:$M$5,5,TRUE),0),
IF($C129="SF WH",VLOOKUP($B129,'2) หลักการคำนวน Table'!$D$93:$M$108,HLOOKUP(AI129,'2) หลักการคำนวน Table'!$D$1:$M$5,5,TRUE),0))))),0)</f>
        <v>180</v>
      </c>
      <c r="BH129" s="167">
        <f>IFERROR(IF($C129="Top WS",VLOOKUP($B129,'2) หลักการคำนวน Table'!$D$5:$M$20,HLOOKUP(AP129,'2) หลักการคำนวน Table'!$D$1:$M$5,5,TRUE),0),
IF($C129="WS SF",VLOOKUP($B129,'2) หลักการคำนวน Table'!$D$33:$M$48,HLOOKUP(AP129,'2) หลักการคำนวน Table'!$D$1:$M$5,5,TRUE),0),
IF($C129="WS WH",VLOOKUP($B129,'2) หลักการคำนวน Table'!$D$63:$M$78,HLOOKUP(AP129,'2) หลักการคำนวน Table'!$D$1:$M$5,5,TRUE),0),
IF($C129="SF WH",VLOOKUP($B129,'2) หลักการคำนวน Table'!$D$93:$M$108,HLOOKUP(AP129,'2) หลักการคำนวน Table'!$D$1:$M$5,5,TRUE),0))))),0)</f>
        <v>180</v>
      </c>
      <c r="BI129" s="167">
        <f>IFERROR(IF($C129="Top WS",VLOOKUP($B129,'2) หลักการคำนวน Table'!$D$5:$M$20,HLOOKUP(AK129,'2) หลักการคำนวน Table'!$D$1:$M$5,5,TRUE),0),
IF($C129="WS SF",VLOOKUP($B129,'2) หลักการคำนวน Table'!$D$33:$M$48,HLOOKUP(AK129,'2) หลักการคำนวน Table'!$D$1:$M$5,5,TRUE),0),
IF($C129="WS WH",VLOOKUP($B129,'2) หลักการคำนวน Table'!$D$63:$M$78,HLOOKUP(AK129,'2) หลักการคำนวน Table'!$D$1:$M$5,5,TRUE),0),
IF($C129="SF WH",VLOOKUP($B129,'2) หลักการคำนวน Table'!$D$93:$M$108,HLOOKUP(AK129,'2) หลักการคำนวน Table'!$D$1:$M$5,5,TRUE),0))))),0)</f>
        <v>180</v>
      </c>
      <c r="BJ129" s="167">
        <f>IFERROR(IF($C129="Top WS",VLOOKUP($B129,'2) หลักการคำนวน Table'!$D$5:$M$20,HLOOKUP(AL129,'2) หลักการคำนวน Table'!$D$1:$M$5,5,TRUE),0),
IF($C129="WS SF",VLOOKUP($B129,'2) หลักการคำนวน Table'!$D$33:$M$48,HLOOKUP(AL129,'2) หลักการคำนวน Table'!$D$1:$M$5,5,TRUE),0),
IF($C129="WS WH",VLOOKUP($B129,'2) หลักการคำนวน Table'!$D$63:$M$78,HLOOKUP(AL129,'2) หลักการคำนวน Table'!$D$1:$M$5,5,TRUE),0),
IF($C129="SF WH",VLOOKUP($B129,'2) หลักการคำนวน Table'!$D$93:$M$108,HLOOKUP(AL129,'2) หลักการคำนวน Table'!$D$1:$M$5,5,TRUE),0))))),0)</f>
        <v>180</v>
      </c>
      <c r="BK129" s="167">
        <f>IFERROR(IF($C129="Top WS",VLOOKUP($B129,'2) หลักการคำนวน Table'!$D$5:$M$20,HLOOKUP(AM129,'2) หลักการคำนวน Table'!$D$1:$M$5,5,TRUE),0),
IF($C129="WS SF",VLOOKUP($B129,'2) หลักการคำนวน Table'!$D$33:$M$48,HLOOKUP(AM129,'2) หลักการคำนวน Table'!$D$1:$M$5,5,TRUE),0),
IF($C129="WS WH",VLOOKUP($B129,'2) หลักการคำนวน Table'!$D$63:$M$78,HLOOKUP(AM129,'2) หลักการคำนวน Table'!$D$1:$M$5,5,TRUE),0),
IF($C129="SF WH",VLOOKUP($B129,'2) หลักการคำนวน Table'!$D$93:$M$108,HLOOKUP(AM129,'2) หลักการคำนวน Table'!$D$1:$M$5,5,TRUE),0))))),0)</f>
        <v>180</v>
      </c>
      <c r="BM129" s="119">
        <f>VLOOKUP(VLOOKUP(A129,ASTBase!E:S,13,FALSE),ASTBase!F:P,11,FALSE)</f>
        <v>130000</v>
      </c>
      <c r="BN129" s="196" cm="1">
        <f t="array" ref="BN129">INDEX(AN129:AY129,,Period!$D$2)</f>
        <v>1.2</v>
      </c>
    </row>
    <row r="130" spans="1:66" x14ac:dyDescent="0.25">
      <c r="A130" s="117">
        <v>130001</v>
      </c>
      <c r="B130" s="117" t="s">
        <v>402</v>
      </c>
      <c r="C130" s="117" t="s">
        <v>178</v>
      </c>
      <c r="D130" s="118">
        <v>1776</v>
      </c>
      <c r="E130" s="118">
        <v>2016</v>
      </c>
      <c r="F130" s="118">
        <v>1639</v>
      </c>
      <c r="G130" s="118">
        <v>1735</v>
      </c>
      <c r="H130" s="118">
        <v>1767</v>
      </c>
      <c r="I130" s="118">
        <v>1822</v>
      </c>
      <c r="J130" s="118">
        <v>2052</v>
      </c>
      <c r="K130" s="118">
        <v>3047</v>
      </c>
      <c r="L130" s="118">
        <v>1999</v>
      </c>
      <c r="M130" s="118">
        <v>1819</v>
      </c>
      <c r="N130" s="118">
        <v>2288</v>
      </c>
      <c r="O130" s="118">
        <v>2291</v>
      </c>
      <c r="P130" s="117">
        <f>SUMIFS(Actual!C:C,Actual!$A:$A,'3)Target &amp; Cal'!$A130,Actual!$B:$B,'3)Target &amp; Cal'!$B130)</f>
        <v>1990.0000000000002</v>
      </c>
      <c r="Q130" s="117">
        <f>SUMIFS(Actual!D:D,Actual!$A:$A,'3)Target &amp; Cal'!$A130,Actual!$B:$B,'3)Target &amp; Cal'!$B130)</f>
        <v>1436.0000000000002</v>
      </c>
      <c r="R130" s="117">
        <f>SUMIFS(Actual!E:E,Actual!$A:$A,'3)Target &amp; Cal'!$A130,Actual!$B:$B,'3)Target &amp; Cal'!$B130)</f>
        <v>0</v>
      </c>
      <c r="S130" s="117">
        <f>SUMIFS(Actual!F:F,Actual!$A:$A,'3)Target &amp; Cal'!$A130,Actual!$B:$B,'3)Target &amp; Cal'!$B130)</f>
        <v>0</v>
      </c>
      <c r="T130" s="117">
        <f>SUMIFS(Actual!G:G,Actual!$A:$A,'3)Target &amp; Cal'!$A130,Actual!$B:$B,'3)Target &amp; Cal'!$B130)</f>
        <v>0</v>
      </c>
      <c r="U130" s="117">
        <f>SUMIFS(Actual!H:H,Actual!$A:$A,'3)Target &amp; Cal'!$A130,Actual!$B:$B,'3)Target &amp; Cal'!$B130)</f>
        <v>0</v>
      </c>
      <c r="V130" s="117">
        <f>SUMIFS(Actual!I:I,Actual!$A:$A,'3)Target &amp; Cal'!$A130,Actual!$B:$B,'3)Target &amp; Cal'!$B130)</f>
        <v>0</v>
      </c>
      <c r="W130" s="117">
        <f>SUMIFS(Actual!J:J,Actual!$A:$A,'3)Target &amp; Cal'!$A130,Actual!$B:$B,'3)Target &amp; Cal'!$B130)</f>
        <v>0</v>
      </c>
      <c r="X130" s="117">
        <f>SUMIFS(Actual!K:K,Actual!$A:$A,'3)Target &amp; Cal'!$A130,Actual!$B:$B,'3)Target &amp; Cal'!$B130)</f>
        <v>0</v>
      </c>
      <c r="Y130" s="117">
        <f>SUMIFS(Actual!L:L,Actual!$A:$A,'3)Target &amp; Cal'!$A130,Actual!$B:$B,'3)Target &amp; Cal'!$B130)</f>
        <v>0</v>
      </c>
      <c r="Z130" s="117">
        <f>SUMIFS(Actual!M:M,Actual!$A:$A,'3)Target &amp; Cal'!$A130,Actual!$B:$B,'3)Target &amp; Cal'!$B130)</f>
        <v>0</v>
      </c>
      <c r="AA130" s="117">
        <f>SUMIFS(Actual!N:N,Actual!$A:$A,'3)Target &amp; Cal'!$A130,Actual!$B:$B,'3)Target &amp; Cal'!$B130)</f>
        <v>0</v>
      </c>
      <c r="AB130" s="123">
        <f>IFERROR(IF(VLOOKUP($B130,Shortage!$A:$M,AB$2,FALSE)="Shortage",1,IFERROR(ROUND(P130/D130,4),0)),IFERROR(ROUND(P130/D130,4),0))</f>
        <v>1.1205000000000001</v>
      </c>
      <c r="AC130" s="123">
        <f>IFERROR(IF(VLOOKUP($B130,Shortage!$A:$M,AC$2,FALSE)="Shortage",1,IFERROR(ROUND(Q130/E130,4),0)),IFERROR(ROUND(Q130/E130,4),0))</f>
        <v>0.71230000000000004</v>
      </c>
      <c r="AD130" s="123">
        <f>IFERROR(IF(VLOOKUP($B130,Shortage!$A:$M,AD$2,FALSE)="Shortage",1,IFERROR(ROUND(R130/F130,4),0)),IFERROR(ROUND(R130/F130,4),0))</f>
        <v>0</v>
      </c>
      <c r="AE130" s="123">
        <f>IFERROR(IF(VLOOKUP($B130,Shortage!$A:$M,AE$2,FALSE)="Shortage",1,IFERROR(ROUND(S130/G130,4),0)),IFERROR(ROUND(S130/G130,4),0))</f>
        <v>0</v>
      </c>
      <c r="AF130" s="123">
        <f>IFERROR(IF(VLOOKUP($B130,Shortage!$A:$M,AF$2,FALSE)="Shortage",1,IFERROR(ROUND(T130/H130,4),0)),IFERROR(ROUND(T130/H130,4),0))</f>
        <v>0</v>
      </c>
      <c r="AG130" s="123">
        <f>IFERROR(IF(VLOOKUP($B130,Shortage!$A:$M,AG$2,FALSE)="Shortage",1,IFERROR(ROUND(U130/I130,4),0)),IFERROR(ROUND(U130/I130,4),0))</f>
        <v>0</v>
      </c>
      <c r="AH130" s="123">
        <f>IFERROR(IF(VLOOKUP($B130,Shortage!$A:$M,AH$2,FALSE)="Shortage",1,IFERROR(ROUND(V130/J130,4),0)),IFERROR(ROUND(V130/J130,4),0))</f>
        <v>0</v>
      </c>
      <c r="AI130" s="123">
        <f>IFERROR(IF(VLOOKUP($B130,Shortage!$A:$M,AI$2,FALSE)="Shortage",1,IFERROR(ROUND(W130/K130,4),0)),IFERROR(ROUND(W130/K130,4),0))</f>
        <v>0</v>
      </c>
      <c r="AJ130" s="123">
        <f>IFERROR(IF(VLOOKUP($B130,Shortage!$A:$M,AP$2,FALSE)="Shortage",1,IFERROR(ROUND(X130/L130,4),0)),IFERROR(ROUND(X130/L130,4),0))</f>
        <v>0</v>
      </c>
      <c r="AK130" s="123">
        <f>IFERROR(IF(VLOOKUP($B130,Shortage!$A:$M,AK$2,FALSE)="Shortage",1,IFERROR(ROUND(Y130/M130,4),0)),IFERROR(ROUND(Y130/M130,4),0))</f>
        <v>0</v>
      </c>
      <c r="AL130" s="123">
        <f>IFERROR(IF(VLOOKUP($B130,Shortage!$A:$M,AL$2,FALSE)="Shortage",1,IFERROR(ROUND(Z130/N130,4),0)),IFERROR(ROUND(Z130/N130,4),0))</f>
        <v>0</v>
      </c>
      <c r="AM130" s="123">
        <f>IFERROR(IF(VLOOKUP($B130,Shortage!$A:$M,AM$2,FALSE)="Shortage",1,IFERROR(ROUND(AA130/O130,4),0)),IFERROR(ROUND(AA130/O130,4),0))</f>
        <v>0</v>
      </c>
      <c r="AN130" s="232">
        <f>IFERROR(IF($C130="Top WS",VLOOKUP("GOAL",'2) หลักการคำนวน Table'!$D$4:$M$4,HLOOKUP(AB130,'2) หลักการคำนวน Table'!$D$1:$M$5,5,TRUE),0),
IF($C130="WS SF",VLOOKUP("GOAL",'2) หลักการคำนวน Table'!$D$32:$M$32,HLOOKUP(AB130,'2) หลักการคำนวน Table'!$D$1:$M$5,5,TRUE),0),
IF($C130="WS WH",VLOOKUP("GOAL",'2) หลักการคำนวน Table'!$D$62:$M$62,HLOOKUP(AB130,'2) หลักการคำนวน Table'!$D$1:$M$5,5,TRUE),0),
IF($C130="SF WH",VLOOKUP("GOAL",'2) หลักการคำนวน Table'!$D$92:$M$92,HLOOKUP(AB130,'2) หลักการคำนวน Table'!$D$1:$M$5,5,TRUE),0))))),0)</f>
        <v>1.1499999999999999</v>
      </c>
      <c r="AO130" s="232">
        <f>IFERROR(IF($C130="Top WS",VLOOKUP("GOAL",'2) หลักการคำนวน Table'!$D$4:$M$4,HLOOKUP(AC130,'2) หลักการคำนวน Table'!$D$1:$M$5,5,TRUE),0),
IF($C130="WS SF",VLOOKUP("GOAL",'2) หลักการคำนวน Table'!$D$32:$M$32,HLOOKUP(AC130,'2) หลักการคำนวน Table'!$D$1:$M$5,5,TRUE),0),
IF($C130="WS WH",VLOOKUP("GOAL",'2) หลักการคำนวน Table'!$D$62:$M$62,HLOOKUP(AC130,'2) หลักการคำนวน Table'!$D$1:$M$5,5,TRUE),0),
IF($C130="SF WH",VLOOKUP("GOAL",'2) หลักการคำนวน Table'!$D$92:$M$92,HLOOKUP(AC130,'2) หลักการคำนวน Table'!$D$1:$M$5,5,TRUE),0))))),0)</f>
        <v>0.9</v>
      </c>
      <c r="AP130" s="232">
        <f>IFERROR(IF($C130="Top WS",VLOOKUP("GOAL",'2) หลักการคำนวน Table'!$D$4:$M$4,HLOOKUP(AD130,'2) หลักการคำนวน Table'!$D$1:$M$5,5,TRUE),0),
IF($C130="WS SF",VLOOKUP("GOAL",'2) หลักการคำนวน Table'!$D$32:$M$32,HLOOKUP(AD130,'2) หลักการคำนวน Table'!$D$1:$M$5,5,TRUE),0),
IF($C130="WS WH",VLOOKUP("GOAL",'2) หลักการคำนวน Table'!$D$62:$M$62,HLOOKUP(AD130,'2) หลักการคำนวน Table'!$D$1:$M$5,5,TRUE),0),
IF($C130="SF WH",VLOOKUP("GOAL",'2) หลักการคำนวน Table'!$D$92:$M$92,HLOOKUP(AD130,'2) หลักการคำนวน Table'!$D$1:$M$5,5,TRUE),0))))),0)</f>
        <v>0.9</v>
      </c>
      <c r="AQ130" s="232">
        <f>IFERROR(IF($C130="Top WS",VLOOKUP("GOAL",'2) หลักการคำนวน Table'!$D$4:$M$4,HLOOKUP(AE130,'2) หลักการคำนวน Table'!$D$1:$M$5,5,TRUE),0),
IF($C130="WS SF",VLOOKUP("GOAL",'2) หลักการคำนวน Table'!$D$32:$M$32,HLOOKUP(AE130,'2) หลักการคำนวน Table'!$D$1:$M$5,5,TRUE),0),
IF($C130="WS WH",VLOOKUP("GOAL",'2) หลักการคำนวน Table'!$D$62:$M$62,HLOOKUP(AE130,'2) หลักการคำนวน Table'!$D$1:$M$5,5,TRUE),0),
IF($C130="SF WH",VLOOKUP("GOAL",'2) หลักการคำนวน Table'!$D$92:$M$92,HLOOKUP(AE130,'2) หลักการคำนวน Table'!$D$1:$M$5,5,TRUE),0))))),0)</f>
        <v>0.9</v>
      </c>
      <c r="AR130" s="232">
        <f>IFERROR(IF($C130="Top WS",VLOOKUP("GOAL",'2) หลักการคำนวน Table'!$D$4:$M$4,HLOOKUP(AF130,'2) หลักการคำนวน Table'!$D$1:$M$5,5,TRUE),0),
IF($C130="WS SF",VLOOKUP("GOAL",'2) หลักการคำนวน Table'!$D$32:$M$32,HLOOKUP(AF130,'2) หลักการคำนวน Table'!$D$1:$M$5,5,TRUE),0),
IF($C130="WS WH",VLOOKUP("GOAL",'2) หลักการคำนวน Table'!$D$62:$M$62,HLOOKUP(AF130,'2) หลักการคำนวน Table'!$D$1:$M$5,5,TRUE),0),
IF($C130="SF WH",VLOOKUP("GOAL",'2) หลักการคำนวน Table'!$D$92:$M$92,HLOOKUP(AF130,'2) หลักการคำนวน Table'!$D$1:$M$5,5,TRUE),0))))),0)</f>
        <v>0.9</v>
      </c>
      <c r="AS130" s="232">
        <f>IFERROR(IF($C130="Top WS",VLOOKUP("GOAL",'2) หลักการคำนวน Table'!$D$4:$M$4,HLOOKUP(AG130,'2) หลักการคำนวน Table'!$D$1:$M$5,5,TRUE),0),
IF($C130="WS SF",VLOOKUP("GOAL",'2) หลักการคำนวน Table'!$D$32:$M$32,HLOOKUP(AG130,'2) หลักการคำนวน Table'!$D$1:$M$5,5,TRUE),0),
IF($C130="WS WH",VLOOKUP("GOAL",'2) หลักการคำนวน Table'!$D$62:$M$62,HLOOKUP(AG130,'2) หลักการคำนวน Table'!$D$1:$M$5,5,TRUE),0),
IF($C130="SF WH",VLOOKUP("GOAL",'2) หลักการคำนวน Table'!$D$92:$M$92,HLOOKUP(AG130,'2) หลักการคำนวน Table'!$D$1:$M$5,5,TRUE),0))))),0)</f>
        <v>0.9</v>
      </c>
      <c r="AT130" s="232">
        <f>IFERROR(IF($C130="Top WS",VLOOKUP("GOAL",'2) หลักการคำนวน Table'!$D$4:$M$4,HLOOKUP(AH130,'2) หลักการคำนวน Table'!$D$1:$M$5,5,TRUE),0),
IF($C130="WS SF",VLOOKUP("GOAL",'2) หลักการคำนวน Table'!$D$32:$M$32,HLOOKUP(AH130,'2) หลักการคำนวน Table'!$D$1:$M$5,5,TRUE),0),
IF($C130="WS WH",VLOOKUP("GOAL",'2) หลักการคำนวน Table'!$D$62:$M$62,HLOOKUP(AH130,'2) หลักการคำนวน Table'!$D$1:$M$5,5,TRUE),0),
IF($C130="SF WH",VLOOKUP("GOAL",'2) หลักการคำนวน Table'!$D$92:$M$92,HLOOKUP(AH130,'2) หลักการคำนวน Table'!$D$1:$M$5,5,TRUE),0))))),0)</f>
        <v>0.9</v>
      </c>
      <c r="AU130" s="232">
        <f>IFERROR(IF($C130="Top WS",VLOOKUP("GOAL",'2) หลักการคำนวน Table'!$D$4:$M$4,HLOOKUP(AI130,'2) หลักการคำนวน Table'!$D$1:$M$5,5,TRUE),0),
IF($C130="WS SF",VLOOKUP("GOAL",'2) หลักการคำนวน Table'!$D$32:$M$32,HLOOKUP(AI130,'2) หลักการคำนวน Table'!$D$1:$M$5,5,TRUE),0),
IF($C130="WS WH",VLOOKUP("GOAL",'2) หลักการคำนวน Table'!$D$62:$M$62,HLOOKUP(AI130,'2) หลักการคำนวน Table'!$D$1:$M$5,5,TRUE),0),
IF($C130="SF WH",VLOOKUP("GOAL",'2) หลักการคำนวน Table'!$D$92:$M$92,HLOOKUP(AI130,'2) หลักการคำนวน Table'!$D$1:$M$5,5,TRUE),0))))),0)</f>
        <v>0.9</v>
      </c>
      <c r="AV130" s="232">
        <f>IFERROR(IF($C130="Top WS",VLOOKUP("GOAL",'2) หลักการคำนวน Table'!$D$4:$M$4,HLOOKUP(AP130,'2) หลักการคำนวน Table'!$D$1:$M$5,5,TRUE),0),
IF($C130="WS SF",VLOOKUP("GOAL",'2) หลักการคำนวน Table'!$D$32:$M$32,HLOOKUP(AP130,'2) หลักการคำนวน Table'!$D$1:$M$5,5,TRUE),0),
IF($C130="WS WH",VLOOKUP("GOAL",'2) หลักการคำนวน Table'!$D$62:$M$62,HLOOKUP(AP130,'2) หลักการคำนวน Table'!$D$1:$M$5,5,TRUE),0),
IF($C130="SF WH",VLOOKUP("GOAL",'2) หลักการคำนวน Table'!$D$92:$M$92,HLOOKUP(AP130,'2) หลักการคำนวน Table'!$D$1:$M$5,5,TRUE),0))))),0)</f>
        <v>0.9</v>
      </c>
      <c r="AW130" s="232">
        <f>IFERROR(IF($C130="Top WS",VLOOKUP("GOAL",'2) หลักการคำนวน Table'!$D$4:$M$4,HLOOKUP(AK130,'2) หลักการคำนวน Table'!$D$1:$M$5,5,TRUE),0),
IF($C130="WS SF",VLOOKUP("GOAL",'2) หลักการคำนวน Table'!$D$32:$M$32,HLOOKUP(AK130,'2) หลักการคำนวน Table'!$D$1:$M$5,5,TRUE),0),
IF($C130="WS WH",VLOOKUP("GOAL",'2) หลักการคำนวน Table'!$D$62:$M$62,HLOOKUP(AK130,'2) หลักการคำนวน Table'!$D$1:$M$5,5,TRUE),0),
IF($C130="SF WH",VLOOKUP("GOAL",'2) หลักการคำนวน Table'!$D$92:$M$92,HLOOKUP(AK130,'2) หลักการคำนวน Table'!$D$1:$M$5,5,TRUE),0))))),0)</f>
        <v>0.9</v>
      </c>
      <c r="AX130" s="232">
        <f>IFERROR(IF($C130="Top WS",VLOOKUP("GOAL",'2) หลักการคำนวน Table'!$D$4:$M$4,HLOOKUP(AL130,'2) หลักการคำนวน Table'!$D$1:$M$5,5,TRUE),0),
IF($C130="WS SF",VLOOKUP("GOAL",'2) หลักการคำนวน Table'!$D$32:$M$32,HLOOKUP(AL130,'2) หลักการคำนวน Table'!$D$1:$M$5,5,TRUE),0),
IF($C130="WS WH",VLOOKUP("GOAL",'2) หลักการคำนวน Table'!$D$62:$M$62,HLOOKUP(AL130,'2) หลักการคำนวน Table'!$D$1:$M$5,5,TRUE),0),
IF($C130="SF WH",VLOOKUP("GOAL",'2) หลักการคำนวน Table'!$D$92:$M$92,HLOOKUP(AL130,'2) หลักการคำนวน Table'!$D$1:$M$5,5,TRUE),0))))),0)</f>
        <v>0.9</v>
      </c>
      <c r="AY130" s="232">
        <f>IFERROR(IF($C130="Top WS",VLOOKUP("GOAL",'2) หลักการคำนวน Table'!$D$4:$M$4,HLOOKUP(AM130,'2) หลักการคำนวน Table'!$D$1:$M$5,5,TRUE),0),
IF($C130="WS SF",VLOOKUP("GOAL",'2) หลักการคำนวน Table'!$D$32:$M$32,HLOOKUP(AM130,'2) หลักการคำนวน Table'!$D$1:$M$5,5,TRUE),0),
IF($C130="WS WH",VLOOKUP("GOAL",'2) หลักการคำนวน Table'!$D$62:$M$62,HLOOKUP(AM130,'2) หลักการคำนวน Table'!$D$1:$M$5,5,TRUE),0),
IF($C130="SF WH",VLOOKUP("GOAL",'2) หลักการคำนวน Table'!$D$92:$M$92,HLOOKUP(AM130,'2) หลักการคำนวน Table'!$D$1:$M$5,5,TRUE),0))))),0)</f>
        <v>0.9</v>
      </c>
      <c r="AZ130" s="167">
        <f>IFERROR(IF($C130="Top WS",VLOOKUP($B130,'2) หลักการคำนวน Table'!$D$5:$M$20,HLOOKUP(AB130,'2) หลักการคำนวน Table'!$D$1:$M$5,5,TRUE),0),
IF($C130="WS SF",VLOOKUP($B130,'2) หลักการคำนวน Table'!$D$33:$M$48,HLOOKUP(AB130,'2) หลักการคำนวน Table'!$D$1:$M$5,5,TRUE),0),
IF($C130="WS WH",VLOOKUP($B130,'2) หลักการคำนวน Table'!$D$63:$M$78,HLOOKUP(AB130,'2) หลักการคำนวน Table'!$D$1:$M$5,5,TRUE),0),
IF($C130="SF WH",VLOOKUP($B130,'2) หลักการคำนวน Table'!$D$93:$M$108,HLOOKUP(AB130,'2) หลักการคำนวน Table'!$D$1:$M$5,5,TRUE),0))))),0)</f>
        <v>230</v>
      </c>
      <c r="BA130" s="167">
        <f>IFERROR(IF($C130="Top WS",VLOOKUP($B130,'2) หลักการคำนวน Table'!$D$5:$M$20,HLOOKUP(AC130,'2) หลักการคำนวน Table'!$D$1:$M$5,5,TRUE),0),
IF($C130="WS SF",VLOOKUP($B130,'2) หลักการคำนวน Table'!$D$33:$M$48,HLOOKUP(AC130,'2) หลักการคำนวน Table'!$D$1:$M$5,5,TRUE),0),
IF($C130="WS WH",VLOOKUP($B130,'2) หลักการคำนวน Table'!$D$63:$M$78,HLOOKUP(AC130,'2) หลักการคำนวน Table'!$D$1:$M$5,5,TRUE),0),
IF($C130="SF WH",VLOOKUP($B130,'2) หลักการคำนวน Table'!$D$93:$M$108,HLOOKUP(AC130,'2) หลักการคำนวน Table'!$D$1:$M$5,5,TRUE),0))))),0)</f>
        <v>180</v>
      </c>
      <c r="BB130" s="167">
        <f>IFERROR(IF($C130="Top WS",VLOOKUP($B130,'2) หลักการคำนวน Table'!$D$5:$M$20,HLOOKUP(AD130,'2) หลักการคำนวน Table'!$D$1:$M$5,5,TRUE),0),
IF($C130="WS SF",VLOOKUP($B130,'2) หลักการคำนวน Table'!$D$33:$M$48,HLOOKUP(AD130,'2) หลักการคำนวน Table'!$D$1:$M$5,5,TRUE),0),
IF($C130="WS WH",VLOOKUP($B130,'2) หลักการคำนวน Table'!$D$63:$M$78,HLOOKUP(AD130,'2) หลักการคำนวน Table'!$D$1:$M$5,5,TRUE),0),
IF($C130="SF WH",VLOOKUP($B130,'2) หลักการคำนวน Table'!$D$93:$M$108,HLOOKUP(AD130,'2) หลักการคำนวน Table'!$D$1:$M$5,5,TRUE),0))))),0)</f>
        <v>180</v>
      </c>
      <c r="BC130" s="167">
        <f>IFERROR(IF($C130="Top WS",VLOOKUP($B130,'2) หลักการคำนวน Table'!$D$5:$M$20,HLOOKUP(AE130,'2) หลักการคำนวน Table'!$D$1:$M$5,5,TRUE),0),
IF($C130="WS SF",VLOOKUP($B130,'2) หลักการคำนวน Table'!$D$33:$M$48,HLOOKUP(AE130,'2) หลักการคำนวน Table'!$D$1:$M$5,5,TRUE),0),
IF($C130="WS WH",VLOOKUP($B130,'2) หลักการคำนวน Table'!$D$63:$M$78,HLOOKUP(AE130,'2) หลักการคำนวน Table'!$D$1:$M$5,5,TRUE),0),
IF($C130="SF WH",VLOOKUP($B130,'2) หลักการคำนวน Table'!$D$93:$M$108,HLOOKUP(AE130,'2) หลักการคำนวน Table'!$D$1:$M$5,5,TRUE),0))))),0)</f>
        <v>180</v>
      </c>
      <c r="BD130" s="167">
        <f>IFERROR(IF($C130="Top WS",VLOOKUP($B130,'2) หลักการคำนวน Table'!$D$5:$M$20,HLOOKUP(AF130,'2) หลักการคำนวน Table'!$D$1:$M$5,5,TRUE),0),
IF($C130="WS SF",VLOOKUP($B130,'2) หลักการคำนวน Table'!$D$33:$M$48,HLOOKUP(AF130,'2) หลักการคำนวน Table'!$D$1:$M$5,5,TRUE),0),
IF($C130="WS WH",VLOOKUP($B130,'2) หลักการคำนวน Table'!$D$63:$M$78,HLOOKUP(AF130,'2) หลักการคำนวน Table'!$D$1:$M$5,5,TRUE),0),
IF($C130="SF WH",VLOOKUP($B130,'2) หลักการคำนวน Table'!$D$93:$M$108,HLOOKUP(AF130,'2) หลักการคำนวน Table'!$D$1:$M$5,5,TRUE),0))))),0)</f>
        <v>180</v>
      </c>
      <c r="BE130" s="167">
        <f>IFERROR(IF($C130="Top WS",VLOOKUP($B130,'2) หลักการคำนวน Table'!$D$5:$M$20,HLOOKUP(AG130,'2) หลักการคำนวน Table'!$D$1:$M$5,5,TRUE),0),
IF($C130="WS SF",VLOOKUP($B130,'2) หลักการคำนวน Table'!$D$33:$M$48,HLOOKUP(AG130,'2) หลักการคำนวน Table'!$D$1:$M$5,5,TRUE),0),
IF($C130="WS WH",VLOOKUP($B130,'2) หลักการคำนวน Table'!$D$63:$M$78,HLOOKUP(AG130,'2) หลักการคำนวน Table'!$D$1:$M$5,5,TRUE),0),
IF($C130="SF WH",VLOOKUP($B130,'2) หลักการคำนวน Table'!$D$93:$M$108,HLOOKUP(AG130,'2) หลักการคำนวน Table'!$D$1:$M$5,5,TRUE),0))))),0)</f>
        <v>180</v>
      </c>
      <c r="BF130" s="167">
        <f>IFERROR(IF($C130="Top WS",VLOOKUP($B130,'2) หลักการคำนวน Table'!$D$5:$M$20,HLOOKUP(AH130,'2) หลักการคำนวน Table'!$D$1:$M$5,5,TRUE),0),
IF($C130="WS SF",VLOOKUP($B130,'2) หลักการคำนวน Table'!$D$33:$M$48,HLOOKUP(AH130,'2) หลักการคำนวน Table'!$D$1:$M$5,5,TRUE),0),
IF($C130="WS WH",VLOOKUP($B130,'2) หลักการคำนวน Table'!$D$63:$M$78,HLOOKUP(AH130,'2) หลักการคำนวน Table'!$D$1:$M$5,5,TRUE),0),
IF($C130="SF WH",VLOOKUP($B130,'2) หลักการคำนวน Table'!$D$93:$M$108,HLOOKUP(AH130,'2) หลักการคำนวน Table'!$D$1:$M$5,5,TRUE),0))))),0)</f>
        <v>180</v>
      </c>
      <c r="BG130" s="167">
        <f>IFERROR(IF($C130="Top WS",VLOOKUP($B130,'2) หลักการคำนวน Table'!$D$5:$M$20,HLOOKUP(AI130,'2) หลักการคำนวน Table'!$D$1:$M$5,5,TRUE),0),
IF($C130="WS SF",VLOOKUP($B130,'2) หลักการคำนวน Table'!$D$33:$M$48,HLOOKUP(AI130,'2) หลักการคำนวน Table'!$D$1:$M$5,5,TRUE),0),
IF($C130="WS WH",VLOOKUP($B130,'2) หลักการคำนวน Table'!$D$63:$M$78,HLOOKUP(AI130,'2) หลักการคำนวน Table'!$D$1:$M$5,5,TRUE),0),
IF($C130="SF WH",VLOOKUP($B130,'2) หลักการคำนวน Table'!$D$93:$M$108,HLOOKUP(AI130,'2) หลักการคำนวน Table'!$D$1:$M$5,5,TRUE),0))))),0)</f>
        <v>180</v>
      </c>
      <c r="BH130" s="167">
        <f>IFERROR(IF($C130="Top WS",VLOOKUP($B130,'2) หลักการคำนวน Table'!$D$5:$M$20,HLOOKUP(AP130,'2) หลักการคำนวน Table'!$D$1:$M$5,5,TRUE),0),
IF($C130="WS SF",VLOOKUP($B130,'2) หลักการคำนวน Table'!$D$33:$M$48,HLOOKUP(AP130,'2) หลักการคำนวน Table'!$D$1:$M$5,5,TRUE),0),
IF($C130="WS WH",VLOOKUP($B130,'2) หลักการคำนวน Table'!$D$63:$M$78,HLOOKUP(AP130,'2) หลักการคำนวน Table'!$D$1:$M$5,5,TRUE),0),
IF($C130="SF WH",VLOOKUP($B130,'2) หลักการคำนวน Table'!$D$93:$M$108,HLOOKUP(AP130,'2) หลักการคำนวน Table'!$D$1:$M$5,5,TRUE),0))))),0)</f>
        <v>180</v>
      </c>
      <c r="BI130" s="167">
        <f>IFERROR(IF($C130="Top WS",VLOOKUP($B130,'2) หลักการคำนวน Table'!$D$5:$M$20,HLOOKUP(AK130,'2) หลักการคำนวน Table'!$D$1:$M$5,5,TRUE),0),
IF($C130="WS SF",VLOOKUP($B130,'2) หลักการคำนวน Table'!$D$33:$M$48,HLOOKUP(AK130,'2) หลักการคำนวน Table'!$D$1:$M$5,5,TRUE),0),
IF($C130="WS WH",VLOOKUP($B130,'2) หลักการคำนวน Table'!$D$63:$M$78,HLOOKUP(AK130,'2) หลักการคำนวน Table'!$D$1:$M$5,5,TRUE),0),
IF($C130="SF WH",VLOOKUP($B130,'2) หลักการคำนวน Table'!$D$93:$M$108,HLOOKUP(AK130,'2) หลักการคำนวน Table'!$D$1:$M$5,5,TRUE),0))))),0)</f>
        <v>180</v>
      </c>
      <c r="BJ130" s="167">
        <f>IFERROR(IF($C130="Top WS",VLOOKUP($B130,'2) หลักการคำนวน Table'!$D$5:$M$20,HLOOKUP(AL130,'2) หลักการคำนวน Table'!$D$1:$M$5,5,TRUE),0),
IF($C130="WS SF",VLOOKUP($B130,'2) หลักการคำนวน Table'!$D$33:$M$48,HLOOKUP(AL130,'2) หลักการคำนวน Table'!$D$1:$M$5,5,TRUE),0),
IF($C130="WS WH",VLOOKUP($B130,'2) หลักการคำนวน Table'!$D$63:$M$78,HLOOKUP(AL130,'2) หลักการคำนวน Table'!$D$1:$M$5,5,TRUE),0),
IF($C130="SF WH",VLOOKUP($B130,'2) หลักการคำนวน Table'!$D$93:$M$108,HLOOKUP(AL130,'2) หลักการคำนวน Table'!$D$1:$M$5,5,TRUE),0))))),0)</f>
        <v>180</v>
      </c>
      <c r="BK130" s="167">
        <f>IFERROR(IF($C130="Top WS",VLOOKUP($B130,'2) หลักการคำนวน Table'!$D$5:$M$20,HLOOKUP(AM130,'2) หลักการคำนวน Table'!$D$1:$M$5,5,TRUE),0),
IF($C130="WS SF",VLOOKUP($B130,'2) หลักการคำนวน Table'!$D$33:$M$48,HLOOKUP(AM130,'2) หลักการคำนวน Table'!$D$1:$M$5,5,TRUE),0),
IF($C130="WS WH",VLOOKUP($B130,'2) หลักการคำนวน Table'!$D$63:$M$78,HLOOKUP(AM130,'2) หลักการคำนวน Table'!$D$1:$M$5,5,TRUE),0),
IF($C130="SF WH",VLOOKUP($B130,'2) หลักการคำนวน Table'!$D$93:$M$108,HLOOKUP(AM130,'2) หลักการคำนวน Table'!$D$1:$M$5,5,TRUE),0))))),0)</f>
        <v>180</v>
      </c>
      <c r="BM130" s="119">
        <f>VLOOKUP(VLOOKUP(A130,ASTBase!E:S,13,FALSE),ASTBase!F:P,11,FALSE)</f>
        <v>130000</v>
      </c>
      <c r="BN130" s="196" cm="1">
        <f t="array" ref="BN130">INDEX(AN130:AY130,,Period!$D$2)</f>
        <v>0.9</v>
      </c>
    </row>
    <row r="131" spans="1:66" x14ac:dyDescent="0.25">
      <c r="A131" s="117">
        <v>130001</v>
      </c>
      <c r="B131" s="117" t="s">
        <v>396</v>
      </c>
      <c r="C131" s="117" t="s">
        <v>178</v>
      </c>
      <c r="D131" s="118">
        <v>111</v>
      </c>
      <c r="E131" s="118">
        <v>135</v>
      </c>
      <c r="F131" s="118">
        <v>142</v>
      </c>
      <c r="G131" s="118">
        <v>93</v>
      </c>
      <c r="H131" s="118">
        <v>126</v>
      </c>
      <c r="I131" s="118">
        <v>179</v>
      </c>
      <c r="J131" s="118">
        <v>117</v>
      </c>
      <c r="K131" s="118">
        <v>235</v>
      </c>
      <c r="L131" s="118">
        <v>212</v>
      </c>
      <c r="M131" s="118">
        <v>164</v>
      </c>
      <c r="N131" s="118">
        <v>286</v>
      </c>
      <c r="O131" s="118">
        <v>288</v>
      </c>
      <c r="P131" s="117">
        <f>SUMIFS(Actual!C:C,Actual!$A:$A,'3)Target &amp; Cal'!$A131,Actual!$B:$B,'3)Target &amp; Cal'!$B131)</f>
        <v>160.99199999999999</v>
      </c>
      <c r="Q131" s="117">
        <f>SUMIFS(Actual!D:D,Actual!$A:$A,'3)Target &amp; Cal'!$A131,Actual!$B:$B,'3)Target &amp; Cal'!$B131)</f>
        <v>156.672</v>
      </c>
      <c r="R131" s="117">
        <f>SUMIFS(Actual!E:E,Actual!$A:$A,'3)Target &amp; Cal'!$A131,Actual!$B:$B,'3)Target &amp; Cal'!$B131)</f>
        <v>0</v>
      </c>
      <c r="S131" s="117">
        <f>SUMIFS(Actual!F:F,Actual!$A:$A,'3)Target &amp; Cal'!$A131,Actual!$B:$B,'3)Target &amp; Cal'!$B131)</f>
        <v>0</v>
      </c>
      <c r="T131" s="117">
        <f>SUMIFS(Actual!G:G,Actual!$A:$A,'3)Target &amp; Cal'!$A131,Actual!$B:$B,'3)Target &amp; Cal'!$B131)</f>
        <v>0</v>
      </c>
      <c r="U131" s="117">
        <f>SUMIFS(Actual!H:H,Actual!$A:$A,'3)Target &amp; Cal'!$A131,Actual!$B:$B,'3)Target &amp; Cal'!$B131)</f>
        <v>0</v>
      </c>
      <c r="V131" s="117">
        <f>SUMIFS(Actual!I:I,Actual!$A:$A,'3)Target &amp; Cal'!$A131,Actual!$B:$B,'3)Target &amp; Cal'!$B131)</f>
        <v>0</v>
      </c>
      <c r="W131" s="117">
        <f>SUMIFS(Actual!J:J,Actual!$A:$A,'3)Target &amp; Cal'!$A131,Actual!$B:$B,'3)Target &amp; Cal'!$B131)</f>
        <v>0</v>
      </c>
      <c r="X131" s="117">
        <f>SUMIFS(Actual!K:K,Actual!$A:$A,'3)Target &amp; Cal'!$A131,Actual!$B:$B,'3)Target &amp; Cal'!$B131)</f>
        <v>0</v>
      </c>
      <c r="Y131" s="117">
        <f>SUMIFS(Actual!L:L,Actual!$A:$A,'3)Target &amp; Cal'!$A131,Actual!$B:$B,'3)Target &amp; Cal'!$B131)</f>
        <v>0</v>
      </c>
      <c r="Z131" s="117">
        <f>SUMIFS(Actual!M:M,Actual!$A:$A,'3)Target &amp; Cal'!$A131,Actual!$B:$B,'3)Target &amp; Cal'!$B131)</f>
        <v>0</v>
      </c>
      <c r="AA131" s="117">
        <f>SUMIFS(Actual!N:N,Actual!$A:$A,'3)Target &amp; Cal'!$A131,Actual!$B:$B,'3)Target &amp; Cal'!$B131)</f>
        <v>0</v>
      </c>
      <c r="AB131" s="123">
        <f>IFERROR(IF(VLOOKUP($B131,Shortage!$A:$M,AB$2,FALSE)="Shortage",1,IFERROR(ROUND(P131/D131,4),0)),IFERROR(ROUND(P131/D131,4),0))</f>
        <v>1.4503999999999999</v>
      </c>
      <c r="AC131" s="123">
        <f>IFERROR(IF(VLOOKUP($B131,Shortage!$A:$M,AC$2,FALSE)="Shortage",1,IFERROR(ROUND(Q131/E131,4),0)),IFERROR(ROUND(Q131/E131,4),0))</f>
        <v>1.1605000000000001</v>
      </c>
      <c r="AD131" s="123">
        <f>IFERROR(IF(VLOOKUP($B131,Shortage!$A:$M,AD$2,FALSE)="Shortage",1,IFERROR(ROUND(R131/F131,4),0)),IFERROR(ROUND(R131/F131,4),0))</f>
        <v>0</v>
      </c>
      <c r="AE131" s="123">
        <f>IFERROR(IF(VLOOKUP($B131,Shortage!$A:$M,AE$2,FALSE)="Shortage",1,IFERROR(ROUND(S131/G131,4),0)),IFERROR(ROUND(S131/G131,4),0))</f>
        <v>0</v>
      </c>
      <c r="AF131" s="123">
        <f>IFERROR(IF(VLOOKUP($B131,Shortage!$A:$M,AF$2,FALSE)="Shortage",1,IFERROR(ROUND(T131/H131,4),0)),IFERROR(ROUND(T131/H131,4),0))</f>
        <v>0</v>
      </c>
      <c r="AG131" s="123">
        <f>IFERROR(IF(VLOOKUP($B131,Shortage!$A:$M,AG$2,FALSE)="Shortage",1,IFERROR(ROUND(U131/I131,4),0)),IFERROR(ROUND(U131/I131,4),0))</f>
        <v>0</v>
      </c>
      <c r="AH131" s="123">
        <f>IFERROR(IF(VLOOKUP($B131,Shortage!$A:$M,AH$2,FALSE)="Shortage",1,IFERROR(ROUND(V131/J131,4),0)),IFERROR(ROUND(V131/J131,4),0))</f>
        <v>0</v>
      </c>
      <c r="AI131" s="123">
        <f>IFERROR(IF(VLOOKUP($B131,Shortage!$A:$M,AI$2,FALSE)="Shortage",1,IFERROR(ROUND(W131/K131,4),0)),IFERROR(ROUND(W131/K131,4),0))</f>
        <v>0</v>
      </c>
      <c r="AJ131" s="123">
        <f>IFERROR(IF(VLOOKUP($B131,Shortage!$A:$M,AP$2,FALSE)="Shortage",1,IFERROR(ROUND(X131/L131,4),0)),IFERROR(ROUND(X131/L131,4),0))</f>
        <v>0</v>
      </c>
      <c r="AK131" s="123">
        <f>IFERROR(IF(VLOOKUP($B131,Shortage!$A:$M,AK$2,FALSE)="Shortage",1,IFERROR(ROUND(Y131/M131,4),0)),IFERROR(ROUND(Y131/M131,4),0))</f>
        <v>0</v>
      </c>
      <c r="AL131" s="123">
        <f>IFERROR(IF(VLOOKUP($B131,Shortage!$A:$M,AL$2,FALSE)="Shortage",1,IFERROR(ROUND(Z131/N131,4),0)),IFERROR(ROUND(Z131/N131,4),0))</f>
        <v>0</v>
      </c>
      <c r="AM131" s="123">
        <f>IFERROR(IF(VLOOKUP($B131,Shortage!$A:$M,AM$2,FALSE)="Shortage",1,IFERROR(ROUND(AA131/O131,4),0)),IFERROR(ROUND(AA131/O131,4),0))</f>
        <v>0</v>
      </c>
      <c r="AN131" s="232">
        <f>IFERROR(IF($C131="Top WS",VLOOKUP("GOAL",'2) หลักการคำนวน Table'!$D$4:$M$4,HLOOKUP(AB131,'2) หลักการคำนวน Table'!$D$1:$M$5,5,TRUE),0),
IF($C131="WS SF",VLOOKUP("GOAL",'2) หลักการคำนวน Table'!$D$32:$M$32,HLOOKUP(AB131,'2) หลักการคำนวน Table'!$D$1:$M$5,5,TRUE),0),
IF($C131="WS WH",VLOOKUP("GOAL",'2) หลักการคำนวน Table'!$D$62:$M$62,HLOOKUP(AB131,'2) หลักการคำนวน Table'!$D$1:$M$5,5,TRUE),0),
IF($C131="SF WH",VLOOKUP("GOAL",'2) หลักการคำนวน Table'!$D$92:$M$92,HLOOKUP(AB131,'2) หลักการคำนวน Table'!$D$1:$M$5,5,TRUE),0))))),0)</f>
        <v>1.3</v>
      </c>
      <c r="AO131" s="232">
        <f>IFERROR(IF($C131="Top WS",VLOOKUP("GOAL",'2) หลักการคำนวน Table'!$D$4:$M$4,HLOOKUP(AC131,'2) หลักการคำนวน Table'!$D$1:$M$5,5,TRUE),0),
IF($C131="WS SF",VLOOKUP("GOAL",'2) หลักการคำนวน Table'!$D$32:$M$32,HLOOKUP(AC131,'2) หลักการคำนวน Table'!$D$1:$M$5,5,TRUE),0),
IF($C131="WS WH",VLOOKUP("GOAL",'2) หลักการคำนวน Table'!$D$62:$M$62,HLOOKUP(AC131,'2) หลักการคำนวน Table'!$D$1:$M$5,5,TRUE),0),
IF($C131="SF WH",VLOOKUP("GOAL",'2) หลักการคำนวน Table'!$D$92:$M$92,HLOOKUP(AC131,'2) หลักการคำนวน Table'!$D$1:$M$5,5,TRUE),0))))),0)</f>
        <v>1.2</v>
      </c>
      <c r="AP131" s="232">
        <f>IFERROR(IF($C131="Top WS",VLOOKUP("GOAL",'2) หลักการคำนวน Table'!$D$4:$M$4,HLOOKUP(AD131,'2) หลักการคำนวน Table'!$D$1:$M$5,5,TRUE),0),
IF($C131="WS SF",VLOOKUP("GOAL",'2) หลักการคำนวน Table'!$D$32:$M$32,HLOOKUP(AD131,'2) หลักการคำนวน Table'!$D$1:$M$5,5,TRUE),0),
IF($C131="WS WH",VLOOKUP("GOAL",'2) หลักการคำนวน Table'!$D$62:$M$62,HLOOKUP(AD131,'2) หลักการคำนวน Table'!$D$1:$M$5,5,TRUE),0),
IF($C131="SF WH",VLOOKUP("GOAL",'2) หลักการคำนวน Table'!$D$92:$M$92,HLOOKUP(AD131,'2) หลักการคำนวน Table'!$D$1:$M$5,5,TRUE),0))))),0)</f>
        <v>0.9</v>
      </c>
      <c r="AQ131" s="232">
        <f>IFERROR(IF($C131="Top WS",VLOOKUP("GOAL",'2) หลักการคำนวน Table'!$D$4:$M$4,HLOOKUP(AE131,'2) หลักการคำนวน Table'!$D$1:$M$5,5,TRUE),0),
IF($C131="WS SF",VLOOKUP("GOAL",'2) หลักการคำนวน Table'!$D$32:$M$32,HLOOKUP(AE131,'2) หลักการคำนวน Table'!$D$1:$M$5,5,TRUE),0),
IF($C131="WS WH",VLOOKUP("GOAL",'2) หลักการคำนวน Table'!$D$62:$M$62,HLOOKUP(AE131,'2) หลักการคำนวน Table'!$D$1:$M$5,5,TRUE),0),
IF($C131="SF WH",VLOOKUP("GOAL",'2) หลักการคำนวน Table'!$D$92:$M$92,HLOOKUP(AE131,'2) หลักการคำนวน Table'!$D$1:$M$5,5,TRUE),0))))),0)</f>
        <v>0.9</v>
      </c>
      <c r="AR131" s="232">
        <f>IFERROR(IF($C131="Top WS",VLOOKUP("GOAL",'2) หลักการคำนวน Table'!$D$4:$M$4,HLOOKUP(AF131,'2) หลักการคำนวน Table'!$D$1:$M$5,5,TRUE),0),
IF($C131="WS SF",VLOOKUP("GOAL",'2) หลักการคำนวน Table'!$D$32:$M$32,HLOOKUP(AF131,'2) หลักการคำนวน Table'!$D$1:$M$5,5,TRUE),0),
IF($C131="WS WH",VLOOKUP("GOAL",'2) หลักการคำนวน Table'!$D$62:$M$62,HLOOKUP(AF131,'2) หลักการคำนวน Table'!$D$1:$M$5,5,TRUE),0),
IF($C131="SF WH",VLOOKUP("GOAL",'2) หลักการคำนวน Table'!$D$92:$M$92,HLOOKUP(AF131,'2) หลักการคำนวน Table'!$D$1:$M$5,5,TRUE),0))))),0)</f>
        <v>0.9</v>
      </c>
      <c r="AS131" s="232">
        <f>IFERROR(IF($C131="Top WS",VLOOKUP("GOAL",'2) หลักการคำนวน Table'!$D$4:$M$4,HLOOKUP(AG131,'2) หลักการคำนวน Table'!$D$1:$M$5,5,TRUE),0),
IF($C131="WS SF",VLOOKUP("GOAL",'2) หลักการคำนวน Table'!$D$32:$M$32,HLOOKUP(AG131,'2) หลักการคำนวน Table'!$D$1:$M$5,5,TRUE),0),
IF($C131="WS WH",VLOOKUP("GOAL",'2) หลักการคำนวน Table'!$D$62:$M$62,HLOOKUP(AG131,'2) หลักการคำนวน Table'!$D$1:$M$5,5,TRUE),0),
IF($C131="SF WH",VLOOKUP("GOAL",'2) หลักการคำนวน Table'!$D$92:$M$92,HLOOKUP(AG131,'2) หลักการคำนวน Table'!$D$1:$M$5,5,TRUE),0))))),0)</f>
        <v>0.9</v>
      </c>
      <c r="AT131" s="232">
        <f>IFERROR(IF($C131="Top WS",VLOOKUP("GOAL",'2) หลักการคำนวน Table'!$D$4:$M$4,HLOOKUP(AH131,'2) หลักการคำนวน Table'!$D$1:$M$5,5,TRUE),0),
IF($C131="WS SF",VLOOKUP("GOAL",'2) หลักการคำนวน Table'!$D$32:$M$32,HLOOKUP(AH131,'2) หลักการคำนวน Table'!$D$1:$M$5,5,TRUE),0),
IF($C131="WS WH",VLOOKUP("GOAL",'2) หลักการคำนวน Table'!$D$62:$M$62,HLOOKUP(AH131,'2) หลักการคำนวน Table'!$D$1:$M$5,5,TRUE),0),
IF($C131="SF WH",VLOOKUP("GOAL",'2) หลักการคำนวน Table'!$D$92:$M$92,HLOOKUP(AH131,'2) หลักการคำนวน Table'!$D$1:$M$5,5,TRUE),0))))),0)</f>
        <v>0.9</v>
      </c>
      <c r="AU131" s="232">
        <f>IFERROR(IF($C131="Top WS",VLOOKUP("GOAL",'2) หลักการคำนวน Table'!$D$4:$M$4,HLOOKUP(AI131,'2) หลักการคำนวน Table'!$D$1:$M$5,5,TRUE),0),
IF($C131="WS SF",VLOOKUP("GOAL",'2) หลักการคำนวน Table'!$D$32:$M$32,HLOOKUP(AI131,'2) หลักการคำนวน Table'!$D$1:$M$5,5,TRUE),0),
IF($C131="WS WH",VLOOKUP("GOAL",'2) หลักการคำนวน Table'!$D$62:$M$62,HLOOKUP(AI131,'2) หลักการคำนวน Table'!$D$1:$M$5,5,TRUE),0),
IF($C131="SF WH",VLOOKUP("GOAL",'2) หลักการคำนวน Table'!$D$92:$M$92,HLOOKUP(AI131,'2) หลักการคำนวน Table'!$D$1:$M$5,5,TRUE),0))))),0)</f>
        <v>0.9</v>
      </c>
      <c r="AV131" s="232">
        <f>IFERROR(IF($C131="Top WS",VLOOKUP("GOAL",'2) หลักการคำนวน Table'!$D$4:$M$4,HLOOKUP(AP131,'2) หลักการคำนวน Table'!$D$1:$M$5,5,TRUE),0),
IF($C131="WS SF",VLOOKUP("GOAL",'2) หลักการคำนวน Table'!$D$32:$M$32,HLOOKUP(AP131,'2) หลักการคำนวน Table'!$D$1:$M$5,5,TRUE),0),
IF($C131="WS WH",VLOOKUP("GOAL",'2) หลักการคำนวน Table'!$D$62:$M$62,HLOOKUP(AP131,'2) หลักการคำนวน Table'!$D$1:$M$5,5,TRUE),0),
IF($C131="SF WH",VLOOKUP("GOAL",'2) หลักการคำนวน Table'!$D$92:$M$92,HLOOKUP(AP131,'2) หลักการคำนวน Table'!$D$1:$M$5,5,TRUE),0))))),0)</f>
        <v>0.9</v>
      </c>
      <c r="AW131" s="232">
        <f>IFERROR(IF($C131="Top WS",VLOOKUP("GOAL",'2) หลักการคำนวน Table'!$D$4:$M$4,HLOOKUP(AK131,'2) หลักการคำนวน Table'!$D$1:$M$5,5,TRUE),0),
IF($C131="WS SF",VLOOKUP("GOAL",'2) หลักการคำนวน Table'!$D$32:$M$32,HLOOKUP(AK131,'2) หลักการคำนวน Table'!$D$1:$M$5,5,TRUE),0),
IF($C131="WS WH",VLOOKUP("GOAL",'2) หลักการคำนวน Table'!$D$62:$M$62,HLOOKUP(AK131,'2) หลักการคำนวน Table'!$D$1:$M$5,5,TRUE),0),
IF($C131="SF WH",VLOOKUP("GOAL",'2) หลักการคำนวน Table'!$D$92:$M$92,HLOOKUP(AK131,'2) หลักการคำนวน Table'!$D$1:$M$5,5,TRUE),0))))),0)</f>
        <v>0.9</v>
      </c>
      <c r="AX131" s="232">
        <f>IFERROR(IF($C131="Top WS",VLOOKUP("GOAL",'2) หลักการคำนวน Table'!$D$4:$M$4,HLOOKUP(AL131,'2) หลักการคำนวน Table'!$D$1:$M$5,5,TRUE),0),
IF($C131="WS SF",VLOOKUP("GOAL",'2) หลักการคำนวน Table'!$D$32:$M$32,HLOOKUP(AL131,'2) หลักการคำนวน Table'!$D$1:$M$5,5,TRUE),0),
IF($C131="WS WH",VLOOKUP("GOAL",'2) หลักการคำนวน Table'!$D$62:$M$62,HLOOKUP(AL131,'2) หลักการคำนวน Table'!$D$1:$M$5,5,TRUE),0),
IF($C131="SF WH",VLOOKUP("GOAL",'2) หลักการคำนวน Table'!$D$92:$M$92,HLOOKUP(AL131,'2) หลักการคำนวน Table'!$D$1:$M$5,5,TRUE),0))))),0)</f>
        <v>0.9</v>
      </c>
      <c r="AY131" s="232">
        <f>IFERROR(IF($C131="Top WS",VLOOKUP("GOAL",'2) หลักการคำนวน Table'!$D$4:$M$4,HLOOKUP(AM131,'2) หลักการคำนวน Table'!$D$1:$M$5,5,TRUE),0),
IF($C131="WS SF",VLOOKUP("GOAL",'2) หลักการคำนวน Table'!$D$32:$M$32,HLOOKUP(AM131,'2) หลักการคำนวน Table'!$D$1:$M$5,5,TRUE),0),
IF($C131="WS WH",VLOOKUP("GOAL",'2) หลักการคำนวน Table'!$D$62:$M$62,HLOOKUP(AM131,'2) หลักการคำนวน Table'!$D$1:$M$5,5,TRUE),0),
IF($C131="SF WH",VLOOKUP("GOAL",'2) หลักการคำนวน Table'!$D$92:$M$92,HLOOKUP(AM131,'2) หลักการคำนวน Table'!$D$1:$M$5,5,TRUE),0))))),0)</f>
        <v>0.9</v>
      </c>
      <c r="AZ131" s="167">
        <f>IFERROR(IF($C131="Top WS",VLOOKUP($B131,'2) หลักการคำนวน Table'!$D$5:$M$20,HLOOKUP(AB131,'2) หลักการคำนวน Table'!$D$1:$M$5,5,TRUE),0),
IF($C131="WS SF",VLOOKUP($B131,'2) หลักการคำนวน Table'!$D$33:$M$48,HLOOKUP(AB131,'2) หลักการคำนวน Table'!$D$1:$M$5,5,TRUE),0),
IF($C131="WS WH",VLOOKUP($B131,'2) หลักการคำนวน Table'!$D$63:$M$78,HLOOKUP(AB131,'2) หลักการคำนวน Table'!$D$1:$M$5,5,TRUE),0),
IF($C131="SF WH",VLOOKUP($B131,'2) หลักการคำนวน Table'!$D$93:$M$108,HLOOKUP(AB131,'2) หลักการคำนวน Table'!$D$1:$M$5,5,TRUE),0))))),0)</f>
        <v>520</v>
      </c>
      <c r="BA131" s="167">
        <f>IFERROR(IF($C131="Top WS",VLOOKUP($B131,'2) หลักการคำนวน Table'!$D$5:$M$20,HLOOKUP(AC131,'2) หลักการคำนวน Table'!$D$1:$M$5,5,TRUE),0),
IF($C131="WS SF",VLOOKUP($B131,'2) หลักการคำนวน Table'!$D$33:$M$48,HLOOKUP(AC131,'2) หลักการคำนวน Table'!$D$1:$M$5,5,TRUE),0),
IF($C131="WS WH",VLOOKUP($B131,'2) หลักการคำนวน Table'!$D$63:$M$78,HLOOKUP(AC131,'2) หลักการคำนวน Table'!$D$1:$M$5,5,TRUE),0),
IF($C131="SF WH",VLOOKUP($B131,'2) หลักการคำนวน Table'!$D$93:$M$108,HLOOKUP(AC131,'2) หลักการคำนวน Table'!$D$1:$M$5,5,TRUE),0))))),0)</f>
        <v>480</v>
      </c>
      <c r="BB131" s="167">
        <f>IFERROR(IF($C131="Top WS",VLOOKUP($B131,'2) หลักการคำนวน Table'!$D$5:$M$20,HLOOKUP(AD131,'2) หลักการคำนวน Table'!$D$1:$M$5,5,TRUE),0),
IF($C131="WS SF",VLOOKUP($B131,'2) หลักการคำนวน Table'!$D$33:$M$48,HLOOKUP(AD131,'2) หลักการคำนวน Table'!$D$1:$M$5,5,TRUE),0),
IF($C131="WS WH",VLOOKUP($B131,'2) หลักการคำนวน Table'!$D$63:$M$78,HLOOKUP(AD131,'2) หลักการคำนวน Table'!$D$1:$M$5,5,TRUE),0),
IF($C131="SF WH",VLOOKUP($B131,'2) หลักการคำนวน Table'!$D$93:$M$108,HLOOKUP(AD131,'2) หลักการคำนวน Table'!$D$1:$M$5,5,TRUE),0))))),0)</f>
        <v>360</v>
      </c>
      <c r="BC131" s="167">
        <f>IFERROR(IF($C131="Top WS",VLOOKUP($B131,'2) หลักการคำนวน Table'!$D$5:$M$20,HLOOKUP(AE131,'2) หลักการคำนวน Table'!$D$1:$M$5,5,TRUE),0),
IF($C131="WS SF",VLOOKUP($B131,'2) หลักการคำนวน Table'!$D$33:$M$48,HLOOKUP(AE131,'2) หลักการคำนวน Table'!$D$1:$M$5,5,TRUE),0),
IF($C131="WS WH",VLOOKUP($B131,'2) หลักการคำนวน Table'!$D$63:$M$78,HLOOKUP(AE131,'2) หลักการคำนวน Table'!$D$1:$M$5,5,TRUE),0),
IF($C131="SF WH",VLOOKUP($B131,'2) หลักการคำนวน Table'!$D$93:$M$108,HLOOKUP(AE131,'2) หลักการคำนวน Table'!$D$1:$M$5,5,TRUE),0))))),0)</f>
        <v>360</v>
      </c>
      <c r="BD131" s="167">
        <f>IFERROR(IF($C131="Top WS",VLOOKUP($B131,'2) หลักการคำนวน Table'!$D$5:$M$20,HLOOKUP(AF131,'2) หลักการคำนวน Table'!$D$1:$M$5,5,TRUE),0),
IF($C131="WS SF",VLOOKUP($B131,'2) หลักการคำนวน Table'!$D$33:$M$48,HLOOKUP(AF131,'2) หลักการคำนวน Table'!$D$1:$M$5,5,TRUE),0),
IF($C131="WS WH",VLOOKUP($B131,'2) หลักการคำนวน Table'!$D$63:$M$78,HLOOKUP(AF131,'2) หลักการคำนวน Table'!$D$1:$M$5,5,TRUE),0),
IF($C131="SF WH",VLOOKUP($B131,'2) หลักการคำนวน Table'!$D$93:$M$108,HLOOKUP(AF131,'2) หลักการคำนวน Table'!$D$1:$M$5,5,TRUE),0))))),0)</f>
        <v>360</v>
      </c>
      <c r="BE131" s="167">
        <f>IFERROR(IF($C131="Top WS",VLOOKUP($B131,'2) หลักการคำนวน Table'!$D$5:$M$20,HLOOKUP(AG131,'2) หลักการคำนวน Table'!$D$1:$M$5,5,TRUE),0),
IF($C131="WS SF",VLOOKUP($B131,'2) หลักการคำนวน Table'!$D$33:$M$48,HLOOKUP(AG131,'2) หลักการคำนวน Table'!$D$1:$M$5,5,TRUE),0),
IF($C131="WS WH",VLOOKUP($B131,'2) หลักการคำนวน Table'!$D$63:$M$78,HLOOKUP(AG131,'2) หลักการคำนวน Table'!$D$1:$M$5,5,TRUE),0),
IF($C131="SF WH",VLOOKUP($B131,'2) หลักการคำนวน Table'!$D$93:$M$108,HLOOKUP(AG131,'2) หลักการคำนวน Table'!$D$1:$M$5,5,TRUE),0))))),0)</f>
        <v>360</v>
      </c>
      <c r="BF131" s="167">
        <f>IFERROR(IF($C131="Top WS",VLOOKUP($B131,'2) หลักการคำนวน Table'!$D$5:$M$20,HLOOKUP(AH131,'2) หลักการคำนวน Table'!$D$1:$M$5,5,TRUE),0),
IF($C131="WS SF",VLOOKUP($B131,'2) หลักการคำนวน Table'!$D$33:$M$48,HLOOKUP(AH131,'2) หลักการคำนวน Table'!$D$1:$M$5,5,TRUE),0),
IF($C131="WS WH",VLOOKUP($B131,'2) หลักการคำนวน Table'!$D$63:$M$78,HLOOKUP(AH131,'2) หลักการคำนวน Table'!$D$1:$M$5,5,TRUE),0),
IF($C131="SF WH",VLOOKUP($B131,'2) หลักการคำนวน Table'!$D$93:$M$108,HLOOKUP(AH131,'2) หลักการคำนวน Table'!$D$1:$M$5,5,TRUE),0))))),0)</f>
        <v>360</v>
      </c>
      <c r="BG131" s="167">
        <f>IFERROR(IF($C131="Top WS",VLOOKUP($B131,'2) หลักการคำนวน Table'!$D$5:$M$20,HLOOKUP(AI131,'2) หลักการคำนวน Table'!$D$1:$M$5,5,TRUE),0),
IF($C131="WS SF",VLOOKUP($B131,'2) หลักการคำนวน Table'!$D$33:$M$48,HLOOKUP(AI131,'2) หลักการคำนวน Table'!$D$1:$M$5,5,TRUE),0),
IF($C131="WS WH",VLOOKUP($B131,'2) หลักการคำนวน Table'!$D$63:$M$78,HLOOKUP(AI131,'2) หลักการคำนวน Table'!$D$1:$M$5,5,TRUE),0),
IF($C131="SF WH",VLOOKUP($B131,'2) หลักการคำนวน Table'!$D$93:$M$108,HLOOKUP(AI131,'2) หลักการคำนวน Table'!$D$1:$M$5,5,TRUE),0))))),0)</f>
        <v>360</v>
      </c>
      <c r="BH131" s="167">
        <f>IFERROR(IF($C131="Top WS",VLOOKUP($B131,'2) หลักการคำนวน Table'!$D$5:$M$20,HLOOKUP(AP131,'2) หลักการคำนวน Table'!$D$1:$M$5,5,TRUE),0),
IF($C131="WS SF",VLOOKUP($B131,'2) หลักการคำนวน Table'!$D$33:$M$48,HLOOKUP(AP131,'2) หลักการคำนวน Table'!$D$1:$M$5,5,TRUE),0),
IF($C131="WS WH",VLOOKUP($B131,'2) หลักการคำนวน Table'!$D$63:$M$78,HLOOKUP(AP131,'2) หลักการคำนวน Table'!$D$1:$M$5,5,TRUE),0),
IF($C131="SF WH",VLOOKUP($B131,'2) หลักการคำนวน Table'!$D$93:$M$108,HLOOKUP(AP131,'2) หลักการคำนวน Table'!$D$1:$M$5,5,TRUE),0))))),0)</f>
        <v>360</v>
      </c>
      <c r="BI131" s="167">
        <f>IFERROR(IF($C131="Top WS",VLOOKUP($B131,'2) หลักการคำนวน Table'!$D$5:$M$20,HLOOKUP(AK131,'2) หลักการคำนวน Table'!$D$1:$M$5,5,TRUE),0),
IF($C131="WS SF",VLOOKUP($B131,'2) หลักการคำนวน Table'!$D$33:$M$48,HLOOKUP(AK131,'2) หลักการคำนวน Table'!$D$1:$M$5,5,TRUE),0),
IF($C131="WS WH",VLOOKUP($B131,'2) หลักการคำนวน Table'!$D$63:$M$78,HLOOKUP(AK131,'2) หลักการคำนวน Table'!$D$1:$M$5,5,TRUE),0),
IF($C131="SF WH",VLOOKUP($B131,'2) หลักการคำนวน Table'!$D$93:$M$108,HLOOKUP(AK131,'2) หลักการคำนวน Table'!$D$1:$M$5,5,TRUE),0))))),0)</f>
        <v>360</v>
      </c>
      <c r="BJ131" s="167">
        <f>IFERROR(IF($C131="Top WS",VLOOKUP($B131,'2) หลักการคำนวน Table'!$D$5:$M$20,HLOOKUP(AL131,'2) หลักการคำนวน Table'!$D$1:$M$5,5,TRUE),0),
IF($C131="WS SF",VLOOKUP($B131,'2) หลักการคำนวน Table'!$D$33:$M$48,HLOOKUP(AL131,'2) หลักการคำนวน Table'!$D$1:$M$5,5,TRUE),0),
IF($C131="WS WH",VLOOKUP($B131,'2) หลักการคำนวน Table'!$D$63:$M$78,HLOOKUP(AL131,'2) หลักการคำนวน Table'!$D$1:$M$5,5,TRUE),0),
IF($C131="SF WH",VLOOKUP($B131,'2) หลักการคำนวน Table'!$D$93:$M$108,HLOOKUP(AL131,'2) หลักการคำนวน Table'!$D$1:$M$5,5,TRUE),0))))),0)</f>
        <v>360</v>
      </c>
      <c r="BK131" s="167">
        <f>IFERROR(IF($C131="Top WS",VLOOKUP($B131,'2) หลักการคำนวน Table'!$D$5:$M$20,HLOOKUP(AM131,'2) หลักการคำนวน Table'!$D$1:$M$5,5,TRUE),0),
IF($C131="WS SF",VLOOKUP($B131,'2) หลักการคำนวน Table'!$D$33:$M$48,HLOOKUP(AM131,'2) หลักการคำนวน Table'!$D$1:$M$5,5,TRUE),0),
IF($C131="WS WH",VLOOKUP($B131,'2) หลักการคำนวน Table'!$D$63:$M$78,HLOOKUP(AM131,'2) หลักการคำนวน Table'!$D$1:$M$5,5,TRUE),0),
IF($C131="SF WH",VLOOKUP($B131,'2) หลักการคำนวน Table'!$D$93:$M$108,HLOOKUP(AM131,'2) หลักการคำนวน Table'!$D$1:$M$5,5,TRUE),0))))),0)</f>
        <v>360</v>
      </c>
      <c r="BM131" s="119">
        <f>VLOOKUP(VLOOKUP(A131,ASTBase!E:S,13,FALSE),ASTBase!F:P,11,FALSE)</f>
        <v>130000</v>
      </c>
      <c r="BN131" s="196" cm="1">
        <f t="array" ref="BN131">INDEX(AN131:AY131,,Period!$D$2)</f>
        <v>1.2</v>
      </c>
    </row>
    <row r="132" spans="1:66" x14ac:dyDescent="0.25">
      <c r="A132" s="117">
        <v>130001</v>
      </c>
      <c r="B132" s="117" t="s">
        <v>394</v>
      </c>
      <c r="C132" s="117" t="s">
        <v>178</v>
      </c>
      <c r="D132" s="118">
        <v>2014</v>
      </c>
      <c r="E132" s="118">
        <v>2999</v>
      </c>
      <c r="F132" s="118">
        <v>1629</v>
      </c>
      <c r="G132" s="118">
        <v>564</v>
      </c>
      <c r="H132" s="118">
        <v>43</v>
      </c>
      <c r="I132" s="118">
        <v>2650</v>
      </c>
      <c r="J132" s="118">
        <v>2377</v>
      </c>
      <c r="K132" s="118">
        <v>3707</v>
      </c>
      <c r="L132" s="118">
        <v>2641</v>
      </c>
      <c r="M132" s="118">
        <v>2339</v>
      </c>
      <c r="N132" s="118">
        <v>2545</v>
      </c>
      <c r="O132" s="118">
        <v>2554</v>
      </c>
      <c r="P132" s="117">
        <f>SUMIFS(Actual!C:C,Actual!$A:$A,'3)Target &amp; Cal'!$A132,Actual!$B:$B,'3)Target &amp; Cal'!$B132)</f>
        <v>1794</v>
      </c>
      <c r="Q132" s="117">
        <f>SUMIFS(Actual!D:D,Actual!$A:$A,'3)Target &amp; Cal'!$A132,Actual!$B:$B,'3)Target &amp; Cal'!$B132)</f>
        <v>1080</v>
      </c>
      <c r="R132" s="117">
        <f>SUMIFS(Actual!E:E,Actual!$A:$A,'3)Target &amp; Cal'!$A132,Actual!$B:$B,'3)Target &amp; Cal'!$B132)</f>
        <v>0</v>
      </c>
      <c r="S132" s="117">
        <f>SUMIFS(Actual!F:F,Actual!$A:$A,'3)Target &amp; Cal'!$A132,Actual!$B:$B,'3)Target &amp; Cal'!$B132)</f>
        <v>0</v>
      </c>
      <c r="T132" s="117">
        <f>SUMIFS(Actual!G:G,Actual!$A:$A,'3)Target &amp; Cal'!$A132,Actual!$B:$B,'3)Target &amp; Cal'!$B132)</f>
        <v>0</v>
      </c>
      <c r="U132" s="117">
        <f>SUMIFS(Actual!H:H,Actual!$A:$A,'3)Target &amp; Cal'!$A132,Actual!$B:$B,'3)Target &amp; Cal'!$B132)</f>
        <v>0</v>
      </c>
      <c r="V132" s="117">
        <f>SUMIFS(Actual!I:I,Actual!$A:$A,'3)Target &amp; Cal'!$A132,Actual!$B:$B,'3)Target &amp; Cal'!$B132)</f>
        <v>0</v>
      </c>
      <c r="W132" s="117">
        <f>SUMIFS(Actual!J:J,Actual!$A:$A,'3)Target &amp; Cal'!$A132,Actual!$B:$B,'3)Target &amp; Cal'!$B132)</f>
        <v>0</v>
      </c>
      <c r="X132" s="117">
        <f>SUMIFS(Actual!K:K,Actual!$A:$A,'3)Target &amp; Cal'!$A132,Actual!$B:$B,'3)Target &amp; Cal'!$B132)</f>
        <v>0</v>
      </c>
      <c r="Y132" s="117">
        <f>SUMIFS(Actual!L:L,Actual!$A:$A,'3)Target &amp; Cal'!$A132,Actual!$B:$B,'3)Target &amp; Cal'!$B132)</f>
        <v>0</v>
      </c>
      <c r="Z132" s="117">
        <f>SUMIFS(Actual!M:M,Actual!$A:$A,'3)Target &amp; Cal'!$A132,Actual!$B:$B,'3)Target &amp; Cal'!$B132)</f>
        <v>0</v>
      </c>
      <c r="AA132" s="117">
        <f>SUMIFS(Actual!N:N,Actual!$A:$A,'3)Target &amp; Cal'!$A132,Actual!$B:$B,'3)Target &amp; Cal'!$B132)</f>
        <v>0</v>
      </c>
      <c r="AB132" s="123">
        <f>IFERROR(IF(VLOOKUP($B132,Shortage!$A:$M,AB$2,FALSE)="Shortage",1,IFERROR(ROUND(P132/D132,4),0)),IFERROR(ROUND(P132/D132,4),0))</f>
        <v>0.89080000000000004</v>
      </c>
      <c r="AC132" s="123">
        <f>IFERROR(IF(VLOOKUP($B132,Shortage!$A:$M,AC$2,FALSE)="Shortage",1,IFERROR(ROUND(Q132/E132,4),0)),IFERROR(ROUND(Q132/E132,4),0))</f>
        <v>0.36009999999999998</v>
      </c>
      <c r="AD132" s="123">
        <f>IFERROR(IF(VLOOKUP($B132,Shortage!$A:$M,AD$2,FALSE)="Shortage",1,IFERROR(ROUND(R132/F132,4),0)),IFERROR(ROUND(R132/F132,4),0))</f>
        <v>0</v>
      </c>
      <c r="AE132" s="123">
        <f>IFERROR(IF(VLOOKUP($B132,Shortage!$A:$M,AE$2,FALSE)="Shortage",1,IFERROR(ROUND(S132/G132,4),0)),IFERROR(ROUND(S132/G132,4),0))</f>
        <v>0</v>
      </c>
      <c r="AF132" s="123">
        <f>IFERROR(IF(VLOOKUP($B132,Shortage!$A:$M,AF$2,FALSE)="Shortage",1,IFERROR(ROUND(T132/H132,4),0)),IFERROR(ROUND(T132/H132,4),0))</f>
        <v>0</v>
      </c>
      <c r="AG132" s="123">
        <f>IFERROR(IF(VLOOKUP($B132,Shortage!$A:$M,AG$2,FALSE)="Shortage",1,IFERROR(ROUND(U132/I132,4),0)),IFERROR(ROUND(U132/I132,4),0))</f>
        <v>0</v>
      </c>
      <c r="AH132" s="123">
        <f>IFERROR(IF(VLOOKUP($B132,Shortage!$A:$M,AH$2,FALSE)="Shortage",1,IFERROR(ROUND(V132/J132,4),0)),IFERROR(ROUND(V132/J132,4),0))</f>
        <v>0</v>
      </c>
      <c r="AI132" s="123">
        <f>IFERROR(IF(VLOOKUP($B132,Shortage!$A:$M,AI$2,FALSE)="Shortage",1,IFERROR(ROUND(W132/K132,4),0)),IFERROR(ROUND(W132/K132,4),0))</f>
        <v>0</v>
      </c>
      <c r="AJ132" s="123">
        <f>IFERROR(IF(VLOOKUP($B132,Shortage!$A:$M,AP$2,FALSE)="Shortage",1,IFERROR(ROUND(X132/L132,4),0)),IFERROR(ROUND(X132/L132,4),0))</f>
        <v>0</v>
      </c>
      <c r="AK132" s="123">
        <f>IFERROR(IF(VLOOKUP($B132,Shortage!$A:$M,AK$2,FALSE)="Shortage",1,IFERROR(ROUND(Y132/M132,4),0)),IFERROR(ROUND(Y132/M132,4),0))</f>
        <v>0</v>
      </c>
      <c r="AL132" s="123">
        <f>IFERROR(IF(VLOOKUP($B132,Shortage!$A:$M,AL$2,FALSE)="Shortage",1,IFERROR(ROUND(Z132/N132,4),0)),IFERROR(ROUND(Z132/N132,4),0))</f>
        <v>0</v>
      </c>
      <c r="AM132" s="123">
        <f>IFERROR(IF(VLOOKUP($B132,Shortage!$A:$M,AM$2,FALSE)="Shortage",1,IFERROR(ROUND(AA132/O132,4),0)),IFERROR(ROUND(AA132/O132,4),0))</f>
        <v>0</v>
      </c>
      <c r="AN132" s="232">
        <f>IFERROR(IF($C132="Top WS",VLOOKUP("GOAL",'2) หลักการคำนวน Table'!$D$4:$M$4,HLOOKUP(AB132,'2) หลักการคำนวน Table'!$D$1:$M$5,5,TRUE),0),
IF($C132="WS SF",VLOOKUP("GOAL",'2) หลักการคำนวน Table'!$D$32:$M$32,HLOOKUP(AB132,'2) หลักการคำนวน Table'!$D$1:$M$5,5,TRUE),0),
IF($C132="WS WH",VLOOKUP("GOAL",'2) หลักการคำนวน Table'!$D$62:$M$62,HLOOKUP(AB132,'2) หลักการคำนวน Table'!$D$1:$M$5,5,TRUE),0),
IF($C132="SF WH",VLOOKUP("GOAL",'2) หลักการคำนวน Table'!$D$92:$M$92,HLOOKUP(AB132,'2) หลักการคำนวน Table'!$D$1:$M$5,5,TRUE),0))))),0)</f>
        <v>0.9</v>
      </c>
      <c r="AO132" s="232">
        <f>IFERROR(IF($C132="Top WS",VLOOKUP("GOAL",'2) หลักการคำนวน Table'!$D$4:$M$4,HLOOKUP(AC132,'2) หลักการคำนวน Table'!$D$1:$M$5,5,TRUE),0),
IF($C132="WS SF",VLOOKUP("GOAL",'2) หลักการคำนวน Table'!$D$32:$M$32,HLOOKUP(AC132,'2) หลักการคำนวน Table'!$D$1:$M$5,5,TRUE),0),
IF($C132="WS WH",VLOOKUP("GOAL",'2) หลักการคำนวน Table'!$D$62:$M$62,HLOOKUP(AC132,'2) หลักการคำนวน Table'!$D$1:$M$5,5,TRUE),0),
IF($C132="SF WH",VLOOKUP("GOAL",'2) หลักการคำนวน Table'!$D$92:$M$92,HLOOKUP(AC132,'2) หลักการคำนวน Table'!$D$1:$M$5,5,TRUE),0))))),0)</f>
        <v>0.9</v>
      </c>
      <c r="AP132" s="232">
        <f>IFERROR(IF($C132="Top WS",VLOOKUP("GOAL",'2) หลักการคำนวน Table'!$D$4:$M$4,HLOOKUP(AD132,'2) หลักการคำนวน Table'!$D$1:$M$5,5,TRUE),0),
IF($C132="WS SF",VLOOKUP("GOAL",'2) หลักการคำนวน Table'!$D$32:$M$32,HLOOKUP(AD132,'2) หลักการคำนวน Table'!$D$1:$M$5,5,TRUE),0),
IF($C132="WS WH",VLOOKUP("GOAL",'2) หลักการคำนวน Table'!$D$62:$M$62,HLOOKUP(AD132,'2) หลักการคำนวน Table'!$D$1:$M$5,5,TRUE),0),
IF($C132="SF WH",VLOOKUP("GOAL",'2) หลักการคำนวน Table'!$D$92:$M$92,HLOOKUP(AD132,'2) หลักการคำนวน Table'!$D$1:$M$5,5,TRUE),0))))),0)</f>
        <v>0.9</v>
      </c>
      <c r="AQ132" s="232">
        <f>IFERROR(IF($C132="Top WS",VLOOKUP("GOAL",'2) หลักการคำนวน Table'!$D$4:$M$4,HLOOKUP(AE132,'2) หลักการคำนวน Table'!$D$1:$M$5,5,TRUE),0),
IF($C132="WS SF",VLOOKUP("GOAL",'2) หลักการคำนวน Table'!$D$32:$M$32,HLOOKUP(AE132,'2) หลักการคำนวน Table'!$D$1:$M$5,5,TRUE),0),
IF($C132="WS WH",VLOOKUP("GOAL",'2) หลักการคำนวน Table'!$D$62:$M$62,HLOOKUP(AE132,'2) หลักการคำนวน Table'!$D$1:$M$5,5,TRUE),0),
IF($C132="SF WH",VLOOKUP("GOAL",'2) หลักการคำนวน Table'!$D$92:$M$92,HLOOKUP(AE132,'2) หลักการคำนวน Table'!$D$1:$M$5,5,TRUE),0))))),0)</f>
        <v>0.9</v>
      </c>
      <c r="AR132" s="232">
        <f>IFERROR(IF($C132="Top WS",VLOOKUP("GOAL",'2) หลักการคำนวน Table'!$D$4:$M$4,HLOOKUP(AF132,'2) หลักการคำนวน Table'!$D$1:$M$5,5,TRUE),0),
IF($C132="WS SF",VLOOKUP("GOAL",'2) หลักการคำนวน Table'!$D$32:$M$32,HLOOKUP(AF132,'2) หลักการคำนวน Table'!$D$1:$M$5,5,TRUE),0),
IF($C132="WS WH",VLOOKUP("GOAL",'2) หลักการคำนวน Table'!$D$62:$M$62,HLOOKUP(AF132,'2) หลักการคำนวน Table'!$D$1:$M$5,5,TRUE),0),
IF($C132="SF WH",VLOOKUP("GOAL",'2) หลักการคำนวน Table'!$D$92:$M$92,HLOOKUP(AF132,'2) หลักการคำนวน Table'!$D$1:$M$5,5,TRUE),0))))),0)</f>
        <v>0.9</v>
      </c>
      <c r="AS132" s="232">
        <f>IFERROR(IF($C132="Top WS",VLOOKUP("GOAL",'2) หลักการคำนวน Table'!$D$4:$M$4,HLOOKUP(AG132,'2) หลักการคำนวน Table'!$D$1:$M$5,5,TRUE),0),
IF($C132="WS SF",VLOOKUP("GOAL",'2) หลักการคำนวน Table'!$D$32:$M$32,HLOOKUP(AG132,'2) หลักการคำนวน Table'!$D$1:$M$5,5,TRUE),0),
IF($C132="WS WH",VLOOKUP("GOAL",'2) หลักการคำนวน Table'!$D$62:$M$62,HLOOKUP(AG132,'2) หลักการคำนวน Table'!$D$1:$M$5,5,TRUE),0),
IF($C132="SF WH",VLOOKUP("GOAL",'2) หลักการคำนวน Table'!$D$92:$M$92,HLOOKUP(AG132,'2) หลักการคำนวน Table'!$D$1:$M$5,5,TRUE),0))))),0)</f>
        <v>0.9</v>
      </c>
      <c r="AT132" s="232">
        <f>IFERROR(IF($C132="Top WS",VLOOKUP("GOAL",'2) หลักการคำนวน Table'!$D$4:$M$4,HLOOKUP(AH132,'2) หลักการคำนวน Table'!$D$1:$M$5,5,TRUE),0),
IF($C132="WS SF",VLOOKUP("GOAL",'2) หลักการคำนวน Table'!$D$32:$M$32,HLOOKUP(AH132,'2) หลักการคำนวน Table'!$D$1:$M$5,5,TRUE),0),
IF($C132="WS WH",VLOOKUP("GOAL",'2) หลักการคำนวน Table'!$D$62:$M$62,HLOOKUP(AH132,'2) หลักการคำนวน Table'!$D$1:$M$5,5,TRUE),0),
IF($C132="SF WH",VLOOKUP("GOAL",'2) หลักการคำนวน Table'!$D$92:$M$92,HLOOKUP(AH132,'2) หลักการคำนวน Table'!$D$1:$M$5,5,TRUE),0))))),0)</f>
        <v>0.9</v>
      </c>
      <c r="AU132" s="232">
        <f>IFERROR(IF($C132="Top WS",VLOOKUP("GOAL",'2) หลักการคำนวน Table'!$D$4:$M$4,HLOOKUP(AI132,'2) หลักการคำนวน Table'!$D$1:$M$5,5,TRUE),0),
IF($C132="WS SF",VLOOKUP("GOAL",'2) หลักการคำนวน Table'!$D$32:$M$32,HLOOKUP(AI132,'2) หลักการคำนวน Table'!$D$1:$M$5,5,TRUE),0),
IF($C132="WS WH",VLOOKUP("GOAL",'2) หลักการคำนวน Table'!$D$62:$M$62,HLOOKUP(AI132,'2) หลักการคำนวน Table'!$D$1:$M$5,5,TRUE),0),
IF($C132="SF WH",VLOOKUP("GOAL",'2) หลักการคำนวน Table'!$D$92:$M$92,HLOOKUP(AI132,'2) หลักการคำนวน Table'!$D$1:$M$5,5,TRUE),0))))),0)</f>
        <v>0.9</v>
      </c>
      <c r="AV132" s="232">
        <f>IFERROR(IF($C132="Top WS",VLOOKUP("GOAL",'2) หลักการคำนวน Table'!$D$4:$M$4,HLOOKUP(AP132,'2) หลักการคำนวน Table'!$D$1:$M$5,5,TRUE),0),
IF($C132="WS SF",VLOOKUP("GOAL",'2) หลักการคำนวน Table'!$D$32:$M$32,HLOOKUP(AP132,'2) หลักการคำนวน Table'!$D$1:$M$5,5,TRUE),0),
IF($C132="WS WH",VLOOKUP("GOAL",'2) หลักการคำนวน Table'!$D$62:$M$62,HLOOKUP(AP132,'2) หลักการคำนวน Table'!$D$1:$M$5,5,TRUE),0),
IF($C132="SF WH",VLOOKUP("GOAL",'2) หลักการคำนวน Table'!$D$92:$M$92,HLOOKUP(AP132,'2) หลักการคำนวน Table'!$D$1:$M$5,5,TRUE),0))))),0)</f>
        <v>0.9</v>
      </c>
      <c r="AW132" s="232">
        <f>IFERROR(IF($C132="Top WS",VLOOKUP("GOAL",'2) หลักการคำนวน Table'!$D$4:$M$4,HLOOKUP(AK132,'2) หลักการคำนวน Table'!$D$1:$M$5,5,TRUE),0),
IF($C132="WS SF",VLOOKUP("GOAL",'2) หลักการคำนวน Table'!$D$32:$M$32,HLOOKUP(AK132,'2) หลักการคำนวน Table'!$D$1:$M$5,5,TRUE),0),
IF($C132="WS WH",VLOOKUP("GOAL",'2) หลักการคำนวน Table'!$D$62:$M$62,HLOOKUP(AK132,'2) หลักการคำนวน Table'!$D$1:$M$5,5,TRUE),0),
IF($C132="SF WH",VLOOKUP("GOAL",'2) หลักการคำนวน Table'!$D$92:$M$92,HLOOKUP(AK132,'2) หลักการคำนวน Table'!$D$1:$M$5,5,TRUE),0))))),0)</f>
        <v>0.9</v>
      </c>
      <c r="AX132" s="232">
        <f>IFERROR(IF($C132="Top WS",VLOOKUP("GOAL",'2) หลักการคำนวน Table'!$D$4:$M$4,HLOOKUP(AL132,'2) หลักการคำนวน Table'!$D$1:$M$5,5,TRUE),0),
IF($C132="WS SF",VLOOKUP("GOAL",'2) หลักการคำนวน Table'!$D$32:$M$32,HLOOKUP(AL132,'2) หลักการคำนวน Table'!$D$1:$M$5,5,TRUE),0),
IF($C132="WS WH",VLOOKUP("GOAL",'2) หลักการคำนวน Table'!$D$62:$M$62,HLOOKUP(AL132,'2) หลักการคำนวน Table'!$D$1:$M$5,5,TRUE),0),
IF($C132="SF WH",VLOOKUP("GOAL",'2) หลักการคำนวน Table'!$D$92:$M$92,HLOOKUP(AL132,'2) หลักการคำนวน Table'!$D$1:$M$5,5,TRUE),0))))),0)</f>
        <v>0.9</v>
      </c>
      <c r="AY132" s="232">
        <f>IFERROR(IF($C132="Top WS",VLOOKUP("GOAL",'2) หลักการคำนวน Table'!$D$4:$M$4,HLOOKUP(AM132,'2) หลักการคำนวน Table'!$D$1:$M$5,5,TRUE),0),
IF($C132="WS SF",VLOOKUP("GOAL",'2) หลักการคำนวน Table'!$D$32:$M$32,HLOOKUP(AM132,'2) หลักการคำนวน Table'!$D$1:$M$5,5,TRUE),0),
IF($C132="WS WH",VLOOKUP("GOAL",'2) หลักการคำนวน Table'!$D$62:$M$62,HLOOKUP(AM132,'2) หลักการคำนวน Table'!$D$1:$M$5,5,TRUE),0),
IF($C132="SF WH",VLOOKUP("GOAL",'2) หลักการคำนวน Table'!$D$92:$M$92,HLOOKUP(AM132,'2) หลักการคำนวน Table'!$D$1:$M$5,5,TRUE),0))))),0)</f>
        <v>0.9</v>
      </c>
      <c r="AZ132" s="167">
        <f>IFERROR(IF($C132="Top WS",VLOOKUP($B132,'2) หลักการคำนวน Table'!$D$5:$M$20,HLOOKUP(AB132,'2) หลักการคำนวน Table'!$D$1:$M$5,5,TRUE),0),
IF($C132="WS SF",VLOOKUP($B132,'2) หลักการคำนวน Table'!$D$33:$M$48,HLOOKUP(AB132,'2) หลักการคำนวน Table'!$D$1:$M$5,5,TRUE),0),
IF($C132="WS WH",VLOOKUP($B132,'2) หลักการคำนวน Table'!$D$63:$M$78,HLOOKUP(AB132,'2) หลักการคำนวน Table'!$D$1:$M$5,5,TRUE),0),
IF($C132="SF WH",VLOOKUP($B132,'2) หลักการคำนวน Table'!$D$93:$M$108,HLOOKUP(AB132,'2) หลักการคำนวน Table'!$D$1:$M$5,5,TRUE),0))))),0)</f>
        <v>180</v>
      </c>
      <c r="BA132" s="167">
        <f>IFERROR(IF($C132="Top WS",VLOOKUP($B132,'2) หลักการคำนวน Table'!$D$5:$M$20,HLOOKUP(AC132,'2) หลักการคำนวน Table'!$D$1:$M$5,5,TRUE),0),
IF($C132="WS SF",VLOOKUP($B132,'2) หลักการคำนวน Table'!$D$33:$M$48,HLOOKUP(AC132,'2) หลักการคำนวน Table'!$D$1:$M$5,5,TRUE),0),
IF($C132="WS WH",VLOOKUP($B132,'2) หลักการคำนวน Table'!$D$63:$M$78,HLOOKUP(AC132,'2) หลักการคำนวน Table'!$D$1:$M$5,5,TRUE),0),
IF($C132="SF WH",VLOOKUP($B132,'2) หลักการคำนวน Table'!$D$93:$M$108,HLOOKUP(AC132,'2) หลักการคำนวน Table'!$D$1:$M$5,5,TRUE),0))))),0)</f>
        <v>180</v>
      </c>
      <c r="BB132" s="167">
        <f>IFERROR(IF($C132="Top WS",VLOOKUP($B132,'2) หลักการคำนวน Table'!$D$5:$M$20,HLOOKUP(AD132,'2) หลักการคำนวน Table'!$D$1:$M$5,5,TRUE),0),
IF($C132="WS SF",VLOOKUP($B132,'2) หลักการคำนวน Table'!$D$33:$M$48,HLOOKUP(AD132,'2) หลักการคำนวน Table'!$D$1:$M$5,5,TRUE),0),
IF($C132="WS WH",VLOOKUP($B132,'2) หลักการคำนวน Table'!$D$63:$M$78,HLOOKUP(AD132,'2) หลักการคำนวน Table'!$D$1:$M$5,5,TRUE),0),
IF($C132="SF WH",VLOOKUP($B132,'2) หลักการคำนวน Table'!$D$93:$M$108,HLOOKUP(AD132,'2) หลักการคำนวน Table'!$D$1:$M$5,5,TRUE),0))))),0)</f>
        <v>180</v>
      </c>
      <c r="BC132" s="167">
        <f>IFERROR(IF($C132="Top WS",VLOOKUP($B132,'2) หลักการคำนวน Table'!$D$5:$M$20,HLOOKUP(AE132,'2) หลักการคำนวน Table'!$D$1:$M$5,5,TRUE),0),
IF($C132="WS SF",VLOOKUP($B132,'2) หลักการคำนวน Table'!$D$33:$M$48,HLOOKUP(AE132,'2) หลักการคำนวน Table'!$D$1:$M$5,5,TRUE),0),
IF($C132="WS WH",VLOOKUP($B132,'2) หลักการคำนวน Table'!$D$63:$M$78,HLOOKUP(AE132,'2) หลักการคำนวน Table'!$D$1:$M$5,5,TRUE),0),
IF($C132="SF WH",VLOOKUP($B132,'2) หลักการคำนวน Table'!$D$93:$M$108,HLOOKUP(AE132,'2) หลักการคำนวน Table'!$D$1:$M$5,5,TRUE),0))))),0)</f>
        <v>180</v>
      </c>
      <c r="BD132" s="167">
        <f>IFERROR(IF($C132="Top WS",VLOOKUP($B132,'2) หลักการคำนวน Table'!$D$5:$M$20,HLOOKUP(AF132,'2) หลักการคำนวน Table'!$D$1:$M$5,5,TRUE),0),
IF($C132="WS SF",VLOOKUP($B132,'2) หลักการคำนวน Table'!$D$33:$M$48,HLOOKUP(AF132,'2) หลักการคำนวน Table'!$D$1:$M$5,5,TRUE),0),
IF($C132="WS WH",VLOOKUP($B132,'2) หลักการคำนวน Table'!$D$63:$M$78,HLOOKUP(AF132,'2) หลักการคำนวน Table'!$D$1:$M$5,5,TRUE),0),
IF($C132="SF WH",VLOOKUP($B132,'2) หลักการคำนวน Table'!$D$93:$M$108,HLOOKUP(AF132,'2) หลักการคำนวน Table'!$D$1:$M$5,5,TRUE),0))))),0)</f>
        <v>180</v>
      </c>
      <c r="BE132" s="167">
        <f>IFERROR(IF($C132="Top WS",VLOOKUP($B132,'2) หลักการคำนวน Table'!$D$5:$M$20,HLOOKUP(AG132,'2) หลักการคำนวน Table'!$D$1:$M$5,5,TRUE),0),
IF($C132="WS SF",VLOOKUP($B132,'2) หลักการคำนวน Table'!$D$33:$M$48,HLOOKUP(AG132,'2) หลักการคำนวน Table'!$D$1:$M$5,5,TRUE),0),
IF($C132="WS WH",VLOOKUP($B132,'2) หลักการคำนวน Table'!$D$63:$M$78,HLOOKUP(AG132,'2) หลักการคำนวน Table'!$D$1:$M$5,5,TRUE),0),
IF($C132="SF WH",VLOOKUP($B132,'2) หลักการคำนวน Table'!$D$93:$M$108,HLOOKUP(AG132,'2) หลักการคำนวน Table'!$D$1:$M$5,5,TRUE),0))))),0)</f>
        <v>180</v>
      </c>
      <c r="BF132" s="167">
        <f>IFERROR(IF($C132="Top WS",VLOOKUP($B132,'2) หลักการคำนวน Table'!$D$5:$M$20,HLOOKUP(AH132,'2) หลักการคำนวน Table'!$D$1:$M$5,5,TRUE),0),
IF($C132="WS SF",VLOOKUP($B132,'2) หลักการคำนวน Table'!$D$33:$M$48,HLOOKUP(AH132,'2) หลักการคำนวน Table'!$D$1:$M$5,5,TRUE),0),
IF($C132="WS WH",VLOOKUP($B132,'2) หลักการคำนวน Table'!$D$63:$M$78,HLOOKUP(AH132,'2) หลักการคำนวน Table'!$D$1:$M$5,5,TRUE),0),
IF($C132="SF WH",VLOOKUP($B132,'2) หลักการคำนวน Table'!$D$93:$M$108,HLOOKUP(AH132,'2) หลักการคำนวน Table'!$D$1:$M$5,5,TRUE),0))))),0)</f>
        <v>180</v>
      </c>
      <c r="BG132" s="167">
        <f>IFERROR(IF($C132="Top WS",VLOOKUP($B132,'2) หลักการคำนวน Table'!$D$5:$M$20,HLOOKUP(AI132,'2) หลักการคำนวน Table'!$D$1:$M$5,5,TRUE),0),
IF($C132="WS SF",VLOOKUP($B132,'2) หลักการคำนวน Table'!$D$33:$M$48,HLOOKUP(AI132,'2) หลักการคำนวน Table'!$D$1:$M$5,5,TRUE),0),
IF($C132="WS WH",VLOOKUP($B132,'2) หลักการคำนวน Table'!$D$63:$M$78,HLOOKUP(AI132,'2) หลักการคำนวน Table'!$D$1:$M$5,5,TRUE),0),
IF($C132="SF WH",VLOOKUP($B132,'2) หลักการคำนวน Table'!$D$93:$M$108,HLOOKUP(AI132,'2) หลักการคำนวน Table'!$D$1:$M$5,5,TRUE),0))))),0)</f>
        <v>180</v>
      </c>
      <c r="BH132" s="167">
        <f>IFERROR(IF($C132="Top WS",VLOOKUP($B132,'2) หลักการคำนวน Table'!$D$5:$M$20,HLOOKUP(AP132,'2) หลักการคำนวน Table'!$D$1:$M$5,5,TRUE),0),
IF($C132="WS SF",VLOOKUP($B132,'2) หลักการคำนวน Table'!$D$33:$M$48,HLOOKUP(AP132,'2) หลักการคำนวน Table'!$D$1:$M$5,5,TRUE),0),
IF($C132="WS WH",VLOOKUP($B132,'2) หลักการคำนวน Table'!$D$63:$M$78,HLOOKUP(AP132,'2) หลักการคำนวน Table'!$D$1:$M$5,5,TRUE),0),
IF($C132="SF WH",VLOOKUP($B132,'2) หลักการคำนวน Table'!$D$93:$M$108,HLOOKUP(AP132,'2) หลักการคำนวน Table'!$D$1:$M$5,5,TRUE),0))))),0)</f>
        <v>180</v>
      </c>
      <c r="BI132" s="167">
        <f>IFERROR(IF($C132="Top WS",VLOOKUP($B132,'2) หลักการคำนวน Table'!$D$5:$M$20,HLOOKUP(AK132,'2) หลักการคำนวน Table'!$D$1:$M$5,5,TRUE),0),
IF($C132="WS SF",VLOOKUP($B132,'2) หลักการคำนวน Table'!$D$33:$M$48,HLOOKUP(AK132,'2) หลักการคำนวน Table'!$D$1:$M$5,5,TRUE),0),
IF($C132="WS WH",VLOOKUP($B132,'2) หลักการคำนวน Table'!$D$63:$M$78,HLOOKUP(AK132,'2) หลักการคำนวน Table'!$D$1:$M$5,5,TRUE),0),
IF($C132="SF WH",VLOOKUP($B132,'2) หลักการคำนวน Table'!$D$93:$M$108,HLOOKUP(AK132,'2) หลักการคำนวน Table'!$D$1:$M$5,5,TRUE),0))))),0)</f>
        <v>180</v>
      </c>
      <c r="BJ132" s="167">
        <f>IFERROR(IF($C132="Top WS",VLOOKUP($B132,'2) หลักการคำนวน Table'!$D$5:$M$20,HLOOKUP(AL132,'2) หลักการคำนวน Table'!$D$1:$M$5,5,TRUE),0),
IF($C132="WS SF",VLOOKUP($B132,'2) หลักการคำนวน Table'!$D$33:$M$48,HLOOKUP(AL132,'2) หลักการคำนวน Table'!$D$1:$M$5,5,TRUE),0),
IF($C132="WS WH",VLOOKUP($B132,'2) หลักการคำนวน Table'!$D$63:$M$78,HLOOKUP(AL132,'2) หลักการคำนวน Table'!$D$1:$M$5,5,TRUE),0),
IF($C132="SF WH",VLOOKUP($B132,'2) หลักการคำนวน Table'!$D$93:$M$108,HLOOKUP(AL132,'2) หลักการคำนวน Table'!$D$1:$M$5,5,TRUE),0))))),0)</f>
        <v>180</v>
      </c>
      <c r="BK132" s="167">
        <f>IFERROR(IF($C132="Top WS",VLOOKUP($B132,'2) หลักการคำนวน Table'!$D$5:$M$20,HLOOKUP(AM132,'2) หลักการคำนวน Table'!$D$1:$M$5,5,TRUE),0),
IF($C132="WS SF",VLOOKUP($B132,'2) หลักการคำนวน Table'!$D$33:$M$48,HLOOKUP(AM132,'2) หลักการคำนวน Table'!$D$1:$M$5,5,TRUE),0),
IF($C132="WS WH",VLOOKUP($B132,'2) หลักการคำนวน Table'!$D$63:$M$78,HLOOKUP(AM132,'2) หลักการคำนวน Table'!$D$1:$M$5,5,TRUE),0),
IF($C132="SF WH",VLOOKUP($B132,'2) หลักการคำนวน Table'!$D$93:$M$108,HLOOKUP(AM132,'2) หลักการคำนวน Table'!$D$1:$M$5,5,TRUE),0))))),0)</f>
        <v>180</v>
      </c>
      <c r="BM132" s="119">
        <f>VLOOKUP(VLOOKUP(A132,ASTBase!E:S,13,FALSE),ASTBase!F:P,11,FALSE)</f>
        <v>130000</v>
      </c>
      <c r="BN132" s="196" cm="1">
        <f t="array" ref="BN132">INDEX(AN132:AY132,,Period!$D$2)</f>
        <v>0.9</v>
      </c>
    </row>
    <row r="133" spans="1:66" x14ac:dyDescent="0.25">
      <c r="A133" s="117">
        <v>130001</v>
      </c>
      <c r="B133" s="117" t="s">
        <v>405</v>
      </c>
      <c r="C133" s="117" t="s">
        <v>178</v>
      </c>
      <c r="D133" s="118">
        <v>733</v>
      </c>
      <c r="E133" s="118">
        <v>698</v>
      </c>
      <c r="F133" s="118">
        <v>733</v>
      </c>
      <c r="G133" s="118">
        <v>498</v>
      </c>
      <c r="H133" s="118">
        <v>421</v>
      </c>
      <c r="I133" s="118">
        <v>733</v>
      </c>
      <c r="J133" s="118">
        <v>519</v>
      </c>
      <c r="K133" s="118">
        <v>536</v>
      </c>
      <c r="L133" s="118">
        <v>372</v>
      </c>
      <c r="M133" s="118">
        <v>495</v>
      </c>
      <c r="N133" s="118">
        <v>686</v>
      </c>
      <c r="O133" s="118">
        <v>700</v>
      </c>
      <c r="P133" s="117">
        <f>SUMIFS(Actual!C:C,Actual!$A:$A,'3)Target &amp; Cal'!$A133,Actual!$B:$B,'3)Target &amp; Cal'!$B133)</f>
        <v>502.40000000000003</v>
      </c>
      <c r="Q133" s="117">
        <f>SUMIFS(Actual!D:D,Actual!$A:$A,'3)Target &amp; Cal'!$A133,Actual!$B:$B,'3)Target &amp; Cal'!$B133)</f>
        <v>747.19999999999993</v>
      </c>
      <c r="R133" s="117">
        <f>SUMIFS(Actual!E:E,Actual!$A:$A,'3)Target &amp; Cal'!$A133,Actual!$B:$B,'3)Target &amp; Cal'!$B133)</f>
        <v>0</v>
      </c>
      <c r="S133" s="117">
        <f>SUMIFS(Actual!F:F,Actual!$A:$A,'3)Target &amp; Cal'!$A133,Actual!$B:$B,'3)Target &amp; Cal'!$B133)</f>
        <v>0</v>
      </c>
      <c r="T133" s="117">
        <f>SUMIFS(Actual!G:G,Actual!$A:$A,'3)Target &amp; Cal'!$A133,Actual!$B:$B,'3)Target &amp; Cal'!$B133)</f>
        <v>0</v>
      </c>
      <c r="U133" s="117">
        <f>SUMIFS(Actual!H:H,Actual!$A:$A,'3)Target &amp; Cal'!$A133,Actual!$B:$B,'3)Target &amp; Cal'!$B133)</f>
        <v>0</v>
      </c>
      <c r="V133" s="117">
        <f>SUMIFS(Actual!I:I,Actual!$A:$A,'3)Target &amp; Cal'!$A133,Actual!$B:$B,'3)Target &amp; Cal'!$B133)</f>
        <v>0</v>
      </c>
      <c r="W133" s="117">
        <f>SUMIFS(Actual!J:J,Actual!$A:$A,'3)Target &amp; Cal'!$A133,Actual!$B:$B,'3)Target &amp; Cal'!$B133)</f>
        <v>0</v>
      </c>
      <c r="X133" s="117">
        <f>SUMIFS(Actual!K:K,Actual!$A:$A,'3)Target &amp; Cal'!$A133,Actual!$B:$B,'3)Target &amp; Cal'!$B133)</f>
        <v>0</v>
      </c>
      <c r="Y133" s="117">
        <f>SUMIFS(Actual!L:L,Actual!$A:$A,'3)Target &amp; Cal'!$A133,Actual!$B:$B,'3)Target &amp; Cal'!$B133)</f>
        <v>0</v>
      </c>
      <c r="Z133" s="117">
        <f>SUMIFS(Actual!M:M,Actual!$A:$A,'3)Target &amp; Cal'!$A133,Actual!$B:$B,'3)Target &amp; Cal'!$B133)</f>
        <v>0</v>
      </c>
      <c r="AA133" s="117">
        <f>SUMIFS(Actual!N:N,Actual!$A:$A,'3)Target &amp; Cal'!$A133,Actual!$B:$B,'3)Target &amp; Cal'!$B133)</f>
        <v>0</v>
      </c>
      <c r="AB133" s="123">
        <f>IFERROR(IF(VLOOKUP($B133,Shortage!$A:$M,AB$2,FALSE)="Shortage",1,IFERROR(ROUND(P133/D133,4),0)),IFERROR(ROUND(P133/D133,4),0))</f>
        <v>0.68540000000000001</v>
      </c>
      <c r="AC133" s="123">
        <f>IFERROR(IF(VLOOKUP($B133,Shortage!$A:$M,AC$2,FALSE)="Shortage",1,IFERROR(ROUND(Q133/E133,4),0)),IFERROR(ROUND(Q133/E133,4),0))</f>
        <v>1.0705</v>
      </c>
      <c r="AD133" s="123">
        <f>IFERROR(IF(VLOOKUP($B133,Shortage!$A:$M,AD$2,FALSE)="Shortage",1,IFERROR(ROUND(R133/F133,4),0)),IFERROR(ROUND(R133/F133,4),0))</f>
        <v>0</v>
      </c>
      <c r="AE133" s="123">
        <f>IFERROR(IF(VLOOKUP($B133,Shortage!$A:$M,AE$2,FALSE)="Shortage",1,IFERROR(ROUND(S133/G133,4),0)),IFERROR(ROUND(S133/G133,4),0))</f>
        <v>0</v>
      </c>
      <c r="AF133" s="123">
        <f>IFERROR(IF(VLOOKUP($B133,Shortage!$A:$M,AF$2,FALSE)="Shortage",1,IFERROR(ROUND(T133/H133,4),0)),IFERROR(ROUND(T133/H133,4),0))</f>
        <v>0</v>
      </c>
      <c r="AG133" s="123">
        <f>IFERROR(IF(VLOOKUP($B133,Shortage!$A:$M,AG$2,FALSE)="Shortage",1,IFERROR(ROUND(U133/I133,4),0)),IFERROR(ROUND(U133/I133,4),0))</f>
        <v>0</v>
      </c>
      <c r="AH133" s="123">
        <f>IFERROR(IF(VLOOKUP($B133,Shortage!$A:$M,AH$2,FALSE)="Shortage",1,IFERROR(ROUND(V133/J133,4),0)),IFERROR(ROUND(V133/J133,4),0))</f>
        <v>0</v>
      </c>
      <c r="AI133" s="123">
        <f>IFERROR(IF(VLOOKUP($B133,Shortage!$A:$M,AI$2,FALSE)="Shortage",1,IFERROR(ROUND(W133/K133,4),0)),IFERROR(ROUND(W133/K133,4),0))</f>
        <v>0</v>
      </c>
      <c r="AJ133" s="123">
        <f>IFERROR(IF(VLOOKUP($B133,Shortage!$A:$M,AP$2,FALSE)="Shortage",1,IFERROR(ROUND(X133/L133,4),0)),IFERROR(ROUND(X133/L133,4),0))</f>
        <v>0</v>
      </c>
      <c r="AK133" s="123">
        <f>IFERROR(IF(VLOOKUP($B133,Shortage!$A:$M,AK$2,FALSE)="Shortage",1,IFERROR(ROUND(Y133/M133,4),0)),IFERROR(ROUND(Y133/M133,4),0))</f>
        <v>0</v>
      </c>
      <c r="AL133" s="123">
        <f>IFERROR(IF(VLOOKUP($B133,Shortage!$A:$M,AL$2,FALSE)="Shortage",1,IFERROR(ROUND(Z133/N133,4),0)),IFERROR(ROUND(Z133/N133,4),0))</f>
        <v>0</v>
      </c>
      <c r="AM133" s="123">
        <f>IFERROR(IF(VLOOKUP($B133,Shortage!$A:$M,AM$2,FALSE)="Shortage",1,IFERROR(ROUND(AA133/O133,4),0)),IFERROR(ROUND(AA133/O133,4),0))</f>
        <v>0</v>
      </c>
      <c r="AN133" s="232">
        <f>IFERROR(IF($C133="Top WS",VLOOKUP("GOAL",'2) หลักการคำนวน Table'!$D$4:$M$4,HLOOKUP(AB133,'2) หลักการคำนวน Table'!$D$1:$M$5,5,TRUE),0),
IF($C133="WS SF",VLOOKUP("GOAL",'2) หลักการคำนวน Table'!$D$32:$M$32,HLOOKUP(AB133,'2) หลักการคำนวน Table'!$D$1:$M$5,5,TRUE),0),
IF($C133="WS WH",VLOOKUP("GOAL",'2) หลักการคำนวน Table'!$D$62:$M$62,HLOOKUP(AB133,'2) หลักการคำนวน Table'!$D$1:$M$5,5,TRUE),0),
IF($C133="SF WH",VLOOKUP("GOAL",'2) หลักการคำนวน Table'!$D$92:$M$92,HLOOKUP(AB133,'2) หลักการคำนวน Table'!$D$1:$M$5,5,TRUE),0))))),0)</f>
        <v>0.9</v>
      </c>
      <c r="AO133" s="232">
        <f>IFERROR(IF($C133="Top WS",VLOOKUP("GOAL",'2) หลักการคำนวน Table'!$D$4:$M$4,HLOOKUP(AC133,'2) หลักการคำนวน Table'!$D$1:$M$5,5,TRUE),0),
IF($C133="WS SF",VLOOKUP("GOAL",'2) หลักการคำนวน Table'!$D$32:$M$32,HLOOKUP(AC133,'2) หลักการคำนวน Table'!$D$1:$M$5,5,TRUE),0),
IF($C133="WS WH",VLOOKUP("GOAL",'2) หลักการคำนวน Table'!$D$62:$M$62,HLOOKUP(AC133,'2) หลักการคำนวน Table'!$D$1:$M$5,5,TRUE),0),
IF($C133="SF WH",VLOOKUP("GOAL",'2) หลักการคำนวน Table'!$D$92:$M$92,HLOOKUP(AC133,'2) หลักการคำนวน Table'!$D$1:$M$5,5,TRUE),0))))),0)</f>
        <v>1.1000000000000001</v>
      </c>
      <c r="AP133" s="232">
        <f>IFERROR(IF($C133="Top WS",VLOOKUP("GOAL",'2) หลักการคำนวน Table'!$D$4:$M$4,HLOOKUP(AD133,'2) หลักการคำนวน Table'!$D$1:$M$5,5,TRUE),0),
IF($C133="WS SF",VLOOKUP("GOAL",'2) หลักการคำนวน Table'!$D$32:$M$32,HLOOKUP(AD133,'2) หลักการคำนวน Table'!$D$1:$M$5,5,TRUE),0),
IF($C133="WS WH",VLOOKUP("GOAL",'2) หลักการคำนวน Table'!$D$62:$M$62,HLOOKUP(AD133,'2) หลักการคำนวน Table'!$D$1:$M$5,5,TRUE),0),
IF($C133="SF WH",VLOOKUP("GOAL",'2) หลักการคำนวน Table'!$D$92:$M$92,HLOOKUP(AD133,'2) หลักการคำนวน Table'!$D$1:$M$5,5,TRUE),0))))),0)</f>
        <v>0.9</v>
      </c>
      <c r="AQ133" s="232">
        <f>IFERROR(IF($C133="Top WS",VLOOKUP("GOAL",'2) หลักการคำนวน Table'!$D$4:$M$4,HLOOKUP(AE133,'2) หลักการคำนวน Table'!$D$1:$M$5,5,TRUE),0),
IF($C133="WS SF",VLOOKUP("GOAL",'2) หลักการคำนวน Table'!$D$32:$M$32,HLOOKUP(AE133,'2) หลักการคำนวน Table'!$D$1:$M$5,5,TRUE),0),
IF($C133="WS WH",VLOOKUP("GOAL",'2) หลักการคำนวน Table'!$D$62:$M$62,HLOOKUP(AE133,'2) หลักการคำนวน Table'!$D$1:$M$5,5,TRUE),0),
IF($C133="SF WH",VLOOKUP("GOAL",'2) หลักการคำนวน Table'!$D$92:$M$92,HLOOKUP(AE133,'2) หลักการคำนวน Table'!$D$1:$M$5,5,TRUE),0))))),0)</f>
        <v>0.9</v>
      </c>
      <c r="AR133" s="232">
        <f>IFERROR(IF($C133="Top WS",VLOOKUP("GOAL",'2) หลักการคำนวน Table'!$D$4:$M$4,HLOOKUP(AF133,'2) หลักการคำนวน Table'!$D$1:$M$5,5,TRUE),0),
IF($C133="WS SF",VLOOKUP("GOAL",'2) หลักการคำนวน Table'!$D$32:$M$32,HLOOKUP(AF133,'2) หลักการคำนวน Table'!$D$1:$M$5,5,TRUE),0),
IF($C133="WS WH",VLOOKUP("GOAL",'2) หลักการคำนวน Table'!$D$62:$M$62,HLOOKUP(AF133,'2) หลักการคำนวน Table'!$D$1:$M$5,5,TRUE),0),
IF($C133="SF WH",VLOOKUP("GOAL",'2) หลักการคำนวน Table'!$D$92:$M$92,HLOOKUP(AF133,'2) หลักการคำนวน Table'!$D$1:$M$5,5,TRUE),0))))),0)</f>
        <v>0.9</v>
      </c>
      <c r="AS133" s="232">
        <f>IFERROR(IF($C133="Top WS",VLOOKUP("GOAL",'2) หลักการคำนวน Table'!$D$4:$M$4,HLOOKUP(AG133,'2) หลักการคำนวน Table'!$D$1:$M$5,5,TRUE),0),
IF($C133="WS SF",VLOOKUP("GOAL",'2) หลักการคำนวน Table'!$D$32:$M$32,HLOOKUP(AG133,'2) หลักการคำนวน Table'!$D$1:$M$5,5,TRUE),0),
IF($C133="WS WH",VLOOKUP("GOAL",'2) หลักการคำนวน Table'!$D$62:$M$62,HLOOKUP(AG133,'2) หลักการคำนวน Table'!$D$1:$M$5,5,TRUE),0),
IF($C133="SF WH",VLOOKUP("GOAL",'2) หลักการคำนวน Table'!$D$92:$M$92,HLOOKUP(AG133,'2) หลักการคำนวน Table'!$D$1:$M$5,5,TRUE),0))))),0)</f>
        <v>0.9</v>
      </c>
      <c r="AT133" s="232">
        <f>IFERROR(IF($C133="Top WS",VLOOKUP("GOAL",'2) หลักการคำนวน Table'!$D$4:$M$4,HLOOKUP(AH133,'2) หลักการคำนวน Table'!$D$1:$M$5,5,TRUE),0),
IF($C133="WS SF",VLOOKUP("GOAL",'2) หลักการคำนวน Table'!$D$32:$M$32,HLOOKUP(AH133,'2) หลักการคำนวน Table'!$D$1:$M$5,5,TRUE),0),
IF($C133="WS WH",VLOOKUP("GOAL",'2) หลักการคำนวน Table'!$D$62:$M$62,HLOOKUP(AH133,'2) หลักการคำนวน Table'!$D$1:$M$5,5,TRUE),0),
IF($C133="SF WH",VLOOKUP("GOAL",'2) หลักการคำนวน Table'!$D$92:$M$92,HLOOKUP(AH133,'2) หลักการคำนวน Table'!$D$1:$M$5,5,TRUE),0))))),0)</f>
        <v>0.9</v>
      </c>
      <c r="AU133" s="232">
        <f>IFERROR(IF($C133="Top WS",VLOOKUP("GOAL",'2) หลักการคำนวน Table'!$D$4:$M$4,HLOOKUP(AI133,'2) หลักการคำนวน Table'!$D$1:$M$5,5,TRUE),0),
IF($C133="WS SF",VLOOKUP("GOAL",'2) หลักการคำนวน Table'!$D$32:$M$32,HLOOKUP(AI133,'2) หลักการคำนวน Table'!$D$1:$M$5,5,TRUE),0),
IF($C133="WS WH",VLOOKUP("GOAL",'2) หลักการคำนวน Table'!$D$62:$M$62,HLOOKUP(AI133,'2) หลักการคำนวน Table'!$D$1:$M$5,5,TRUE),0),
IF($C133="SF WH",VLOOKUP("GOAL",'2) หลักการคำนวน Table'!$D$92:$M$92,HLOOKUP(AI133,'2) หลักการคำนวน Table'!$D$1:$M$5,5,TRUE),0))))),0)</f>
        <v>0.9</v>
      </c>
      <c r="AV133" s="232">
        <f>IFERROR(IF($C133="Top WS",VLOOKUP("GOAL",'2) หลักการคำนวน Table'!$D$4:$M$4,HLOOKUP(AP133,'2) หลักการคำนวน Table'!$D$1:$M$5,5,TRUE),0),
IF($C133="WS SF",VLOOKUP("GOAL",'2) หลักการคำนวน Table'!$D$32:$M$32,HLOOKUP(AP133,'2) หลักการคำนวน Table'!$D$1:$M$5,5,TRUE),0),
IF($C133="WS WH",VLOOKUP("GOAL",'2) หลักการคำนวน Table'!$D$62:$M$62,HLOOKUP(AP133,'2) หลักการคำนวน Table'!$D$1:$M$5,5,TRUE),0),
IF($C133="SF WH",VLOOKUP("GOAL",'2) หลักการคำนวน Table'!$D$92:$M$92,HLOOKUP(AP133,'2) หลักการคำนวน Table'!$D$1:$M$5,5,TRUE),0))))),0)</f>
        <v>0.9</v>
      </c>
      <c r="AW133" s="232">
        <f>IFERROR(IF($C133="Top WS",VLOOKUP("GOAL",'2) หลักการคำนวน Table'!$D$4:$M$4,HLOOKUP(AK133,'2) หลักการคำนวน Table'!$D$1:$M$5,5,TRUE),0),
IF($C133="WS SF",VLOOKUP("GOAL",'2) หลักการคำนวน Table'!$D$32:$M$32,HLOOKUP(AK133,'2) หลักการคำนวน Table'!$D$1:$M$5,5,TRUE),0),
IF($C133="WS WH",VLOOKUP("GOAL",'2) หลักการคำนวน Table'!$D$62:$M$62,HLOOKUP(AK133,'2) หลักการคำนวน Table'!$D$1:$M$5,5,TRUE),0),
IF($C133="SF WH",VLOOKUP("GOAL",'2) หลักการคำนวน Table'!$D$92:$M$92,HLOOKUP(AK133,'2) หลักการคำนวน Table'!$D$1:$M$5,5,TRUE),0))))),0)</f>
        <v>0.9</v>
      </c>
      <c r="AX133" s="232">
        <f>IFERROR(IF($C133="Top WS",VLOOKUP("GOAL",'2) หลักการคำนวน Table'!$D$4:$M$4,HLOOKUP(AL133,'2) หลักการคำนวน Table'!$D$1:$M$5,5,TRUE),0),
IF($C133="WS SF",VLOOKUP("GOAL",'2) หลักการคำนวน Table'!$D$32:$M$32,HLOOKUP(AL133,'2) หลักการคำนวน Table'!$D$1:$M$5,5,TRUE),0),
IF($C133="WS WH",VLOOKUP("GOAL",'2) หลักการคำนวน Table'!$D$62:$M$62,HLOOKUP(AL133,'2) หลักการคำนวน Table'!$D$1:$M$5,5,TRUE),0),
IF($C133="SF WH",VLOOKUP("GOAL",'2) หลักการคำนวน Table'!$D$92:$M$92,HLOOKUP(AL133,'2) หลักการคำนวน Table'!$D$1:$M$5,5,TRUE),0))))),0)</f>
        <v>0.9</v>
      </c>
      <c r="AY133" s="232">
        <f>IFERROR(IF($C133="Top WS",VLOOKUP("GOAL",'2) หลักการคำนวน Table'!$D$4:$M$4,HLOOKUP(AM133,'2) หลักการคำนวน Table'!$D$1:$M$5,5,TRUE),0),
IF($C133="WS SF",VLOOKUP("GOAL",'2) หลักการคำนวน Table'!$D$32:$M$32,HLOOKUP(AM133,'2) หลักการคำนวน Table'!$D$1:$M$5,5,TRUE),0),
IF($C133="WS WH",VLOOKUP("GOAL",'2) หลักการคำนวน Table'!$D$62:$M$62,HLOOKUP(AM133,'2) หลักการคำนวน Table'!$D$1:$M$5,5,TRUE),0),
IF($C133="SF WH",VLOOKUP("GOAL",'2) หลักการคำนวน Table'!$D$92:$M$92,HLOOKUP(AM133,'2) หลักการคำนวน Table'!$D$1:$M$5,5,TRUE),0))))),0)</f>
        <v>0.9</v>
      </c>
      <c r="AZ133" s="167">
        <f>IFERROR(IF($C133="Top WS",VLOOKUP($B133,'2) หลักการคำนวน Table'!$D$5:$M$20,HLOOKUP(AB133,'2) หลักการคำนวน Table'!$D$1:$M$5,5,TRUE),0),
IF($C133="WS SF",VLOOKUP($B133,'2) หลักการคำนวน Table'!$D$33:$M$48,HLOOKUP(AB133,'2) หลักการคำนวน Table'!$D$1:$M$5,5,TRUE),0),
IF($C133="WS WH",VLOOKUP($B133,'2) หลักการคำนวน Table'!$D$63:$M$78,HLOOKUP(AB133,'2) หลักการคำนวน Table'!$D$1:$M$5,5,TRUE),0),
IF($C133="SF WH",VLOOKUP($B133,'2) หลักการคำนวน Table'!$D$93:$M$108,HLOOKUP(AB133,'2) หลักการคำนวน Table'!$D$1:$M$5,5,TRUE),0))))),0)</f>
        <v>360</v>
      </c>
      <c r="BA133" s="167">
        <f>IFERROR(IF($C133="Top WS",VLOOKUP($B133,'2) หลักการคำนวน Table'!$D$5:$M$20,HLOOKUP(AC133,'2) หลักการคำนวน Table'!$D$1:$M$5,5,TRUE),0),
IF($C133="WS SF",VLOOKUP($B133,'2) หลักการคำนวน Table'!$D$33:$M$48,HLOOKUP(AC133,'2) หลักการคำนวน Table'!$D$1:$M$5,5,TRUE),0),
IF($C133="WS WH",VLOOKUP($B133,'2) หลักการคำนวน Table'!$D$63:$M$78,HLOOKUP(AC133,'2) หลักการคำนวน Table'!$D$1:$M$5,5,TRUE),0),
IF($C133="SF WH",VLOOKUP($B133,'2) หลักการคำนวน Table'!$D$93:$M$108,HLOOKUP(AC133,'2) หลักการคำนวน Table'!$D$1:$M$5,5,TRUE),0))))),0)</f>
        <v>440</v>
      </c>
      <c r="BB133" s="167">
        <f>IFERROR(IF($C133="Top WS",VLOOKUP($B133,'2) หลักการคำนวน Table'!$D$5:$M$20,HLOOKUP(AD133,'2) หลักการคำนวน Table'!$D$1:$M$5,5,TRUE),0),
IF($C133="WS SF",VLOOKUP($B133,'2) หลักการคำนวน Table'!$D$33:$M$48,HLOOKUP(AD133,'2) หลักการคำนวน Table'!$D$1:$M$5,5,TRUE),0),
IF($C133="WS WH",VLOOKUP($B133,'2) หลักการคำนวน Table'!$D$63:$M$78,HLOOKUP(AD133,'2) หลักการคำนวน Table'!$D$1:$M$5,5,TRUE),0),
IF($C133="SF WH",VLOOKUP($B133,'2) หลักการคำนวน Table'!$D$93:$M$108,HLOOKUP(AD133,'2) หลักการคำนวน Table'!$D$1:$M$5,5,TRUE),0))))),0)</f>
        <v>360</v>
      </c>
      <c r="BC133" s="167">
        <f>IFERROR(IF($C133="Top WS",VLOOKUP($B133,'2) หลักการคำนวน Table'!$D$5:$M$20,HLOOKUP(AE133,'2) หลักการคำนวน Table'!$D$1:$M$5,5,TRUE),0),
IF($C133="WS SF",VLOOKUP($B133,'2) หลักการคำนวน Table'!$D$33:$M$48,HLOOKUP(AE133,'2) หลักการคำนวน Table'!$D$1:$M$5,5,TRUE),0),
IF($C133="WS WH",VLOOKUP($B133,'2) หลักการคำนวน Table'!$D$63:$M$78,HLOOKUP(AE133,'2) หลักการคำนวน Table'!$D$1:$M$5,5,TRUE),0),
IF($C133="SF WH",VLOOKUP($B133,'2) หลักการคำนวน Table'!$D$93:$M$108,HLOOKUP(AE133,'2) หลักการคำนวน Table'!$D$1:$M$5,5,TRUE),0))))),0)</f>
        <v>360</v>
      </c>
      <c r="BD133" s="167">
        <f>IFERROR(IF($C133="Top WS",VLOOKUP($B133,'2) หลักการคำนวน Table'!$D$5:$M$20,HLOOKUP(AF133,'2) หลักการคำนวน Table'!$D$1:$M$5,5,TRUE),0),
IF($C133="WS SF",VLOOKUP($B133,'2) หลักการคำนวน Table'!$D$33:$M$48,HLOOKUP(AF133,'2) หลักการคำนวน Table'!$D$1:$M$5,5,TRUE),0),
IF($C133="WS WH",VLOOKUP($B133,'2) หลักการคำนวน Table'!$D$63:$M$78,HLOOKUP(AF133,'2) หลักการคำนวน Table'!$D$1:$M$5,5,TRUE),0),
IF($C133="SF WH",VLOOKUP($B133,'2) หลักการคำนวน Table'!$D$93:$M$108,HLOOKUP(AF133,'2) หลักการคำนวน Table'!$D$1:$M$5,5,TRUE),0))))),0)</f>
        <v>360</v>
      </c>
      <c r="BE133" s="167">
        <f>IFERROR(IF($C133="Top WS",VLOOKUP($B133,'2) หลักการคำนวน Table'!$D$5:$M$20,HLOOKUP(AG133,'2) หลักการคำนวน Table'!$D$1:$M$5,5,TRUE),0),
IF($C133="WS SF",VLOOKUP($B133,'2) หลักการคำนวน Table'!$D$33:$M$48,HLOOKUP(AG133,'2) หลักการคำนวน Table'!$D$1:$M$5,5,TRUE),0),
IF($C133="WS WH",VLOOKUP($B133,'2) หลักการคำนวน Table'!$D$63:$M$78,HLOOKUP(AG133,'2) หลักการคำนวน Table'!$D$1:$M$5,5,TRUE),0),
IF($C133="SF WH",VLOOKUP($B133,'2) หลักการคำนวน Table'!$D$93:$M$108,HLOOKUP(AG133,'2) หลักการคำนวน Table'!$D$1:$M$5,5,TRUE),0))))),0)</f>
        <v>360</v>
      </c>
      <c r="BF133" s="167">
        <f>IFERROR(IF($C133="Top WS",VLOOKUP($B133,'2) หลักการคำนวน Table'!$D$5:$M$20,HLOOKUP(AH133,'2) หลักการคำนวน Table'!$D$1:$M$5,5,TRUE),0),
IF($C133="WS SF",VLOOKUP($B133,'2) หลักการคำนวน Table'!$D$33:$M$48,HLOOKUP(AH133,'2) หลักการคำนวน Table'!$D$1:$M$5,5,TRUE),0),
IF($C133="WS WH",VLOOKUP($B133,'2) หลักการคำนวน Table'!$D$63:$M$78,HLOOKUP(AH133,'2) หลักการคำนวน Table'!$D$1:$M$5,5,TRUE),0),
IF($C133="SF WH",VLOOKUP($B133,'2) หลักการคำนวน Table'!$D$93:$M$108,HLOOKUP(AH133,'2) หลักการคำนวน Table'!$D$1:$M$5,5,TRUE),0))))),0)</f>
        <v>360</v>
      </c>
      <c r="BG133" s="167">
        <f>IFERROR(IF($C133="Top WS",VLOOKUP($B133,'2) หลักการคำนวน Table'!$D$5:$M$20,HLOOKUP(AI133,'2) หลักการคำนวน Table'!$D$1:$M$5,5,TRUE),0),
IF($C133="WS SF",VLOOKUP($B133,'2) หลักการคำนวน Table'!$D$33:$M$48,HLOOKUP(AI133,'2) หลักการคำนวน Table'!$D$1:$M$5,5,TRUE),0),
IF($C133="WS WH",VLOOKUP($B133,'2) หลักการคำนวน Table'!$D$63:$M$78,HLOOKUP(AI133,'2) หลักการคำนวน Table'!$D$1:$M$5,5,TRUE),0),
IF($C133="SF WH",VLOOKUP($B133,'2) หลักการคำนวน Table'!$D$93:$M$108,HLOOKUP(AI133,'2) หลักการคำนวน Table'!$D$1:$M$5,5,TRUE),0))))),0)</f>
        <v>360</v>
      </c>
      <c r="BH133" s="167">
        <f>IFERROR(IF($C133="Top WS",VLOOKUP($B133,'2) หลักการคำนวน Table'!$D$5:$M$20,HLOOKUP(AP133,'2) หลักการคำนวน Table'!$D$1:$M$5,5,TRUE),0),
IF($C133="WS SF",VLOOKUP($B133,'2) หลักการคำนวน Table'!$D$33:$M$48,HLOOKUP(AP133,'2) หลักการคำนวน Table'!$D$1:$M$5,5,TRUE),0),
IF($C133="WS WH",VLOOKUP($B133,'2) หลักการคำนวน Table'!$D$63:$M$78,HLOOKUP(AP133,'2) หลักการคำนวน Table'!$D$1:$M$5,5,TRUE),0),
IF($C133="SF WH",VLOOKUP($B133,'2) หลักการคำนวน Table'!$D$93:$M$108,HLOOKUP(AP133,'2) หลักการคำนวน Table'!$D$1:$M$5,5,TRUE),0))))),0)</f>
        <v>360</v>
      </c>
      <c r="BI133" s="167">
        <f>IFERROR(IF($C133="Top WS",VLOOKUP($B133,'2) หลักการคำนวน Table'!$D$5:$M$20,HLOOKUP(AK133,'2) หลักการคำนวน Table'!$D$1:$M$5,5,TRUE),0),
IF($C133="WS SF",VLOOKUP($B133,'2) หลักการคำนวน Table'!$D$33:$M$48,HLOOKUP(AK133,'2) หลักการคำนวน Table'!$D$1:$M$5,5,TRUE),0),
IF($C133="WS WH",VLOOKUP($B133,'2) หลักการคำนวน Table'!$D$63:$M$78,HLOOKUP(AK133,'2) หลักการคำนวน Table'!$D$1:$M$5,5,TRUE),0),
IF($C133="SF WH",VLOOKUP($B133,'2) หลักการคำนวน Table'!$D$93:$M$108,HLOOKUP(AK133,'2) หลักการคำนวน Table'!$D$1:$M$5,5,TRUE),0))))),0)</f>
        <v>360</v>
      </c>
      <c r="BJ133" s="167">
        <f>IFERROR(IF($C133="Top WS",VLOOKUP($B133,'2) หลักการคำนวน Table'!$D$5:$M$20,HLOOKUP(AL133,'2) หลักการคำนวน Table'!$D$1:$M$5,5,TRUE),0),
IF($C133="WS SF",VLOOKUP($B133,'2) หลักการคำนวน Table'!$D$33:$M$48,HLOOKUP(AL133,'2) หลักการคำนวน Table'!$D$1:$M$5,5,TRUE),0),
IF($C133="WS WH",VLOOKUP($B133,'2) หลักการคำนวน Table'!$D$63:$M$78,HLOOKUP(AL133,'2) หลักการคำนวน Table'!$D$1:$M$5,5,TRUE),0),
IF($C133="SF WH",VLOOKUP($B133,'2) หลักการคำนวน Table'!$D$93:$M$108,HLOOKUP(AL133,'2) หลักการคำนวน Table'!$D$1:$M$5,5,TRUE),0))))),0)</f>
        <v>360</v>
      </c>
      <c r="BK133" s="167">
        <f>IFERROR(IF($C133="Top WS",VLOOKUP($B133,'2) หลักการคำนวน Table'!$D$5:$M$20,HLOOKUP(AM133,'2) หลักการคำนวน Table'!$D$1:$M$5,5,TRUE),0),
IF($C133="WS SF",VLOOKUP($B133,'2) หลักการคำนวน Table'!$D$33:$M$48,HLOOKUP(AM133,'2) หลักการคำนวน Table'!$D$1:$M$5,5,TRUE),0),
IF($C133="WS WH",VLOOKUP($B133,'2) หลักการคำนวน Table'!$D$63:$M$78,HLOOKUP(AM133,'2) หลักการคำนวน Table'!$D$1:$M$5,5,TRUE),0),
IF($C133="SF WH",VLOOKUP($B133,'2) หลักการคำนวน Table'!$D$93:$M$108,HLOOKUP(AM133,'2) หลักการคำนวน Table'!$D$1:$M$5,5,TRUE),0))))),0)</f>
        <v>360</v>
      </c>
      <c r="BM133" s="119">
        <f>VLOOKUP(VLOOKUP(A133,ASTBase!E:S,13,FALSE),ASTBase!F:P,11,FALSE)</f>
        <v>130000</v>
      </c>
      <c r="BN133" s="196" cm="1">
        <f t="array" ref="BN133">INDEX(AN133:AY133,,Period!$D$2)</f>
        <v>1.1000000000000001</v>
      </c>
    </row>
    <row r="134" spans="1:66" x14ac:dyDescent="0.25">
      <c r="A134" s="117">
        <v>130001</v>
      </c>
      <c r="B134" s="117" t="s">
        <v>393</v>
      </c>
      <c r="C134" s="117" t="s">
        <v>178</v>
      </c>
      <c r="D134" s="118">
        <v>1579</v>
      </c>
      <c r="E134" s="118">
        <v>1129</v>
      </c>
      <c r="F134" s="118">
        <v>1193</v>
      </c>
      <c r="G134" s="118">
        <v>1220</v>
      </c>
      <c r="H134" s="118">
        <v>992</v>
      </c>
      <c r="I134" s="118">
        <v>1168</v>
      </c>
      <c r="J134" s="118">
        <v>1491</v>
      </c>
      <c r="K134" s="118">
        <v>1536</v>
      </c>
      <c r="L134" s="118">
        <v>1464</v>
      </c>
      <c r="M134" s="118">
        <v>1524</v>
      </c>
      <c r="N134" s="118">
        <v>1175</v>
      </c>
      <c r="O134" s="118">
        <v>1179</v>
      </c>
      <c r="P134" s="117">
        <f>SUMIFS(Actual!C:C,Actual!$A:$A,'3)Target &amp; Cal'!$A134,Actual!$B:$B,'3)Target &amp; Cal'!$B134)</f>
        <v>1395.6000000000004</v>
      </c>
      <c r="Q134" s="117">
        <f>SUMIFS(Actual!D:D,Actual!$A:$A,'3)Target &amp; Cal'!$A134,Actual!$B:$B,'3)Target &amp; Cal'!$B134)</f>
        <v>1291.2</v>
      </c>
      <c r="R134" s="117">
        <f>SUMIFS(Actual!E:E,Actual!$A:$A,'3)Target &amp; Cal'!$A134,Actual!$B:$B,'3)Target &amp; Cal'!$B134)</f>
        <v>0</v>
      </c>
      <c r="S134" s="117">
        <f>SUMIFS(Actual!F:F,Actual!$A:$A,'3)Target &amp; Cal'!$A134,Actual!$B:$B,'3)Target &amp; Cal'!$B134)</f>
        <v>0</v>
      </c>
      <c r="T134" s="117">
        <f>SUMIFS(Actual!G:G,Actual!$A:$A,'3)Target &amp; Cal'!$A134,Actual!$B:$B,'3)Target &amp; Cal'!$B134)</f>
        <v>0</v>
      </c>
      <c r="U134" s="117">
        <f>SUMIFS(Actual!H:H,Actual!$A:$A,'3)Target &amp; Cal'!$A134,Actual!$B:$B,'3)Target &amp; Cal'!$B134)</f>
        <v>0</v>
      </c>
      <c r="V134" s="117">
        <f>SUMIFS(Actual!I:I,Actual!$A:$A,'3)Target &amp; Cal'!$A134,Actual!$B:$B,'3)Target &amp; Cal'!$B134)</f>
        <v>0</v>
      </c>
      <c r="W134" s="117">
        <f>SUMIFS(Actual!J:J,Actual!$A:$A,'3)Target &amp; Cal'!$A134,Actual!$B:$B,'3)Target &amp; Cal'!$B134)</f>
        <v>0</v>
      </c>
      <c r="X134" s="117">
        <f>SUMIFS(Actual!K:K,Actual!$A:$A,'3)Target &amp; Cal'!$A134,Actual!$B:$B,'3)Target &amp; Cal'!$B134)</f>
        <v>0</v>
      </c>
      <c r="Y134" s="117">
        <f>SUMIFS(Actual!L:L,Actual!$A:$A,'3)Target &amp; Cal'!$A134,Actual!$B:$B,'3)Target &amp; Cal'!$B134)</f>
        <v>0</v>
      </c>
      <c r="Z134" s="117">
        <f>SUMIFS(Actual!M:M,Actual!$A:$A,'3)Target &amp; Cal'!$A134,Actual!$B:$B,'3)Target &amp; Cal'!$B134)</f>
        <v>0</v>
      </c>
      <c r="AA134" s="117">
        <f>SUMIFS(Actual!N:N,Actual!$A:$A,'3)Target &amp; Cal'!$A134,Actual!$B:$B,'3)Target &amp; Cal'!$B134)</f>
        <v>0</v>
      </c>
      <c r="AB134" s="123">
        <f>IFERROR(IF(VLOOKUP($B134,Shortage!$A:$M,AB$2,FALSE)="Shortage",1,IFERROR(ROUND(P134/D134,4),0)),IFERROR(ROUND(P134/D134,4),0))</f>
        <v>0.88390000000000002</v>
      </c>
      <c r="AC134" s="123">
        <f>IFERROR(IF(VLOOKUP($B134,Shortage!$A:$M,AC$2,FALSE)="Shortage",1,IFERROR(ROUND(Q134/E134,4),0)),IFERROR(ROUND(Q134/E134,4),0))</f>
        <v>1.1436999999999999</v>
      </c>
      <c r="AD134" s="123">
        <f>IFERROR(IF(VLOOKUP($B134,Shortage!$A:$M,AD$2,FALSE)="Shortage",1,IFERROR(ROUND(R134/F134,4),0)),IFERROR(ROUND(R134/F134,4),0))</f>
        <v>0</v>
      </c>
      <c r="AE134" s="123">
        <f>IFERROR(IF(VLOOKUP($B134,Shortage!$A:$M,AE$2,FALSE)="Shortage",1,IFERROR(ROUND(S134/G134,4),0)),IFERROR(ROUND(S134/G134,4),0))</f>
        <v>0</v>
      </c>
      <c r="AF134" s="123">
        <f>IFERROR(IF(VLOOKUP($B134,Shortage!$A:$M,AF$2,FALSE)="Shortage",1,IFERROR(ROUND(T134/H134,4),0)),IFERROR(ROUND(T134/H134,4),0))</f>
        <v>0</v>
      </c>
      <c r="AG134" s="123">
        <f>IFERROR(IF(VLOOKUP($B134,Shortage!$A:$M,AG$2,FALSE)="Shortage",1,IFERROR(ROUND(U134/I134,4),0)),IFERROR(ROUND(U134/I134,4),0))</f>
        <v>0</v>
      </c>
      <c r="AH134" s="123">
        <f>IFERROR(IF(VLOOKUP($B134,Shortage!$A:$M,AH$2,FALSE)="Shortage",1,IFERROR(ROUND(V134/J134,4),0)),IFERROR(ROUND(V134/J134,4),0))</f>
        <v>0</v>
      </c>
      <c r="AI134" s="123">
        <f>IFERROR(IF(VLOOKUP($B134,Shortage!$A:$M,AI$2,FALSE)="Shortage",1,IFERROR(ROUND(W134/K134,4),0)),IFERROR(ROUND(W134/K134,4),0))</f>
        <v>0</v>
      </c>
      <c r="AJ134" s="123">
        <f>IFERROR(IF(VLOOKUP($B134,Shortage!$A:$M,AP$2,FALSE)="Shortage",1,IFERROR(ROUND(X134/L134,4),0)),IFERROR(ROUND(X134/L134,4),0))</f>
        <v>0</v>
      </c>
      <c r="AK134" s="123">
        <f>IFERROR(IF(VLOOKUP($B134,Shortage!$A:$M,AK$2,FALSE)="Shortage",1,IFERROR(ROUND(Y134/M134,4),0)),IFERROR(ROUND(Y134/M134,4),0))</f>
        <v>0</v>
      </c>
      <c r="AL134" s="123">
        <f>IFERROR(IF(VLOOKUP($B134,Shortage!$A:$M,AL$2,FALSE)="Shortage",1,IFERROR(ROUND(Z134/N134,4),0)),IFERROR(ROUND(Z134/N134,4),0))</f>
        <v>0</v>
      </c>
      <c r="AM134" s="123">
        <f>IFERROR(IF(VLOOKUP($B134,Shortage!$A:$M,AM$2,FALSE)="Shortage",1,IFERROR(ROUND(AA134/O134,4),0)),IFERROR(ROUND(AA134/O134,4),0))</f>
        <v>0</v>
      </c>
      <c r="AN134" s="232">
        <f>IFERROR(IF($C134="Top WS",VLOOKUP("GOAL",'2) หลักการคำนวน Table'!$D$4:$M$4,HLOOKUP(AB134,'2) หลักการคำนวน Table'!$D$1:$M$5,5,TRUE),0),
IF($C134="WS SF",VLOOKUP("GOAL",'2) หลักการคำนวน Table'!$D$32:$M$32,HLOOKUP(AB134,'2) หลักการคำนวน Table'!$D$1:$M$5,5,TRUE),0),
IF($C134="WS WH",VLOOKUP("GOAL",'2) หลักการคำนวน Table'!$D$62:$M$62,HLOOKUP(AB134,'2) หลักการคำนวน Table'!$D$1:$M$5,5,TRUE),0),
IF($C134="SF WH",VLOOKUP("GOAL",'2) หลักการคำนวน Table'!$D$92:$M$92,HLOOKUP(AB134,'2) หลักการคำนวน Table'!$D$1:$M$5,5,TRUE),0))))),0)</f>
        <v>0.9</v>
      </c>
      <c r="AO134" s="232">
        <f>IFERROR(IF($C134="Top WS",VLOOKUP("GOAL",'2) หลักการคำนวน Table'!$D$4:$M$4,HLOOKUP(AC134,'2) หลักการคำนวน Table'!$D$1:$M$5,5,TRUE),0),
IF($C134="WS SF",VLOOKUP("GOAL",'2) หลักการคำนวน Table'!$D$32:$M$32,HLOOKUP(AC134,'2) หลักการคำนวน Table'!$D$1:$M$5,5,TRUE),0),
IF($C134="WS WH",VLOOKUP("GOAL",'2) หลักการคำนวน Table'!$D$62:$M$62,HLOOKUP(AC134,'2) หลักการคำนวน Table'!$D$1:$M$5,5,TRUE),0),
IF($C134="SF WH",VLOOKUP("GOAL",'2) หลักการคำนวน Table'!$D$92:$M$92,HLOOKUP(AC134,'2) หลักการคำนวน Table'!$D$1:$M$5,5,TRUE),0))))),0)</f>
        <v>1.1499999999999999</v>
      </c>
      <c r="AP134" s="232">
        <f>IFERROR(IF($C134="Top WS",VLOOKUP("GOAL",'2) หลักการคำนวน Table'!$D$4:$M$4,HLOOKUP(AD134,'2) หลักการคำนวน Table'!$D$1:$M$5,5,TRUE),0),
IF($C134="WS SF",VLOOKUP("GOAL",'2) หลักการคำนวน Table'!$D$32:$M$32,HLOOKUP(AD134,'2) หลักการคำนวน Table'!$D$1:$M$5,5,TRUE),0),
IF($C134="WS WH",VLOOKUP("GOAL",'2) หลักการคำนวน Table'!$D$62:$M$62,HLOOKUP(AD134,'2) หลักการคำนวน Table'!$D$1:$M$5,5,TRUE),0),
IF($C134="SF WH",VLOOKUP("GOAL",'2) หลักการคำนวน Table'!$D$92:$M$92,HLOOKUP(AD134,'2) หลักการคำนวน Table'!$D$1:$M$5,5,TRUE),0))))),0)</f>
        <v>0.9</v>
      </c>
      <c r="AQ134" s="232">
        <f>IFERROR(IF($C134="Top WS",VLOOKUP("GOAL",'2) หลักการคำนวน Table'!$D$4:$M$4,HLOOKUP(AE134,'2) หลักการคำนวน Table'!$D$1:$M$5,5,TRUE),0),
IF($C134="WS SF",VLOOKUP("GOAL",'2) หลักการคำนวน Table'!$D$32:$M$32,HLOOKUP(AE134,'2) หลักการคำนวน Table'!$D$1:$M$5,5,TRUE),0),
IF($C134="WS WH",VLOOKUP("GOAL",'2) หลักการคำนวน Table'!$D$62:$M$62,HLOOKUP(AE134,'2) หลักการคำนวน Table'!$D$1:$M$5,5,TRUE),0),
IF($C134="SF WH",VLOOKUP("GOAL",'2) หลักการคำนวน Table'!$D$92:$M$92,HLOOKUP(AE134,'2) หลักการคำนวน Table'!$D$1:$M$5,5,TRUE),0))))),0)</f>
        <v>0.9</v>
      </c>
      <c r="AR134" s="232">
        <f>IFERROR(IF($C134="Top WS",VLOOKUP("GOAL",'2) หลักการคำนวน Table'!$D$4:$M$4,HLOOKUP(AF134,'2) หลักการคำนวน Table'!$D$1:$M$5,5,TRUE),0),
IF($C134="WS SF",VLOOKUP("GOAL",'2) หลักการคำนวน Table'!$D$32:$M$32,HLOOKUP(AF134,'2) หลักการคำนวน Table'!$D$1:$M$5,5,TRUE),0),
IF($C134="WS WH",VLOOKUP("GOAL",'2) หลักการคำนวน Table'!$D$62:$M$62,HLOOKUP(AF134,'2) หลักการคำนวน Table'!$D$1:$M$5,5,TRUE),0),
IF($C134="SF WH",VLOOKUP("GOAL",'2) หลักการคำนวน Table'!$D$92:$M$92,HLOOKUP(AF134,'2) หลักการคำนวน Table'!$D$1:$M$5,5,TRUE),0))))),0)</f>
        <v>0.9</v>
      </c>
      <c r="AS134" s="232">
        <f>IFERROR(IF($C134="Top WS",VLOOKUP("GOAL",'2) หลักการคำนวน Table'!$D$4:$M$4,HLOOKUP(AG134,'2) หลักการคำนวน Table'!$D$1:$M$5,5,TRUE),0),
IF($C134="WS SF",VLOOKUP("GOAL",'2) หลักการคำนวน Table'!$D$32:$M$32,HLOOKUP(AG134,'2) หลักการคำนวน Table'!$D$1:$M$5,5,TRUE),0),
IF($C134="WS WH",VLOOKUP("GOAL",'2) หลักการคำนวน Table'!$D$62:$M$62,HLOOKUP(AG134,'2) หลักการคำนวน Table'!$D$1:$M$5,5,TRUE),0),
IF($C134="SF WH",VLOOKUP("GOAL",'2) หลักการคำนวน Table'!$D$92:$M$92,HLOOKUP(AG134,'2) หลักการคำนวน Table'!$D$1:$M$5,5,TRUE),0))))),0)</f>
        <v>0.9</v>
      </c>
      <c r="AT134" s="232">
        <f>IFERROR(IF($C134="Top WS",VLOOKUP("GOAL",'2) หลักการคำนวน Table'!$D$4:$M$4,HLOOKUP(AH134,'2) หลักการคำนวน Table'!$D$1:$M$5,5,TRUE),0),
IF($C134="WS SF",VLOOKUP("GOAL",'2) หลักการคำนวน Table'!$D$32:$M$32,HLOOKUP(AH134,'2) หลักการคำนวน Table'!$D$1:$M$5,5,TRUE),0),
IF($C134="WS WH",VLOOKUP("GOAL",'2) หลักการคำนวน Table'!$D$62:$M$62,HLOOKUP(AH134,'2) หลักการคำนวน Table'!$D$1:$M$5,5,TRUE),0),
IF($C134="SF WH",VLOOKUP("GOAL",'2) หลักการคำนวน Table'!$D$92:$M$92,HLOOKUP(AH134,'2) หลักการคำนวน Table'!$D$1:$M$5,5,TRUE),0))))),0)</f>
        <v>0.9</v>
      </c>
      <c r="AU134" s="232">
        <f>IFERROR(IF($C134="Top WS",VLOOKUP("GOAL",'2) หลักการคำนวน Table'!$D$4:$M$4,HLOOKUP(AI134,'2) หลักการคำนวน Table'!$D$1:$M$5,5,TRUE),0),
IF($C134="WS SF",VLOOKUP("GOAL",'2) หลักการคำนวน Table'!$D$32:$M$32,HLOOKUP(AI134,'2) หลักการคำนวน Table'!$D$1:$M$5,5,TRUE),0),
IF($C134="WS WH",VLOOKUP("GOAL",'2) หลักการคำนวน Table'!$D$62:$M$62,HLOOKUP(AI134,'2) หลักการคำนวน Table'!$D$1:$M$5,5,TRUE),0),
IF($C134="SF WH",VLOOKUP("GOAL",'2) หลักการคำนวน Table'!$D$92:$M$92,HLOOKUP(AI134,'2) หลักการคำนวน Table'!$D$1:$M$5,5,TRUE),0))))),0)</f>
        <v>0.9</v>
      </c>
      <c r="AV134" s="232">
        <f>IFERROR(IF($C134="Top WS",VLOOKUP("GOAL",'2) หลักการคำนวน Table'!$D$4:$M$4,HLOOKUP(AP134,'2) หลักการคำนวน Table'!$D$1:$M$5,5,TRUE),0),
IF($C134="WS SF",VLOOKUP("GOAL",'2) หลักการคำนวน Table'!$D$32:$M$32,HLOOKUP(AP134,'2) หลักการคำนวน Table'!$D$1:$M$5,5,TRUE),0),
IF($C134="WS WH",VLOOKUP("GOAL",'2) หลักการคำนวน Table'!$D$62:$M$62,HLOOKUP(AP134,'2) หลักการคำนวน Table'!$D$1:$M$5,5,TRUE),0),
IF($C134="SF WH",VLOOKUP("GOAL",'2) หลักการคำนวน Table'!$D$92:$M$92,HLOOKUP(AP134,'2) หลักการคำนวน Table'!$D$1:$M$5,5,TRUE),0))))),0)</f>
        <v>0.9</v>
      </c>
      <c r="AW134" s="232">
        <f>IFERROR(IF($C134="Top WS",VLOOKUP("GOAL",'2) หลักการคำนวน Table'!$D$4:$M$4,HLOOKUP(AK134,'2) หลักการคำนวน Table'!$D$1:$M$5,5,TRUE),0),
IF($C134="WS SF",VLOOKUP("GOAL",'2) หลักการคำนวน Table'!$D$32:$M$32,HLOOKUP(AK134,'2) หลักการคำนวน Table'!$D$1:$M$5,5,TRUE),0),
IF($C134="WS WH",VLOOKUP("GOAL",'2) หลักการคำนวน Table'!$D$62:$M$62,HLOOKUP(AK134,'2) หลักการคำนวน Table'!$D$1:$M$5,5,TRUE),0),
IF($C134="SF WH",VLOOKUP("GOAL",'2) หลักการคำนวน Table'!$D$92:$M$92,HLOOKUP(AK134,'2) หลักการคำนวน Table'!$D$1:$M$5,5,TRUE),0))))),0)</f>
        <v>0.9</v>
      </c>
      <c r="AX134" s="232">
        <f>IFERROR(IF($C134="Top WS",VLOOKUP("GOAL",'2) หลักการคำนวน Table'!$D$4:$M$4,HLOOKUP(AL134,'2) หลักการคำนวน Table'!$D$1:$M$5,5,TRUE),0),
IF($C134="WS SF",VLOOKUP("GOAL",'2) หลักการคำนวน Table'!$D$32:$M$32,HLOOKUP(AL134,'2) หลักการคำนวน Table'!$D$1:$M$5,5,TRUE),0),
IF($C134="WS WH",VLOOKUP("GOAL",'2) หลักการคำนวน Table'!$D$62:$M$62,HLOOKUP(AL134,'2) หลักการคำนวน Table'!$D$1:$M$5,5,TRUE),0),
IF($C134="SF WH",VLOOKUP("GOAL",'2) หลักการคำนวน Table'!$D$92:$M$92,HLOOKUP(AL134,'2) หลักการคำนวน Table'!$D$1:$M$5,5,TRUE),0))))),0)</f>
        <v>0.9</v>
      </c>
      <c r="AY134" s="232">
        <f>IFERROR(IF($C134="Top WS",VLOOKUP("GOAL",'2) หลักการคำนวน Table'!$D$4:$M$4,HLOOKUP(AM134,'2) หลักการคำนวน Table'!$D$1:$M$5,5,TRUE),0),
IF($C134="WS SF",VLOOKUP("GOAL",'2) หลักการคำนวน Table'!$D$32:$M$32,HLOOKUP(AM134,'2) หลักการคำนวน Table'!$D$1:$M$5,5,TRUE),0),
IF($C134="WS WH",VLOOKUP("GOAL",'2) หลักการคำนวน Table'!$D$62:$M$62,HLOOKUP(AM134,'2) หลักการคำนวน Table'!$D$1:$M$5,5,TRUE),0),
IF($C134="SF WH",VLOOKUP("GOAL",'2) หลักการคำนวน Table'!$D$92:$M$92,HLOOKUP(AM134,'2) หลักการคำนวน Table'!$D$1:$M$5,5,TRUE),0))))),0)</f>
        <v>0.9</v>
      </c>
      <c r="AZ134" s="167">
        <f>IFERROR(IF($C134="Top WS",VLOOKUP($B134,'2) หลักการคำนวน Table'!$D$5:$M$20,HLOOKUP(AB134,'2) หลักการคำนวน Table'!$D$1:$M$5,5,TRUE),0),
IF($C134="WS SF",VLOOKUP($B134,'2) หลักการคำนวน Table'!$D$33:$M$48,HLOOKUP(AB134,'2) หลักการคำนวน Table'!$D$1:$M$5,5,TRUE),0),
IF($C134="WS WH",VLOOKUP($B134,'2) หลักการคำนวน Table'!$D$63:$M$78,HLOOKUP(AB134,'2) หลักการคำนวน Table'!$D$1:$M$5,5,TRUE),0),
IF($C134="SF WH",VLOOKUP($B134,'2) หลักการคำนวน Table'!$D$93:$M$108,HLOOKUP(AB134,'2) หลักการคำนวน Table'!$D$1:$M$5,5,TRUE),0))))),0)</f>
        <v>180</v>
      </c>
      <c r="BA134" s="167">
        <f>IFERROR(IF($C134="Top WS",VLOOKUP($B134,'2) หลักการคำนวน Table'!$D$5:$M$20,HLOOKUP(AC134,'2) หลักการคำนวน Table'!$D$1:$M$5,5,TRUE),0),
IF($C134="WS SF",VLOOKUP($B134,'2) หลักการคำนวน Table'!$D$33:$M$48,HLOOKUP(AC134,'2) หลักการคำนวน Table'!$D$1:$M$5,5,TRUE),0),
IF($C134="WS WH",VLOOKUP($B134,'2) หลักการคำนวน Table'!$D$63:$M$78,HLOOKUP(AC134,'2) หลักการคำนวน Table'!$D$1:$M$5,5,TRUE),0),
IF($C134="SF WH",VLOOKUP($B134,'2) หลักการคำนวน Table'!$D$93:$M$108,HLOOKUP(AC134,'2) หลักการคำนวน Table'!$D$1:$M$5,5,TRUE),0))))),0)</f>
        <v>230</v>
      </c>
      <c r="BB134" s="167">
        <f>IFERROR(IF($C134="Top WS",VLOOKUP($B134,'2) หลักการคำนวน Table'!$D$5:$M$20,HLOOKUP(AD134,'2) หลักการคำนวน Table'!$D$1:$M$5,5,TRUE),0),
IF($C134="WS SF",VLOOKUP($B134,'2) หลักการคำนวน Table'!$D$33:$M$48,HLOOKUP(AD134,'2) หลักการคำนวน Table'!$D$1:$M$5,5,TRUE),0),
IF($C134="WS WH",VLOOKUP($B134,'2) หลักการคำนวน Table'!$D$63:$M$78,HLOOKUP(AD134,'2) หลักการคำนวน Table'!$D$1:$M$5,5,TRUE),0),
IF($C134="SF WH",VLOOKUP($B134,'2) หลักการคำนวน Table'!$D$93:$M$108,HLOOKUP(AD134,'2) หลักการคำนวน Table'!$D$1:$M$5,5,TRUE),0))))),0)</f>
        <v>180</v>
      </c>
      <c r="BC134" s="167">
        <f>IFERROR(IF($C134="Top WS",VLOOKUP($B134,'2) หลักการคำนวน Table'!$D$5:$M$20,HLOOKUP(AE134,'2) หลักการคำนวน Table'!$D$1:$M$5,5,TRUE),0),
IF($C134="WS SF",VLOOKUP($B134,'2) หลักการคำนวน Table'!$D$33:$M$48,HLOOKUP(AE134,'2) หลักการคำนวน Table'!$D$1:$M$5,5,TRUE),0),
IF($C134="WS WH",VLOOKUP($B134,'2) หลักการคำนวน Table'!$D$63:$M$78,HLOOKUP(AE134,'2) หลักการคำนวน Table'!$D$1:$M$5,5,TRUE),0),
IF($C134="SF WH",VLOOKUP($B134,'2) หลักการคำนวน Table'!$D$93:$M$108,HLOOKUP(AE134,'2) หลักการคำนวน Table'!$D$1:$M$5,5,TRUE),0))))),0)</f>
        <v>180</v>
      </c>
      <c r="BD134" s="167">
        <f>IFERROR(IF($C134="Top WS",VLOOKUP($B134,'2) หลักการคำนวน Table'!$D$5:$M$20,HLOOKUP(AF134,'2) หลักการคำนวน Table'!$D$1:$M$5,5,TRUE),0),
IF($C134="WS SF",VLOOKUP($B134,'2) หลักการคำนวน Table'!$D$33:$M$48,HLOOKUP(AF134,'2) หลักการคำนวน Table'!$D$1:$M$5,5,TRUE),0),
IF($C134="WS WH",VLOOKUP($B134,'2) หลักการคำนวน Table'!$D$63:$M$78,HLOOKUP(AF134,'2) หลักการคำนวน Table'!$D$1:$M$5,5,TRUE),0),
IF($C134="SF WH",VLOOKUP($B134,'2) หลักการคำนวน Table'!$D$93:$M$108,HLOOKUP(AF134,'2) หลักการคำนวน Table'!$D$1:$M$5,5,TRUE),0))))),0)</f>
        <v>180</v>
      </c>
      <c r="BE134" s="167">
        <f>IFERROR(IF($C134="Top WS",VLOOKUP($B134,'2) หลักการคำนวน Table'!$D$5:$M$20,HLOOKUP(AG134,'2) หลักการคำนวน Table'!$D$1:$M$5,5,TRUE),0),
IF($C134="WS SF",VLOOKUP($B134,'2) หลักการคำนวน Table'!$D$33:$M$48,HLOOKUP(AG134,'2) หลักการคำนวน Table'!$D$1:$M$5,5,TRUE),0),
IF($C134="WS WH",VLOOKUP($B134,'2) หลักการคำนวน Table'!$D$63:$M$78,HLOOKUP(AG134,'2) หลักการคำนวน Table'!$D$1:$M$5,5,TRUE),0),
IF($C134="SF WH",VLOOKUP($B134,'2) หลักการคำนวน Table'!$D$93:$M$108,HLOOKUP(AG134,'2) หลักการคำนวน Table'!$D$1:$M$5,5,TRUE),0))))),0)</f>
        <v>180</v>
      </c>
      <c r="BF134" s="167">
        <f>IFERROR(IF($C134="Top WS",VLOOKUP($B134,'2) หลักการคำนวน Table'!$D$5:$M$20,HLOOKUP(AH134,'2) หลักการคำนวน Table'!$D$1:$M$5,5,TRUE),0),
IF($C134="WS SF",VLOOKUP($B134,'2) หลักการคำนวน Table'!$D$33:$M$48,HLOOKUP(AH134,'2) หลักการคำนวน Table'!$D$1:$M$5,5,TRUE),0),
IF($C134="WS WH",VLOOKUP($B134,'2) หลักการคำนวน Table'!$D$63:$M$78,HLOOKUP(AH134,'2) หลักการคำนวน Table'!$D$1:$M$5,5,TRUE),0),
IF($C134="SF WH",VLOOKUP($B134,'2) หลักการคำนวน Table'!$D$93:$M$108,HLOOKUP(AH134,'2) หลักการคำนวน Table'!$D$1:$M$5,5,TRUE),0))))),0)</f>
        <v>180</v>
      </c>
      <c r="BG134" s="167">
        <f>IFERROR(IF($C134="Top WS",VLOOKUP($B134,'2) หลักการคำนวน Table'!$D$5:$M$20,HLOOKUP(AI134,'2) หลักการคำนวน Table'!$D$1:$M$5,5,TRUE),0),
IF($C134="WS SF",VLOOKUP($B134,'2) หลักการคำนวน Table'!$D$33:$M$48,HLOOKUP(AI134,'2) หลักการคำนวน Table'!$D$1:$M$5,5,TRUE),0),
IF($C134="WS WH",VLOOKUP($B134,'2) หลักการคำนวน Table'!$D$63:$M$78,HLOOKUP(AI134,'2) หลักการคำนวน Table'!$D$1:$M$5,5,TRUE),0),
IF($C134="SF WH",VLOOKUP($B134,'2) หลักการคำนวน Table'!$D$93:$M$108,HLOOKUP(AI134,'2) หลักการคำนวน Table'!$D$1:$M$5,5,TRUE),0))))),0)</f>
        <v>180</v>
      </c>
      <c r="BH134" s="167">
        <f>IFERROR(IF($C134="Top WS",VLOOKUP($B134,'2) หลักการคำนวน Table'!$D$5:$M$20,HLOOKUP(AP134,'2) หลักการคำนวน Table'!$D$1:$M$5,5,TRUE),0),
IF($C134="WS SF",VLOOKUP($B134,'2) หลักการคำนวน Table'!$D$33:$M$48,HLOOKUP(AP134,'2) หลักการคำนวน Table'!$D$1:$M$5,5,TRUE),0),
IF($C134="WS WH",VLOOKUP($B134,'2) หลักการคำนวน Table'!$D$63:$M$78,HLOOKUP(AP134,'2) หลักการคำนวน Table'!$D$1:$M$5,5,TRUE),0),
IF($C134="SF WH",VLOOKUP($B134,'2) หลักการคำนวน Table'!$D$93:$M$108,HLOOKUP(AP134,'2) หลักการคำนวน Table'!$D$1:$M$5,5,TRUE),0))))),0)</f>
        <v>180</v>
      </c>
      <c r="BI134" s="167">
        <f>IFERROR(IF($C134="Top WS",VLOOKUP($B134,'2) หลักการคำนวน Table'!$D$5:$M$20,HLOOKUP(AK134,'2) หลักการคำนวน Table'!$D$1:$M$5,5,TRUE),0),
IF($C134="WS SF",VLOOKUP($B134,'2) หลักการคำนวน Table'!$D$33:$M$48,HLOOKUP(AK134,'2) หลักการคำนวน Table'!$D$1:$M$5,5,TRUE),0),
IF($C134="WS WH",VLOOKUP($B134,'2) หลักการคำนวน Table'!$D$63:$M$78,HLOOKUP(AK134,'2) หลักการคำนวน Table'!$D$1:$M$5,5,TRUE),0),
IF($C134="SF WH",VLOOKUP($B134,'2) หลักการคำนวน Table'!$D$93:$M$108,HLOOKUP(AK134,'2) หลักการคำนวน Table'!$D$1:$M$5,5,TRUE),0))))),0)</f>
        <v>180</v>
      </c>
      <c r="BJ134" s="167">
        <f>IFERROR(IF($C134="Top WS",VLOOKUP($B134,'2) หลักการคำนวน Table'!$D$5:$M$20,HLOOKUP(AL134,'2) หลักการคำนวน Table'!$D$1:$M$5,5,TRUE),0),
IF($C134="WS SF",VLOOKUP($B134,'2) หลักการคำนวน Table'!$D$33:$M$48,HLOOKUP(AL134,'2) หลักการคำนวน Table'!$D$1:$M$5,5,TRUE),0),
IF($C134="WS WH",VLOOKUP($B134,'2) หลักการคำนวน Table'!$D$63:$M$78,HLOOKUP(AL134,'2) หลักการคำนวน Table'!$D$1:$M$5,5,TRUE),0),
IF($C134="SF WH",VLOOKUP($B134,'2) หลักการคำนวน Table'!$D$93:$M$108,HLOOKUP(AL134,'2) หลักการคำนวน Table'!$D$1:$M$5,5,TRUE),0))))),0)</f>
        <v>180</v>
      </c>
      <c r="BK134" s="167">
        <f>IFERROR(IF($C134="Top WS",VLOOKUP($B134,'2) หลักการคำนวน Table'!$D$5:$M$20,HLOOKUP(AM134,'2) หลักการคำนวน Table'!$D$1:$M$5,5,TRUE),0),
IF($C134="WS SF",VLOOKUP($B134,'2) หลักการคำนวน Table'!$D$33:$M$48,HLOOKUP(AM134,'2) หลักการคำนวน Table'!$D$1:$M$5,5,TRUE),0),
IF($C134="WS WH",VLOOKUP($B134,'2) หลักการคำนวน Table'!$D$63:$M$78,HLOOKUP(AM134,'2) หลักการคำนวน Table'!$D$1:$M$5,5,TRUE),0),
IF($C134="SF WH",VLOOKUP($B134,'2) หลักการคำนวน Table'!$D$93:$M$108,HLOOKUP(AM134,'2) หลักการคำนวน Table'!$D$1:$M$5,5,TRUE),0))))),0)</f>
        <v>180</v>
      </c>
      <c r="BM134" s="119">
        <f>VLOOKUP(VLOOKUP(A134,ASTBase!E:S,13,FALSE),ASTBase!F:P,11,FALSE)</f>
        <v>130000</v>
      </c>
      <c r="BN134" s="196" cm="1">
        <f t="array" ref="BN134">INDEX(AN134:AY134,,Period!$D$2)</f>
        <v>1.1499999999999999</v>
      </c>
    </row>
    <row r="135" spans="1:66" x14ac:dyDescent="0.25">
      <c r="A135" s="117">
        <v>130002</v>
      </c>
      <c r="B135" s="117" t="s">
        <v>388</v>
      </c>
      <c r="C135" s="117" t="s">
        <v>179</v>
      </c>
      <c r="D135" s="118">
        <v>15111</v>
      </c>
      <c r="E135" s="118">
        <v>16984</v>
      </c>
      <c r="F135" s="118">
        <v>16731</v>
      </c>
      <c r="G135" s="118">
        <v>15651</v>
      </c>
      <c r="H135" s="118">
        <v>16800</v>
      </c>
      <c r="I135" s="118">
        <v>17092</v>
      </c>
      <c r="J135" s="118">
        <v>16697</v>
      </c>
      <c r="K135" s="118">
        <v>17723</v>
      </c>
      <c r="L135" s="118">
        <v>17368</v>
      </c>
      <c r="M135" s="118">
        <v>19384</v>
      </c>
      <c r="N135" s="118">
        <v>16956</v>
      </c>
      <c r="O135" s="118">
        <v>16959</v>
      </c>
      <c r="P135" s="117">
        <f>SUMIFS(Actual!C:C,Actual!$A:$A,'3)Target &amp; Cal'!$A135,Actual!$B:$B,'3)Target &amp; Cal'!$B135)</f>
        <v>25314.9</v>
      </c>
      <c r="Q135" s="117">
        <f>SUMIFS(Actual!D:D,Actual!$A:$A,'3)Target &amp; Cal'!$A135,Actual!$B:$B,'3)Target &amp; Cal'!$B135)</f>
        <v>25517.4</v>
      </c>
      <c r="R135" s="117">
        <f>SUMIFS(Actual!E:E,Actual!$A:$A,'3)Target &amp; Cal'!$A135,Actual!$B:$B,'3)Target &amp; Cal'!$B135)</f>
        <v>0</v>
      </c>
      <c r="S135" s="117">
        <f>SUMIFS(Actual!F:F,Actual!$A:$A,'3)Target &amp; Cal'!$A135,Actual!$B:$B,'3)Target &amp; Cal'!$B135)</f>
        <v>0</v>
      </c>
      <c r="T135" s="117">
        <f>SUMIFS(Actual!G:G,Actual!$A:$A,'3)Target &amp; Cal'!$A135,Actual!$B:$B,'3)Target &amp; Cal'!$B135)</f>
        <v>0</v>
      </c>
      <c r="U135" s="117">
        <f>SUMIFS(Actual!H:H,Actual!$A:$A,'3)Target &amp; Cal'!$A135,Actual!$B:$B,'3)Target &amp; Cal'!$B135)</f>
        <v>0</v>
      </c>
      <c r="V135" s="117">
        <f>SUMIFS(Actual!I:I,Actual!$A:$A,'3)Target &amp; Cal'!$A135,Actual!$B:$B,'3)Target &amp; Cal'!$B135)</f>
        <v>0</v>
      </c>
      <c r="W135" s="117">
        <f>SUMIFS(Actual!J:J,Actual!$A:$A,'3)Target &amp; Cal'!$A135,Actual!$B:$B,'3)Target &amp; Cal'!$B135)</f>
        <v>0</v>
      </c>
      <c r="X135" s="117">
        <f>SUMIFS(Actual!K:K,Actual!$A:$A,'3)Target &amp; Cal'!$A135,Actual!$B:$B,'3)Target &amp; Cal'!$B135)</f>
        <v>0</v>
      </c>
      <c r="Y135" s="117">
        <f>SUMIFS(Actual!L:L,Actual!$A:$A,'3)Target &amp; Cal'!$A135,Actual!$B:$B,'3)Target &amp; Cal'!$B135)</f>
        <v>0</v>
      </c>
      <c r="Z135" s="117">
        <f>SUMIFS(Actual!M:M,Actual!$A:$A,'3)Target &amp; Cal'!$A135,Actual!$B:$B,'3)Target &amp; Cal'!$B135)</f>
        <v>0</v>
      </c>
      <c r="AA135" s="117">
        <f>SUMIFS(Actual!N:N,Actual!$A:$A,'3)Target &amp; Cal'!$A135,Actual!$B:$B,'3)Target &amp; Cal'!$B135)</f>
        <v>0</v>
      </c>
      <c r="AB135" s="123">
        <f>IFERROR(IF(VLOOKUP($B135,Shortage!$A:$M,AB$2,FALSE)="Shortage",1,IFERROR(ROUND(P135/D135,4),0)),IFERROR(ROUND(P135/D135,4),0))</f>
        <v>1</v>
      </c>
      <c r="AC135" s="123">
        <f>IFERROR(IF(VLOOKUP($B135,Shortage!$A:$M,AC$2,FALSE)="Shortage",1,IFERROR(ROUND(Q135/E135,4),0)),IFERROR(ROUND(Q135/E135,4),0))</f>
        <v>1.5024</v>
      </c>
      <c r="AD135" s="123">
        <f>IFERROR(IF(VLOOKUP($B135,Shortage!$A:$M,AD$2,FALSE)="Shortage",1,IFERROR(ROUND(R135/F135,4),0)),IFERROR(ROUND(R135/F135,4),0))</f>
        <v>0</v>
      </c>
      <c r="AE135" s="123">
        <f>IFERROR(IF(VLOOKUP($B135,Shortage!$A:$M,AE$2,FALSE)="Shortage",1,IFERROR(ROUND(S135/G135,4),0)),IFERROR(ROUND(S135/G135,4),0))</f>
        <v>0</v>
      </c>
      <c r="AF135" s="123">
        <f>IFERROR(IF(VLOOKUP($B135,Shortage!$A:$M,AF$2,FALSE)="Shortage",1,IFERROR(ROUND(T135/H135,4),0)),IFERROR(ROUND(T135/H135,4),0))</f>
        <v>0</v>
      </c>
      <c r="AG135" s="123">
        <f>IFERROR(IF(VLOOKUP($B135,Shortage!$A:$M,AG$2,FALSE)="Shortage",1,IFERROR(ROUND(U135/I135,4),0)),IFERROR(ROUND(U135/I135,4),0))</f>
        <v>0</v>
      </c>
      <c r="AH135" s="123">
        <f>IFERROR(IF(VLOOKUP($B135,Shortage!$A:$M,AH$2,FALSE)="Shortage",1,IFERROR(ROUND(V135/J135,4),0)),IFERROR(ROUND(V135/J135,4),0))</f>
        <v>0</v>
      </c>
      <c r="AI135" s="123">
        <f>IFERROR(IF(VLOOKUP($B135,Shortage!$A:$M,AI$2,FALSE)="Shortage",1,IFERROR(ROUND(W135/K135,4),0)),IFERROR(ROUND(W135/K135,4),0))</f>
        <v>0</v>
      </c>
      <c r="AJ135" s="123">
        <f>IFERROR(IF(VLOOKUP($B135,Shortage!$A:$M,AP$2,FALSE)="Shortage",1,IFERROR(ROUND(X135/L135,4),0)),IFERROR(ROUND(X135/L135,4),0))</f>
        <v>0</v>
      </c>
      <c r="AK135" s="123">
        <f>IFERROR(IF(VLOOKUP($B135,Shortage!$A:$M,AK$2,FALSE)="Shortage",1,IFERROR(ROUND(Y135/M135,4),0)),IFERROR(ROUND(Y135/M135,4),0))</f>
        <v>0</v>
      </c>
      <c r="AL135" s="123">
        <f>IFERROR(IF(VLOOKUP($B135,Shortage!$A:$M,AL$2,FALSE)="Shortage",1,IFERROR(ROUND(Z135/N135,4),0)),IFERROR(ROUND(Z135/N135,4),0))</f>
        <v>0</v>
      </c>
      <c r="AM135" s="123">
        <f>IFERROR(IF(VLOOKUP($B135,Shortage!$A:$M,AM$2,FALSE)="Shortage",1,IFERROR(ROUND(AA135/O135,4),0)),IFERROR(ROUND(AA135/O135,4),0))</f>
        <v>0</v>
      </c>
      <c r="AN135" s="232">
        <f>IFERROR(IF($C135="Top WS",VLOOKUP("GOAL",'2) หลักการคำนวน Table'!$D$4:$M$4,HLOOKUP(AB135,'2) หลักการคำนวน Table'!$D$1:$M$5,5,TRUE),0),
IF($C135="WS SF",VLOOKUP("GOAL",'2) หลักการคำนวน Table'!$D$32:$M$32,HLOOKUP(AB135,'2) หลักการคำนวน Table'!$D$1:$M$5,5,TRUE),0),
IF($C135="WS WH",VLOOKUP("GOAL",'2) หลักการคำนวน Table'!$D$62:$M$62,HLOOKUP(AB135,'2) หลักการคำนวน Table'!$D$1:$M$5,5,TRUE),0),
IF($C135="SF WH",VLOOKUP("GOAL",'2) หลักการคำนวน Table'!$D$92:$M$92,HLOOKUP(AB135,'2) หลักการคำนวน Table'!$D$1:$M$5,5,TRUE),0))))),0)</f>
        <v>1</v>
      </c>
      <c r="AO135" s="232">
        <f>IFERROR(IF($C135="Top WS",VLOOKUP("GOAL",'2) หลักการคำนวน Table'!$D$4:$M$4,HLOOKUP(AC135,'2) หลักการคำนวน Table'!$D$1:$M$5,5,TRUE),0),
IF($C135="WS SF",VLOOKUP("GOAL",'2) หลักการคำนวน Table'!$D$32:$M$32,HLOOKUP(AC135,'2) หลักการคำนวน Table'!$D$1:$M$5,5,TRUE),0),
IF($C135="WS WH",VLOOKUP("GOAL",'2) หลักการคำนวน Table'!$D$62:$M$62,HLOOKUP(AC135,'2) หลักการคำนวน Table'!$D$1:$M$5,5,TRUE),0),
IF($C135="SF WH",VLOOKUP("GOAL",'2) หลักการคำนวน Table'!$D$92:$M$92,HLOOKUP(AC135,'2) หลักการคำนวน Table'!$D$1:$M$5,5,TRUE),0))))),0)</f>
        <v>1.3</v>
      </c>
      <c r="AP135" s="232">
        <f>IFERROR(IF($C135="Top WS",VLOOKUP("GOAL",'2) หลักการคำนวน Table'!$D$4:$M$4,HLOOKUP(AD135,'2) หลักการคำนวน Table'!$D$1:$M$5,5,TRUE),0),
IF($C135="WS SF",VLOOKUP("GOAL",'2) หลักการคำนวน Table'!$D$32:$M$32,HLOOKUP(AD135,'2) หลักการคำนวน Table'!$D$1:$M$5,5,TRUE),0),
IF($C135="WS WH",VLOOKUP("GOAL",'2) หลักการคำนวน Table'!$D$62:$M$62,HLOOKUP(AD135,'2) หลักการคำนวน Table'!$D$1:$M$5,5,TRUE),0),
IF($C135="SF WH",VLOOKUP("GOAL",'2) หลักการคำนวน Table'!$D$92:$M$92,HLOOKUP(AD135,'2) หลักการคำนวน Table'!$D$1:$M$5,5,TRUE),0))))),0)</f>
        <v>0.9</v>
      </c>
      <c r="AQ135" s="232">
        <f>IFERROR(IF($C135="Top WS",VLOOKUP("GOAL",'2) หลักการคำนวน Table'!$D$4:$M$4,HLOOKUP(AE135,'2) หลักการคำนวน Table'!$D$1:$M$5,5,TRUE),0),
IF($C135="WS SF",VLOOKUP("GOAL",'2) หลักการคำนวน Table'!$D$32:$M$32,HLOOKUP(AE135,'2) หลักการคำนวน Table'!$D$1:$M$5,5,TRUE),0),
IF($C135="WS WH",VLOOKUP("GOAL",'2) หลักการคำนวน Table'!$D$62:$M$62,HLOOKUP(AE135,'2) หลักการคำนวน Table'!$D$1:$M$5,5,TRUE),0),
IF($C135="SF WH",VLOOKUP("GOAL",'2) หลักการคำนวน Table'!$D$92:$M$92,HLOOKUP(AE135,'2) หลักการคำนวน Table'!$D$1:$M$5,5,TRUE),0))))),0)</f>
        <v>0.9</v>
      </c>
      <c r="AR135" s="232">
        <f>IFERROR(IF($C135="Top WS",VLOOKUP("GOAL",'2) หลักการคำนวน Table'!$D$4:$M$4,HLOOKUP(AF135,'2) หลักการคำนวน Table'!$D$1:$M$5,5,TRUE),0),
IF($C135="WS SF",VLOOKUP("GOAL",'2) หลักการคำนวน Table'!$D$32:$M$32,HLOOKUP(AF135,'2) หลักการคำนวน Table'!$D$1:$M$5,5,TRUE),0),
IF($C135="WS WH",VLOOKUP("GOAL",'2) หลักการคำนวน Table'!$D$62:$M$62,HLOOKUP(AF135,'2) หลักการคำนวน Table'!$D$1:$M$5,5,TRUE),0),
IF($C135="SF WH",VLOOKUP("GOAL",'2) หลักการคำนวน Table'!$D$92:$M$92,HLOOKUP(AF135,'2) หลักการคำนวน Table'!$D$1:$M$5,5,TRUE),0))))),0)</f>
        <v>0.9</v>
      </c>
      <c r="AS135" s="232">
        <f>IFERROR(IF($C135="Top WS",VLOOKUP("GOAL",'2) หลักการคำนวน Table'!$D$4:$M$4,HLOOKUP(AG135,'2) หลักการคำนวน Table'!$D$1:$M$5,5,TRUE),0),
IF($C135="WS SF",VLOOKUP("GOAL",'2) หลักการคำนวน Table'!$D$32:$M$32,HLOOKUP(AG135,'2) หลักการคำนวน Table'!$D$1:$M$5,5,TRUE),0),
IF($C135="WS WH",VLOOKUP("GOAL",'2) หลักการคำนวน Table'!$D$62:$M$62,HLOOKUP(AG135,'2) หลักการคำนวน Table'!$D$1:$M$5,5,TRUE),0),
IF($C135="SF WH",VLOOKUP("GOAL",'2) หลักการคำนวน Table'!$D$92:$M$92,HLOOKUP(AG135,'2) หลักการคำนวน Table'!$D$1:$M$5,5,TRUE),0))))),0)</f>
        <v>0.9</v>
      </c>
      <c r="AT135" s="232">
        <f>IFERROR(IF($C135="Top WS",VLOOKUP("GOAL",'2) หลักการคำนวน Table'!$D$4:$M$4,HLOOKUP(AH135,'2) หลักการคำนวน Table'!$D$1:$M$5,5,TRUE),0),
IF($C135="WS SF",VLOOKUP("GOAL",'2) หลักการคำนวน Table'!$D$32:$M$32,HLOOKUP(AH135,'2) หลักการคำนวน Table'!$D$1:$M$5,5,TRUE),0),
IF($C135="WS WH",VLOOKUP("GOAL",'2) หลักการคำนวน Table'!$D$62:$M$62,HLOOKUP(AH135,'2) หลักการคำนวน Table'!$D$1:$M$5,5,TRUE),0),
IF($C135="SF WH",VLOOKUP("GOAL",'2) หลักการคำนวน Table'!$D$92:$M$92,HLOOKUP(AH135,'2) หลักการคำนวน Table'!$D$1:$M$5,5,TRUE),0))))),0)</f>
        <v>0.9</v>
      </c>
      <c r="AU135" s="232">
        <f>IFERROR(IF($C135="Top WS",VLOOKUP("GOAL",'2) หลักการคำนวน Table'!$D$4:$M$4,HLOOKUP(AI135,'2) หลักการคำนวน Table'!$D$1:$M$5,5,TRUE),0),
IF($C135="WS SF",VLOOKUP("GOAL",'2) หลักการคำนวน Table'!$D$32:$M$32,HLOOKUP(AI135,'2) หลักการคำนวน Table'!$D$1:$M$5,5,TRUE),0),
IF($C135="WS WH",VLOOKUP("GOAL",'2) หลักการคำนวน Table'!$D$62:$M$62,HLOOKUP(AI135,'2) หลักการคำนวน Table'!$D$1:$M$5,5,TRUE),0),
IF($C135="SF WH",VLOOKUP("GOAL",'2) หลักการคำนวน Table'!$D$92:$M$92,HLOOKUP(AI135,'2) หลักการคำนวน Table'!$D$1:$M$5,5,TRUE),0))))),0)</f>
        <v>0.9</v>
      </c>
      <c r="AV135" s="232">
        <f>IFERROR(IF($C135="Top WS",VLOOKUP("GOAL",'2) หลักการคำนวน Table'!$D$4:$M$4,HLOOKUP(AP135,'2) หลักการคำนวน Table'!$D$1:$M$5,5,TRUE),0),
IF($C135="WS SF",VLOOKUP("GOAL",'2) หลักการคำนวน Table'!$D$32:$M$32,HLOOKUP(AP135,'2) หลักการคำนวน Table'!$D$1:$M$5,5,TRUE),0),
IF($C135="WS WH",VLOOKUP("GOAL",'2) หลักการคำนวน Table'!$D$62:$M$62,HLOOKUP(AP135,'2) หลักการคำนวน Table'!$D$1:$M$5,5,TRUE),0),
IF($C135="SF WH",VLOOKUP("GOAL",'2) หลักการคำนวน Table'!$D$92:$M$92,HLOOKUP(AP135,'2) หลักการคำนวน Table'!$D$1:$M$5,5,TRUE),0))))),0)</f>
        <v>0.9</v>
      </c>
      <c r="AW135" s="232">
        <f>IFERROR(IF($C135="Top WS",VLOOKUP("GOAL",'2) หลักการคำนวน Table'!$D$4:$M$4,HLOOKUP(AK135,'2) หลักการคำนวน Table'!$D$1:$M$5,5,TRUE),0),
IF($C135="WS SF",VLOOKUP("GOAL",'2) หลักการคำนวน Table'!$D$32:$M$32,HLOOKUP(AK135,'2) หลักการคำนวน Table'!$D$1:$M$5,5,TRUE),0),
IF($C135="WS WH",VLOOKUP("GOAL",'2) หลักการคำนวน Table'!$D$62:$M$62,HLOOKUP(AK135,'2) หลักการคำนวน Table'!$D$1:$M$5,5,TRUE),0),
IF($C135="SF WH",VLOOKUP("GOAL",'2) หลักการคำนวน Table'!$D$92:$M$92,HLOOKUP(AK135,'2) หลักการคำนวน Table'!$D$1:$M$5,5,TRUE),0))))),0)</f>
        <v>0.9</v>
      </c>
      <c r="AX135" s="232">
        <f>IFERROR(IF($C135="Top WS",VLOOKUP("GOAL",'2) หลักการคำนวน Table'!$D$4:$M$4,HLOOKUP(AL135,'2) หลักการคำนวน Table'!$D$1:$M$5,5,TRUE),0),
IF($C135="WS SF",VLOOKUP("GOAL",'2) หลักการคำนวน Table'!$D$32:$M$32,HLOOKUP(AL135,'2) หลักการคำนวน Table'!$D$1:$M$5,5,TRUE),0),
IF($C135="WS WH",VLOOKUP("GOAL",'2) หลักการคำนวน Table'!$D$62:$M$62,HLOOKUP(AL135,'2) หลักการคำนวน Table'!$D$1:$M$5,5,TRUE),0),
IF($C135="SF WH",VLOOKUP("GOAL",'2) หลักการคำนวน Table'!$D$92:$M$92,HLOOKUP(AL135,'2) หลักการคำนวน Table'!$D$1:$M$5,5,TRUE),0))))),0)</f>
        <v>0.9</v>
      </c>
      <c r="AY135" s="232">
        <f>IFERROR(IF($C135="Top WS",VLOOKUP("GOAL",'2) หลักการคำนวน Table'!$D$4:$M$4,HLOOKUP(AM135,'2) หลักการคำนวน Table'!$D$1:$M$5,5,TRUE),0),
IF($C135="WS SF",VLOOKUP("GOAL",'2) หลักการคำนวน Table'!$D$32:$M$32,HLOOKUP(AM135,'2) หลักการคำนวน Table'!$D$1:$M$5,5,TRUE),0),
IF($C135="WS WH",VLOOKUP("GOAL",'2) หลักการคำนวน Table'!$D$62:$M$62,HLOOKUP(AM135,'2) หลักการคำนวน Table'!$D$1:$M$5,5,TRUE),0),
IF($C135="SF WH",VLOOKUP("GOAL",'2) หลักการคำนวน Table'!$D$92:$M$92,HLOOKUP(AM135,'2) หลักการคำนวน Table'!$D$1:$M$5,5,TRUE),0))))),0)</f>
        <v>0.9</v>
      </c>
      <c r="AZ135" s="167">
        <f>IFERROR(IF($C135="Top WS",VLOOKUP($B135,'2) หลักการคำนวน Table'!$D$5:$M$20,HLOOKUP(AB135,'2) หลักการคำนวน Table'!$D$1:$M$5,5,TRUE),0),
IF($C135="WS SF",VLOOKUP($B135,'2) หลักการคำนวน Table'!$D$33:$M$48,HLOOKUP(AB135,'2) หลักการคำนวน Table'!$D$1:$M$5,5,TRUE),0),
IF($C135="WS WH",VLOOKUP($B135,'2) หลักการคำนวน Table'!$D$63:$M$78,HLOOKUP(AB135,'2) หลักการคำนวน Table'!$D$1:$M$5,5,TRUE),0),
IF($C135="SF WH",VLOOKUP($B135,'2) หลักการคำนวน Table'!$D$93:$M$108,HLOOKUP(AB135,'2) หลักการคำนวน Table'!$D$1:$M$5,5,TRUE),0))))),0)</f>
        <v>175</v>
      </c>
      <c r="BA135" s="167">
        <f>IFERROR(IF($C135="Top WS",VLOOKUP($B135,'2) หลักการคำนวน Table'!$D$5:$M$20,HLOOKUP(AC135,'2) หลักการคำนวน Table'!$D$1:$M$5,5,TRUE),0),
IF($C135="WS SF",VLOOKUP($B135,'2) หลักการคำนวน Table'!$D$33:$M$48,HLOOKUP(AC135,'2) หลักการคำนวน Table'!$D$1:$M$5,5,TRUE),0),
IF($C135="WS WH",VLOOKUP($B135,'2) หลักการคำนวน Table'!$D$63:$M$78,HLOOKUP(AC135,'2) หลักการคำนวน Table'!$D$1:$M$5,5,TRUE),0),
IF($C135="SF WH",VLOOKUP($B135,'2) หลักการคำนวน Table'!$D$93:$M$108,HLOOKUP(AC135,'2) หลักการคำนวน Table'!$D$1:$M$5,5,TRUE),0))))),0)</f>
        <v>227.5</v>
      </c>
      <c r="BB135" s="167">
        <f>IFERROR(IF($C135="Top WS",VLOOKUP($B135,'2) หลักการคำนวน Table'!$D$5:$M$20,HLOOKUP(AD135,'2) หลักการคำนวน Table'!$D$1:$M$5,5,TRUE),0),
IF($C135="WS SF",VLOOKUP($B135,'2) หลักการคำนวน Table'!$D$33:$M$48,HLOOKUP(AD135,'2) หลักการคำนวน Table'!$D$1:$M$5,5,TRUE),0),
IF($C135="WS WH",VLOOKUP($B135,'2) หลักการคำนวน Table'!$D$63:$M$78,HLOOKUP(AD135,'2) หลักการคำนวน Table'!$D$1:$M$5,5,TRUE),0),
IF($C135="SF WH",VLOOKUP($B135,'2) หลักการคำนวน Table'!$D$93:$M$108,HLOOKUP(AD135,'2) หลักการคำนวน Table'!$D$1:$M$5,5,TRUE),0))))),0)</f>
        <v>157.5</v>
      </c>
      <c r="BC135" s="167">
        <f>IFERROR(IF($C135="Top WS",VLOOKUP($B135,'2) หลักการคำนวน Table'!$D$5:$M$20,HLOOKUP(AE135,'2) หลักการคำนวน Table'!$D$1:$M$5,5,TRUE),0),
IF($C135="WS SF",VLOOKUP($B135,'2) หลักการคำนวน Table'!$D$33:$M$48,HLOOKUP(AE135,'2) หลักการคำนวน Table'!$D$1:$M$5,5,TRUE),0),
IF($C135="WS WH",VLOOKUP($B135,'2) หลักการคำนวน Table'!$D$63:$M$78,HLOOKUP(AE135,'2) หลักการคำนวน Table'!$D$1:$M$5,5,TRUE),0),
IF($C135="SF WH",VLOOKUP($B135,'2) หลักการคำนวน Table'!$D$93:$M$108,HLOOKUP(AE135,'2) หลักการคำนวน Table'!$D$1:$M$5,5,TRUE),0))))),0)</f>
        <v>157.5</v>
      </c>
      <c r="BD135" s="167">
        <f>IFERROR(IF($C135="Top WS",VLOOKUP($B135,'2) หลักการคำนวน Table'!$D$5:$M$20,HLOOKUP(AF135,'2) หลักการคำนวน Table'!$D$1:$M$5,5,TRUE),0),
IF($C135="WS SF",VLOOKUP($B135,'2) หลักการคำนวน Table'!$D$33:$M$48,HLOOKUP(AF135,'2) หลักการคำนวน Table'!$D$1:$M$5,5,TRUE),0),
IF($C135="WS WH",VLOOKUP($B135,'2) หลักการคำนวน Table'!$D$63:$M$78,HLOOKUP(AF135,'2) หลักการคำนวน Table'!$D$1:$M$5,5,TRUE),0),
IF($C135="SF WH",VLOOKUP($B135,'2) หลักการคำนวน Table'!$D$93:$M$108,HLOOKUP(AF135,'2) หลักการคำนวน Table'!$D$1:$M$5,5,TRUE),0))))),0)</f>
        <v>157.5</v>
      </c>
      <c r="BE135" s="167">
        <f>IFERROR(IF($C135="Top WS",VLOOKUP($B135,'2) หลักการคำนวน Table'!$D$5:$M$20,HLOOKUP(AG135,'2) หลักการคำนวน Table'!$D$1:$M$5,5,TRUE),0),
IF($C135="WS SF",VLOOKUP($B135,'2) หลักการคำนวน Table'!$D$33:$M$48,HLOOKUP(AG135,'2) หลักการคำนวน Table'!$D$1:$M$5,5,TRUE),0),
IF($C135="WS WH",VLOOKUP($B135,'2) หลักการคำนวน Table'!$D$63:$M$78,HLOOKUP(AG135,'2) หลักการคำนวน Table'!$D$1:$M$5,5,TRUE),0),
IF($C135="SF WH",VLOOKUP($B135,'2) หลักการคำนวน Table'!$D$93:$M$108,HLOOKUP(AG135,'2) หลักการคำนวน Table'!$D$1:$M$5,5,TRUE),0))))),0)</f>
        <v>157.5</v>
      </c>
      <c r="BF135" s="167">
        <f>IFERROR(IF($C135="Top WS",VLOOKUP($B135,'2) หลักการคำนวน Table'!$D$5:$M$20,HLOOKUP(AH135,'2) หลักการคำนวน Table'!$D$1:$M$5,5,TRUE),0),
IF($C135="WS SF",VLOOKUP($B135,'2) หลักการคำนวน Table'!$D$33:$M$48,HLOOKUP(AH135,'2) หลักการคำนวน Table'!$D$1:$M$5,5,TRUE),0),
IF($C135="WS WH",VLOOKUP($B135,'2) หลักการคำนวน Table'!$D$63:$M$78,HLOOKUP(AH135,'2) หลักการคำนวน Table'!$D$1:$M$5,5,TRUE),0),
IF($C135="SF WH",VLOOKUP($B135,'2) หลักการคำนวน Table'!$D$93:$M$108,HLOOKUP(AH135,'2) หลักการคำนวน Table'!$D$1:$M$5,5,TRUE),0))))),0)</f>
        <v>157.5</v>
      </c>
      <c r="BG135" s="167">
        <f>IFERROR(IF($C135="Top WS",VLOOKUP($B135,'2) หลักการคำนวน Table'!$D$5:$M$20,HLOOKUP(AI135,'2) หลักการคำนวน Table'!$D$1:$M$5,5,TRUE),0),
IF($C135="WS SF",VLOOKUP($B135,'2) หลักการคำนวน Table'!$D$33:$M$48,HLOOKUP(AI135,'2) หลักการคำนวน Table'!$D$1:$M$5,5,TRUE),0),
IF($C135="WS WH",VLOOKUP($B135,'2) หลักการคำนวน Table'!$D$63:$M$78,HLOOKUP(AI135,'2) หลักการคำนวน Table'!$D$1:$M$5,5,TRUE),0),
IF($C135="SF WH",VLOOKUP($B135,'2) หลักการคำนวน Table'!$D$93:$M$108,HLOOKUP(AI135,'2) หลักการคำนวน Table'!$D$1:$M$5,5,TRUE),0))))),0)</f>
        <v>157.5</v>
      </c>
      <c r="BH135" s="167">
        <f>IFERROR(IF($C135="Top WS",VLOOKUP($B135,'2) หลักการคำนวน Table'!$D$5:$M$20,HLOOKUP(AP135,'2) หลักการคำนวน Table'!$D$1:$M$5,5,TRUE),0),
IF($C135="WS SF",VLOOKUP($B135,'2) หลักการคำนวน Table'!$D$33:$M$48,HLOOKUP(AP135,'2) หลักการคำนวน Table'!$D$1:$M$5,5,TRUE),0),
IF($C135="WS WH",VLOOKUP($B135,'2) หลักการคำนวน Table'!$D$63:$M$78,HLOOKUP(AP135,'2) หลักการคำนวน Table'!$D$1:$M$5,5,TRUE),0),
IF($C135="SF WH",VLOOKUP($B135,'2) หลักการคำนวน Table'!$D$93:$M$108,HLOOKUP(AP135,'2) หลักการคำนวน Table'!$D$1:$M$5,5,TRUE),0))))),0)</f>
        <v>157.5</v>
      </c>
      <c r="BI135" s="167">
        <f>IFERROR(IF($C135="Top WS",VLOOKUP($B135,'2) หลักการคำนวน Table'!$D$5:$M$20,HLOOKUP(AK135,'2) หลักการคำนวน Table'!$D$1:$M$5,5,TRUE),0),
IF($C135="WS SF",VLOOKUP($B135,'2) หลักการคำนวน Table'!$D$33:$M$48,HLOOKUP(AK135,'2) หลักการคำนวน Table'!$D$1:$M$5,5,TRUE),0),
IF($C135="WS WH",VLOOKUP($B135,'2) หลักการคำนวน Table'!$D$63:$M$78,HLOOKUP(AK135,'2) หลักการคำนวน Table'!$D$1:$M$5,5,TRUE),0),
IF($C135="SF WH",VLOOKUP($B135,'2) หลักการคำนวน Table'!$D$93:$M$108,HLOOKUP(AK135,'2) หลักการคำนวน Table'!$D$1:$M$5,5,TRUE),0))))),0)</f>
        <v>157.5</v>
      </c>
      <c r="BJ135" s="167">
        <f>IFERROR(IF($C135="Top WS",VLOOKUP($B135,'2) หลักการคำนวน Table'!$D$5:$M$20,HLOOKUP(AL135,'2) หลักการคำนวน Table'!$D$1:$M$5,5,TRUE),0),
IF($C135="WS SF",VLOOKUP($B135,'2) หลักการคำนวน Table'!$D$33:$M$48,HLOOKUP(AL135,'2) หลักการคำนวน Table'!$D$1:$M$5,5,TRUE),0),
IF($C135="WS WH",VLOOKUP($B135,'2) หลักการคำนวน Table'!$D$63:$M$78,HLOOKUP(AL135,'2) หลักการคำนวน Table'!$D$1:$M$5,5,TRUE),0),
IF($C135="SF WH",VLOOKUP($B135,'2) หลักการคำนวน Table'!$D$93:$M$108,HLOOKUP(AL135,'2) หลักการคำนวน Table'!$D$1:$M$5,5,TRUE),0))))),0)</f>
        <v>157.5</v>
      </c>
      <c r="BK135" s="167">
        <f>IFERROR(IF($C135="Top WS",VLOOKUP($B135,'2) หลักการคำนวน Table'!$D$5:$M$20,HLOOKUP(AM135,'2) หลักการคำนวน Table'!$D$1:$M$5,5,TRUE),0),
IF($C135="WS SF",VLOOKUP($B135,'2) หลักการคำนวน Table'!$D$33:$M$48,HLOOKUP(AM135,'2) หลักการคำนวน Table'!$D$1:$M$5,5,TRUE),0),
IF($C135="WS WH",VLOOKUP($B135,'2) หลักการคำนวน Table'!$D$63:$M$78,HLOOKUP(AM135,'2) หลักการคำนวน Table'!$D$1:$M$5,5,TRUE),0),
IF($C135="SF WH",VLOOKUP($B135,'2) หลักการคำนวน Table'!$D$93:$M$108,HLOOKUP(AM135,'2) หลักการคำนวน Table'!$D$1:$M$5,5,TRUE),0))))),0)</f>
        <v>157.5</v>
      </c>
      <c r="BM135" s="119">
        <f>VLOOKUP(VLOOKUP(A135,ASTBase!E:S,13,FALSE),ASTBase!F:P,11,FALSE)</f>
        <v>130000</v>
      </c>
      <c r="BN135" s="196" cm="1">
        <f t="array" ref="BN135">INDEX(AN135:AY135,,Period!$D$2)</f>
        <v>1.3</v>
      </c>
    </row>
    <row r="136" spans="1:66" x14ac:dyDescent="0.25">
      <c r="A136" s="117">
        <v>130002</v>
      </c>
      <c r="B136" s="117" t="s">
        <v>389</v>
      </c>
      <c r="C136" s="117" t="s">
        <v>179</v>
      </c>
      <c r="D136" s="118">
        <v>9981</v>
      </c>
      <c r="E136" s="118">
        <v>9411</v>
      </c>
      <c r="F136" s="118">
        <v>10886</v>
      </c>
      <c r="G136" s="118">
        <v>8924</v>
      </c>
      <c r="H136" s="118">
        <v>7467</v>
      </c>
      <c r="I136" s="118">
        <v>9474</v>
      </c>
      <c r="J136" s="118">
        <v>8696</v>
      </c>
      <c r="K136" s="118">
        <v>9883</v>
      </c>
      <c r="L136" s="118">
        <v>9910</v>
      </c>
      <c r="M136" s="118">
        <v>11033</v>
      </c>
      <c r="N136" s="118">
        <v>8921</v>
      </c>
      <c r="O136" s="118">
        <v>8918</v>
      </c>
      <c r="P136" s="117">
        <f>SUMIFS(Actual!C:C,Actual!$A:$A,'3)Target &amp; Cal'!$A136,Actual!$B:$B,'3)Target &amp; Cal'!$B136)</f>
        <v>7318.8</v>
      </c>
      <c r="Q136" s="117">
        <f>SUMIFS(Actual!D:D,Actual!$A:$A,'3)Target &amp; Cal'!$A136,Actual!$B:$B,'3)Target &amp; Cal'!$B136)</f>
        <v>11646.199999999999</v>
      </c>
      <c r="R136" s="117">
        <f>SUMIFS(Actual!E:E,Actual!$A:$A,'3)Target &amp; Cal'!$A136,Actual!$B:$B,'3)Target &amp; Cal'!$B136)</f>
        <v>0</v>
      </c>
      <c r="S136" s="117">
        <f>SUMIFS(Actual!F:F,Actual!$A:$A,'3)Target &amp; Cal'!$A136,Actual!$B:$B,'3)Target &amp; Cal'!$B136)</f>
        <v>0</v>
      </c>
      <c r="T136" s="117">
        <f>SUMIFS(Actual!G:G,Actual!$A:$A,'3)Target &amp; Cal'!$A136,Actual!$B:$B,'3)Target &amp; Cal'!$B136)</f>
        <v>0</v>
      </c>
      <c r="U136" s="117">
        <f>SUMIFS(Actual!H:H,Actual!$A:$A,'3)Target &amp; Cal'!$A136,Actual!$B:$B,'3)Target &amp; Cal'!$B136)</f>
        <v>0</v>
      </c>
      <c r="V136" s="117">
        <f>SUMIFS(Actual!I:I,Actual!$A:$A,'3)Target &amp; Cal'!$A136,Actual!$B:$B,'3)Target &amp; Cal'!$B136)</f>
        <v>0</v>
      </c>
      <c r="W136" s="117">
        <f>SUMIFS(Actual!J:J,Actual!$A:$A,'3)Target &amp; Cal'!$A136,Actual!$B:$B,'3)Target &amp; Cal'!$B136)</f>
        <v>0</v>
      </c>
      <c r="X136" s="117">
        <f>SUMIFS(Actual!K:K,Actual!$A:$A,'3)Target &amp; Cal'!$A136,Actual!$B:$B,'3)Target &amp; Cal'!$B136)</f>
        <v>0</v>
      </c>
      <c r="Y136" s="117">
        <f>SUMIFS(Actual!L:L,Actual!$A:$A,'3)Target &amp; Cal'!$A136,Actual!$B:$B,'3)Target &amp; Cal'!$B136)</f>
        <v>0</v>
      </c>
      <c r="Z136" s="117">
        <f>SUMIFS(Actual!M:M,Actual!$A:$A,'3)Target &amp; Cal'!$A136,Actual!$B:$B,'3)Target &amp; Cal'!$B136)</f>
        <v>0</v>
      </c>
      <c r="AA136" s="117">
        <f>SUMIFS(Actual!N:N,Actual!$A:$A,'3)Target &amp; Cal'!$A136,Actual!$B:$B,'3)Target &amp; Cal'!$B136)</f>
        <v>0</v>
      </c>
      <c r="AB136" s="123">
        <f>IFERROR(IF(VLOOKUP($B136,Shortage!$A:$M,AB$2,FALSE)="Shortage",1,IFERROR(ROUND(P136/D136,4),0)),IFERROR(ROUND(P136/D136,4),0))</f>
        <v>1</v>
      </c>
      <c r="AC136" s="123">
        <f>IFERROR(IF(VLOOKUP($B136,Shortage!$A:$M,AC$2,FALSE)="Shortage",1,IFERROR(ROUND(Q136/E136,4),0)),IFERROR(ROUND(Q136/E136,4),0))</f>
        <v>1</v>
      </c>
      <c r="AD136" s="123">
        <f>IFERROR(IF(VLOOKUP($B136,Shortage!$A:$M,AD$2,FALSE)="Shortage",1,IFERROR(ROUND(R136/F136,4),0)),IFERROR(ROUND(R136/F136,4),0))</f>
        <v>0</v>
      </c>
      <c r="AE136" s="123">
        <f>IFERROR(IF(VLOOKUP($B136,Shortage!$A:$M,AE$2,FALSE)="Shortage",1,IFERROR(ROUND(S136/G136,4),0)),IFERROR(ROUND(S136/G136,4),0))</f>
        <v>0</v>
      </c>
      <c r="AF136" s="123">
        <f>IFERROR(IF(VLOOKUP($B136,Shortage!$A:$M,AF$2,FALSE)="Shortage",1,IFERROR(ROUND(T136/H136,4),0)),IFERROR(ROUND(T136/H136,4),0))</f>
        <v>0</v>
      </c>
      <c r="AG136" s="123">
        <f>IFERROR(IF(VLOOKUP($B136,Shortage!$A:$M,AG$2,FALSE)="Shortage",1,IFERROR(ROUND(U136/I136,4),0)),IFERROR(ROUND(U136/I136,4),0))</f>
        <v>0</v>
      </c>
      <c r="AH136" s="123">
        <f>IFERROR(IF(VLOOKUP($B136,Shortage!$A:$M,AH$2,FALSE)="Shortage",1,IFERROR(ROUND(V136/J136,4),0)),IFERROR(ROUND(V136/J136,4),0))</f>
        <v>0</v>
      </c>
      <c r="AI136" s="123">
        <f>IFERROR(IF(VLOOKUP($B136,Shortage!$A:$M,AI$2,FALSE)="Shortage",1,IFERROR(ROUND(W136/K136,4),0)),IFERROR(ROUND(W136/K136,4),0))</f>
        <v>0</v>
      </c>
      <c r="AJ136" s="123">
        <f>IFERROR(IF(VLOOKUP($B136,Shortage!$A:$M,AP$2,FALSE)="Shortage",1,IFERROR(ROUND(X136/L136,4),0)),IFERROR(ROUND(X136/L136,4),0))</f>
        <v>0</v>
      </c>
      <c r="AK136" s="123">
        <f>IFERROR(IF(VLOOKUP($B136,Shortage!$A:$M,AK$2,FALSE)="Shortage",1,IFERROR(ROUND(Y136/M136,4),0)),IFERROR(ROUND(Y136/M136,4),0))</f>
        <v>0</v>
      </c>
      <c r="AL136" s="123">
        <f>IFERROR(IF(VLOOKUP($B136,Shortage!$A:$M,AL$2,FALSE)="Shortage",1,IFERROR(ROUND(Z136/N136,4),0)),IFERROR(ROUND(Z136/N136,4),0))</f>
        <v>0</v>
      </c>
      <c r="AM136" s="123">
        <f>IFERROR(IF(VLOOKUP($B136,Shortage!$A:$M,AM$2,FALSE)="Shortage",1,IFERROR(ROUND(AA136/O136,4),0)),IFERROR(ROUND(AA136/O136,4),0))</f>
        <v>0</v>
      </c>
      <c r="AN136" s="232">
        <f>IFERROR(IF($C136="Top WS",VLOOKUP("GOAL",'2) หลักการคำนวน Table'!$D$4:$M$4,HLOOKUP(AB136,'2) หลักการคำนวน Table'!$D$1:$M$5,5,TRUE),0),
IF($C136="WS SF",VLOOKUP("GOAL",'2) หลักการคำนวน Table'!$D$32:$M$32,HLOOKUP(AB136,'2) หลักการคำนวน Table'!$D$1:$M$5,5,TRUE),0),
IF($C136="WS WH",VLOOKUP("GOAL",'2) หลักการคำนวน Table'!$D$62:$M$62,HLOOKUP(AB136,'2) หลักการคำนวน Table'!$D$1:$M$5,5,TRUE),0),
IF($C136="SF WH",VLOOKUP("GOAL",'2) หลักการคำนวน Table'!$D$92:$M$92,HLOOKUP(AB136,'2) หลักการคำนวน Table'!$D$1:$M$5,5,TRUE),0))))),0)</f>
        <v>1</v>
      </c>
      <c r="AO136" s="232">
        <f>IFERROR(IF($C136="Top WS",VLOOKUP("GOAL",'2) หลักการคำนวน Table'!$D$4:$M$4,HLOOKUP(AC136,'2) หลักการคำนวน Table'!$D$1:$M$5,5,TRUE),0),
IF($C136="WS SF",VLOOKUP("GOAL",'2) หลักการคำนวน Table'!$D$32:$M$32,HLOOKUP(AC136,'2) หลักการคำนวน Table'!$D$1:$M$5,5,TRUE),0),
IF($C136="WS WH",VLOOKUP("GOAL",'2) หลักการคำนวน Table'!$D$62:$M$62,HLOOKUP(AC136,'2) หลักการคำนวน Table'!$D$1:$M$5,5,TRUE),0),
IF($C136="SF WH",VLOOKUP("GOAL",'2) หลักการคำนวน Table'!$D$92:$M$92,HLOOKUP(AC136,'2) หลักการคำนวน Table'!$D$1:$M$5,5,TRUE),0))))),0)</f>
        <v>1</v>
      </c>
      <c r="AP136" s="232">
        <f>IFERROR(IF($C136="Top WS",VLOOKUP("GOAL",'2) หลักการคำนวน Table'!$D$4:$M$4,HLOOKUP(AD136,'2) หลักการคำนวน Table'!$D$1:$M$5,5,TRUE),0),
IF($C136="WS SF",VLOOKUP("GOAL",'2) หลักการคำนวน Table'!$D$32:$M$32,HLOOKUP(AD136,'2) หลักการคำนวน Table'!$D$1:$M$5,5,TRUE),0),
IF($C136="WS WH",VLOOKUP("GOAL",'2) หลักการคำนวน Table'!$D$62:$M$62,HLOOKUP(AD136,'2) หลักการคำนวน Table'!$D$1:$M$5,5,TRUE),0),
IF($C136="SF WH",VLOOKUP("GOAL",'2) หลักการคำนวน Table'!$D$92:$M$92,HLOOKUP(AD136,'2) หลักการคำนวน Table'!$D$1:$M$5,5,TRUE),0))))),0)</f>
        <v>0.9</v>
      </c>
      <c r="AQ136" s="232">
        <f>IFERROR(IF($C136="Top WS",VLOOKUP("GOAL",'2) หลักการคำนวน Table'!$D$4:$M$4,HLOOKUP(AE136,'2) หลักการคำนวน Table'!$D$1:$M$5,5,TRUE),0),
IF($C136="WS SF",VLOOKUP("GOAL",'2) หลักการคำนวน Table'!$D$32:$M$32,HLOOKUP(AE136,'2) หลักการคำนวน Table'!$D$1:$M$5,5,TRUE),0),
IF($C136="WS WH",VLOOKUP("GOAL",'2) หลักการคำนวน Table'!$D$62:$M$62,HLOOKUP(AE136,'2) หลักการคำนวน Table'!$D$1:$M$5,5,TRUE),0),
IF($C136="SF WH",VLOOKUP("GOAL",'2) หลักการคำนวน Table'!$D$92:$M$92,HLOOKUP(AE136,'2) หลักการคำนวน Table'!$D$1:$M$5,5,TRUE),0))))),0)</f>
        <v>0.9</v>
      </c>
      <c r="AR136" s="232">
        <f>IFERROR(IF($C136="Top WS",VLOOKUP("GOAL",'2) หลักการคำนวน Table'!$D$4:$M$4,HLOOKUP(AF136,'2) หลักการคำนวน Table'!$D$1:$M$5,5,TRUE),0),
IF($C136="WS SF",VLOOKUP("GOAL",'2) หลักการคำนวน Table'!$D$32:$M$32,HLOOKUP(AF136,'2) หลักการคำนวน Table'!$D$1:$M$5,5,TRUE),0),
IF($C136="WS WH",VLOOKUP("GOAL",'2) หลักการคำนวน Table'!$D$62:$M$62,HLOOKUP(AF136,'2) หลักการคำนวน Table'!$D$1:$M$5,5,TRUE),0),
IF($C136="SF WH",VLOOKUP("GOAL",'2) หลักการคำนวน Table'!$D$92:$M$92,HLOOKUP(AF136,'2) หลักการคำนวน Table'!$D$1:$M$5,5,TRUE),0))))),0)</f>
        <v>0.9</v>
      </c>
      <c r="AS136" s="232">
        <f>IFERROR(IF($C136="Top WS",VLOOKUP("GOAL",'2) หลักการคำนวน Table'!$D$4:$M$4,HLOOKUP(AG136,'2) หลักการคำนวน Table'!$D$1:$M$5,5,TRUE),0),
IF($C136="WS SF",VLOOKUP("GOAL",'2) หลักการคำนวน Table'!$D$32:$M$32,HLOOKUP(AG136,'2) หลักการคำนวน Table'!$D$1:$M$5,5,TRUE),0),
IF($C136="WS WH",VLOOKUP("GOAL",'2) หลักการคำนวน Table'!$D$62:$M$62,HLOOKUP(AG136,'2) หลักการคำนวน Table'!$D$1:$M$5,5,TRUE),0),
IF($C136="SF WH",VLOOKUP("GOAL",'2) หลักการคำนวน Table'!$D$92:$M$92,HLOOKUP(AG136,'2) หลักการคำนวน Table'!$D$1:$M$5,5,TRUE),0))))),0)</f>
        <v>0.9</v>
      </c>
      <c r="AT136" s="232">
        <f>IFERROR(IF($C136="Top WS",VLOOKUP("GOAL",'2) หลักการคำนวน Table'!$D$4:$M$4,HLOOKUP(AH136,'2) หลักการคำนวน Table'!$D$1:$M$5,5,TRUE),0),
IF($C136="WS SF",VLOOKUP("GOAL",'2) หลักการคำนวน Table'!$D$32:$M$32,HLOOKUP(AH136,'2) หลักการคำนวน Table'!$D$1:$M$5,5,TRUE),0),
IF($C136="WS WH",VLOOKUP("GOAL",'2) หลักการคำนวน Table'!$D$62:$M$62,HLOOKUP(AH136,'2) หลักการคำนวน Table'!$D$1:$M$5,5,TRUE),0),
IF($C136="SF WH",VLOOKUP("GOAL",'2) หลักการคำนวน Table'!$D$92:$M$92,HLOOKUP(AH136,'2) หลักการคำนวน Table'!$D$1:$M$5,5,TRUE),0))))),0)</f>
        <v>0.9</v>
      </c>
      <c r="AU136" s="232">
        <f>IFERROR(IF($C136="Top WS",VLOOKUP("GOAL",'2) หลักการคำนวน Table'!$D$4:$M$4,HLOOKUP(AI136,'2) หลักการคำนวน Table'!$D$1:$M$5,5,TRUE),0),
IF($C136="WS SF",VLOOKUP("GOAL",'2) หลักการคำนวน Table'!$D$32:$M$32,HLOOKUP(AI136,'2) หลักการคำนวน Table'!$D$1:$M$5,5,TRUE),0),
IF($C136="WS WH",VLOOKUP("GOAL",'2) หลักการคำนวน Table'!$D$62:$M$62,HLOOKUP(AI136,'2) หลักการคำนวน Table'!$D$1:$M$5,5,TRUE),0),
IF($C136="SF WH",VLOOKUP("GOAL",'2) หลักการคำนวน Table'!$D$92:$M$92,HLOOKUP(AI136,'2) หลักการคำนวน Table'!$D$1:$M$5,5,TRUE),0))))),0)</f>
        <v>0.9</v>
      </c>
      <c r="AV136" s="232">
        <f>IFERROR(IF($C136="Top WS",VLOOKUP("GOAL",'2) หลักการคำนวน Table'!$D$4:$M$4,HLOOKUP(AP136,'2) หลักการคำนวน Table'!$D$1:$M$5,5,TRUE),0),
IF($C136="WS SF",VLOOKUP("GOAL",'2) หลักการคำนวน Table'!$D$32:$M$32,HLOOKUP(AP136,'2) หลักการคำนวน Table'!$D$1:$M$5,5,TRUE),0),
IF($C136="WS WH",VLOOKUP("GOAL",'2) หลักการคำนวน Table'!$D$62:$M$62,HLOOKUP(AP136,'2) หลักการคำนวน Table'!$D$1:$M$5,5,TRUE),0),
IF($C136="SF WH",VLOOKUP("GOAL",'2) หลักการคำนวน Table'!$D$92:$M$92,HLOOKUP(AP136,'2) หลักการคำนวน Table'!$D$1:$M$5,5,TRUE),0))))),0)</f>
        <v>0.9</v>
      </c>
      <c r="AW136" s="232">
        <f>IFERROR(IF($C136="Top WS",VLOOKUP("GOAL",'2) หลักการคำนวน Table'!$D$4:$M$4,HLOOKUP(AK136,'2) หลักการคำนวน Table'!$D$1:$M$5,5,TRUE),0),
IF($C136="WS SF",VLOOKUP("GOAL",'2) หลักการคำนวน Table'!$D$32:$M$32,HLOOKUP(AK136,'2) หลักการคำนวน Table'!$D$1:$M$5,5,TRUE),0),
IF($C136="WS WH",VLOOKUP("GOAL",'2) หลักการคำนวน Table'!$D$62:$M$62,HLOOKUP(AK136,'2) หลักการคำนวน Table'!$D$1:$M$5,5,TRUE),0),
IF($C136="SF WH",VLOOKUP("GOAL",'2) หลักการคำนวน Table'!$D$92:$M$92,HLOOKUP(AK136,'2) หลักการคำนวน Table'!$D$1:$M$5,5,TRUE),0))))),0)</f>
        <v>0.9</v>
      </c>
      <c r="AX136" s="232">
        <f>IFERROR(IF($C136="Top WS",VLOOKUP("GOAL",'2) หลักการคำนวน Table'!$D$4:$M$4,HLOOKUP(AL136,'2) หลักการคำนวน Table'!$D$1:$M$5,5,TRUE),0),
IF($C136="WS SF",VLOOKUP("GOAL",'2) หลักการคำนวน Table'!$D$32:$M$32,HLOOKUP(AL136,'2) หลักการคำนวน Table'!$D$1:$M$5,5,TRUE),0),
IF($C136="WS WH",VLOOKUP("GOAL",'2) หลักการคำนวน Table'!$D$62:$M$62,HLOOKUP(AL136,'2) หลักการคำนวน Table'!$D$1:$M$5,5,TRUE),0),
IF($C136="SF WH",VLOOKUP("GOAL",'2) หลักการคำนวน Table'!$D$92:$M$92,HLOOKUP(AL136,'2) หลักการคำนวน Table'!$D$1:$M$5,5,TRUE),0))))),0)</f>
        <v>0.9</v>
      </c>
      <c r="AY136" s="232">
        <f>IFERROR(IF($C136="Top WS",VLOOKUP("GOAL",'2) หลักการคำนวน Table'!$D$4:$M$4,HLOOKUP(AM136,'2) หลักการคำนวน Table'!$D$1:$M$5,5,TRUE),0),
IF($C136="WS SF",VLOOKUP("GOAL",'2) หลักการคำนวน Table'!$D$32:$M$32,HLOOKUP(AM136,'2) หลักการคำนวน Table'!$D$1:$M$5,5,TRUE),0),
IF($C136="WS WH",VLOOKUP("GOAL",'2) หลักการคำนวน Table'!$D$62:$M$62,HLOOKUP(AM136,'2) หลักการคำนวน Table'!$D$1:$M$5,5,TRUE),0),
IF($C136="SF WH",VLOOKUP("GOAL",'2) หลักการคำนวน Table'!$D$92:$M$92,HLOOKUP(AM136,'2) หลักการคำนวน Table'!$D$1:$M$5,5,TRUE),0))))),0)</f>
        <v>0.9</v>
      </c>
      <c r="AZ136" s="167">
        <f>IFERROR(IF($C136="Top WS",VLOOKUP($B136,'2) หลักการคำนวน Table'!$D$5:$M$20,HLOOKUP(AB136,'2) หลักการคำนวน Table'!$D$1:$M$5,5,TRUE),0),
IF($C136="WS SF",VLOOKUP($B136,'2) หลักการคำนวน Table'!$D$33:$M$48,HLOOKUP(AB136,'2) หลักการคำนวน Table'!$D$1:$M$5,5,TRUE),0),
IF($C136="WS WH",VLOOKUP($B136,'2) หลักการคำนวน Table'!$D$63:$M$78,HLOOKUP(AB136,'2) หลักการคำนวน Table'!$D$1:$M$5,5,TRUE),0),
IF($C136="SF WH",VLOOKUP($B136,'2) หลักการคำนวน Table'!$D$93:$M$108,HLOOKUP(AB136,'2) หลักการคำนวน Table'!$D$1:$M$5,5,TRUE),0))))),0)</f>
        <v>350</v>
      </c>
      <c r="BA136" s="167">
        <f>IFERROR(IF($C136="Top WS",VLOOKUP($B136,'2) หลักการคำนวน Table'!$D$5:$M$20,HLOOKUP(AC136,'2) หลักการคำนวน Table'!$D$1:$M$5,5,TRUE),0),
IF($C136="WS SF",VLOOKUP($B136,'2) หลักการคำนวน Table'!$D$33:$M$48,HLOOKUP(AC136,'2) หลักการคำนวน Table'!$D$1:$M$5,5,TRUE),0),
IF($C136="WS WH",VLOOKUP($B136,'2) หลักการคำนวน Table'!$D$63:$M$78,HLOOKUP(AC136,'2) หลักการคำนวน Table'!$D$1:$M$5,5,TRUE),0),
IF($C136="SF WH",VLOOKUP($B136,'2) หลักการคำนวน Table'!$D$93:$M$108,HLOOKUP(AC136,'2) หลักการคำนวน Table'!$D$1:$M$5,5,TRUE),0))))),0)</f>
        <v>350</v>
      </c>
      <c r="BB136" s="167">
        <f>IFERROR(IF($C136="Top WS",VLOOKUP($B136,'2) หลักการคำนวน Table'!$D$5:$M$20,HLOOKUP(AD136,'2) หลักการคำนวน Table'!$D$1:$M$5,5,TRUE),0),
IF($C136="WS SF",VLOOKUP($B136,'2) หลักการคำนวน Table'!$D$33:$M$48,HLOOKUP(AD136,'2) หลักการคำนวน Table'!$D$1:$M$5,5,TRUE),0),
IF($C136="WS WH",VLOOKUP($B136,'2) หลักการคำนวน Table'!$D$63:$M$78,HLOOKUP(AD136,'2) หลักการคำนวน Table'!$D$1:$M$5,5,TRUE),0),
IF($C136="SF WH",VLOOKUP($B136,'2) หลักการคำนวน Table'!$D$93:$M$108,HLOOKUP(AD136,'2) หลักการคำนวน Table'!$D$1:$M$5,5,TRUE),0))))),0)</f>
        <v>315</v>
      </c>
      <c r="BC136" s="167">
        <f>IFERROR(IF($C136="Top WS",VLOOKUP($B136,'2) หลักการคำนวน Table'!$D$5:$M$20,HLOOKUP(AE136,'2) หลักการคำนวน Table'!$D$1:$M$5,5,TRUE),0),
IF($C136="WS SF",VLOOKUP($B136,'2) หลักการคำนวน Table'!$D$33:$M$48,HLOOKUP(AE136,'2) หลักการคำนวน Table'!$D$1:$M$5,5,TRUE),0),
IF($C136="WS WH",VLOOKUP($B136,'2) หลักการคำนวน Table'!$D$63:$M$78,HLOOKUP(AE136,'2) หลักการคำนวน Table'!$D$1:$M$5,5,TRUE),0),
IF($C136="SF WH",VLOOKUP($B136,'2) หลักการคำนวน Table'!$D$93:$M$108,HLOOKUP(AE136,'2) หลักการคำนวน Table'!$D$1:$M$5,5,TRUE),0))))),0)</f>
        <v>315</v>
      </c>
      <c r="BD136" s="167">
        <f>IFERROR(IF($C136="Top WS",VLOOKUP($B136,'2) หลักการคำนวน Table'!$D$5:$M$20,HLOOKUP(AF136,'2) หลักการคำนวน Table'!$D$1:$M$5,5,TRUE),0),
IF($C136="WS SF",VLOOKUP($B136,'2) หลักการคำนวน Table'!$D$33:$M$48,HLOOKUP(AF136,'2) หลักการคำนวน Table'!$D$1:$M$5,5,TRUE),0),
IF($C136="WS WH",VLOOKUP($B136,'2) หลักการคำนวน Table'!$D$63:$M$78,HLOOKUP(AF136,'2) หลักการคำนวน Table'!$D$1:$M$5,5,TRUE),0),
IF($C136="SF WH",VLOOKUP($B136,'2) หลักการคำนวน Table'!$D$93:$M$108,HLOOKUP(AF136,'2) หลักการคำนวน Table'!$D$1:$M$5,5,TRUE),0))))),0)</f>
        <v>315</v>
      </c>
      <c r="BE136" s="167">
        <f>IFERROR(IF($C136="Top WS",VLOOKUP($B136,'2) หลักการคำนวน Table'!$D$5:$M$20,HLOOKUP(AG136,'2) หลักการคำนวน Table'!$D$1:$M$5,5,TRUE),0),
IF($C136="WS SF",VLOOKUP($B136,'2) หลักการคำนวน Table'!$D$33:$M$48,HLOOKUP(AG136,'2) หลักการคำนวน Table'!$D$1:$M$5,5,TRUE),0),
IF($C136="WS WH",VLOOKUP($B136,'2) หลักการคำนวน Table'!$D$63:$M$78,HLOOKUP(AG136,'2) หลักการคำนวน Table'!$D$1:$M$5,5,TRUE),0),
IF($C136="SF WH",VLOOKUP($B136,'2) หลักการคำนวน Table'!$D$93:$M$108,HLOOKUP(AG136,'2) หลักการคำนวน Table'!$D$1:$M$5,5,TRUE),0))))),0)</f>
        <v>315</v>
      </c>
      <c r="BF136" s="167">
        <f>IFERROR(IF($C136="Top WS",VLOOKUP($B136,'2) หลักการคำนวน Table'!$D$5:$M$20,HLOOKUP(AH136,'2) หลักการคำนวน Table'!$D$1:$M$5,5,TRUE),0),
IF($C136="WS SF",VLOOKUP($B136,'2) หลักการคำนวน Table'!$D$33:$M$48,HLOOKUP(AH136,'2) หลักการคำนวน Table'!$D$1:$M$5,5,TRUE),0),
IF($C136="WS WH",VLOOKUP($B136,'2) หลักการคำนวน Table'!$D$63:$M$78,HLOOKUP(AH136,'2) หลักการคำนวน Table'!$D$1:$M$5,5,TRUE),0),
IF($C136="SF WH",VLOOKUP($B136,'2) หลักการคำนวน Table'!$D$93:$M$108,HLOOKUP(AH136,'2) หลักการคำนวน Table'!$D$1:$M$5,5,TRUE),0))))),0)</f>
        <v>315</v>
      </c>
      <c r="BG136" s="167">
        <f>IFERROR(IF($C136="Top WS",VLOOKUP($B136,'2) หลักการคำนวน Table'!$D$5:$M$20,HLOOKUP(AI136,'2) หลักการคำนวน Table'!$D$1:$M$5,5,TRUE),0),
IF($C136="WS SF",VLOOKUP($B136,'2) หลักการคำนวน Table'!$D$33:$M$48,HLOOKUP(AI136,'2) หลักการคำนวน Table'!$D$1:$M$5,5,TRUE),0),
IF($C136="WS WH",VLOOKUP($B136,'2) หลักการคำนวน Table'!$D$63:$M$78,HLOOKUP(AI136,'2) หลักการคำนวน Table'!$D$1:$M$5,5,TRUE),0),
IF($C136="SF WH",VLOOKUP($B136,'2) หลักการคำนวน Table'!$D$93:$M$108,HLOOKUP(AI136,'2) หลักการคำนวน Table'!$D$1:$M$5,5,TRUE),0))))),0)</f>
        <v>315</v>
      </c>
      <c r="BH136" s="167">
        <f>IFERROR(IF($C136="Top WS",VLOOKUP($B136,'2) หลักการคำนวน Table'!$D$5:$M$20,HLOOKUP(AP136,'2) หลักการคำนวน Table'!$D$1:$M$5,5,TRUE),0),
IF($C136="WS SF",VLOOKUP($B136,'2) หลักการคำนวน Table'!$D$33:$M$48,HLOOKUP(AP136,'2) หลักการคำนวน Table'!$D$1:$M$5,5,TRUE),0),
IF($C136="WS WH",VLOOKUP($B136,'2) หลักการคำนวน Table'!$D$63:$M$78,HLOOKUP(AP136,'2) หลักการคำนวน Table'!$D$1:$M$5,5,TRUE),0),
IF($C136="SF WH",VLOOKUP($B136,'2) หลักการคำนวน Table'!$D$93:$M$108,HLOOKUP(AP136,'2) หลักการคำนวน Table'!$D$1:$M$5,5,TRUE),0))))),0)</f>
        <v>315</v>
      </c>
      <c r="BI136" s="167">
        <f>IFERROR(IF($C136="Top WS",VLOOKUP($B136,'2) หลักการคำนวน Table'!$D$5:$M$20,HLOOKUP(AK136,'2) หลักการคำนวน Table'!$D$1:$M$5,5,TRUE),0),
IF($C136="WS SF",VLOOKUP($B136,'2) หลักการคำนวน Table'!$D$33:$M$48,HLOOKUP(AK136,'2) หลักการคำนวน Table'!$D$1:$M$5,5,TRUE),0),
IF($C136="WS WH",VLOOKUP($B136,'2) หลักการคำนวน Table'!$D$63:$M$78,HLOOKUP(AK136,'2) หลักการคำนวน Table'!$D$1:$M$5,5,TRUE),0),
IF($C136="SF WH",VLOOKUP($B136,'2) หลักการคำนวน Table'!$D$93:$M$108,HLOOKUP(AK136,'2) หลักการคำนวน Table'!$D$1:$M$5,5,TRUE),0))))),0)</f>
        <v>315</v>
      </c>
      <c r="BJ136" s="167">
        <f>IFERROR(IF($C136="Top WS",VLOOKUP($B136,'2) หลักการคำนวน Table'!$D$5:$M$20,HLOOKUP(AL136,'2) หลักการคำนวน Table'!$D$1:$M$5,5,TRUE),0),
IF($C136="WS SF",VLOOKUP($B136,'2) หลักการคำนวน Table'!$D$33:$M$48,HLOOKUP(AL136,'2) หลักการคำนวน Table'!$D$1:$M$5,5,TRUE),0),
IF($C136="WS WH",VLOOKUP($B136,'2) หลักการคำนวน Table'!$D$63:$M$78,HLOOKUP(AL136,'2) หลักการคำนวน Table'!$D$1:$M$5,5,TRUE),0),
IF($C136="SF WH",VLOOKUP($B136,'2) หลักการคำนวน Table'!$D$93:$M$108,HLOOKUP(AL136,'2) หลักการคำนวน Table'!$D$1:$M$5,5,TRUE),0))))),0)</f>
        <v>315</v>
      </c>
      <c r="BK136" s="167">
        <f>IFERROR(IF($C136="Top WS",VLOOKUP($B136,'2) หลักการคำนวน Table'!$D$5:$M$20,HLOOKUP(AM136,'2) หลักการคำนวน Table'!$D$1:$M$5,5,TRUE),0),
IF($C136="WS SF",VLOOKUP($B136,'2) หลักการคำนวน Table'!$D$33:$M$48,HLOOKUP(AM136,'2) หลักการคำนวน Table'!$D$1:$M$5,5,TRUE),0),
IF($C136="WS WH",VLOOKUP($B136,'2) หลักการคำนวน Table'!$D$63:$M$78,HLOOKUP(AM136,'2) หลักการคำนวน Table'!$D$1:$M$5,5,TRUE),0),
IF($C136="SF WH",VLOOKUP($B136,'2) หลักการคำนวน Table'!$D$93:$M$108,HLOOKUP(AM136,'2) หลักการคำนวน Table'!$D$1:$M$5,5,TRUE),0))))),0)</f>
        <v>315</v>
      </c>
      <c r="BM136" s="119">
        <f>VLOOKUP(VLOOKUP(A136,ASTBase!E:S,13,FALSE),ASTBase!F:P,11,FALSE)</f>
        <v>130000</v>
      </c>
      <c r="BN136" s="196" cm="1">
        <f t="array" ref="BN136">INDEX(AN136:AY136,,Period!$D$2)</f>
        <v>1</v>
      </c>
    </row>
    <row r="137" spans="1:66" x14ac:dyDescent="0.25">
      <c r="A137" s="117">
        <v>130002</v>
      </c>
      <c r="B137" s="117" t="s">
        <v>390</v>
      </c>
      <c r="C137" s="117" t="s">
        <v>179</v>
      </c>
      <c r="D137" s="118">
        <v>3133</v>
      </c>
      <c r="E137" s="118">
        <v>1765</v>
      </c>
      <c r="F137" s="118">
        <v>1975</v>
      </c>
      <c r="G137" s="118">
        <v>2900</v>
      </c>
      <c r="H137" s="118">
        <v>2688</v>
      </c>
      <c r="I137" s="118">
        <v>3134</v>
      </c>
      <c r="J137" s="118">
        <v>2873</v>
      </c>
      <c r="K137" s="118">
        <v>2994</v>
      </c>
      <c r="L137" s="118">
        <v>2828</v>
      </c>
      <c r="M137" s="118">
        <v>2771</v>
      </c>
      <c r="N137" s="118">
        <v>2829</v>
      </c>
      <c r="O137" s="118">
        <v>2877</v>
      </c>
      <c r="P137" s="117">
        <f>SUMIFS(Actual!C:C,Actual!$A:$A,'3)Target &amp; Cal'!$A137,Actual!$B:$B,'3)Target &amp; Cal'!$B137)</f>
        <v>429.99999999569997</v>
      </c>
      <c r="Q137" s="117">
        <f>SUMIFS(Actual!D:D,Actual!$A:$A,'3)Target &amp; Cal'!$A137,Actual!$B:$B,'3)Target &amp; Cal'!$B137)</f>
        <v>2245.9999999775396</v>
      </c>
      <c r="R137" s="117">
        <f>SUMIFS(Actual!E:E,Actual!$A:$A,'3)Target &amp; Cal'!$A137,Actual!$B:$B,'3)Target &amp; Cal'!$B137)</f>
        <v>0</v>
      </c>
      <c r="S137" s="117">
        <f>SUMIFS(Actual!F:F,Actual!$A:$A,'3)Target &amp; Cal'!$A137,Actual!$B:$B,'3)Target &amp; Cal'!$B137)</f>
        <v>0</v>
      </c>
      <c r="T137" s="117">
        <f>SUMIFS(Actual!G:G,Actual!$A:$A,'3)Target &amp; Cal'!$A137,Actual!$B:$B,'3)Target &amp; Cal'!$B137)</f>
        <v>0</v>
      </c>
      <c r="U137" s="117">
        <f>SUMIFS(Actual!H:H,Actual!$A:$A,'3)Target &amp; Cal'!$A137,Actual!$B:$B,'3)Target &amp; Cal'!$B137)</f>
        <v>0</v>
      </c>
      <c r="V137" s="117">
        <f>SUMIFS(Actual!I:I,Actual!$A:$A,'3)Target &amp; Cal'!$A137,Actual!$B:$B,'3)Target &amp; Cal'!$B137)</f>
        <v>0</v>
      </c>
      <c r="W137" s="117">
        <f>SUMIFS(Actual!J:J,Actual!$A:$A,'3)Target &amp; Cal'!$A137,Actual!$B:$B,'3)Target &amp; Cal'!$B137)</f>
        <v>0</v>
      </c>
      <c r="X137" s="117">
        <f>SUMIFS(Actual!K:K,Actual!$A:$A,'3)Target &amp; Cal'!$A137,Actual!$B:$B,'3)Target &amp; Cal'!$B137)</f>
        <v>0</v>
      </c>
      <c r="Y137" s="117">
        <f>SUMIFS(Actual!L:L,Actual!$A:$A,'3)Target &amp; Cal'!$A137,Actual!$B:$B,'3)Target &amp; Cal'!$B137)</f>
        <v>0</v>
      </c>
      <c r="Z137" s="117">
        <f>SUMIFS(Actual!M:M,Actual!$A:$A,'3)Target &amp; Cal'!$A137,Actual!$B:$B,'3)Target &amp; Cal'!$B137)</f>
        <v>0</v>
      </c>
      <c r="AA137" s="117">
        <f>SUMIFS(Actual!N:N,Actual!$A:$A,'3)Target &amp; Cal'!$A137,Actual!$B:$B,'3)Target &amp; Cal'!$B137)</f>
        <v>0</v>
      </c>
      <c r="AB137" s="123">
        <f>IFERROR(IF(VLOOKUP($B137,Shortage!$A:$M,AB$2,FALSE)="Shortage",1,IFERROR(ROUND(P137/D137,4),0)),IFERROR(ROUND(P137/D137,4),0))</f>
        <v>0.13719999999999999</v>
      </c>
      <c r="AC137" s="123">
        <f>IFERROR(IF(VLOOKUP($B137,Shortage!$A:$M,AC$2,FALSE)="Shortage",1,IFERROR(ROUND(Q137/E137,4),0)),IFERROR(ROUND(Q137/E137,4),0))</f>
        <v>1.2725</v>
      </c>
      <c r="AD137" s="123">
        <f>IFERROR(IF(VLOOKUP($B137,Shortage!$A:$M,AD$2,FALSE)="Shortage",1,IFERROR(ROUND(R137/F137,4),0)),IFERROR(ROUND(R137/F137,4),0))</f>
        <v>0</v>
      </c>
      <c r="AE137" s="123">
        <f>IFERROR(IF(VLOOKUP($B137,Shortage!$A:$M,AE$2,FALSE)="Shortage",1,IFERROR(ROUND(S137/G137,4),0)),IFERROR(ROUND(S137/G137,4),0))</f>
        <v>0</v>
      </c>
      <c r="AF137" s="123">
        <f>IFERROR(IF(VLOOKUP($B137,Shortage!$A:$M,AF$2,FALSE)="Shortage",1,IFERROR(ROUND(T137/H137,4),0)),IFERROR(ROUND(T137/H137,4),0))</f>
        <v>0</v>
      </c>
      <c r="AG137" s="123">
        <f>IFERROR(IF(VLOOKUP($B137,Shortage!$A:$M,AG$2,FALSE)="Shortage",1,IFERROR(ROUND(U137/I137,4),0)),IFERROR(ROUND(U137/I137,4),0))</f>
        <v>0</v>
      </c>
      <c r="AH137" s="123">
        <f>IFERROR(IF(VLOOKUP($B137,Shortage!$A:$M,AH$2,FALSE)="Shortage",1,IFERROR(ROUND(V137/J137,4),0)),IFERROR(ROUND(V137/J137,4),0))</f>
        <v>0</v>
      </c>
      <c r="AI137" s="123">
        <f>IFERROR(IF(VLOOKUP($B137,Shortage!$A:$M,AI$2,FALSE)="Shortage",1,IFERROR(ROUND(W137/K137,4),0)),IFERROR(ROUND(W137/K137,4),0))</f>
        <v>0</v>
      </c>
      <c r="AJ137" s="123">
        <f>IFERROR(IF(VLOOKUP($B137,Shortage!$A:$M,AP$2,FALSE)="Shortage",1,IFERROR(ROUND(X137/L137,4),0)),IFERROR(ROUND(X137/L137,4),0))</f>
        <v>0</v>
      </c>
      <c r="AK137" s="123">
        <f>IFERROR(IF(VLOOKUP($B137,Shortage!$A:$M,AK$2,FALSE)="Shortage",1,IFERROR(ROUND(Y137/M137,4),0)),IFERROR(ROUND(Y137/M137,4),0))</f>
        <v>0</v>
      </c>
      <c r="AL137" s="123">
        <f>IFERROR(IF(VLOOKUP($B137,Shortage!$A:$M,AL$2,FALSE)="Shortage",1,IFERROR(ROUND(Z137/N137,4),0)),IFERROR(ROUND(Z137/N137,4),0))</f>
        <v>0</v>
      </c>
      <c r="AM137" s="123">
        <f>IFERROR(IF(VLOOKUP($B137,Shortage!$A:$M,AM$2,FALSE)="Shortage",1,IFERROR(ROUND(AA137/O137,4),0)),IFERROR(ROUND(AA137/O137,4),0))</f>
        <v>0</v>
      </c>
      <c r="AN137" s="232">
        <f>IFERROR(IF($C137="Top WS",VLOOKUP("GOAL",'2) หลักการคำนวน Table'!$D$4:$M$4,HLOOKUP(AB137,'2) หลักการคำนวน Table'!$D$1:$M$5,5,TRUE),0),
IF($C137="WS SF",VLOOKUP("GOAL",'2) หลักการคำนวน Table'!$D$32:$M$32,HLOOKUP(AB137,'2) หลักการคำนวน Table'!$D$1:$M$5,5,TRUE),0),
IF($C137="WS WH",VLOOKUP("GOAL",'2) หลักการคำนวน Table'!$D$62:$M$62,HLOOKUP(AB137,'2) หลักการคำนวน Table'!$D$1:$M$5,5,TRUE),0),
IF($C137="SF WH",VLOOKUP("GOAL",'2) หลักการคำนวน Table'!$D$92:$M$92,HLOOKUP(AB137,'2) หลักการคำนวน Table'!$D$1:$M$5,5,TRUE),0))))),0)</f>
        <v>0.9</v>
      </c>
      <c r="AO137" s="232">
        <f>IFERROR(IF($C137="Top WS",VLOOKUP("GOAL",'2) หลักการคำนวน Table'!$D$4:$M$4,HLOOKUP(AC137,'2) หลักการคำนวน Table'!$D$1:$M$5,5,TRUE),0),
IF($C137="WS SF",VLOOKUP("GOAL",'2) หลักการคำนวน Table'!$D$32:$M$32,HLOOKUP(AC137,'2) หลักการคำนวน Table'!$D$1:$M$5,5,TRUE),0),
IF($C137="WS WH",VLOOKUP("GOAL",'2) หลักการคำนวน Table'!$D$62:$M$62,HLOOKUP(AC137,'2) หลักการคำนวน Table'!$D$1:$M$5,5,TRUE),0),
IF($C137="SF WH",VLOOKUP("GOAL",'2) หลักการคำนวน Table'!$D$92:$M$92,HLOOKUP(AC137,'2) หลักการคำนวน Table'!$D$1:$M$5,5,TRUE),0))))),0)</f>
        <v>1.3</v>
      </c>
      <c r="AP137" s="232">
        <f>IFERROR(IF($C137="Top WS",VLOOKUP("GOAL",'2) หลักการคำนวน Table'!$D$4:$M$4,HLOOKUP(AD137,'2) หลักการคำนวน Table'!$D$1:$M$5,5,TRUE),0),
IF($C137="WS SF",VLOOKUP("GOAL",'2) หลักการคำนวน Table'!$D$32:$M$32,HLOOKUP(AD137,'2) หลักการคำนวน Table'!$D$1:$M$5,5,TRUE),0),
IF($C137="WS WH",VLOOKUP("GOAL",'2) หลักการคำนวน Table'!$D$62:$M$62,HLOOKUP(AD137,'2) หลักการคำนวน Table'!$D$1:$M$5,5,TRUE),0),
IF($C137="SF WH",VLOOKUP("GOAL",'2) หลักการคำนวน Table'!$D$92:$M$92,HLOOKUP(AD137,'2) หลักการคำนวน Table'!$D$1:$M$5,5,TRUE),0))))),0)</f>
        <v>0.9</v>
      </c>
      <c r="AQ137" s="232">
        <f>IFERROR(IF($C137="Top WS",VLOOKUP("GOAL",'2) หลักการคำนวน Table'!$D$4:$M$4,HLOOKUP(AE137,'2) หลักการคำนวน Table'!$D$1:$M$5,5,TRUE),0),
IF($C137="WS SF",VLOOKUP("GOAL",'2) หลักการคำนวน Table'!$D$32:$M$32,HLOOKUP(AE137,'2) หลักการคำนวน Table'!$D$1:$M$5,5,TRUE),0),
IF($C137="WS WH",VLOOKUP("GOAL",'2) หลักการคำนวน Table'!$D$62:$M$62,HLOOKUP(AE137,'2) หลักการคำนวน Table'!$D$1:$M$5,5,TRUE),0),
IF($C137="SF WH",VLOOKUP("GOAL",'2) หลักการคำนวน Table'!$D$92:$M$92,HLOOKUP(AE137,'2) หลักการคำนวน Table'!$D$1:$M$5,5,TRUE),0))))),0)</f>
        <v>0.9</v>
      </c>
      <c r="AR137" s="232">
        <f>IFERROR(IF($C137="Top WS",VLOOKUP("GOAL",'2) หลักการคำนวน Table'!$D$4:$M$4,HLOOKUP(AF137,'2) หลักการคำนวน Table'!$D$1:$M$5,5,TRUE),0),
IF($C137="WS SF",VLOOKUP("GOAL",'2) หลักการคำนวน Table'!$D$32:$M$32,HLOOKUP(AF137,'2) หลักการคำนวน Table'!$D$1:$M$5,5,TRUE),0),
IF($C137="WS WH",VLOOKUP("GOAL",'2) หลักการคำนวน Table'!$D$62:$M$62,HLOOKUP(AF137,'2) หลักการคำนวน Table'!$D$1:$M$5,5,TRUE),0),
IF($C137="SF WH",VLOOKUP("GOAL",'2) หลักการคำนวน Table'!$D$92:$M$92,HLOOKUP(AF137,'2) หลักการคำนวน Table'!$D$1:$M$5,5,TRUE),0))))),0)</f>
        <v>0.9</v>
      </c>
      <c r="AS137" s="232">
        <f>IFERROR(IF($C137="Top WS",VLOOKUP("GOAL",'2) หลักการคำนวน Table'!$D$4:$M$4,HLOOKUP(AG137,'2) หลักการคำนวน Table'!$D$1:$M$5,5,TRUE),0),
IF($C137="WS SF",VLOOKUP("GOAL",'2) หลักการคำนวน Table'!$D$32:$M$32,HLOOKUP(AG137,'2) หลักการคำนวน Table'!$D$1:$M$5,5,TRUE),0),
IF($C137="WS WH",VLOOKUP("GOAL",'2) หลักการคำนวน Table'!$D$62:$M$62,HLOOKUP(AG137,'2) หลักการคำนวน Table'!$D$1:$M$5,5,TRUE),0),
IF($C137="SF WH",VLOOKUP("GOAL",'2) หลักการคำนวน Table'!$D$92:$M$92,HLOOKUP(AG137,'2) หลักการคำนวน Table'!$D$1:$M$5,5,TRUE),0))))),0)</f>
        <v>0.9</v>
      </c>
      <c r="AT137" s="232">
        <f>IFERROR(IF($C137="Top WS",VLOOKUP("GOAL",'2) หลักการคำนวน Table'!$D$4:$M$4,HLOOKUP(AH137,'2) หลักการคำนวน Table'!$D$1:$M$5,5,TRUE),0),
IF($C137="WS SF",VLOOKUP("GOAL",'2) หลักการคำนวน Table'!$D$32:$M$32,HLOOKUP(AH137,'2) หลักการคำนวน Table'!$D$1:$M$5,5,TRUE),0),
IF($C137="WS WH",VLOOKUP("GOAL",'2) หลักการคำนวน Table'!$D$62:$M$62,HLOOKUP(AH137,'2) หลักการคำนวน Table'!$D$1:$M$5,5,TRUE),0),
IF($C137="SF WH",VLOOKUP("GOAL",'2) หลักการคำนวน Table'!$D$92:$M$92,HLOOKUP(AH137,'2) หลักการคำนวน Table'!$D$1:$M$5,5,TRUE),0))))),0)</f>
        <v>0.9</v>
      </c>
      <c r="AU137" s="232">
        <f>IFERROR(IF($C137="Top WS",VLOOKUP("GOAL",'2) หลักการคำนวน Table'!$D$4:$M$4,HLOOKUP(AI137,'2) หลักการคำนวน Table'!$D$1:$M$5,5,TRUE),0),
IF($C137="WS SF",VLOOKUP("GOAL",'2) หลักการคำนวน Table'!$D$32:$M$32,HLOOKUP(AI137,'2) หลักการคำนวน Table'!$D$1:$M$5,5,TRUE),0),
IF($C137="WS WH",VLOOKUP("GOAL",'2) หลักการคำนวน Table'!$D$62:$M$62,HLOOKUP(AI137,'2) หลักการคำนวน Table'!$D$1:$M$5,5,TRUE),0),
IF($C137="SF WH",VLOOKUP("GOAL",'2) หลักการคำนวน Table'!$D$92:$M$92,HLOOKUP(AI137,'2) หลักการคำนวน Table'!$D$1:$M$5,5,TRUE),0))))),0)</f>
        <v>0.9</v>
      </c>
      <c r="AV137" s="232">
        <f>IFERROR(IF($C137="Top WS",VLOOKUP("GOAL",'2) หลักการคำนวน Table'!$D$4:$M$4,HLOOKUP(AP137,'2) หลักการคำนวน Table'!$D$1:$M$5,5,TRUE),0),
IF($C137="WS SF",VLOOKUP("GOAL",'2) หลักการคำนวน Table'!$D$32:$M$32,HLOOKUP(AP137,'2) หลักการคำนวน Table'!$D$1:$M$5,5,TRUE),0),
IF($C137="WS WH",VLOOKUP("GOAL",'2) หลักการคำนวน Table'!$D$62:$M$62,HLOOKUP(AP137,'2) หลักการคำนวน Table'!$D$1:$M$5,5,TRUE),0),
IF($C137="SF WH",VLOOKUP("GOAL",'2) หลักการคำนวน Table'!$D$92:$M$92,HLOOKUP(AP137,'2) หลักการคำนวน Table'!$D$1:$M$5,5,TRUE),0))))),0)</f>
        <v>0.9</v>
      </c>
      <c r="AW137" s="232">
        <f>IFERROR(IF($C137="Top WS",VLOOKUP("GOAL",'2) หลักการคำนวน Table'!$D$4:$M$4,HLOOKUP(AK137,'2) หลักการคำนวน Table'!$D$1:$M$5,5,TRUE),0),
IF($C137="WS SF",VLOOKUP("GOAL",'2) หลักการคำนวน Table'!$D$32:$M$32,HLOOKUP(AK137,'2) หลักการคำนวน Table'!$D$1:$M$5,5,TRUE),0),
IF($C137="WS WH",VLOOKUP("GOAL",'2) หลักการคำนวน Table'!$D$62:$M$62,HLOOKUP(AK137,'2) หลักการคำนวน Table'!$D$1:$M$5,5,TRUE),0),
IF($C137="SF WH",VLOOKUP("GOAL",'2) หลักการคำนวน Table'!$D$92:$M$92,HLOOKUP(AK137,'2) หลักการคำนวน Table'!$D$1:$M$5,5,TRUE),0))))),0)</f>
        <v>0.9</v>
      </c>
      <c r="AX137" s="232">
        <f>IFERROR(IF($C137="Top WS",VLOOKUP("GOAL",'2) หลักการคำนวน Table'!$D$4:$M$4,HLOOKUP(AL137,'2) หลักการคำนวน Table'!$D$1:$M$5,5,TRUE),0),
IF($C137="WS SF",VLOOKUP("GOAL",'2) หลักการคำนวน Table'!$D$32:$M$32,HLOOKUP(AL137,'2) หลักการคำนวน Table'!$D$1:$M$5,5,TRUE),0),
IF($C137="WS WH",VLOOKUP("GOAL",'2) หลักการคำนวน Table'!$D$62:$M$62,HLOOKUP(AL137,'2) หลักการคำนวน Table'!$D$1:$M$5,5,TRUE),0),
IF($C137="SF WH",VLOOKUP("GOAL",'2) หลักการคำนวน Table'!$D$92:$M$92,HLOOKUP(AL137,'2) หลักการคำนวน Table'!$D$1:$M$5,5,TRUE),0))))),0)</f>
        <v>0.9</v>
      </c>
      <c r="AY137" s="232">
        <f>IFERROR(IF($C137="Top WS",VLOOKUP("GOAL",'2) หลักการคำนวน Table'!$D$4:$M$4,HLOOKUP(AM137,'2) หลักการคำนวน Table'!$D$1:$M$5,5,TRUE),0),
IF($C137="WS SF",VLOOKUP("GOAL",'2) หลักการคำนวน Table'!$D$32:$M$32,HLOOKUP(AM137,'2) หลักการคำนวน Table'!$D$1:$M$5,5,TRUE),0),
IF($C137="WS WH",VLOOKUP("GOAL",'2) หลักการคำนวน Table'!$D$62:$M$62,HLOOKUP(AM137,'2) หลักการคำนวน Table'!$D$1:$M$5,5,TRUE),0),
IF($C137="SF WH",VLOOKUP("GOAL",'2) หลักการคำนวน Table'!$D$92:$M$92,HLOOKUP(AM137,'2) หลักการคำนวน Table'!$D$1:$M$5,5,TRUE),0))))),0)</f>
        <v>0.9</v>
      </c>
      <c r="AZ137" s="167">
        <f>IFERROR(IF($C137="Top WS",VLOOKUP($B137,'2) หลักการคำนวน Table'!$D$5:$M$20,HLOOKUP(AB137,'2) หลักการคำนวน Table'!$D$1:$M$5,5,TRUE),0),
IF($C137="WS SF",VLOOKUP($B137,'2) หลักการคำนวน Table'!$D$33:$M$48,HLOOKUP(AB137,'2) หลักการคำนวน Table'!$D$1:$M$5,5,TRUE),0),
IF($C137="WS WH",VLOOKUP($B137,'2) หลักการคำนวน Table'!$D$63:$M$78,HLOOKUP(AB137,'2) หลักการคำนวน Table'!$D$1:$M$5,5,TRUE),0),
IF($C137="SF WH",VLOOKUP($B137,'2) หลักการคำนวน Table'!$D$93:$M$108,HLOOKUP(AB137,'2) หลักการคำนวน Table'!$D$1:$M$5,5,TRUE),0))))),0)</f>
        <v>315</v>
      </c>
      <c r="BA137" s="167">
        <f>IFERROR(IF($C137="Top WS",VLOOKUP($B137,'2) หลักการคำนวน Table'!$D$5:$M$20,HLOOKUP(AC137,'2) หลักการคำนวน Table'!$D$1:$M$5,5,TRUE),0),
IF($C137="WS SF",VLOOKUP($B137,'2) หลักการคำนวน Table'!$D$33:$M$48,HLOOKUP(AC137,'2) หลักการคำนวน Table'!$D$1:$M$5,5,TRUE),0),
IF($C137="WS WH",VLOOKUP($B137,'2) หลักการคำนวน Table'!$D$63:$M$78,HLOOKUP(AC137,'2) หลักการคำนวน Table'!$D$1:$M$5,5,TRUE),0),
IF($C137="SF WH",VLOOKUP($B137,'2) หลักการคำนวน Table'!$D$93:$M$108,HLOOKUP(AC137,'2) หลักการคำนวน Table'!$D$1:$M$5,5,TRUE),0))))),0)</f>
        <v>455</v>
      </c>
      <c r="BB137" s="167">
        <f>IFERROR(IF($C137="Top WS",VLOOKUP($B137,'2) หลักการคำนวน Table'!$D$5:$M$20,HLOOKUP(AD137,'2) หลักการคำนวน Table'!$D$1:$M$5,5,TRUE),0),
IF($C137="WS SF",VLOOKUP($B137,'2) หลักการคำนวน Table'!$D$33:$M$48,HLOOKUP(AD137,'2) หลักการคำนวน Table'!$D$1:$M$5,5,TRUE),0),
IF($C137="WS WH",VLOOKUP($B137,'2) หลักการคำนวน Table'!$D$63:$M$78,HLOOKUP(AD137,'2) หลักการคำนวน Table'!$D$1:$M$5,5,TRUE),0),
IF($C137="SF WH",VLOOKUP($B137,'2) หลักการคำนวน Table'!$D$93:$M$108,HLOOKUP(AD137,'2) หลักการคำนวน Table'!$D$1:$M$5,5,TRUE),0))))),0)</f>
        <v>315</v>
      </c>
      <c r="BC137" s="167">
        <f>IFERROR(IF($C137="Top WS",VLOOKUP($B137,'2) หลักการคำนวน Table'!$D$5:$M$20,HLOOKUP(AE137,'2) หลักการคำนวน Table'!$D$1:$M$5,5,TRUE),0),
IF($C137="WS SF",VLOOKUP($B137,'2) หลักการคำนวน Table'!$D$33:$M$48,HLOOKUP(AE137,'2) หลักการคำนวน Table'!$D$1:$M$5,5,TRUE),0),
IF($C137="WS WH",VLOOKUP($B137,'2) หลักการคำนวน Table'!$D$63:$M$78,HLOOKUP(AE137,'2) หลักการคำนวน Table'!$D$1:$M$5,5,TRUE),0),
IF($C137="SF WH",VLOOKUP($B137,'2) หลักการคำนวน Table'!$D$93:$M$108,HLOOKUP(AE137,'2) หลักการคำนวน Table'!$D$1:$M$5,5,TRUE),0))))),0)</f>
        <v>315</v>
      </c>
      <c r="BD137" s="167">
        <f>IFERROR(IF($C137="Top WS",VLOOKUP($B137,'2) หลักการคำนวน Table'!$D$5:$M$20,HLOOKUP(AF137,'2) หลักการคำนวน Table'!$D$1:$M$5,5,TRUE),0),
IF($C137="WS SF",VLOOKUP($B137,'2) หลักการคำนวน Table'!$D$33:$M$48,HLOOKUP(AF137,'2) หลักการคำนวน Table'!$D$1:$M$5,5,TRUE),0),
IF($C137="WS WH",VLOOKUP($B137,'2) หลักการคำนวน Table'!$D$63:$M$78,HLOOKUP(AF137,'2) หลักการคำนวน Table'!$D$1:$M$5,5,TRUE),0),
IF($C137="SF WH",VLOOKUP($B137,'2) หลักการคำนวน Table'!$D$93:$M$108,HLOOKUP(AF137,'2) หลักการคำนวน Table'!$D$1:$M$5,5,TRUE),0))))),0)</f>
        <v>315</v>
      </c>
      <c r="BE137" s="167">
        <f>IFERROR(IF($C137="Top WS",VLOOKUP($B137,'2) หลักการคำนวน Table'!$D$5:$M$20,HLOOKUP(AG137,'2) หลักการคำนวน Table'!$D$1:$M$5,5,TRUE),0),
IF($C137="WS SF",VLOOKUP($B137,'2) หลักการคำนวน Table'!$D$33:$M$48,HLOOKUP(AG137,'2) หลักการคำนวน Table'!$D$1:$M$5,5,TRUE),0),
IF($C137="WS WH",VLOOKUP($B137,'2) หลักการคำนวน Table'!$D$63:$M$78,HLOOKUP(AG137,'2) หลักการคำนวน Table'!$D$1:$M$5,5,TRUE),0),
IF($C137="SF WH",VLOOKUP($B137,'2) หลักการคำนวน Table'!$D$93:$M$108,HLOOKUP(AG137,'2) หลักการคำนวน Table'!$D$1:$M$5,5,TRUE),0))))),0)</f>
        <v>315</v>
      </c>
      <c r="BF137" s="167">
        <f>IFERROR(IF($C137="Top WS",VLOOKUP($B137,'2) หลักการคำนวน Table'!$D$5:$M$20,HLOOKUP(AH137,'2) หลักการคำนวน Table'!$D$1:$M$5,5,TRUE),0),
IF($C137="WS SF",VLOOKUP($B137,'2) หลักการคำนวน Table'!$D$33:$M$48,HLOOKUP(AH137,'2) หลักการคำนวน Table'!$D$1:$M$5,5,TRUE),0),
IF($C137="WS WH",VLOOKUP($B137,'2) หลักการคำนวน Table'!$D$63:$M$78,HLOOKUP(AH137,'2) หลักการคำนวน Table'!$D$1:$M$5,5,TRUE),0),
IF($C137="SF WH",VLOOKUP($B137,'2) หลักการคำนวน Table'!$D$93:$M$108,HLOOKUP(AH137,'2) หลักการคำนวน Table'!$D$1:$M$5,5,TRUE),0))))),0)</f>
        <v>315</v>
      </c>
      <c r="BG137" s="167">
        <f>IFERROR(IF($C137="Top WS",VLOOKUP($B137,'2) หลักการคำนวน Table'!$D$5:$M$20,HLOOKUP(AI137,'2) หลักการคำนวน Table'!$D$1:$M$5,5,TRUE),0),
IF($C137="WS SF",VLOOKUP($B137,'2) หลักการคำนวน Table'!$D$33:$M$48,HLOOKUP(AI137,'2) หลักการคำนวน Table'!$D$1:$M$5,5,TRUE),0),
IF($C137="WS WH",VLOOKUP($B137,'2) หลักการคำนวน Table'!$D$63:$M$78,HLOOKUP(AI137,'2) หลักการคำนวน Table'!$D$1:$M$5,5,TRUE),0),
IF($C137="SF WH",VLOOKUP($B137,'2) หลักการคำนวน Table'!$D$93:$M$108,HLOOKUP(AI137,'2) หลักการคำนวน Table'!$D$1:$M$5,5,TRUE),0))))),0)</f>
        <v>315</v>
      </c>
      <c r="BH137" s="167">
        <f>IFERROR(IF($C137="Top WS",VLOOKUP($B137,'2) หลักการคำนวน Table'!$D$5:$M$20,HLOOKUP(AP137,'2) หลักการคำนวน Table'!$D$1:$M$5,5,TRUE),0),
IF($C137="WS SF",VLOOKUP($B137,'2) หลักการคำนวน Table'!$D$33:$M$48,HLOOKUP(AP137,'2) หลักการคำนวน Table'!$D$1:$M$5,5,TRUE),0),
IF($C137="WS WH",VLOOKUP($B137,'2) หลักการคำนวน Table'!$D$63:$M$78,HLOOKUP(AP137,'2) หลักการคำนวน Table'!$D$1:$M$5,5,TRUE),0),
IF($C137="SF WH",VLOOKUP($B137,'2) หลักการคำนวน Table'!$D$93:$M$108,HLOOKUP(AP137,'2) หลักการคำนวน Table'!$D$1:$M$5,5,TRUE),0))))),0)</f>
        <v>315</v>
      </c>
      <c r="BI137" s="167">
        <f>IFERROR(IF($C137="Top WS",VLOOKUP($B137,'2) หลักการคำนวน Table'!$D$5:$M$20,HLOOKUP(AK137,'2) หลักการคำนวน Table'!$D$1:$M$5,5,TRUE),0),
IF($C137="WS SF",VLOOKUP($B137,'2) หลักการคำนวน Table'!$D$33:$M$48,HLOOKUP(AK137,'2) หลักการคำนวน Table'!$D$1:$M$5,5,TRUE),0),
IF($C137="WS WH",VLOOKUP($B137,'2) หลักการคำนวน Table'!$D$63:$M$78,HLOOKUP(AK137,'2) หลักการคำนวน Table'!$D$1:$M$5,5,TRUE),0),
IF($C137="SF WH",VLOOKUP($B137,'2) หลักการคำนวน Table'!$D$93:$M$108,HLOOKUP(AK137,'2) หลักการคำนวน Table'!$D$1:$M$5,5,TRUE),0))))),0)</f>
        <v>315</v>
      </c>
      <c r="BJ137" s="167">
        <f>IFERROR(IF($C137="Top WS",VLOOKUP($B137,'2) หลักการคำนวน Table'!$D$5:$M$20,HLOOKUP(AL137,'2) หลักการคำนวน Table'!$D$1:$M$5,5,TRUE),0),
IF($C137="WS SF",VLOOKUP($B137,'2) หลักการคำนวน Table'!$D$33:$M$48,HLOOKUP(AL137,'2) หลักการคำนวน Table'!$D$1:$M$5,5,TRUE),0),
IF($C137="WS WH",VLOOKUP($B137,'2) หลักการคำนวน Table'!$D$63:$M$78,HLOOKUP(AL137,'2) หลักการคำนวน Table'!$D$1:$M$5,5,TRUE),0),
IF($C137="SF WH",VLOOKUP($B137,'2) หลักการคำนวน Table'!$D$93:$M$108,HLOOKUP(AL137,'2) หลักการคำนวน Table'!$D$1:$M$5,5,TRUE),0))))),0)</f>
        <v>315</v>
      </c>
      <c r="BK137" s="167">
        <f>IFERROR(IF($C137="Top WS",VLOOKUP($B137,'2) หลักการคำนวน Table'!$D$5:$M$20,HLOOKUP(AM137,'2) หลักการคำนวน Table'!$D$1:$M$5,5,TRUE),0),
IF($C137="WS SF",VLOOKUP($B137,'2) หลักการคำนวน Table'!$D$33:$M$48,HLOOKUP(AM137,'2) หลักการคำนวน Table'!$D$1:$M$5,5,TRUE),0),
IF($C137="WS WH",VLOOKUP($B137,'2) หลักการคำนวน Table'!$D$63:$M$78,HLOOKUP(AM137,'2) หลักการคำนวน Table'!$D$1:$M$5,5,TRUE),0),
IF($C137="SF WH",VLOOKUP($B137,'2) หลักการคำนวน Table'!$D$93:$M$108,HLOOKUP(AM137,'2) หลักการคำนวน Table'!$D$1:$M$5,5,TRUE),0))))),0)</f>
        <v>315</v>
      </c>
      <c r="BM137" s="119">
        <f>VLOOKUP(VLOOKUP(A137,ASTBase!E:S,13,FALSE),ASTBase!F:P,11,FALSE)</f>
        <v>130000</v>
      </c>
      <c r="BN137" s="196" cm="1">
        <f t="array" ref="BN137">INDEX(AN137:AY137,,Period!$D$2)</f>
        <v>1.3</v>
      </c>
    </row>
    <row r="138" spans="1:66" x14ac:dyDescent="0.25">
      <c r="A138" s="117">
        <v>130002</v>
      </c>
      <c r="B138" s="117" t="s">
        <v>392</v>
      </c>
      <c r="C138" s="117" t="s">
        <v>179</v>
      </c>
      <c r="D138" s="118">
        <v>1487</v>
      </c>
      <c r="E138" s="118">
        <v>657</v>
      </c>
      <c r="F138" s="118">
        <v>660</v>
      </c>
      <c r="G138" s="118">
        <v>1099</v>
      </c>
      <c r="H138" s="118">
        <v>900</v>
      </c>
      <c r="I138" s="118">
        <v>558</v>
      </c>
      <c r="J138" s="118">
        <v>1427</v>
      </c>
      <c r="K138" s="118">
        <v>818</v>
      </c>
      <c r="L138" s="118">
        <v>924</v>
      </c>
      <c r="M138" s="118">
        <v>1216</v>
      </c>
      <c r="N138" s="118">
        <v>1220</v>
      </c>
      <c r="O138" s="118">
        <v>1273</v>
      </c>
      <c r="P138" s="117">
        <f>SUMIFS(Actual!C:C,Actual!$A:$A,'3)Target &amp; Cal'!$A138,Actual!$B:$B,'3)Target &amp; Cal'!$B138)</f>
        <v>804.83939999999996</v>
      </c>
      <c r="Q138" s="117">
        <f>SUMIFS(Actual!D:D,Actual!$A:$A,'3)Target &amp; Cal'!$A138,Actual!$B:$B,'3)Target &amp; Cal'!$B138)</f>
        <v>702.67619999999999</v>
      </c>
      <c r="R138" s="117">
        <f>SUMIFS(Actual!E:E,Actual!$A:$A,'3)Target &amp; Cal'!$A138,Actual!$B:$B,'3)Target &amp; Cal'!$B138)</f>
        <v>0</v>
      </c>
      <c r="S138" s="117">
        <f>SUMIFS(Actual!F:F,Actual!$A:$A,'3)Target &amp; Cal'!$A138,Actual!$B:$B,'3)Target &amp; Cal'!$B138)</f>
        <v>0</v>
      </c>
      <c r="T138" s="117">
        <f>SUMIFS(Actual!G:G,Actual!$A:$A,'3)Target &amp; Cal'!$A138,Actual!$B:$B,'3)Target &amp; Cal'!$B138)</f>
        <v>0</v>
      </c>
      <c r="U138" s="117">
        <f>SUMIFS(Actual!H:H,Actual!$A:$A,'3)Target &amp; Cal'!$A138,Actual!$B:$B,'3)Target &amp; Cal'!$B138)</f>
        <v>0</v>
      </c>
      <c r="V138" s="117">
        <f>SUMIFS(Actual!I:I,Actual!$A:$A,'3)Target &amp; Cal'!$A138,Actual!$B:$B,'3)Target &amp; Cal'!$B138)</f>
        <v>0</v>
      </c>
      <c r="W138" s="117">
        <f>SUMIFS(Actual!J:J,Actual!$A:$A,'3)Target &amp; Cal'!$A138,Actual!$B:$B,'3)Target &amp; Cal'!$B138)</f>
        <v>0</v>
      </c>
      <c r="X138" s="117">
        <f>SUMIFS(Actual!K:K,Actual!$A:$A,'3)Target &amp; Cal'!$A138,Actual!$B:$B,'3)Target &amp; Cal'!$B138)</f>
        <v>0</v>
      </c>
      <c r="Y138" s="117">
        <f>SUMIFS(Actual!L:L,Actual!$A:$A,'3)Target &amp; Cal'!$A138,Actual!$B:$B,'3)Target &amp; Cal'!$B138)</f>
        <v>0</v>
      </c>
      <c r="Z138" s="117">
        <f>SUMIFS(Actual!M:M,Actual!$A:$A,'3)Target &amp; Cal'!$A138,Actual!$B:$B,'3)Target &amp; Cal'!$B138)</f>
        <v>0</v>
      </c>
      <c r="AA138" s="117">
        <f>SUMIFS(Actual!N:N,Actual!$A:$A,'3)Target &amp; Cal'!$A138,Actual!$B:$B,'3)Target &amp; Cal'!$B138)</f>
        <v>0</v>
      </c>
      <c r="AB138" s="123">
        <f>IFERROR(IF(VLOOKUP($B138,Shortage!$A:$M,AB$2,FALSE)="Shortage",1,IFERROR(ROUND(P138/D138,4),0)),IFERROR(ROUND(P138/D138,4),0))</f>
        <v>0.5413</v>
      </c>
      <c r="AC138" s="123">
        <f>IFERROR(IF(VLOOKUP($B138,Shortage!$A:$M,AC$2,FALSE)="Shortage",1,IFERROR(ROUND(Q138/E138,4),0)),IFERROR(ROUND(Q138/E138,4),0))</f>
        <v>1.0694999999999999</v>
      </c>
      <c r="AD138" s="123">
        <f>IFERROR(IF(VLOOKUP($B138,Shortage!$A:$M,AD$2,FALSE)="Shortage",1,IFERROR(ROUND(R138/F138,4),0)),IFERROR(ROUND(R138/F138,4),0))</f>
        <v>0</v>
      </c>
      <c r="AE138" s="123">
        <f>IFERROR(IF(VLOOKUP($B138,Shortage!$A:$M,AE$2,FALSE)="Shortage",1,IFERROR(ROUND(S138/G138,4),0)),IFERROR(ROUND(S138/G138,4),0))</f>
        <v>0</v>
      </c>
      <c r="AF138" s="123">
        <f>IFERROR(IF(VLOOKUP($B138,Shortage!$A:$M,AF$2,FALSE)="Shortage",1,IFERROR(ROUND(T138/H138,4),0)),IFERROR(ROUND(T138/H138,4),0))</f>
        <v>0</v>
      </c>
      <c r="AG138" s="123">
        <f>IFERROR(IF(VLOOKUP($B138,Shortage!$A:$M,AG$2,FALSE)="Shortage",1,IFERROR(ROUND(U138/I138,4),0)),IFERROR(ROUND(U138/I138,4),0))</f>
        <v>0</v>
      </c>
      <c r="AH138" s="123">
        <f>IFERROR(IF(VLOOKUP($B138,Shortage!$A:$M,AH$2,FALSE)="Shortage",1,IFERROR(ROUND(V138/J138,4),0)),IFERROR(ROUND(V138/J138,4),0))</f>
        <v>0</v>
      </c>
      <c r="AI138" s="123">
        <f>IFERROR(IF(VLOOKUP($B138,Shortage!$A:$M,AI$2,FALSE)="Shortage",1,IFERROR(ROUND(W138/K138,4),0)),IFERROR(ROUND(W138/K138,4),0))</f>
        <v>0</v>
      </c>
      <c r="AJ138" s="123">
        <f>IFERROR(IF(VLOOKUP($B138,Shortage!$A:$M,AP$2,FALSE)="Shortage",1,IFERROR(ROUND(X138/L138,4),0)),IFERROR(ROUND(X138/L138,4),0))</f>
        <v>0</v>
      </c>
      <c r="AK138" s="123">
        <f>IFERROR(IF(VLOOKUP($B138,Shortage!$A:$M,AK$2,FALSE)="Shortage",1,IFERROR(ROUND(Y138/M138,4),0)),IFERROR(ROUND(Y138/M138,4),0))</f>
        <v>0</v>
      </c>
      <c r="AL138" s="123">
        <f>IFERROR(IF(VLOOKUP($B138,Shortage!$A:$M,AL$2,FALSE)="Shortage",1,IFERROR(ROUND(Z138/N138,4),0)),IFERROR(ROUND(Z138/N138,4),0))</f>
        <v>0</v>
      </c>
      <c r="AM138" s="123">
        <f>IFERROR(IF(VLOOKUP($B138,Shortage!$A:$M,AM$2,FALSE)="Shortage",1,IFERROR(ROUND(AA138/O138,4),0)),IFERROR(ROUND(AA138/O138,4),0))</f>
        <v>0</v>
      </c>
      <c r="AN138" s="232">
        <f>IFERROR(IF($C138="Top WS",VLOOKUP("GOAL",'2) หลักการคำนวน Table'!$D$4:$M$4,HLOOKUP(AB138,'2) หลักการคำนวน Table'!$D$1:$M$5,5,TRUE),0),
IF($C138="WS SF",VLOOKUP("GOAL",'2) หลักการคำนวน Table'!$D$32:$M$32,HLOOKUP(AB138,'2) หลักการคำนวน Table'!$D$1:$M$5,5,TRUE),0),
IF($C138="WS WH",VLOOKUP("GOAL",'2) หลักการคำนวน Table'!$D$62:$M$62,HLOOKUP(AB138,'2) หลักการคำนวน Table'!$D$1:$M$5,5,TRUE),0),
IF($C138="SF WH",VLOOKUP("GOAL",'2) หลักการคำนวน Table'!$D$92:$M$92,HLOOKUP(AB138,'2) หลักการคำนวน Table'!$D$1:$M$5,5,TRUE),0))))),0)</f>
        <v>0.9</v>
      </c>
      <c r="AO138" s="232">
        <f>IFERROR(IF($C138="Top WS",VLOOKUP("GOAL",'2) หลักการคำนวน Table'!$D$4:$M$4,HLOOKUP(AC138,'2) หลักการคำนวน Table'!$D$1:$M$5,5,TRUE),0),
IF($C138="WS SF",VLOOKUP("GOAL",'2) หลักการคำนวน Table'!$D$32:$M$32,HLOOKUP(AC138,'2) หลักการคำนวน Table'!$D$1:$M$5,5,TRUE),0),
IF($C138="WS WH",VLOOKUP("GOAL",'2) หลักการคำนวน Table'!$D$62:$M$62,HLOOKUP(AC138,'2) หลักการคำนวน Table'!$D$1:$M$5,5,TRUE),0),
IF($C138="SF WH",VLOOKUP("GOAL",'2) หลักการคำนวน Table'!$D$92:$M$92,HLOOKUP(AC138,'2) หลักการคำนวน Table'!$D$1:$M$5,5,TRUE),0))))),0)</f>
        <v>1.1000000000000001</v>
      </c>
      <c r="AP138" s="232">
        <f>IFERROR(IF($C138="Top WS",VLOOKUP("GOAL",'2) หลักการคำนวน Table'!$D$4:$M$4,HLOOKUP(AD138,'2) หลักการคำนวน Table'!$D$1:$M$5,5,TRUE),0),
IF($C138="WS SF",VLOOKUP("GOAL",'2) หลักการคำนวน Table'!$D$32:$M$32,HLOOKUP(AD138,'2) หลักการคำนวน Table'!$D$1:$M$5,5,TRUE),0),
IF($C138="WS WH",VLOOKUP("GOAL",'2) หลักการคำนวน Table'!$D$62:$M$62,HLOOKUP(AD138,'2) หลักการคำนวน Table'!$D$1:$M$5,5,TRUE),0),
IF($C138="SF WH",VLOOKUP("GOAL",'2) หลักการคำนวน Table'!$D$92:$M$92,HLOOKUP(AD138,'2) หลักการคำนวน Table'!$D$1:$M$5,5,TRUE),0))))),0)</f>
        <v>0.9</v>
      </c>
      <c r="AQ138" s="232">
        <f>IFERROR(IF($C138="Top WS",VLOOKUP("GOAL",'2) หลักการคำนวน Table'!$D$4:$M$4,HLOOKUP(AE138,'2) หลักการคำนวน Table'!$D$1:$M$5,5,TRUE),0),
IF($C138="WS SF",VLOOKUP("GOAL",'2) หลักการคำนวน Table'!$D$32:$M$32,HLOOKUP(AE138,'2) หลักการคำนวน Table'!$D$1:$M$5,5,TRUE),0),
IF($C138="WS WH",VLOOKUP("GOAL",'2) หลักการคำนวน Table'!$D$62:$M$62,HLOOKUP(AE138,'2) หลักการคำนวน Table'!$D$1:$M$5,5,TRUE),0),
IF($C138="SF WH",VLOOKUP("GOAL",'2) หลักการคำนวน Table'!$D$92:$M$92,HLOOKUP(AE138,'2) หลักการคำนวน Table'!$D$1:$M$5,5,TRUE),0))))),0)</f>
        <v>0.9</v>
      </c>
      <c r="AR138" s="232">
        <f>IFERROR(IF($C138="Top WS",VLOOKUP("GOAL",'2) หลักการคำนวน Table'!$D$4:$M$4,HLOOKUP(AF138,'2) หลักการคำนวน Table'!$D$1:$M$5,5,TRUE),0),
IF($C138="WS SF",VLOOKUP("GOAL",'2) หลักการคำนวน Table'!$D$32:$M$32,HLOOKUP(AF138,'2) หลักการคำนวน Table'!$D$1:$M$5,5,TRUE),0),
IF($C138="WS WH",VLOOKUP("GOAL",'2) หลักการคำนวน Table'!$D$62:$M$62,HLOOKUP(AF138,'2) หลักการคำนวน Table'!$D$1:$M$5,5,TRUE),0),
IF($C138="SF WH",VLOOKUP("GOAL",'2) หลักการคำนวน Table'!$D$92:$M$92,HLOOKUP(AF138,'2) หลักการคำนวน Table'!$D$1:$M$5,5,TRUE),0))))),0)</f>
        <v>0.9</v>
      </c>
      <c r="AS138" s="232">
        <f>IFERROR(IF($C138="Top WS",VLOOKUP("GOAL",'2) หลักการคำนวน Table'!$D$4:$M$4,HLOOKUP(AG138,'2) หลักการคำนวน Table'!$D$1:$M$5,5,TRUE),0),
IF($C138="WS SF",VLOOKUP("GOAL",'2) หลักการคำนวน Table'!$D$32:$M$32,HLOOKUP(AG138,'2) หลักการคำนวน Table'!$D$1:$M$5,5,TRUE),0),
IF($C138="WS WH",VLOOKUP("GOAL",'2) หลักการคำนวน Table'!$D$62:$M$62,HLOOKUP(AG138,'2) หลักการคำนวน Table'!$D$1:$M$5,5,TRUE),0),
IF($C138="SF WH",VLOOKUP("GOAL",'2) หลักการคำนวน Table'!$D$92:$M$92,HLOOKUP(AG138,'2) หลักการคำนวน Table'!$D$1:$M$5,5,TRUE),0))))),0)</f>
        <v>0.9</v>
      </c>
      <c r="AT138" s="232">
        <f>IFERROR(IF($C138="Top WS",VLOOKUP("GOAL",'2) หลักการคำนวน Table'!$D$4:$M$4,HLOOKUP(AH138,'2) หลักการคำนวน Table'!$D$1:$M$5,5,TRUE),0),
IF($C138="WS SF",VLOOKUP("GOAL",'2) หลักการคำนวน Table'!$D$32:$M$32,HLOOKUP(AH138,'2) หลักการคำนวน Table'!$D$1:$M$5,5,TRUE),0),
IF($C138="WS WH",VLOOKUP("GOAL",'2) หลักการคำนวน Table'!$D$62:$M$62,HLOOKUP(AH138,'2) หลักการคำนวน Table'!$D$1:$M$5,5,TRUE),0),
IF($C138="SF WH",VLOOKUP("GOAL",'2) หลักการคำนวน Table'!$D$92:$M$92,HLOOKUP(AH138,'2) หลักการคำนวน Table'!$D$1:$M$5,5,TRUE),0))))),0)</f>
        <v>0.9</v>
      </c>
      <c r="AU138" s="232">
        <f>IFERROR(IF($C138="Top WS",VLOOKUP("GOAL",'2) หลักการคำนวน Table'!$D$4:$M$4,HLOOKUP(AI138,'2) หลักการคำนวน Table'!$D$1:$M$5,5,TRUE),0),
IF($C138="WS SF",VLOOKUP("GOAL",'2) หลักการคำนวน Table'!$D$32:$M$32,HLOOKUP(AI138,'2) หลักการคำนวน Table'!$D$1:$M$5,5,TRUE),0),
IF($C138="WS WH",VLOOKUP("GOAL",'2) หลักการคำนวน Table'!$D$62:$M$62,HLOOKUP(AI138,'2) หลักการคำนวน Table'!$D$1:$M$5,5,TRUE),0),
IF($C138="SF WH",VLOOKUP("GOAL",'2) หลักการคำนวน Table'!$D$92:$M$92,HLOOKUP(AI138,'2) หลักการคำนวน Table'!$D$1:$M$5,5,TRUE),0))))),0)</f>
        <v>0.9</v>
      </c>
      <c r="AV138" s="232">
        <f>IFERROR(IF($C138="Top WS",VLOOKUP("GOAL",'2) หลักการคำนวน Table'!$D$4:$M$4,HLOOKUP(AP138,'2) หลักการคำนวน Table'!$D$1:$M$5,5,TRUE),0),
IF($C138="WS SF",VLOOKUP("GOAL",'2) หลักการคำนวน Table'!$D$32:$M$32,HLOOKUP(AP138,'2) หลักการคำนวน Table'!$D$1:$M$5,5,TRUE),0),
IF($C138="WS WH",VLOOKUP("GOAL",'2) หลักการคำนวน Table'!$D$62:$M$62,HLOOKUP(AP138,'2) หลักการคำนวน Table'!$D$1:$M$5,5,TRUE),0),
IF($C138="SF WH",VLOOKUP("GOAL",'2) หลักการคำนวน Table'!$D$92:$M$92,HLOOKUP(AP138,'2) หลักการคำนวน Table'!$D$1:$M$5,5,TRUE),0))))),0)</f>
        <v>0.9</v>
      </c>
      <c r="AW138" s="232">
        <f>IFERROR(IF($C138="Top WS",VLOOKUP("GOAL",'2) หลักการคำนวน Table'!$D$4:$M$4,HLOOKUP(AK138,'2) หลักการคำนวน Table'!$D$1:$M$5,5,TRUE),0),
IF($C138="WS SF",VLOOKUP("GOAL",'2) หลักการคำนวน Table'!$D$32:$M$32,HLOOKUP(AK138,'2) หลักการคำนวน Table'!$D$1:$M$5,5,TRUE),0),
IF($C138="WS WH",VLOOKUP("GOAL",'2) หลักการคำนวน Table'!$D$62:$M$62,HLOOKUP(AK138,'2) หลักการคำนวน Table'!$D$1:$M$5,5,TRUE),0),
IF($C138="SF WH",VLOOKUP("GOAL",'2) หลักการคำนวน Table'!$D$92:$M$92,HLOOKUP(AK138,'2) หลักการคำนวน Table'!$D$1:$M$5,5,TRUE),0))))),0)</f>
        <v>0.9</v>
      </c>
      <c r="AX138" s="232">
        <f>IFERROR(IF($C138="Top WS",VLOOKUP("GOAL",'2) หลักการคำนวน Table'!$D$4:$M$4,HLOOKUP(AL138,'2) หลักการคำนวน Table'!$D$1:$M$5,5,TRUE),0),
IF($C138="WS SF",VLOOKUP("GOAL",'2) หลักการคำนวน Table'!$D$32:$M$32,HLOOKUP(AL138,'2) หลักการคำนวน Table'!$D$1:$M$5,5,TRUE),0),
IF($C138="WS WH",VLOOKUP("GOAL",'2) หลักการคำนวน Table'!$D$62:$M$62,HLOOKUP(AL138,'2) หลักการคำนวน Table'!$D$1:$M$5,5,TRUE),0),
IF($C138="SF WH",VLOOKUP("GOAL",'2) หลักการคำนวน Table'!$D$92:$M$92,HLOOKUP(AL138,'2) หลักการคำนวน Table'!$D$1:$M$5,5,TRUE),0))))),0)</f>
        <v>0.9</v>
      </c>
      <c r="AY138" s="232">
        <f>IFERROR(IF($C138="Top WS",VLOOKUP("GOAL",'2) หลักการคำนวน Table'!$D$4:$M$4,HLOOKUP(AM138,'2) หลักการคำนวน Table'!$D$1:$M$5,5,TRUE),0),
IF($C138="WS SF",VLOOKUP("GOAL",'2) หลักการคำนวน Table'!$D$32:$M$32,HLOOKUP(AM138,'2) หลักการคำนวน Table'!$D$1:$M$5,5,TRUE),0),
IF($C138="WS WH",VLOOKUP("GOAL",'2) หลักการคำนวน Table'!$D$62:$M$62,HLOOKUP(AM138,'2) หลักการคำนวน Table'!$D$1:$M$5,5,TRUE),0),
IF($C138="SF WH",VLOOKUP("GOAL",'2) หลักการคำนวน Table'!$D$92:$M$92,HLOOKUP(AM138,'2) หลักการคำนวน Table'!$D$1:$M$5,5,TRUE),0))))),0)</f>
        <v>0.9</v>
      </c>
      <c r="AZ138" s="167">
        <f>IFERROR(IF($C138="Top WS",VLOOKUP($B138,'2) หลักการคำนวน Table'!$D$5:$M$20,HLOOKUP(AB138,'2) หลักการคำนวน Table'!$D$1:$M$5,5,TRUE),0),
IF($C138="WS SF",VLOOKUP($B138,'2) หลักการคำนวน Table'!$D$33:$M$48,HLOOKUP(AB138,'2) หลักการคำนวน Table'!$D$1:$M$5,5,TRUE),0),
IF($C138="WS WH",VLOOKUP($B138,'2) หลักการคำนวน Table'!$D$63:$M$78,HLOOKUP(AB138,'2) หลักการคำนวน Table'!$D$1:$M$5,5,TRUE),0),
IF($C138="SF WH",VLOOKUP($B138,'2) หลักการคำนวน Table'!$D$93:$M$108,HLOOKUP(AB138,'2) หลักการคำนวน Table'!$D$1:$M$5,5,TRUE),0))))),0)</f>
        <v>472.5</v>
      </c>
      <c r="BA138" s="167">
        <f>IFERROR(IF($C138="Top WS",VLOOKUP($B138,'2) หลักการคำนวน Table'!$D$5:$M$20,HLOOKUP(AC138,'2) หลักการคำนวน Table'!$D$1:$M$5,5,TRUE),0),
IF($C138="WS SF",VLOOKUP($B138,'2) หลักการคำนวน Table'!$D$33:$M$48,HLOOKUP(AC138,'2) หลักการคำนวน Table'!$D$1:$M$5,5,TRUE),0),
IF($C138="WS WH",VLOOKUP($B138,'2) หลักการคำนวน Table'!$D$63:$M$78,HLOOKUP(AC138,'2) หลักการคำนวน Table'!$D$1:$M$5,5,TRUE),0),
IF($C138="SF WH",VLOOKUP($B138,'2) หลักการคำนวน Table'!$D$93:$M$108,HLOOKUP(AC138,'2) หลักการคำนวน Table'!$D$1:$M$5,5,TRUE),0))))),0)</f>
        <v>577.5</v>
      </c>
      <c r="BB138" s="167">
        <f>IFERROR(IF($C138="Top WS",VLOOKUP($B138,'2) หลักการคำนวน Table'!$D$5:$M$20,HLOOKUP(AD138,'2) หลักการคำนวน Table'!$D$1:$M$5,5,TRUE),0),
IF($C138="WS SF",VLOOKUP($B138,'2) หลักการคำนวน Table'!$D$33:$M$48,HLOOKUP(AD138,'2) หลักการคำนวน Table'!$D$1:$M$5,5,TRUE),0),
IF($C138="WS WH",VLOOKUP($B138,'2) หลักการคำนวน Table'!$D$63:$M$78,HLOOKUP(AD138,'2) หลักการคำนวน Table'!$D$1:$M$5,5,TRUE),0),
IF($C138="SF WH",VLOOKUP($B138,'2) หลักการคำนวน Table'!$D$93:$M$108,HLOOKUP(AD138,'2) หลักการคำนวน Table'!$D$1:$M$5,5,TRUE),0))))),0)</f>
        <v>472.5</v>
      </c>
      <c r="BC138" s="167">
        <f>IFERROR(IF($C138="Top WS",VLOOKUP($B138,'2) หลักการคำนวน Table'!$D$5:$M$20,HLOOKUP(AE138,'2) หลักการคำนวน Table'!$D$1:$M$5,5,TRUE),0),
IF($C138="WS SF",VLOOKUP($B138,'2) หลักการคำนวน Table'!$D$33:$M$48,HLOOKUP(AE138,'2) หลักการคำนวน Table'!$D$1:$M$5,5,TRUE),0),
IF($C138="WS WH",VLOOKUP($B138,'2) หลักการคำนวน Table'!$D$63:$M$78,HLOOKUP(AE138,'2) หลักการคำนวน Table'!$D$1:$M$5,5,TRUE),0),
IF($C138="SF WH",VLOOKUP($B138,'2) หลักการคำนวน Table'!$D$93:$M$108,HLOOKUP(AE138,'2) หลักการคำนวน Table'!$D$1:$M$5,5,TRUE),0))))),0)</f>
        <v>472.5</v>
      </c>
      <c r="BD138" s="167">
        <f>IFERROR(IF($C138="Top WS",VLOOKUP($B138,'2) หลักการคำนวน Table'!$D$5:$M$20,HLOOKUP(AF138,'2) หลักการคำนวน Table'!$D$1:$M$5,5,TRUE),0),
IF($C138="WS SF",VLOOKUP($B138,'2) หลักการคำนวน Table'!$D$33:$M$48,HLOOKUP(AF138,'2) หลักการคำนวน Table'!$D$1:$M$5,5,TRUE),0),
IF($C138="WS WH",VLOOKUP($B138,'2) หลักการคำนวน Table'!$D$63:$M$78,HLOOKUP(AF138,'2) หลักการคำนวน Table'!$D$1:$M$5,5,TRUE),0),
IF($C138="SF WH",VLOOKUP($B138,'2) หลักการคำนวน Table'!$D$93:$M$108,HLOOKUP(AF138,'2) หลักการคำนวน Table'!$D$1:$M$5,5,TRUE),0))))),0)</f>
        <v>472.5</v>
      </c>
      <c r="BE138" s="167">
        <f>IFERROR(IF($C138="Top WS",VLOOKUP($B138,'2) หลักการคำนวน Table'!$D$5:$M$20,HLOOKUP(AG138,'2) หลักการคำนวน Table'!$D$1:$M$5,5,TRUE),0),
IF($C138="WS SF",VLOOKUP($B138,'2) หลักการคำนวน Table'!$D$33:$M$48,HLOOKUP(AG138,'2) หลักการคำนวน Table'!$D$1:$M$5,5,TRUE),0),
IF($C138="WS WH",VLOOKUP($B138,'2) หลักการคำนวน Table'!$D$63:$M$78,HLOOKUP(AG138,'2) หลักการคำนวน Table'!$D$1:$M$5,5,TRUE),0),
IF($C138="SF WH",VLOOKUP($B138,'2) หลักการคำนวน Table'!$D$93:$M$108,HLOOKUP(AG138,'2) หลักการคำนวน Table'!$D$1:$M$5,5,TRUE),0))))),0)</f>
        <v>472.5</v>
      </c>
      <c r="BF138" s="167">
        <f>IFERROR(IF($C138="Top WS",VLOOKUP($B138,'2) หลักการคำนวน Table'!$D$5:$M$20,HLOOKUP(AH138,'2) หลักการคำนวน Table'!$D$1:$M$5,5,TRUE),0),
IF($C138="WS SF",VLOOKUP($B138,'2) หลักการคำนวน Table'!$D$33:$M$48,HLOOKUP(AH138,'2) หลักการคำนวน Table'!$D$1:$M$5,5,TRUE),0),
IF($C138="WS WH",VLOOKUP($B138,'2) หลักการคำนวน Table'!$D$63:$M$78,HLOOKUP(AH138,'2) หลักการคำนวน Table'!$D$1:$M$5,5,TRUE),0),
IF($C138="SF WH",VLOOKUP($B138,'2) หลักการคำนวน Table'!$D$93:$M$108,HLOOKUP(AH138,'2) หลักการคำนวน Table'!$D$1:$M$5,5,TRUE),0))))),0)</f>
        <v>472.5</v>
      </c>
      <c r="BG138" s="167">
        <f>IFERROR(IF($C138="Top WS",VLOOKUP($B138,'2) หลักการคำนวน Table'!$D$5:$M$20,HLOOKUP(AI138,'2) หลักการคำนวน Table'!$D$1:$M$5,5,TRUE),0),
IF($C138="WS SF",VLOOKUP($B138,'2) หลักการคำนวน Table'!$D$33:$M$48,HLOOKUP(AI138,'2) หลักการคำนวน Table'!$D$1:$M$5,5,TRUE),0),
IF($C138="WS WH",VLOOKUP($B138,'2) หลักการคำนวน Table'!$D$63:$M$78,HLOOKUP(AI138,'2) หลักการคำนวน Table'!$D$1:$M$5,5,TRUE),0),
IF($C138="SF WH",VLOOKUP($B138,'2) หลักการคำนวน Table'!$D$93:$M$108,HLOOKUP(AI138,'2) หลักการคำนวน Table'!$D$1:$M$5,5,TRUE),0))))),0)</f>
        <v>472.5</v>
      </c>
      <c r="BH138" s="167">
        <f>IFERROR(IF($C138="Top WS",VLOOKUP($B138,'2) หลักการคำนวน Table'!$D$5:$M$20,HLOOKUP(AP138,'2) หลักการคำนวน Table'!$D$1:$M$5,5,TRUE),0),
IF($C138="WS SF",VLOOKUP($B138,'2) หลักการคำนวน Table'!$D$33:$M$48,HLOOKUP(AP138,'2) หลักการคำนวน Table'!$D$1:$M$5,5,TRUE),0),
IF($C138="WS WH",VLOOKUP($B138,'2) หลักการคำนวน Table'!$D$63:$M$78,HLOOKUP(AP138,'2) หลักการคำนวน Table'!$D$1:$M$5,5,TRUE),0),
IF($C138="SF WH",VLOOKUP($B138,'2) หลักการคำนวน Table'!$D$93:$M$108,HLOOKUP(AP138,'2) หลักการคำนวน Table'!$D$1:$M$5,5,TRUE),0))))),0)</f>
        <v>472.5</v>
      </c>
      <c r="BI138" s="167">
        <f>IFERROR(IF($C138="Top WS",VLOOKUP($B138,'2) หลักการคำนวน Table'!$D$5:$M$20,HLOOKUP(AK138,'2) หลักการคำนวน Table'!$D$1:$M$5,5,TRUE),0),
IF($C138="WS SF",VLOOKUP($B138,'2) หลักการคำนวน Table'!$D$33:$M$48,HLOOKUP(AK138,'2) หลักการคำนวน Table'!$D$1:$M$5,5,TRUE),0),
IF($C138="WS WH",VLOOKUP($B138,'2) หลักการคำนวน Table'!$D$63:$M$78,HLOOKUP(AK138,'2) หลักการคำนวน Table'!$D$1:$M$5,5,TRUE),0),
IF($C138="SF WH",VLOOKUP($B138,'2) หลักการคำนวน Table'!$D$93:$M$108,HLOOKUP(AK138,'2) หลักการคำนวน Table'!$D$1:$M$5,5,TRUE),0))))),0)</f>
        <v>472.5</v>
      </c>
      <c r="BJ138" s="167">
        <f>IFERROR(IF($C138="Top WS",VLOOKUP($B138,'2) หลักการคำนวน Table'!$D$5:$M$20,HLOOKUP(AL138,'2) หลักการคำนวน Table'!$D$1:$M$5,5,TRUE),0),
IF($C138="WS SF",VLOOKUP($B138,'2) หลักการคำนวน Table'!$D$33:$M$48,HLOOKUP(AL138,'2) หลักการคำนวน Table'!$D$1:$M$5,5,TRUE),0),
IF($C138="WS WH",VLOOKUP($B138,'2) หลักการคำนวน Table'!$D$63:$M$78,HLOOKUP(AL138,'2) หลักการคำนวน Table'!$D$1:$M$5,5,TRUE),0),
IF($C138="SF WH",VLOOKUP($B138,'2) หลักการคำนวน Table'!$D$93:$M$108,HLOOKUP(AL138,'2) หลักการคำนวน Table'!$D$1:$M$5,5,TRUE),0))))),0)</f>
        <v>472.5</v>
      </c>
      <c r="BK138" s="167">
        <f>IFERROR(IF($C138="Top WS",VLOOKUP($B138,'2) หลักการคำนวน Table'!$D$5:$M$20,HLOOKUP(AM138,'2) หลักการคำนวน Table'!$D$1:$M$5,5,TRUE),0),
IF($C138="WS SF",VLOOKUP($B138,'2) หลักการคำนวน Table'!$D$33:$M$48,HLOOKUP(AM138,'2) หลักการคำนวน Table'!$D$1:$M$5,5,TRUE),0),
IF($C138="WS WH",VLOOKUP($B138,'2) หลักการคำนวน Table'!$D$63:$M$78,HLOOKUP(AM138,'2) หลักการคำนวน Table'!$D$1:$M$5,5,TRUE),0),
IF($C138="SF WH",VLOOKUP($B138,'2) หลักการคำนวน Table'!$D$93:$M$108,HLOOKUP(AM138,'2) หลักการคำนวน Table'!$D$1:$M$5,5,TRUE),0))))),0)</f>
        <v>472.5</v>
      </c>
      <c r="BM138" s="119">
        <f>VLOOKUP(VLOOKUP(A138,ASTBase!E:S,13,FALSE),ASTBase!F:P,11,FALSE)</f>
        <v>130000</v>
      </c>
      <c r="BN138" s="196" cm="1">
        <f t="array" ref="BN138">INDEX(AN138:AY138,,Period!$D$2)</f>
        <v>1.1000000000000001</v>
      </c>
    </row>
    <row r="139" spans="1:66" x14ac:dyDescent="0.25">
      <c r="A139" s="117">
        <v>130002</v>
      </c>
      <c r="B139" s="117" t="s">
        <v>391</v>
      </c>
      <c r="C139" s="117" t="s">
        <v>179</v>
      </c>
      <c r="D139" s="118">
        <v>810</v>
      </c>
      <c r="E139" s="118">
        <v>952</v>
      </c>
      <c r="F139" s="118">
        <v>1031</v>
      </c>
      <c r="G139" s="118">
        <v>1157</v>
      </c>
      <c r="H139" s="118">
        <v>1067</v>
      </c>
      <c r="I139" s="118">
        <v>1053</v>
      </c>
      <c r="J139" s="118">
        <v>1172</v>
      </c>
      <c r="K139" s="118">
        <v>1216</v>
      </c>
      <c r="L139" s="118">
        <v>1393</v>
      </c>
      <c r="M139" s="118">
        <v>1043</v>
      </c>
      <c r="N139" s="118">
        <v>875</v>
      </c>
      <c r="O139" s="118">
        <v>874</v>
      </c>
      <c r="P139" s="117">
        <f>SUMIFS(Actual!C:C,Actual!$A:$A,'3)Target &amp; Cal'!$A139,Actual!$B:$B,'3)Target &amp; Cal'!$B139)</f>
        <v>575.99999998429189</v>
      </c>
      <c r="Q139" s="117">
        <f>SUMIFS(Actual!D:D,Actual!$A:$A,'3)Target &amp; Cal'!$A139,Actual!$B:$B,'3)Target &amp; Cal'!$B139)</f>
        <v>1453.9999999564664</v>
      </c>
      <c r="R139" s="117">
        <f>SUMIFS(Actual!E:E,Actual!$A:$A,'3)Target &amp; Cal'!$A139,Actual!$B:$B,'3)Target &amp; Cal'!$B139)</f>
        <v>0</v>
      </c>
      <c r="S139" s="117">
        <f>SUMIFS(Actual!F:F,Actual!$A:$A,'3)Target &amp; Cal'!$A139,Actual!$B:$B,'3)Target &amp; Cal'!$B139)</f>
        <v>0</v>
      </c>
      <c r="T139" s="117">
        <f>SUMIFS(Actual!G:G,Actual!$A:$A,'3)Target &amp; Cal'!$A139,Actual!$B:$B,'3)Target &amp; Cal'!$B139)</f>
        <v>0</v>
      </c>
      <c r="U139" s="117">
        <f>SUMIFS(Actual!H:H,Actual!$A:$A,'3)Target &amp; Cal'!$A139,Actual!$B:$B,'3)Target &amp; Cal'!$B139)</f>
        <v>0</v>
      </c>
      <c r="V139" s="117">
        <f>SUMIFS(Actual!I:I,Actual!$A:$A,'3)Target &amp; Cal'!$A139,Actual!$B:$B,'3)Target &amp; Cal'!$B139)</f>
        <v>0</v>
      </c>
      <c r="W139" s="117">
        <f>SUMIFS(Actual!J:J,Actual!$A:$A,'3)Target &amp; Cal'!$A139,Actual!$B:$B,'3)Target &amp; Cal'!$B139)</f>
        <v>0</v>
      </c>
      <c r="X139" s="117">
        <f>SUMIFS(Actual!K:K,Actual!$A:$A,'3)Target &amp; Cal'!$A139,Actual!$B:$B,'3)Target &amp; Cal'!$B139)</f>
        <v>0</v>
      </c>
      <c r="Y139" s="117">
        <f>SUMIFS(Actual!L:L,Actual!$A:$A,'3)Target &amp; Cal'!$A139,Actual!$B:$B,'3)Target &amp; Cal'!$B139)</f>
        <v>0</v>
      </c>
      <c r="Z139" s="117">
        <f>SUMIFS(Actual!M:M,Actual!$A:$A,'3)Target &amp; Cal'!$A139,Actual!$B:$B,'3)Target &amp; Cal'!$B139)</f>
        <v>0</v>
      </c>
      <c r="AA139" s="117">
        <f>SUMIFS(Actual!N:N,Actual!$A:$A,'3)Target &amp; Cal'!$A139,Actual!$B:$B,'3)Target &amp; Cal'!$B139)</f>
        <v>0</v>
      </c>
      <c r="AB139" s="123">
        <f>IFERROR(IF(VLOOKUP($B139,Shortage!$A:$M,AB$2,FALSE)="Shortage",1,IFERROR(ROUND(P139/D139,4),0)),IFERROR(ROUND(P139/D139,4),0))</f>
        <v>1</v>
      </c>
      <c r="AC139" s="123">
        <f>IFERROR(IF(VLOOKUP($B139,Shortage!$A:$M,AC$2,FALSE)="Shortage",1,IFERROR(ROUND(Q139/E139,4),0)),IFERROR(ROUND(Q139/E139,4),0))</f>
        <v>1</v>
      </c>
      <c r="AD139" s="123">
        <f>IFERROR(IF(VLOOKUP($B139,Shortage!$A:$M,AD$2,FALSE)="Shortage",1,IFERROR(ROUND(R139/F139,4),0)),IFERROR(ROUND(R139/F139,4),0))</f>
        <v>0</v>
      </c>
      <c r="AE139" s="123">
        <f>IFERROR(IF(VLOOKUP($B139,Shortage!$A:$M,AE$2,FALSE)="Shortage",1,IFERROR(ROUND(S139/G139,4),0)),IFERROR(ROUND(S139/G139,4),0))</f>
        <v>0</v>
      </c>
      <c r="AF139" s="123">
        <f>IFERROR(IF(VLOOKUP($B139,Shortage!$A:$M,AF$2,FALSE)="Shortage",1,IFERROR(ROUND(T139/H139,4),0)),IFERROR(ROUND(T139/H139,4),0))</f>
        <v>0</v>
      </c>
      <c r="AG139" s="123">
        <f>IFERROR(IF(VLOOKUP($B139,Shortage!$A:$M,AG$2,FALSE)="Shortage",1,IFERROR(ROUND(U139/I139,4),0)),IFERROR(ROUND(U139/I139,4),0))</f>
        <v>0</v>
      </c>
      <c r="AH139" s="123">
        <f>IFERROR(IF(VLOOKUP($B139,Shortage!$A:$M,AH$2,FALSE)="Shortage",1,IFERROR(ROUND(V139/J139,4),0)),IFERROR(ROUND(V139/J139,4),0))</f>
        <v>0</v>
      </c>
      <c r="AI139" s="123">
        <f>IFERROR(IF(VLOOKUP($B139,Shortage!$A:$M,AI$2,FALSE)="Shortage",1,IFERROR(ROUND(W139/K139,4),0)),IFERROR(ROUND(W139/K139,4),0))</f>
        <v>0</v>
      </c>
      <c r="AJ139" s="123">
        <f>IFERROR(IF(VLOOKUP($B139,Shortage!$A:$M,AP$2,FALSE)="Shortage",1,IFERROR(ROUND(X139/L139,4),0)),IFERROR(ROUND(X139/L139,4),0))</f>
        <v>0</v>
      </c>
      <c r="AK139" s="123">
        <f>IFERROR(IF(VLOOKUP($B139,Shortage!$A:$M,AK$2,FALSE)="Shortage",1,IFERROR(ROUND(Y139/M139,4),0)),IFERROR(ROUND(Y139/M139,4),0))</f>
        <v>0</v>
      </c>
      <c r="AL139" s="123">
        <f>IFERROR(IF(VLOOKUP($B139,Shortage!$A:$M,AL$2,FALSE)="Shortage",1,IFERROR(ROUND(Z139/N139,4),0)),IFERROR(ROUND(Z139/N139,4),0))</f>
        <v>0</v>
      </c>
      <c r="AM139" s="123">
        <f>IFERROR(IF(VLOOKUP($B139,Shortage!$A:$M,AM$2,FALSE)="Shortage",1,IFERROR(ROUND(AA139/O139,4),0)),IFERROR(ROUND(AA139/O139,4),0))</f>
        <v>0</v>
      </c>
      <c r="AN139" s="232">
        <f>IFERROR(IF($C139="Top WS",VLOOKUP("GOAL",'2) หลักการคำนวน Table'!$D$4:$M$4,HLOOKUP(AB139,'2) หลักการคำนวน Table'!$D$1:$M$5,5,TRUE),0),
IF($C139="WS SF",VLOOKUP("GOAL",'2) หลักการคำนวน Table'!$D$32:$M$32,HLOOKUP(AB139,'2) หลักการคำนวน Table'!$D$1:$M$5,5,TRUE),0),
IF($C139="WS WH",VLOOKUP("GOAL",'2) หลักการคำนวน Table'!$D$62:$M$62,HLOOKUP(AB139,'2) หลักการคำนวน Table'!$D$1:$M$5,5,TRUE),0),
IF($C139="SF WH",VLOOKUP("GOAL",'2) หลักการคำนวน Table'!$D$92:$M$92,HLOOKUP(AB139,'2) หลักการคำนวน Table'!$D$1:$M$5,5,TRUE),0))))),0)</f>
        <v>1</v>
      </c>
      <c r="AO139" s="232">
        <f>IFERROR(IF($C139="Top WS",VLOOKUP("GOAL",'2) หลักการคำนวน Table'!$D$4:$M$4,HLOOKUP(AC139,'2) หลักการคำนวน Table'!$D$1:$M$5,5,TRUE),0),
IF($C139="WS SF",VLOOKUP("GOAL",'2) หลักการคำนวน Table'!$D$32:$M$32,HLOOKUP(AC139,'2) หลักการคำนวน Table'!$D$1:$M$5,5,TRUE),0),
IF($C139="WS WH",VLOOKUP("GOAL",'2) หลักการคำนวน Table'!$D$62:$M$62,HLOOKUP(AC139,'2) หลักการคำนวน Table'!$D$1:$M$5,5,TRUE),0),
IF($C139="SF WH",VLOOKUP("GOAL",'2) หลักการคำนวน Table'!$D$92:$M$92,HLOOKUP(AC139,'2) หลักการคำนวน Table'!$D$1:$M$5,5,TRUE),0))))),0)</f>
        <v>1</v>
      </c>
      <c r="AP139" s="232">
        <f>IFERROR(IF($C139="Top WS",VLOOKUP("GOAL",'2) หลักการคำนวน Table'!$D$4:$M$4,HLOOKUP(AD139,'2) หลักการคำนวน Table'!$D$1:$M$5,5,TRUE),0),
IF($C139="WS SF",VLOOKUP("GOAL",'2) หลักการคำนวน Table'!$D$32:$M$32,HLOOKUP(AD139,'2) หลักการคำนวน Table'!$D$1:$M$5,5,TRUE),0),
IF($C139="WS WH",VLOOKUP("GOAL",'2) หลักการคำนวน Table'!$D$62:$M$62,HLOOKUP(AD139,'2) หลักการคำนวน Table'!$D$1:$M$5,5,TRUE),0),
IF($C139="SF WH",VLOOKUP("GOAL",'2) หลักการคำนวน Table'!$D$92:$M$92,HLOOKUP(AD139,'2) หลักการคำนวน Table'!$D$1:$M$5,5,TRUE),0))))),0)</f>
        <v>0.9</v>
      </c>
      <c r="AQ139" s="232">
        <f>IFERROR(IF($C139="Top WS",VLOOKUP("GOAL",'2) หลักการคำนวน Table'!$D$4:$M$4,HLOOKUP(AE139,'2) หลักการคำนวน Table'!$D$1:$M$5,5,TRUE),0),
IF($C139="WS SF",VLOOKUP("GOAL",'2) หลักการคำนวน Table'!$D$32:$M$32,HLOOKUP(AE139,'2) หลักการคำนวน Table'!$D$1:$M$5,5,TRUE),0),
IF($C139="WS WH",VLOOKUP("GOAL",'2) หลักการคำนวน Table'!$D$62:$M$62,HLOOKUP(AE139,'2) หลักการคำนวน Table'!$D$1:$M$5,5,TRUE),0),
IF($C139="SF WH",VLOOKUP("GOAL",'2) หลักการคำนวน Table'!$D$92:$M$92,HLOOKUP(AE139,'2) หลักการคำนวน Table'!$D$1:$M$5,5,TRUE),0))))),0)</f>
        <v>0.9</v>
      </c>
      <c r="AR139" s="232">
        <f>IFERROR(IF($C139="Top WS",VLOOKUP("GOAL",'2) หลักการคำนวน Table'!$D$4:$M$4,HLOOKUP(AF139,'2) หลักการคำนวน Table'!$D$1:$M$5,5,TRUE),0),
IF($C139="WS SF",VLOOKUP("GOAL",'2) หลักการคำนวน Table'!$D$32:$M$32,HLOOKUP(AF139,'2) หลักการคำนวน Table'!$D$1:$M$5,5,TRUE),0),
IF($C139="WS WH",VLOOKUP("GOAL",'2) หลักการคำนวน Table'!$D$62:$M$62,HLOOKUP(AF139,'2) หลักการคำนวน Table'!$D$1:$M$5,5,TRUE),0),
IF($C139="SF WH",VLOOKUP("GOAL",'2) หลักการคำนวน Table'!$D$92:$M$92,HLOOKUP(AF139,'2) หลักการคำนวน Table'!$D$1:$M$5,5,TRUE),0))))),0)</f>
        <v>0.9</v>
      </c>
      <c r="AS139" s="232">
        <f>IFERROR(IF($C139="Top WS",VLOOKUP("GOAL",'2) หลักการคำนวน Table'!$D$4:$M$4,HLOOKUP(AG139,'2) หลักการคำนวน Table'!$D$1:$M$5,5,TRUE),0),
IF($C139="WS SF",VLOOKUP("GOAL",'2) หลักการคำนวน Table'!$D$32:$M$32,HLOOKUP(AG139,'2) หลักการคำนวน Table'!$D$1:$M$5,5,TRUE),0),
IF($C139="WS WH",VLOOKUP("GOAL",'2) หลักการคำนวน Table'!$D$62:$M$62,HLOOKUP(AG139,'2) หลักการคำนวน Table'!$D$1:$M$5,5,TRUE),0),
IF($C139="SF WH",VLOOKUP("GOAL",'2) หลักการคำนวน Table'!$D$92:$M$92,HLOOKUP(AG139,'2) หลักการคำนวน Table'!$D$1:$M$5,5,TRUE),0))))),0)</f>
        <v>0.9</v>
      </c>
      <c r="AT139" s="232">
        <f>IFERROR(IF($C139="Top WS",VLOOKUP("GOAL",'2) หลักการคำนวน Table'!$D$4:$M$4,HLOOKUP(AH139,'2) หลักการคำนวน Table'!$D$1:$M$5,5,TRUE),0),
IF($C139="WS SF",VLOOKUP("GOAL",'2) หลักการคำนวน Table'!$D$32:$M$32,HLOOKUP(AH139,'2) หลักการคำนวน Table'!$D$1:$M$5,5,TRUE),0),
IF($C139="WS WH",VLOOKUP("GOAL",'2) หลักการคำนวน Table'!$D$62:$M$62,HLOOKUP(AH139,'2) หลักการคำนวน Table'!$D$1:$M$5,5,TRUE),0),
IF($C139="SF WH",VLOOKUP("GOAL",'2) หลักการคำนวน Table'!$D$92:$M$92,HLOOKUP(AH139,'2) หลักการคำนวน Table'!$D$1:$M$5,5,TRUE),0))))),0)</f>
        <v>0.9</v>
      </c>
      <c r="AU139" s="232">
        <f>IFERROR(IF($C139="Top WS",VLOOKUP("GOAL",'2) หลักการคำนวน Table'!$D$4:$M$4,HLOOKUP(AI139,'2) หลักการคำนวน Table'!$D$1:$M$5,5,TRUE),0),
IF($C139="WS SF",VLOOKUP("GOAL",'2) หลักการคำนวน Table'!$D$32:$M$32,HLOOKUP(AI139,'2) หลักการคำนวน Table'!$D$1:$M$5,5,TRUE),0),
IF($C139="WS WH",VLOOKUP("GOAL",'2) หลักการคำนวน Table'!$D$62:$M$62,HLOOKUP(AI139,'2) หลักการคำนวน Table'!$D$1:$M$5,5,TRUE),0),
IF($C139="SF WH",VLOOKUP("GOAL",'2) หลักการคำนวน Table'!$D$92:$M$92,HLOOKUP(AI139,'2) หลักการคำนวน Table'!$D$1:$M$5,5,TRUE),0))))),0)</f>
        <v>0.9</v>
      </c>
      <c r="AV139" s="232">
        <f>IFERROR(IF($C139="Top WS",VLOOKUP("GOAL",'2) หลักการคำนวน Table'!$D$4:$M$4,HLOOKUP(AP139,'2) หลักการคำนวน Table'!$D$1:$M$5,5,TRUE),0),
IF($C139="WS SF",VLOOKUP("GOAL",'2) หลักการคำนวน Table'!$D$32:$M$32,HLOOKUP(AP139,'2) หลักการคำนวน Table'!$D$1:$M$5,5,TRUE),0),
IF($C139="WS WH",VLOOKUP("GOAL",'2) หลักการคำนวน Table'!$D$62:$M$62,HLOOKUP(AP139,'2) หลักการคำนวน Table'!$D$1:$M$5,5,TRUE),0),
IF($C139="SF WH",VLOOKUP("GOAL",'2) หลักการคำนวน Table'!$D$92:$M$92,HLOOKUP(AP139,'2) หลักการคำนวน Table'!$D$1:$M$5,5,TRUE),0))))),0)</f>
        <v>0.9</v>
      </c>
      <c r="AW139" s="232">
        <f>IFERROR(IF($C139="Top WS",VLOOKUP("GOAL",'2) หลักการคำนวน Table'!$D$4:$M$4,HLOOKUP(AK139,'2) หลักการคำนวน Table'!$D$1:$M$5,5,TRUE),0),
IF($C139="WS SF",VLOOKUP("GOAL",'2) หลักการคำนวน Table'!$D$32:$M$32,HLOOKUP(AK139,'2) หลักการคำนวน Table'!$D$1:$M$5,5,TRUE),0),
IF($C139="WS WH",VLOOKUP("GOAL",'2) หลักการคำนวน Table'!$D$62:$M$62,HLOOKUP(AK139,'2) หลักการคำนวน Table'!$D$1:$M$5,5,TRUE),0),
IF($C139="SF WH",VLOOKUP("GOAL",'2) หลักการคำนวน Table'!$D$92:$M$92,HLOOKUP(AK139,'2) หลักการคำนวน Table'!$D$1:$M$5,5,TRUE),0))))),0)</f>
        <v>0.9</v>
      </c>
      <c r="AX139" s="232">
        <f>IFERROR(IF($C139="Top WS",VLOOKUP("GOAL",'2) หลักการคำนวน Table'!$D$4:$M$4,HLOOKUP(AL139,'2) หลักการคำนวน Table'!$D$1:$M$5,5,TRUE),0),
IF($C139="WS SF",VLOOKUP("GOAL",'2) หลักการคำนวน Table'!$D$32:$M$32,HLOOKUP(AL139,'2) หลักการคำนวน Table'!$D$1:$M$5,5,TRUE),0),
IF($C139="WS WH",VLOOKUP("GOAL",'2) หลักการคำนวน Table'!$D$62:$M$62,HLOOKUP(AL139,'2) หลักการคำนวน Table'!$D$1:$M$5,5,TRUE),0),
IF($C139="SF WH",VLOOKUP("GOAL",'2) หลักการคำนวน Table'!$D$92:$M$92,HLOOKUP(AL139,'2) หลักการคำนวน Table'!$D$1:$M$5,5,TRUE),0))))),0)</f>
        <v>0.9</v>
      </c>
      <c r="AY139" s="232">
        <f>IFERROR(IF($C139="Top WS",VLOOKUP("GOAL",'2) หลักการคำนวน Table'!$D$4:$M$4,HLOOKUP(AM139,'2) หลักการคำนวน Table'!$D$1:$M$5,5,TRUE),0),
IF($C139="WS SF",VLOOKUP("GOAL",'2) หลักการคำนวน Table'!$D$32:$M$32,HLOOKUP(AM139,'2) หลักการคำนวน Table'!$D$1:$M$5,5,TRUE),0),
IF($C139="WS WH",VLOOKUP("GOAL",'2) หลักการคำนวน Table'!$D$62:$M$62,HLOOKUP(AM139,'2) หลักการคำนวน Table'!$D$1:$M$5,5,TRUE),0),
IF($C139="SF WH",VLOOKUP("GOAL",'2) หลักการคำนวน Table'!$D$92:$M$92,HLOOKUP(AM139,'2) หลักการคำนวน Table'!$D$1:$M$5,5,TRUE),0))))),0)</f>
        <v>0.9</v>
      </c>
      <c r="AZ139" s="167">
        <f>IFERROR(IF($C139="Top WS",VLOOKUP($B139,'2) หลักการคำนวน Table'!$D$5:$M$20,HLOOKUP(AB139,'2) หลักการคำนวน Table'!$D$1:$M$5,5,TRUE),0),
IF($C139="WS SF",VLOOKUP($B139,'2) หลักการคำนวน Table'!$D$33:$M$48,HLOOKUP(AB139,'2) หลักการคำนวน Table'!$D$1:$M$5,5,TRUE),0),
IF($C139="WS WH",VLOOKUP($B139,'2) หลักการคำนวน Table'!$D$63:$M$78,HLOOKUP(AB139,'2) หลักการคำนวน Table'!$D$1:$M$5,5,TRUE),0),
IF($C139="SF WH",VLOOKUP($B139,'2) หลักการคำนวน Table'!$D$93:$M$108,HLOOKUP(AB139,'2) หลักการคำนวน Table'!$D$1:$M$5,5,TRUE),0))))),0)</f>
        <v>525</v>
      </c>
      <c r="BA139" s="167">
        <f>IFERROR(IF($C139="Top WS",VLOOKUP($B139,'2) หลักการคำนวน Table'!$D$5:$M$20,HLOOKUP(AC139,'2) หลักการคำนวน Table'!$D$1:$M$5,5,TRUE),0),
IF($C139="WS SF",VLOOKUP($B139,'2) หลักการคำนวน Table'!$D$33:$M$48,HLOOKUP(AC139,'2) หลักการคำนวน Table'!$D$1:$M$5,5,TRUE),0),
IF($C139="WS WH",VLOOKUP($B139,'2) หลักการคำนวน Table'!$D$63:$M$78,HLOOKUP(AC139,'2) หลักการคำนวน Table'!$D$1:$M$5,5,TRUE),0),
IF($C139="SF WH",VLOOKUP($B139,'2) หลักการคำนวน Table'!$D$93:$M$108,HLOOKUP(AC139,'2) หลักการคำนวน Table'!$D$1:$M$5,5,TRUE),0))))),0)</f>
        <v>525</v>
      </c>
      <c r="BB139" s="167">
        <f>IFERROR(IF($C139="Top WS",VLOOKUP($B139,'2) หลักการคำนวน Table'!$D$5:$M$20,HLOOKUP(AD139,'2) หลักการคำนวน Table'!$D$1:$M$5,5,TRUE),0),
IF($C139="WS SF",VLOOKUP($B139,'2) หลักการคำนวน Table'!$D$33:$M$48,HLOOKUP(AD139,'2) หลักการคำนวน Table'!$D$1:$M$5,5,TRUE),0),
IF($C139="WS WH",VLOOKUP($B139,'2) หลักการคำนวน Table'!$D$63:$M$78,HLOOKUP(AD139,'2) หลักการคำนวน Table'!$D$1:$M$5,5,TRUE),0),
IF($C139="SF WH",VLOOKUP($B139,'2) หลักการคำนวน Table'!$D$93:$M$108,HLOOKUP(AD139,'2) หลักการคำนวน Table'!$D$1:$M$5,5,TRUE),0))))),0)</f>
        <v>472.5</v>
      </c>
      <c r="BC139" s="167">
        <f>IFERROR(IF($C139="Top WS",VLOOKUP($B139,'2) หลักการคำนวน Table'!$D$5:$M$20,HLOOKUP(AE139,'2) หลักการคำนวน Table'!$D$1:$M$5,5,TRUE),0),
IF($C139="WS SF",VLOOKUP($B139,'2) หลักการคำนวน Table'!$D$33:$M$48,HLOOKUP(AE139,'2) หลักการคำนวน Table'!$D$1:$M$5,5,TRUE),0),
IF($C139="WS WH",VLOOKUP($B139,'2) หลักการคำนวน Table'!$D$63:$M$78,HLOOKUP(AE139,'2) หลักการคำนวน Table'!$D$1:$M$5,5,TRUE),0),
IF($C139="SF WH",VLOOKUP($B139,'2) หลักการคำนวน Table'!$D$93:$M$108,HLOOKUP(AE139,'2) หลักการคำนวน Table'!$D$1:$M$5,5,TRUE),0))))),0)</f>
        <v>472.5</v>
      </c>
      <c r="BD139" s="167">
        <f>IFERROR(IF($C139="Top WS",VLOOKUP($B139,'2) หลักการคำนวน Table'!$D$5:$M$20,HLOOKUP(AF139,'2) หลักการคำนวน Table'!$D$1:$M$5,5,TRUE),0),
IF($C139="WS SF",VLOOKUP($B139,'2) หลักการคำนวน Table'!$D$33:$M$48,HLOOKUP(AF139,'2) หลักการคำนวน Table'!$D$1:$M$5,5,TRUE),0),
IF($C139="WS WH",VLOOKUP($B139,'2) หลักการคำนวน Table'!$D$63:$M$78,HLOOKUP(AF139,'2) หลักการคำนวน Table'!$D$1:$M$5,5,TRUE),0),
IF($C139="SF WH",VLOOKUP($B139,'2) หลักการคำนวน Table'!$D$93:$M$108,HLOOKUP(AF139,'2) หลักการคำนวน Table'!$D$1:$M$5,5,TRUE),0))))),0)</f>
        <v>472.5</v>
      </c>
      <c r="BE139" s="167">
        <f>IFERROR(IF($C139="Top WS",VLOOKUP($B139,'2) หลักการคำนวน Table'!$D$5:$M$20,HLOOKUP(AG139,'2) หลักการคำนวน Table'!$D$1:$M$5,5,TRUE),0),
IF($C139="WS SF",VLOOKUP($B139,'2) หลักการคำนวน Table'!$D$33:$M$48,HLOOKUP(AG139,'2) หลักการคำนวน Table'!$D$1:$M$5,5,TRUE),0),
IF($C139="WS WH",VLOOKUP($B139,'2) หลักการคำนวน Table'!$D$63:$M$78,HLOOKUP(AG139,'2) หลักการคำนวน Table'!$D$1:$M$5,5,TRUE),0),
IF($C139="SF WH",VLOOKUP($B139,'2) หลักการคำนวน Table'!$D$93:$M$108,HLOOKUP(AG139,'2) หลักการคำนวน Table'!$D$1:$M$5,5,TRUE),0))))),0)</f>
        <v>472.5</v>
      </c>
      <c r="BF139" s="167">
        <f>IFERROR(IF($C139="Top WS",VLOOKUP($B139,'2) หลักการคำนวน Table'!$D$5:$M$20,HLOOKUP(AH139,'2) หลักการคำนวน Table'!$D$1:$M$5,5,TRUE),0),
IF($C139="WS SF",VLOOKUP($B139,'2) หลักการคำนวน Table'!$D$33:$M$48,HLOOKUP(AH139,'2) หลักการคำนวน Table'!$D$1:$M$5,5,TRUE),0),
IF($C139="WS WH",VLOOKUP($B139,'2) หลักการคำนวน Table'!$D$63:$M$78,HLOOKUP(AH139,'2) หลักการคำนวน Table'!$D$1:$M$5,5,TRUE),0),
IF($C139="SF WH",VLOOKUP($B139,'2) หลักการคำนวน Table'!$D$93:$M$108,HLOOKUP(AH139,'2) หลักการคำนวน Table'!$D$1:$M$5,5,TRUE),0))))),0)</f>
        <v>472.5</v>
      </c>
      <c r="BG139" s="167">
        <f>IFERROR(IF($C139="Top WS",VLOOKUP($B139,'2) หลักการคำนวน Table'!$D$5:$M$20,HLOOKUP(AI139,'2) หลักการคำนวน Table'!$D$1:$M$5,5,TRUE),0),
IF($C139="WS SF",VLOOKUP($B139,'2) หลักการคำนวน Table'!$D$33:$M$48,HLOOKUP(AI139,'2) หลักการคำนวน Table'!$D$1:$M$5,5,TRUE),0),
IF($C139="WS WH",VLOOKUP($B139,'2) หลักการคำนวน Table'!$D$63:$M$78,HLOOKUP(AI139,'2) หลักการคำนวน Table'!$D$1:$M$5,5,TRUE),0),
IF($C139="SF WH",VLOOKUP($B139,'2) หลักการคำนวน Table'!$D$93:$M$108,HLOOKUP(AI139,'2) หลักการคำนวน Table'!$D$1:$M$5,5,TRUE),0))))),0)</f>
        <v>472.5</v>
      </c>
      <c r="BH139" s="167">
        <f>IFERROR(IF($C139="Top WS",VLOOKUP($B139,'2) หลักการคำนวน Table'!$D$5:$M$20,HLOOKUP(AP139,'2) หลักการคำนวน Table'!$D$1:$M$5,5,TRUE),0),
IF($C139="WS SF",VLOOKUP($B139,'2) หลักการคำนวน Table'!$D$33:$M$48,HLOOKUP(AP139,'2) หลักการคำนวน Table'!$D$1:$M$5,5,TRUE),0),
IF($C139="WS WH",VLOOKUP($B139,'2) หลักการคำนวน Table'!$D$63:$M$78,HLOOKUP(AP139,'2) หลักการคำนวน Table'!$D$1:$M$5,5,TRUE),0),
IF($C139="SF WH",VLOOKUP($B139,'2) หลักการคำนวน Table'!$D$93:$M$108,HLOOKUP(AP139,'2) หลักการคำนวน Table'!$D$1:$M$5,5,TRUE),0))))),0)</f>
        <v>472.5</v>
      </c>
      <c r="BI139" s="167">
        <f>IFERROR(IF($C139="Top WS",VLOOKUP($B139,'2) หลักการคำนวน Table'!$D$5:$M$20,HLOOKUP(AK139,'2) หลักการคำนวน Table'!$D$1:$M$5,5,TRUE),0),
IF($C139="WS SF",VLOOKUP($B139,'2) หลักการคำนวน Table'!$D$33:$M$48,HLOOKUP(AK139,'2) หลักการคำนวน Table'!$D$1:$M$5,5,TRUE),0),
IF($C139="WS WH",VLOOKUP($B139,'2) หลักการคำนวน Table'!$D$63:$M$78,HLOOKUP(AK139,'2) หลักการคำนวน Table'!$D$1:$M$5,5,TRUE),0),
IF($C139="SF WH",VLOOKUP($B139,'2) หลักการคำนวน Table'!$D$93:$M$108,HLOOKUP(AK139,'2) หลักการคำนวน Table'!$D$1:$M$5,5,TRUE),0))))),0)</f>
        <v>472.5</v>
      </c>
      <c r="BJ139" s="167">
        <f>IFERROR(IF($C139="Top WS",VLOOKUP($B139,'2) หลักการคำนวน Table'!$D$5:$M$20,HLOOKUP(AL139,'2) หลักการคำนวน Table'!$D$1:$M$5,5,TRUE),0),
IF($C139="WS SF",VLOOKUP($B139,'2) หลักการคำนวน Table'!$D$33:$M$48,HLOOKUP(AL139,'2) หลักการคำนวน Table'!$D$1:$M$5,5,TRUE),0),
IF($C139="WS WH",VLOOKUP($B139,'2) หลักการคำนวน Table'!$D$63:$M$78,HLOOKUP(AL139,'2) หลักการคำนวน Table'!$D$1:$M$5,5,TRUE),0),
IF($C139="SF WH",VLOOKUP($B139,'2) หลักการคำนวน Table'!$D$93:$M$108,HLOOKUP(AL139,'2) หลักการคำนวน Table'!$D$1:$M$5,5,TRUE),0))))),0)</f>
        <v>472.5</v>
      </c>
      <c r="BK139" s="167">
        <f>IFERROR(IF($C139="Top WS",VLOOKUP($B139,'2) หลักการคำนวน Table'!$D$5:$M$20,HLOOKUP(AM139,'2) หลักการคำนวน Table'!$D$1:$M$5,5,TRUE),0),
IF($C139="WS SF",VLOOKUP($B139,'2) หลักการคำนวน Table'!$D$33:$M$48,HLOOKUP(AM139,'2) หลักการคำนวน Table'!$D$1:$M$5,5,TRUE),0),
IF($C139="WS WH",VLOOKUP($B139,'2) หลักการคำนวน Table'!$D$63:$M$78,HLOOKUP(AM139,'2) หลักการคำนวน Table'!$D$1:$M$5,5,TRUE),0),
IF($C139="SF WH",VLOOKUP($B139,'2) หลักการคำนวน Table'!$D$93:$M$108,HLOOKUP(AM139,'2) หลักการคำนวน Table'!$D$1:$M$5,5,TRUE),0))))),0)</f>
        <v>472.5</v>
      </c>
      <c r="BM139" s="119">
        <f>VLOOKUP(VLOOKUP(A139,ASTBase!E:S,13,FALSE),ASTBase!F:P,11,FALSE)</f>
        <v>130000</v>
      </c>
      <c r="BN139" s="196" cm="1">
        <f t="array" ref="BN139">INDEX(AN139:AY139,,Period!$D$2)</f>
        <v>1</v>
      </c>
    </row>
    <row r="140" spans="1:66" x14ac:dyDescent="0.25">
      <c r="A140" s="117">
        <v>130002</v>
      </c>
      <c r="B140" s="117" t="s">
        <v>395</v>
      </c>
      <c r="C140" s="117" t="s">
        <v>179</v>
      </c>
      <c r="D140" s="118">
        <v>3860</v>
      </c>
      <c r="E140" s="118">
        <v>4221</v>
      </c>
      <c r="F140" s="118">
        <v>4638</v>
      </c>
      <c r="G140" s="118">
        <v>5291</v>
      </c>
      <c r="H140" s="118">
        <v>4348</v>
      </c>
      <c r="I140" s="118">
        <v>3796</v>
      </c>
      <c r="J140" s="118">
        <v>5430</v>
      </c>
      <c r="K140" s="118">
        <v>5684</v>
      </c>
      <c r="L140" s="118">
        <v>4577</v>
      </c>
      <c r="M140" s="118">
        <v>4858</v>
      </c>
      <c r="N140" s="118">
        <v>4095</v>
      </c>
      <c r="O140" s="118">
        <v>4092</v>
      </c>
      <c r="P140" s="117">
        <f>SUMIFS(Actual!C:C,Actual!$A:$A,'3)Target &amp; Cal'!$A140,Actual!$B:$B,'3)Target &amp; Cal'!$B140)</f>
        <v>4071.84</v>
      </c>
      <c r="Q140" s="117">
        <f>SUMIFS(Actual!D:D,Actual!$A:$A,'3)Target &amp; Cal'!$A140,Actual!$B:$B,'3)Target &amp; Cal'!$B140)</f>
        <v>5022.18</v>
      </c>
      <c r="R140" s="117">
        <f>SUMIFS(Actual!E:E,Actual!$A:$A,'3)Target &amp; Cal'!$A140,Actual!$B:$B,'3)Target &amp; Cal'!$B140)</f>
        <v>0</v>
      </c>
      <c r="S140" s="117">
        <f>SUMIFS(Actual!F:F,Actual!$A:$A,'3)Target &amp; Cal'!$A140,Actual!$B:$B,'3)Target &amp; Cal'!$B140)</f>
        <v>0</v>
      </c>
      <c r="T140" s="117">
        <f>SUMIFS(Actual!G:G,Actual!$A:$A,'3)Target &amp; Cal'!$A140,Actual!$B:$B,'3)Target &amp; Cal'!$B140)</f>
        <v>0</v>
      </c>
      <c r="U140" s="117">
        <f>SUMIFS(Actual!H:H,Actual!$A:$A,'3)Target &amp; Cal'!$A140,Actual!$B:$B,'3)Target &amp; Cal'!$B140)</f>
        <v>0</v>
      </c>
      <c r="V140" s="117">
        <f>SUMIFS(Actual!I:I,Actual!$A:$A,'3)Target &amp; Cal'!$A140,Actual!$B:$B,'3)Target &amp; Cal'!$B140)</f>
        <v>0</v>
      </c>
      <c r="W140" s="117">
        <f>SUMIFS(Actual!J:J,Actual!$A:$A,'3)Target &amp; Cal'!$A140,Actual!$B:$B,'3)Target &amp; Cal'!$B140)</f>
        <v>0</v>
      </c>
      <c r="X140" s="117">
        <f>SUMIFS(Actual!K:K,Actual!$A:$A,'3)Target &amp; Cal'!$A140,Actual!$B:$B,'3)Target &amp; Cal'!$B140)</f>
        <v>0</v>
      </c>
      <c r="Y140" s="117">
        <f>SUMIFS(Actual!L:L,Actual!$A:$A,'3)Target &amp; Cal'!$A140,Actual!$B:$B,'3)Target &amp; Cal'!$B140)</f>
        <v>0</v>
      </c>
      <c r="Z140" s="117">
        <f>SUMIFS(Actual!M:M,Actual!$A:$A,'3)Target &amp; Cal'!$A140,Actual!$B:$B,'3)Target &amp; Cal'!$B140)</f>
        <v>0</v>
      </c>
      <c r="AA140" s="117">
        <f>SUMIFS(Actual!N:N,Actual!$A:$A,'3)Target &amp; Cal'!$A140,Actual!$B:$B,'3)Target &amp; Cal'!$B140)</f>
        <v>0</v>
      </c>
      <c r="AB140" s="123">
        <f>IFERROR(IF(VLOOKUP($B140,Shortage!$A:$M,AB$2,FALSE)="Shortage",1,IFERROR(ROUND(P140/D140,4),0)),IFERROR(ROUND(P140/D140,4),0))</f>
        <v>1.0548999999999999</v>
      </c>
      <c r="AC140" s="123">
        <f>IFERROR(IF(VLOOKUP($B140,Shortage!$A:$M,AC$2,FALSE)="Shortage",1,IFERROR(ROUND(Q140/E140,4),0)),IFERROR(ROUND(Q140/E140,4),0))</f>
        <v>1.1898</v>
      </c>
      <c r="AD140" s="123">
        <f>IFERROR(IF(VLOOKUP($B140,Shortage!$A:$M,AD$2,FALSE)="Shortage",1,IFERROR(ROUND(R140/F140,4),0)),IFERROR(ROUND(R140/F140,4),0))</f>
        <v>0</v>
      </c>
      <c r="AE140" s="123">
        <f>IFERROR(IF(VLOOKUP($B140,Shortage!$A:$M,AE$2,FALSE)="Shortage",1,IFERROR(ROUND(S140/G140,4),0)),IFERROR(ROUND(S140/G140,4),0))</f>
        <v>0</v>
      </c>
      <c r="AF140" s="123">
        <f>IFERROR(IF(VLOOKUP($B140,Shortage!$A:$M,AF$2,FALSE)="Shortage",1,IFERROR(ROUND(T140/H140,4),0)),IFERROR(ROUND(T140/H140,4),0))</f>
        <v>0</v>
      </c>
      <c r="AG140" s="123">
        <f>IFERROR(IF(VLOOKUP($B140,Shortage!$A:$M,AG$2,FALSE)="Shortage",1,IFERROR(ROUND(U140/I140,4),0)),IFERROR(ROUND(U140/I140,4),0))</f>
        <v>0</v>
      </c>
      <c r="AH140" s="123">
        <f>IFERROR(IF(VLOOKUP($B140,Shortage!$A:$M,AH$2,FALSE)="Shortage",1,IFERROR(ROUND(V140/J140,4),0)),IFERROR(ROUND(V140/J140,4),0))</f>
        <v>0</v>
      </c>
      <c r="AI140" s="123">
        <f>IFERROR(IF(VLOOKUP($B140,Shortage!$A:$M,AI$2,FALSE)="Shortage",1,IFERROR(ROUND(W140/K140,4),0)),IFERROR(ROUND(W140/K140,4),0))</f>
        <v>0</v>
      </c>
      <c r="AJ140" s="123">
        <f>IFERROR(IF(VLOOKUP($B140,Shortage!$A:$M,AP$2,FALSE)="Shortage",1,IFERROR(ROUND(X140/L140,4),0)),IFERROR(ROUND(X140/L140,4),0))</f>
        <v>0</v>
      </c>
      <c r="AK140" s="123">
        <f>IFERROR(IF(VLOOKUP($B140,Shortage!$A:$M,AK$2,FALSE)="Shortage",1,IFERROR(ROUND(Y140/M140,4),0)),IFERROR(ROUND(Y140/M140,4),0))</f>
        <v>0</v>
      </c>
      <c r="AL140" s="123">
        <f>IFERROR(IF(VLOOKUP($B140,Shortage!$A:$M,AL$2,FALSE)="Shortage",1,IFERROR(ROUND(Z140/N140,4),0)),IFERROR(ROUND(Z140/N140,4),0))</f>
        <v>0</v>
      </c>
      <c r="AM140" s="123">
        <f>IFERROR(IF(VLOOKUP($B140,Shortage!$A:$M,AM$2,FALSE)="Shortage",1,IFERROR(ROUND(AA140/O140,4),0)),IFERROR(ROUND(AA140/O140,4),0))</f>
        <v>0</v>
      </c>
      <c r="AN140" s="232">
        <f>IFERROR(IF($C140="Top WS",VLOOKUP("GOAL",'2) หลักการคำนวน Table'!$D$4:$M$4,HLOOKUP(AB140,'2) หลักการคำนวน Table'!$D$1:$M$5,5,TRUE),0),
IF($C140="WS SF",VLOOKUP("GOAL",'2) หลักการคำนวน Table'!$D$32:$M$32,HLOOKUP(AB140,'2) หลักการคำนวน Table'!$D$1:$M$5,5,TRUE),0),
IF($C140="WS WH",VLOOKUP("GOAL",'2) หลักการคำนวน Table'!$D$62:$M$62,HLOOKUP(AB140,'2) หลักการคำนวน Table'!$D$1:$M$5,5,TRUE),0),
IF($C140="SF WH",VLOOKUP("GOAL",'2) หลักการคำนวน Table'!$D$92:$M$92,HLOOKUP(AB140,'2) หลักการคำนวน Table'!$D$1:$M$5,5,TRUE),0))))),0)</f>
        <v>1.06</v>
      </c>
      <c r="AO140" s="232">
        <f>IFERROR(IF($C140="Top WS",VLOOKUP("GOAL",'2) หลักการคำนวน Table'!$D$4:$M$4,HLOOKUP(AC140,'2) หลักการคำนวน Table'!$D$1:$M$5,5,TRUE),0),
IF($C140="WS SF",VLOOKUP("GOAL",'2) หลักการคำนวน Table'!$D$32:$M$32,HLOOKUP(AC140,'2) หลักการคำนวน Table'!$D$1:$M$5,5,TRUE),0),
IF($C140="WS WH",VLOOKUP("GOAL",'2) หลักการคำนวน Table'!$D$62:$M$62,HLOOKUP(AC140,'2) หลักการคำนวน Table'!$D$1:$M$5,5,TRUE),0),
IF($C140="SF WH",VLOOKUP("GOAL",'2) หลักการคำนวน Table'!$D$92:$M$92,HLOOKUP(AC140,'2) หลักการคำนวน Table'!$D$1:$M$5,5,TRUE),0))))),0)</f>
        <v>1.2</v>
      </c>
      <c r="AP140" s="232">
        <f>IFERROR(IF($C140="Top WS",VLOOKUP("GOAL",'2) หลักการคำนวน Table'!$D$4:$M$4,HLOOKUP(AD140,'2) หลักการคำนวน Table'!$D$1:$M$5,5,TRUE),0),
IF($C140="WS SF",VLOOKUP("GOAL",'2) หลักการคำนวน Table'!$D$32:$M$32,HLOOKUP(AD140,'2) หลักการคำนวน Table'!$D$1:$M$5,5,TRUE),0),
IF($C140="WS WH",VLOOKUP("GOAL",'2) หลักการคำนวน Table'!$D$62:$M$62,HLOOKUP(AD140,'2) หลักการคำนวน Table'!$D$1:$M$5,5,TRUE),0),
IF($C140="SF WH",VLOOKUP("GOAL",'2) หลักการคำนวน Table'!$D$92:$M$92,HLOOKUP(AD140,'2) หลักการคำนวน Table'!$D$1:$M$5,5,TRUE),0))))),0)</f>
        <v>0.9</v>
      </c>
      <c r="AQ140" s="232">
        <f>IFERROR(IF($C140="Top WS",VLOOKUP("GOAL",'2) หลักการคำนวน Table'!$D$4:$M$4,HLOOKUP(AE140,'2) หลักการคำนวน Table'!$D$1:$M$5,5,TRUE),0),
IF($C140="WS SF",VLOOKUP("GOAL",'2) หลักการคำนวน Table'!$D$32:$M$32,HLOOKUP(AE140,'2) หลักการคำนวน Table'!$D$1:$M$5,5,TRUE),0),
IF($C140="WS WH",VLOOKUP("GOAL",'2) หลักการคำนวน Table'!$D$62:$M$62,HLOOKUP(AE140,'2) หลักการคำนวน Table'!$D$1:$M$5,5,TRUE),0),
IF($C140="SF WH",VLOOKUP("GOAL",'2) หลักการคำนวน Table'!$D$92:$M$92,HLOOKUP(AE140,'2) หลักการคำนวน Table'!$D$1:$M$5,5,TRUE),0))))),0)</f>
        <v>0.9</v>
      </c>
      <c r="AR140" s="232">
        <f>IFERROR(IF($C140="Top WS",VLOOKUP("GOAL",'2) หลักการคำนวน Table'!$D$4:$M$4,HLOOKUP(AF140,'2) หลักการคำนวน Table'!$D$1:$M$5,5,TRUE),0),
IF($C140="WS SF",VLOOKUP("GOAL",'2) หลักการคำนวน Table'!$D$32:$M$32,HLOOKUP(AF140,'2) หลักการคำนวน Table'!$D$1:$M$5,5,TRUE),0),
IF($C140="WS WH",VLOOKUP("GOAL",'2) หลักการคำนวน Table'!$D$62:$M$62,HLOOKUP(AF140,'2) หลักการคำนวน Table'!$D$1:$M$5,5,TRUE),0),
IF($C140="SF WH",VLOOKUP("GOAL",'2) หลักการคำนวน Table'!$D$92:$M$92,HLOOKUP(AF140,'2) หลักการคำนวน Table'!$D$1:$M$5,5,TRUE),0))))),0)</f>
        <v>0.9</v>
      </c>
      <c r="AS140" s="232">
        <f>IFERROR(IF($C140="Top WS",VLOOKUP("GOAL",'2) หลักการคำนวน Table'!$D$4:$M$4,HLOOKUP(AG140,'2) หลักการคำนวน Table'!$D$1:$M$5,5,TRUE),0),
IF($C140="WS SF",VLOOKUP("GOAL",'2) หลักการคำนวน Table'!$D$32:$M$32,HLOOKUP(AG140,'2) หลักการคำนวน Table'!$D$1:$M$5,5,TRUE),0),
IF($C140="WS WH",VLOOKUP("GOAL",'2) หลักการคำนวน Table'!$D$62:$M$62,HLOOKUP(AG140,'2) หลักการคำนวน Table'!$D$1:$M$5,5,TRUE),0),
IF($C140="SF WH",VLOOKUP("GOAL",'2) หลักการคำนวน Table'!$D$92:$M$92,HLOOKUP(AG140,'2) หลักการคำนวน Table'!$D$1:$M$5,5,TRUE),0))))),0)</f>
        <v>0.9</v>
      </c>
      <c r="AT140" s="232">
        <f>IFERROR(IF($C140="Top WS",VLOOKUP("GOAL",'2) หลักการคำนวน Table'!$D$4:$M$4,HLOOKUP(AH140,'2) หลักการคำนวน Table'!$D$1:$M$5,5,TRUE),0),
IF($C140="WS SF",VLOOKUP("GOAL",'2) หลักการคำนวน Table'!$D$32:$M$32,HLOOKUP(AH140,'2) หลักการคำนวน Table'!$D$1:$M$5,5,TRUE),0),
IF($C140="WS WH",VLOOKUP("GOAL",'2) หลักการคำนวน Table'!$D$62:$M$62,HLOOKUP(AH140,'2) หลักการคำนวน Table'!$D$1:$M$5,5,TRUE),0),
IF($C140="SF WH",VLOOKUP("GOAL",'2) หลักการคำนวน Table'!$D$92:$M$92,HLOOKUP(AH140,'2) หลักการคำนวน Table'!$D$1:$M$5,5,TRUE),0))))),0)</f>
        <v>0.9</v>
      </c>
      <c r="AU140" s="232">
        <f>IFERROR(IF($C140="Top WS",VLOOKUP("GOAL",'2) หลักการคำนวน Table'!$D$4:$M$4,HLOOKUP(AI140,'2) หลักการคำนวน Table'!$D$1:$M$5,5,TRUE),0),
IF($C140="WS SF",VLOOKUP("GOAL",'2) หลักการคำนวน Table'!$D$32:$M$32,HLOOKUP(AI140,'2) หลักการคำนวน Table'!$D$1:$M$5,5,TRUE),0),
IF($C140="WS WH",VLOOKUP("GOAL",'2) หลักการคำนวน Table'!$D$62:$M$62,HLOOKUP(AI140,'2) หลักการคำนวน Table'!$D$1:$M$5,5,TRUE),0),
IF($C140="SF WH",VLOOKUP("GOAL",'2) หลักการคำนวน Table'!$D$92:$M$92,HLOOKUP(AI140,'2) หลักการคำนวน Table'!$D$1:$M$5,5,TRUE),0))))),0)</f>
        <v>0.9</v>
      </c>
      <c r="AV140" s="232">
        <f>IFERROR(IF($C140="Top WS",VLOOKUP("GOAL",'2) หลักการคำนวน Table'!$D$4:$M$4,HLOOKUP(AP140,'2) หลักการคำนวน Table'!$D$1:$M$5,5,TRUE),0),
IF($C140="WS SF",VLOOKUP("GOAL",'2) หลักการคำนวน Table'!$D$32:$M$32,HLOOKUP(AP140,'2) หลักการคำนวน Table'!$D$1:$M$5,5,TRUE),0),
IF($C140="WS WH",VLOOKUP("GOAL",'2) หลักการคำนวน Table'!$D$62:$M$62,HLOOKUP(AP140,'2) หลักการคำนวน Table'!$D$1:$M$5,5,TRUE),0),
IF($C140="SF WH",VLOOKUP("GOAL",'2) หลักการคำนวน Table'!$D$92:$M$92,HLOOKUP(AP140,'2) หลักการคำนวน Table'!$D$1:$M$5,5,TRUE),0))))),0)</f>
        <v>0.9</v>
      </c>
      <c r="AW140" s="232">
        <f>IFERROR(IF($C140="Top WS",VLOOKUP("GOAL",'2) หลักการคำนวน Table'!$D$4:$M$4,HLOOKUP(AK140,'2) หลักการคำนวน Table'!$D$1:$M$5,5,TRUE),0),
IF($C140="WS SF",VLOOKUP("GOAL",'2) หลักการคำนวน Table'!$D$32:$M$32,HLOOKUP(AK140,'2) หลักการคำนวน Table'!$D$1:$M$5,5,TRUE),0),
IF($C140="WS WH",VLOOKUP("GOAL",'2) หลักการคำนวน Table'!$D$62:$M$62,HLOOKUP(AK140,'2) หลักการคำนวน Table'!$D$1:$M$5,5,TRUE),0),
IF($C140="SF WH",VLOOKUP("GOAL",'2) หลักการคำนวน Table'!$D$92:$M$92,HLOOKUP(AK140,'2) หลักการคำนวน Table'!$D$1:$M$5,5,TRUE),0))))),0)</f>
        <v>0.9</v>
      </c>
      <c r="AX140" s="232">
        <f>IFERROR(IF($C140="Top WS",VLOOKUP("GOAL",'2) หลักการคำนวน Table'!$D$4:$M$4,HLOOKUP(AL140,'2) หลักการคำนวน Table'!$D$1:$M$5,5,TRUE),0),
IF($C140="WS SF",VLOOKUP("GOAL",'2) หลักการคำนวน Table'!$D$32:$M$32,HLOOKUP(AL140,'2) หลักการคำนวน Table'!$D$1:$M$5,5,TRUE),0),
IF($C140="WS WH",VLOOKUP("GOAL",'2) หลักการคำนวน Table'!$D$62:$M$62,HLOOKUP(AL140,'2) หลักการคำนวน Table'!$D$1:$M$5,5,TRUE),0),
IF($C140="SF WH",VLOOKUP("GOAL",'2) หลักการคำนวน Table'!$D$92:$M$92,HLOOKUP(AL140,'2) หลักการคำนวน Table'!$D$1:$M$5,5,TRUE),0))))),0)</f>
        <v>0.9</v>
      </c>
      <c r="AY140" s="232">
        <f>IFERROR(IF($C140="Top WS",VLOOKUP("GOAL",'2) หลักการคำนวน Table'!$D$4:$M$4,HLOOKUP(AM140,'2) หลักการคำนวน Table'!$D$1:$M$5,5,TRUE),0),
IF($C140="WS SF",VLOOKUP("GOAL",'2) หลักการคำนวน Table'!$D$32:$M$32,HLOOKUP(AM140,'2) หลักการคำนวน Table'!$D$1:$M$5,5,TRUE),0),
IF($C140="WS WH",VLOOKUP("GOAL",'2) หลักการคำนวน Table'!$D$62:$M$62,HLOOKUP(AM140,'2) หลักการคำนวน Table'!$D$1:$M$5,5,TRUE),0),
IF($C140="SF WH",VLOOKUP("GOAL",'2) หลักการคำนวน Table'!$D$92:$M$92,HLOOKUP(AM140,'2) หลักการคำนวน Table'!$D$1:$M$5,5,TRUE),0))))),0)</f>
        <v>0.9</v>
      </c>
      <c r="AZ140" s="167">
        <f>IFERROR(IF($C140="Top WS",VLOOKUP($B140,'2) หลักการคำนวน Table'!$D$5:$M$20,HLOOKUP(AB140,'2) หลักการคำนวน Table'!$D$1:$M$5,5,TRUE),0),
IF($C140="WS SF",VLOOKUP($B140,'2) หลักการคำนวน Table'!$D$33:$M$48,HLOOKUP(AB140,'2) หลักการคำนวน Table'!$D$1:$M$5,5,TRUE),0),
IF($C140="WS WH",VLOOKUP($B140,'2) หลักการคำนวน Table'!$D$63:$M$78,HLOOKUP(AB140,'2) หลักการคำนวน Table'!$D$1:$M$5,5,TRUE),0),
IF($C140="SF WH",VLOOKUP($B140,'2) หลักการคำนวน Table'!$D$93:$M$108,HLOOKUP(AB140,'2) หลักการคำนวน Table'!$D$1:$M$5,5,TRUE),0))))),0)</f>
        <v>189</v>
      </c>
      <c r="BA140" s="167">
        <f>IFERROR(IF($C140="Top WS",VLOOKUP($B140,'2) หลักการคำนวน Table'!$D$5:$M$20,HLOOKUP(AC140,'2) หลักการคำนวน Table'!$D$1:$M$5,5,TRUE),0),
IF($C140="WS SF",VLOOKUP($B140,'2) หลักการคำนวน Table'!$D$33:$M$48,HLOOKUP(AC140,'2) หลักการคำนวน Table'!$D$1:$M$5,5,TRUE),0),
IF($C140="WS WH",VLOOKUP($B140,'2) หลักการคำนวน Table'!$D$63:$M$78,HLOOKUP(AC140,'2) หลักการคำนวน Table'!$D$1:$M$5,5,TRUE),0),
IF($C140="SF WH",VLOOKUP($B140,'2) หลักการคำนวน Table'!$D$93:$M$108,HLOOKUP(AC140,'2) หลักการคำนวน Table'!$D$1:$M$5,5,TRUE),0))))),0)</f>
        <v>210</v>
      </c>
      <c r="BB140" s="167">
        <f>IFERROR(IF($C140="Top WS",VLOOKUP($B140,'2) หลักการคำนวน Table'!$D$5:$M$20,HLOOKUP(AD140,'2) หลักการคำนวน Table'!$D$1:$M$5,5,TRUE),0),
IF($C140="WS SF",VLOOKUP($B140,'2) หลักการคำนวน Table'!$D$33:$M$48,HLOOKUP(AD140,'2) หลักการคำนวน Table'!$D$1:$M$5,5,TRUE),0),
IF($C140="WS WH",VLOOKUP($B140,'2) หลักการคำนวน Table'!$D$63:$M$78,HLOOKUP(AD140,'2) หลักการคำนวน Table'!$D$1:$M$5,5,TRUE),0),
IF($C140="SF WH",VLOOKUP($B140,'2) หลักการคำนวน Table'!$D$93:$M$108,HLOOKUP(AD140,'2) หลักการคำนวน Table'!$D$1:$M$5,5,TRUE),0))))),0)</f>
        <v>157.5</v>
      </c>
      <c r="BC140" s="167">
        <f>IFERROR(IF($C140="Top WS",VLOOKUP($B140,'2) หลักการคำนวน Table'!$D$5:$M$20,HLOOKUP(AE140,'2) หลักการคำนวน Table'!$D$1:$M$5,5,TRUE),0),
IF($C140="WS SF",VLOOKUP($B140,'2) หลักการคำนวน Table'!$D$33:$M$48,HLOOKUP(AE140,'2) หลักการคำนวน Table'!$D$1:$M$5,5,TRUE),0),
IF($C140="WS WH",VLOOKUP($B140,'2) หลักการคำนวน Table'!$D$63:$M$78,HLOOKUP(AE140,'2) หลักการคำนวน Table'!$D$1:$M$5,5,TRUE),0),
IF($C140="SF WH",VLOOKUP($B140,'2) หลักการคำนวน Table'!$D$93:$M$108,HLOOKUP(AE140,'2) หลักการคำนวน Table'!$D$1:$M$5,5,TRUE),0))))),0)</f>
        <v>157.5</v>
      </c>
      <c r="BD140" s="167">
        <f>IFERROR(IF($C140="Top WS",VLOOKUP($B140,'2) หลักการคำนวน Table'!$D$5:$M$20,HLOOKUP(AF140,'2) หลักการคำนวน Table'!$D$1:$M$5,5,TRUE),0),
IF($C140="WS SF",VLOOKUP($B140,'2) หลักการคำนวน Table'!$D$33:$M$48,HLOOKUP(AF140,'2) หลักการคำนวน Table'!$D$1:$M$5,5,TRUE),0),
IF($C140="WS WH",VLOOKUP($B140,'2) หลักการคำนวน Table'!$D$63:$M$78,HLOOKUP(AF140,'2) หลักการคำนวน Table'!$D$1:$M$5,5,TRUE),0),
IF($C140="SF WH",VLOOKUP($B140,'2) หลักการคำนวน Table'!$D$93:$M$108,HLOOKUP(AF140,'2) หลักการคำนวน Table'!$D$1:$M$5,5,TRUE),0))))),0)</f>
        <v>157.5</v>
      </c>
      <c r="BE140" s="167">
        <f>IFERROR(IF($C140="Top WS",VLOOKUP($B140,'2) หลักการคำนวน Table'!$D$5:$M$20,HLOOKUP(AG140,'2) หลักการคำนวน Table'!$D$1:$M$5,5,TRUE),0),
IF($C140="WS SF",VLOOKUP($B140,'2) หลักการคำนวน Table'!$D$33:$M$48,HLOOKUP(AG140,'2) หลักการคำนวน Table'!$D$1:$M$5,5,TRUE),0),
IF($C140="WS WH",VLOOKUP($B140,'2) หลักการคำนวน Table'!$D$63:$M$78,HLOOKUP(AG140,'2) หลักการคำนวน Table'!$D$1:$M$5,5,TRUE),0),
IF($C140="SF WH",VLOOKUP($B140,'2) หลักการคำนวน Table'!$D$93:$M$108,HLOOKUP(AG140,'2) หลักการคำนวน Table'!$D$1:$M$5,5,TRUE),0))))),0)</f>
        <v>157.5</v>
      </c>
      <c r="BF140" s="167">
        <f>IFERROR(IF($C140="Top WS",VLOOKUP($B140,'2) หลักการคำนวน Table'!$D$5:$M$20,HLOOKUP(AH140,'2) หลักการคำนวน Table'!$D$1:$M$5,5,TRUE),0),
IF($C140="WS SF",VLOOKUP($B140,'2) หลักการคำนวน Table'!$D$33:$M$48,HLOOKUP(AH140,'2) หลักการคำนวน Table'!$D$1:$M$5,5,TRUE),0),
IF($C140="WS WH",VLOOKUP($B140,'2) หลักการคำนวน Table'!$D$63:$M$78,HLOOKUP(AH140,'2) หลักการคำนวน Table'!$D$1:$M$5,5,TRUE),0),
IF($C140="SF WH",VLOOKUP($B140,'2) หลักการคำนวน Table'!$D$93:$M$108,HLOOKUP(AH140,'2) หลักการคำนวน Table'!$D$1:$M$5,5,TRUE),0))))),0)</f>
        <v>157.5</v>
      </c>
      <c r="BG140" s="167">
        <f>IFERROR(IF($C140="Top WS",VLOOKUP($B140,'2) หลักการคำนวน Table'!$D$5:$M$20,HLOOKUP(AI140,'2) หลักการคำนวน Table'!$D$1:$M$5,5,TRUE),0),
IF($C140="WS SF",VLOOKUP($B140,'2) หลักการคำนวน Table'!$D$33:$M$48,HLOOKUP(AI140,'2) หลักการคำนวน Table'!$D$1:$M$5,5,TRUE),0),
IF($C140="WS WH",VLOOKUP($B140,'2) หลักการคำนวน Table'!$D$63:$M$78,HLOOKUP(AI140,'2) หลักการคำนวน Table'!$D$1:$M$5,5,TRUE),0),
IF($C140="SF WH",VLOOKUP($B140,'2) หลักการคำนวน Table'!$D$93:$M$108,HLOOKUP(AI140,'2) หลักการคำนวน Table'!$D$1:$M$5,5,TRUE),0))))),0)</f>
        <v>157.5</v>
      </c>
      <c r="BH140" s="167">
        <f>IFERROR(IF($C140="Top WS",VLOOKUP($B140,'2) หลักการคำนวน Table'!$D$5:$M$20,HLOOKUP(AP140,'2) หลักการคำนวน Table'!$D$1:$M$5,5,TRUE),0),
IF($C140="WS SF",VLOOKUP($B140,'2) หลักการคำนวน Table'!$D$33:$M$48,HLOOKUP(AP140,'2) หลักการคำนวน Table'!$D$1:$M$5,5,TRUE),0),
IF($C140="WS WH",VLOOKUP($B140,'2) หลักการคำนวน Table'!$D$63:$M$78,HLOOKUP(AP140,'2) หลักการคำนวน Table'!$D$1:$M$5,5,TRUE),0),
IF($C140="SF WH",VLOOKUP($B140,'2) หลักการคำนวน Table'!$D$93:$M$108,HLOOKUP(AP140,'2) หลักการคำนวน Table'!$D$1:$M$5,5,TRUE),0))))),0)</f>
        <v>157.5</v>
      </c>
      <c r="BI140" s="167">
        <f>IFERROR(IF($C140="Top WS",VLOOKUP($B140,'2) หลักการคำนวน Table'!$D$5:$M$20,HLOOKUP(AK140,'2) หลักการคำนวน Table'!$D$1:$M$5,5,TRUE),0),
IF($C140="WS SF",VLOOKUP($B140,'2) หลักการคำนวน Table'!$D$33:$M$48,HLOOKUP(AK140,'2) หลักการคำนวน Table'!$D$1:$M$5,5,TRUE),0),
IF($C140="WS WH",VLOOKUP($B140,'2) หลักการคำนวน Table'!$D$63:$M$78,HLOOKUP(AK140,'2) หลักการคำนวน Table'!$D$1:$M$5,5,TRUE),0),
IF($C140="SF WH",VLOOKUP($B140,'2) หลักการคำนวน Table'!$D$93:$M$108,HLOOKUP(AK140,'2) หลักการคำนวน Table'!$D$1:$M$5,5,TRUE),0))))),0)</f>
        <v>157.5</v>
      </c>
      <c r="BJ140" s="167">
        <f>IFERROR(IF($C140="Top WS",VLOOKUP($B140,'2) หลักการคำนวน Table'!$D$5:$M$20,HLOOKUP(AL140,'2) หลักการคำนวน Table'!$D$1:$M$5,5,TRUE),0),
IF($C140="WS SF",VLOOKUP($B140,'2) หลักการคำนวน Table'!$D$33:$M$48,HLOOKUP(AL140,'2) หลักการคำนวน Table'!$D$1:$M$5,5,TRUE),0),
IF($C140="WS WH",VLOOKUP($B140,'2) หลักการคำนวน Table'!$D$63:$M$78,HLOOKUP(AL140,'2) หลักการคำนวน Table'!$D$1:$M$5,5,TRUE),0),
IF($C140="SF WH",VLOOKUP($B140,'2) หลักการคำนวน Table'!$D$93:$M$108,HLOOKUP(AL140,'2) หลักการคำนวน Table'!$D$1:$M$5,5,TRUE),0))))),0)</f>
        <v>157.5</v>
      </c>
      <c r="BK140" s="167">
        <f>IFERROR(IF($C140="Top WS",VLOOKUP($B140,'2) หลักการคำนวน Table'!$D$5:$M$20,HLOOKUP(AM140,'2) หลักการคำนวน Table'!$D$1:$M$5,5,TRUE),0),
IF($C140="WS SF",VLOOKUP($B140,'2) หลักการคำนวน Table'!$D$33:$M$48,HLOOKUP(AM140,'2) หลักการคำนวน Table'!$D$1:$M$5,5,TRUE),0),
IF($C140="WS WH",VLOOKUP($B140,'2) หลักการคำนวน Table'!$D$63:$M$78,HLOOKUP(AM140,'2) หลักการคำนวน Table'!$D$1:$M$5,5,TRUE),0),
IF($C140="SF WH",VLOOKUP($B140,'2) หลักการคำนวน Table'!$D$93:$M$108,HLOOKUP(AM140,'2) หลักการคำนวน Table'!$D$1:$M$5,5,TRUE),0))))),0)</f>
        <v>157.5</v>
      </c>
      <c r="BM140" s="119">
        <f>VLOOKUP(VLOOKUP(A140,ASTBase!E:S,13,FALSE),ASTBase!F:P,11,FALSE)</f>
        <v>130000</v>
      </c>
      <c r="BN140" s="196" cm="1">
        <f t="array" ref="BN140">INDEX(AN140:AY140,,Period!$D$2)</f>
        <v>1.2</v>
      </c>
    </row>
    <row r="141" spans="1:66" x14ac:dyDescent="0.25">
      <c r="A141" s="117">
        <v>130002</v>
      </c>
      <c r="B141" s="117" t="s">
        <v>402</v>
      </c>
      <c r="C141" s="117" t="s">
        <v>179</v>
      </c>
      <c r="D141" s="118">
        <v>354</v>
      </c>
      <c r="E141" s="118">
        <v>406</v>
      </c>
      <c r="F141" s="118">
        <v>329</v>
      </c>
      <c r="G141" s="118">
        <v>348</v>
      </c>
      <c r="H141" s="118">
        <v>354</v>
      </c>
      <c r="I141" s="118">
        <v>365</v>
      </c>
      <c r="J141" s="118">
        <v>412</v>
      </c>
      <c r="K141" s="118">
        <v>612</v>
      </c>
      <c r="L141" s="118">
        <v>403</v>
      </c>
      <c r="M141" s="118">
        <v>365</v>
      </c>
      <c r="N141" s="118">
        <v>460</v>
      </c>
      <c r="O141" s="118">
        <v>467</v>
      </c>
      <c r="P141" s="117">
        <f>SUMIFS(Actual!C:C,Actual!$A:$A,'3)Target &amp; Cal'!$A141,Actual!$B:$B,'3)Target &amp; Cal'!$B141)</f>
        <v>158.60000000000002</v>
      </c>
      <c r="Q141" s="117">
        <f>SUMIFS(Actual!D:D,Actual!$A:$A,'3)Target &amp; Cal'!$A141,Actual!$B:$B,'3)Target &amp; Cal'!$B141)</f>
        <v>417.3</v>
      </c>
      <c r="R141" s="117">
        <f>SUMIFS(Actual!E:E,Actual!$A:$A,'3)Target &amp; Cal'!$A141,Actual!$B:$B,'3)Target &amp; Cal'!$B141)</f>
        <v>0</v>
      </c>
      <c r="S141" s="117">
        <f>SUMIFS(Actual!F:F,Actual!$A:$A,'3)Target &amp; Cal'!$A141,Actual!$B:$B,'3)Target &amp; Cal'!$B141)</f>
        <v>0</v>
      </c>
      <c r="T141" s="117">
        <f>SUMIFS(Actual!G:G,Actual!$A:$A,'3)Target &amp; Cal'!$A141,Actual!$B:$B,'3)Target &amp; Cal'!$B141)</f>
        <v>0</v>
      </c>
      <c r="U141" s="117">
        <f>SUMIFS(Actual!H:H,Actual!$A:$A,'3)Target &amp; Cal'!$A141,Actual!$B:$B,'3)Target &amp; Cal'!$B141)</f>
        <v>0</v>
      </c>
      <c r="V141" s="117">
        <f>SUMIFS(Actual!I:I,Actual!$A:$A,'3)Target &amp; Cal'!$A141,Actual!$B:$B,'3)Target &amp; Cal'!$B141)</f>
        <v>0</v>
      </c>
      <c r="W141" s="117">
        <f>SUMIFS(Actual!J:J,Actual!$A:$A,'3)Target &amp; Cal'!$A141,Actual!$B:$B,'3)Target &amp; Cal'!$B141)</f>
        <v>0</v>
      </c>
      <c r="X141" s="117">
        <f>SUMIFS(Actual!K:K,Actual!$A:$A,'3)Target &amp; Cal'!$A141,Actual!$B:$B,'3)Target &amp; Cal'!$B141)</f>
        <v>0</v>
      </c>
      <c r="Y141" s="117">
        <f>SUMIFS(Actual!L:L,Actual!$A:$A,'3)Target &amp; Cal'!$A141,Actual!$B:$B,'3)Target &amp; Cal'!$B141)</f>
        <v>0</v>
      </c>
      <c r="Z141" s="117">
        <f>SUMIFS(Actual!M:M,Actual!$A:$A,'3)Target &amp; Cal'!$A141,Actual!$B:$B,'3)Target &amp; Cal'!$B141)</f>
        <v>0</v>
      </c>
      <c r="AA141" s="117">
        <f>SUMIFS(Actual!N:N,Actual!$A:$A,'3)Target &amp; Cal'!$A141,Actual!$B:$B,'3)Target &amp; Cal'!$B141)</f>
        <v>0</v>
      </c>
      <c r="AB141" s="123">
        <f>IFERROR(IF(VLOOKUP($B141,Shortage!$A:$M,AB$2,FALSE)="Shortage",1,IFERROR(ROUND(P141/D141,4),0)),IFERROR(ROUND(P141/D141,4),0))</f>
        <v>0.44800000000000001</v>
      </c>
      <c r="AC141" s="123">
        <f>IFERROR(IF(VLOOKUP($B141,Shortage!$A:$M,AC$2,FALSE)="Shortage",1,IFERROR(ROUND(Q141/E141,4),0)),IFERROR(ROUND(Q141/E141,4),0))</f>
        <v>1.0278</v>
      </c>
      <c r="AD141" s="123">
        <f>IFERROR(IF(VLOOKUP($B141,Shortage!$A:$M,AD$2,FALSE)="Shortage",1,IFERROR(ROUND(R141/F141,4),0)),IFERROR(ROUND(R141/F141,4),0))</f>
        <v>0</v>
      </c>
      <c r="AE141" s="123">
        <f>IFERROR(IF(VLOOKUP($B141,Shortage!$A:$M,AE$2,FALSE)="Shortage",1,IFERROR(ROUND(S141/G141,4),0)),IFERROR(ROUND(S141/G141,4),0))</f>
        <v>0</v>
      </c>
      <c r="AF141" s="123">
        <f>IFERROR(IF(VLOOKUP($B141,Shortage!$A:$M,AF$2,FALSE)="Shortage",1,IFERROR(ROUND(T141/H141,4),0)),IFERROR(ROUND(T141/H141,4),0))</f>
        <v>0</v>
      </c>
      <c r="AG141" s="123">
        <f>IFERROR(IF(VLOOKUP($B141,Shortage!$A:$M,AG$2,FALSE)="Shortage",1,IFERROR(ROUND(U141/I141,4),0)),IFERROR(ROUND(U141/I141,4),0))</f>
        <v>0</v>
      </c>
      <c r="AH141" s="123">
        <f>IFERROR(IF(VLOOKUP($B141,Shortage!$A:$M,AH$2,FALSE)="Shortage",1,IFERROR(ROUND(V141/J141,4),0)),IFERROR(ROUND(V141/J141,4),0))</f>
        <v>0</v>
      </c>
      <c r="AI141" s="123">
        <f>IFERROR(IF(VLOOKUP($B141,Shortage!$A:$M,AI$2,FALSE)="Shortage",1,IFERROR(ROUND(W141/K141,4),0)),IFERROR(ROUND(W141/K141,4),0))</f>
        <v>0</v>
      </c>
      <c r="AJ141" s="123">
        <f>IFERROR(IF(VLOOKUP($B141,Shortage!$A:$M,AP$2,FALSE)="Shortage",1,IFERROR(ROUND(X141/L141,4),0)),IFERROR(ROUND(X141/L141,4),0))</f>
        <v>0</v>
      </c>
      <c r="AK141" s="123">
        <f>IFERROR(IF(VLOOKUP($B141,Shortage!$A:$M,AK$2,FALSE)="Shortage",1,IFERROR(ROUND(Y141/M141,4),0)),IFERROR(ROUND(Y141/M141,4),0))</f>
        <v>0</v>
      </c>
      <c r="AL141" s="123">
        <f>IFERROR(IF(VLOOKUP($B141,Shortage!$A:$M,AL$2,FALSE)="Shortage",1,IFERROR(ROUND(Z141/N141,4),0)),IFERROR(ROUND(Z141/N141,4),0))</f>
        <v>0</v>
      </c>
      <c r="AM141" s="123">
        <f>IFERROR(IF(VLOOKUP($B141,Shortage!$A:$M,AM$2,FALSE)="Shortage",1,IFERROR(ROUND(AA141/O141,4),0)),IFERROR(ROUND(AA141/O141,4),0))</f>
        <v>0</v>
      </c>
      <c r="AN141" s="232">
        <f>IFERROR(IF($C141="Top WS",VLOOKUP("GOAL",'2) หลักการคำนวน Table'!$D$4:$M$4,HLOOKUP(AB141,'2) หลักการคำนวน Table'!$D$1:$M$5,5,TRUE),0),
IF($C141="WS SF",VLOOKUP("GOAL",'2) หลักการคำนวน Table'!$D$32:$M$32,HLOOKUP(AB141,'2) หลักการคำนวน Table'!$D$1:$M$5,5,TRUE),0),
IF($C141="WS WH",VLOOKUP("GOAL",'2) หลักการคำนวน Table'!$D$62:$M$62,HLOOKUP(AB141,'2) หลักการคำนวน Table'!$D$1:$M$5,5,TRUE),0),
IF($C141="SF WH",VLOOKUP("GOAL",'2) หลักการคำนวน Table'!$D$92:$M$92,HLOOKUP(AB141,'2) หลักการคำนวน Table'!$D$1:$M$5,5,TRUE),0))))),0)</f>
        <v>0.9</v>
      </c>
      <c r="AO141" s="232">
        <f>IFERROR(IF($C141="Top WS",VLOOKUP("GOAL",'2) หลักการคำนวน Table'!$D$4:$M$4,HLOOKUP(AC141,'2) หลักการคำนวน Table'!$D$1:$M$5,5,TRUE),0),
IF($C141="WS SF",VLOOKUP("GOAL",'2) หลักการคำนวน Table'!$D$32:$M$32,HLOOKUP(AC141,'2) หลักการคำนวน Table'!$D$1:$M$5,5,TRUE),0),
IF($C141="WS WH",VLOOKUP("GOAL",'2) หลักการคำนวน Table'!$D$62:$M$62,HLOOKUP(AC141,'2) หลักการคำนวน Table'!$D$1:$M$5,5,TRUE),0),
IF($C141="SF WH",VLOOKUP("GOAL",'2) หลักการคำนวน Table'!$D$92:$M$92,HLOOKUP(AC141,'2) หลักการคำนวน Table'!$D$1:$M$5,5,TRUE),0))))),0)</f>
        <v>1.03</v>
      </c>
      <c r="AP141" s="232">
        <f>IFERROR(IF($C141="Top WS",VLOOKUP("GOAL",'2) หลักการคำนวน Table'!$D$4:$M$4,HLOOKUP(AD141,'2) หลักการคำนวน Table'!$D$1:$M$5,5,TRUE),0),
IF($C141="WS SF",VLOOKUP("GOAL",'2) หลักการคำนวน Table'!$D$32:$M$32,HLOOKUP(AD141,'2) หลักการคำนวน Table'!$D$1:$M$5,5,TRUE),0),
IF($C141="WS WH",VLOOKUP("GOAL",'2) หลักการคำนวน Table'!$D$62:$M$62,HLOOKUP(AD141,'2) หลักการคำนวน Table'!$D$1:$M$5,5,TRUE),0),
IF($C141="SF WH",VLOOKUP("GOAL",'2) หลักการคำนวน Table'!$D$92:$M$92,HLOOKUP(AD141,'2) หลักการคำนวน Table'!$D$1:$M$5,5,TRUE),0))))),0)</f>
        <v>0.9</v>
      </c>
      <c r="AQ141" s="232">
        <f>IFERROR(IF($C141="Top WS",VLOOKUP("GOAL",'2) หลักการคำนวน Table'!$D$4:$M$4,HLOOKUP(AE141,'2) หลักการคำนวน Table'!$D$1:$M$5,5,TRUE),0),
IF($C141="WS SF",VLOOKUP("GOAL",'2) หลักการคำนวน Table'!$D$32:$M$32,HLOOKUP(AE141,'2) หลักการคำนวน Table'!$D$1:$M$5,5,TRUE),0),
IF($C141="WS WH",VLOOKUP("GOAL",'2) หลักการคำนวน Table'!$D$62:$M$62,HLOOKUP(AE141,'2) หลักการคำนวน Table'!$D$1:$M$5,5,TRUE),0),
IF($C141="SF WH",VLOOKUP("GOAL",'2) หลักการคำนวน Table'!$D$92:$M$92,HLOOKUP(AE141,'2) หลักการคำนวน Table'!$D$1:$M$5,5,TRUE),0))))),0)</f>
        <v>0.9</v>
      </c>
      <c r="AR141" s="232">
        <f>IFERROR(IF($C141="Top WS",VLOOKUP("GOAL",'2) หลักการคำนวน Table'!$D$4:$M$4,HLOOKUP(AF141,'2) หลักการคำนวน Table'!$D$1:$M$5,5,TRUE),0),
IF($C141="WS SF",VLOOKUP("GOAL",'2) หลักการคำนวน Table'!$D$32:$M$32,HLOOKUP(AF141,'2) หลักการคำนวน Table'!$D$1:$M$5,5,TRUE),0),
IF($C141="WS WH",VLOOKUP("GOAL",'2) หลักการคำนวน Table'!$D$62:$M$62,HLOOKUP(AF141,'2) หลักการคำนวน Table'!$D$1:$M$5,5,TRUE),0),
IF($C141="SF WH",VLOOKUP("GOAL",'2) หลักการคำนวน Table'!$D$92:$M$92,HLOOKUP(AF141,'2) หลักการคำนวน Table'!$D$1:$M$5,5,TRUE),0))))),0)</f>
        <v>0.9</v>
      </c>
      <c r="AS141" s="232">
        <f>IFERROR(IF($C141="Top WS",VLOOKUP("GOAL",'2) หลักการคำนวน Table'!$D$4:$M$4,HLOOKUP(AG141,'2) หลักการคำนวน Table'!$D$1:$M$5,5,TRUE),0),
IF($C141="WS SF",VLOOKUP("GOAL",'2) หลักการคำนวน Table'!$D$32:$M$32,HLOOKUP(AG141,'2) หลักการคำนวน Table'!$D$1:$M$5,5,TRUE),0),
IF($C141="WS WH",VLOOKUP("GOAL",'2) หลักการคำนวน Table'!$D$62:$M$62,HLOOKUP(AG141,'2) หลักการคำนวน Table'!$D$1:$M$5,5,TRUE),0),
IF($C141="SF WH",VLOOKUP("GOAL",'2) หลักการคำนวน Table'!$D$92:$M$92,HLOOKUP(AG141,'2) หลักการคำนวน Table'!$D$1:$M$5,5,TRUE),0))))),0)</f>
        <v>0.9</v>
      </c>
      <c r="AT141" s="232">
        <f>IFERROR(IF($C141="Top WS",VLOOKUP("GOAL",'2) หลักการคำนวน Table'!$D$4:$M$4,HLOOKUP(AH141,'2) หลักการคำนวน Table'!$D$1:$M$5,5,TRUE),0),
IF($C141="WS SF",VLOOKUP("GOAL",'2) หลักการคำนวน Table'!$D$32:$M$32,HLOOKUP(AH141,'2) หลักการคำนวน Table'!$D$1:$M$5,5,TRUE),0),
IF($C141="WS WH",VLOOKUP("GOAL",'2) หลักการคำนวน Table'!$D$62:$M$62,HLOOKUP(AH141,'2) หลักการคำนวน Table'!$D$1:$M$5,5,TRUE),0),
IF($C141="SF WH",VLOOKUP("GOAL",'2) หลักการคำนวน Table'!$D$92:$M$92,HLOOKUP(AH141,'2) หลักการคำนวน Table'!$D$1:$M$5,5,TRUE),0))))),0)</f>
        <v>0.9</v>
      </c>
      <c r="AU141" s="232">
        <f>IFERROR(IF($C141="Top WS",VLOOKUP("GOAL",'2) หลักการคำนวน Table'!$D$4:$M$4,HLOOKUP(AI141,'2) หลักการคำนวน Table'!$D$1:$M$5,5,TRUE),0),
IF($C141="WS SF",VLOOKUP("GOAL",'2) หลักการคำนวน Table'!$D$32:$M$32,HLOOKUP(AI141,'2) หลักการคำนวน Table'!$D$1:$M$5,5,TRUE),0),
IF($C141="WS WH",VLOOKUP("GOAL",'2) หลักการคำนวน Table'!$D$62:$M$62,HLOOKUP(AI141,'2) หลักการคำนวน Table'!$D$1:$M$5,5,TRUE),0),
IF($C141="SF WH",VLOOKUP("GOAL",'2) หลักการคำนวน Table'!$D$92:$M$92,HLOOKUP(AI141,'2) หลักการคำนวน Table'!$D$1:$M$5,5,TRUE),0))))),0)</f>
        <v>0.9</v>
      </c>
      <c r="AV141" s="232">
        <f>IFERROR(IF($C141="Top WS",VLOOKUP("GOAL",'2) หลักการคำนวน Table'!$D$4:$M$4,HLOOKUP(AP141,'2) หลักการคำนวน Table'!$D$1:$M$5,5,TRUE),0),
IF($C141="WS SF",VLOOKUP("GOAL",'2) หลักการคำนวน Table'!$D$32:$M$32,HLOOKUP(AP141,'2) หลักการคำนวน Table'!$D$1:$M$5,5,TRUE),0),
IF($C141="WS WH",VLOOKUP("GOAL",'2) หลักการคำนวน Table'!$D$62:$M$62,HLOOKUP(AP141,'2) หลักการคำนวน Table'!$D$1:$M$5,5,TRUE),0),
IF($C141="SF WH",VLOOKUP("GOAL",'2) หลักการคำนวน Table'!$D$92:$M$92,HLOOKUP(AP141,'2) หลักการคำนวน Table'!$D$1:$M$5,5,TRUE),0))))),0)</f>
        <v>0.9</v>
      </c>
      <c r="AW141" s="232">
        <f>IFERROR(IF($C141="Top WS",VLOOKUP("GOAL",'2) หลักการคำนวน Table'!$D$4:$M$4,HLOOKUP(AK141,'2) หลักการคำนวน Table'!$D$1:$M$5,5,TRUE),0),
IF($C141="WS SF",VLOOKUP("GOAL",'2) หลักการคำนวน Table'!$D$32:$M$32,HLOOKUP(AK141,'2) หลักการคำนวน Table'!$D$1:$M$5,5,TRUE),0),
IF($C141="WS WH",VLOOKUP("GOAL",'2) หลักการคำนวน Table'!$D$62:$M$62,HLOOKUP(AK141,'2) หลักการคำนวน Table'!$D$1:$M$5,5,TRUE),0),
IF($C141="SF WH",VLOOKUP("GOAL",'2) หลักการคำนวน Table'!$D$92:$M$92,HLOOKUP(AK141,'2) หลักการคำนวน Table'!$D$1:$M$5,5,TRUE),0))))),0)</f>
        <v>0.9</v>
      </c>
      <c r="AX141" s="232">
        <f>IFERROR(IF($C141="Top WS",VLOOKUP("GOAL",'2) หลักการคำนวน Table'!$D$4:$M$4,HLOOKUP(AL141,'2) หลักการคำนวน Table'!$D$1:$M$5,5,TRUE),0),
IF($C141="WS SF",VLOOKUP("GOAL",'2) หลักการคำนวน Table'!$D$32:$M$32,HLOOKUP(AL141,'2) หลักการคำนวน Table'!$D$1:$M$5,5,TRUE),0),
IF($C141="WS WH",VLOOKUP("GOAL",'2) หลักการคำนวน Table'!$D$62:$M$62,HLOOKUP(AL141,'2) หลักการคำนวน Table'!$D$1:$M$5,5,TRUE),0),
IF($C141="SF WH",VLOOKUP("GOAL",'2) หลักการคำนวน Table'!$D$92:$M$92,HLOOKUP(AL141,'2) หลักการคำนวน Table'!$D$1:$M$5,5,TRUE),0))))),0)</f>
        <v>0.9</v>
      </c>
      <c r="AY141" s="232">
        <f>IFERROR(IF($C141="Top WS",VLOOKUP("GOAL",'2) หลักการคำนวน Table'!$D$4:$M$4,HLOOKUP(AM141,'2) หลักการคำนวน Table'!$D$1:$M$5,5,TRUE),0),
IF($C141="WS SF",VLOOKUP("GOAL",'2) หลักการคำนวน Table'!$D$32:$M$32,HLOOKUP(AM141,'2) หลักการคำนวน Table'!$D$1:$M$5,5,TRUE),0),
IF($C141="WS WH",VLOOKUP("GOAL",'2) หลักการคำนวน Table'!$D$62:$M$62,HLOOKUP(AM141,'2) หลักการคำนวน Table'!$D$1:$M$5,5,TRUE),0),
IF($C141="SF WH",VLOOKUP("GOAL",'2) หลักการคำนวน Table'!$D$92:$M$92,HLOOKUP(AM141,'2) หลักการคำนวน Table'!$D$1:$M$5,5,TRUE),0))))),0)</f>
        <v>0.9</v>
      </c>
      <c r="AZ141" s="167">
        <f>IFERROR(IF($C141="Top WS",VLOOKUP($B141,'2) หลักการคำนวน Table'!$D$5:$M$20,HLOOKUP(AB141,'2) หลักการคำนวน Table'!$D$1:$M$5,5,TRUE),0),
IF($C141="WS SF",VLOOKUP($B141,'2) หลักการคำนวน Table'!$D$33:$M$48,HLOOKUP(AB141,'2) หลักการคำนวน Table'!$D$1:$M$5,5,TRUE),0),
IF($C141="WS WH",VLOOKUP($B141,'2) หลักการคำนวน Table'!$D$63:$M$78,HLOOKUP(AB141,'2) หลักการคำนวน Table'!$D$1:$M$5,5,TRUE),0),
IF($C141="SF WH",VLOOKUP($B141,'2) หลักการคำนวน Table'!$D$93:$M$108,HLOOKUP(AB141,'2) หลักการคำนวน Table'!$D$1:$M$5,5,TRUE),0))))),0)</f>
        <v>315</v>
      </c>
      <c r="BA141" s="167">
        <f>IFERROR(IF($C141="Top WS",VLOOKUP($B141,'2) หลักการคำนวน Table'!$D$5:$M$20,HLOOKUP(AC141,'2) หลักการคำนวน Table'!$D$1:$M$5,5,TRUE),0),
IF($C141="WS SF",VLOOKUP($B141,'2) หลักการคำนวน Table'!$D$33:$M$48,HLOOKUP(AC141,'2) หลักการคำนวน Table'!$D$1:$M$5,5,TRUE),0),
IF($C141="WS WH",VLOOKUP($B141,'2) หลักการคำนวน Table'!$D$63:$M$78,HLOOKUP(AC141,'2) หลักการคำนวน Table'!$D$1:$M$5,5,TRUE),0),
IF($C141="SF WH",VLOOKUP($B141,'2) หลักการคำนวน Table'!$D$93:$M$108,HLOOKUP(AC141,'2) หลักการคำนวน Table'!$D$1:$M$5,5,TRUE),0))))),0)</f>
        <v>360.5</v>
      </c>
      <c r="BB141" s="167">
        <f>IFERROR(IF($C141="Top WS",VLOOKUP($B141,'2) หลักการคำนวน Table'!$D$5:$M$20,HLOOKUP(AD141,'2) หลักการคำนวน Table'!$D$1:$M$5,5,TRUE),0),
IF($C141="WS SF",VLOOKUP($B141,'2) หลักการคำนวน Table'!$D$33:$M$48,HLOOKUP(AD141,'2) หลักการคำนวน Table'!$D$1:$M$5,5,TRUE),0),
IF($C141="WS WH",VLOOKUP($B141,'2) หลักการคำนวน Table'!$D$63:$M$78,HLOOKUP(AD141,'2) หลักการคำนวน Table'!$D$1:$M$5,5,TRUE),0),
IF($C141="SF WH",VLOOKUP($B141,'2) หลักการคำนวน Table'!$D$93:$M$108,HLOOKUP(AD141,'2) หลักการคำนวน Table'!$D$1:$M$5,5,TRUE),0))))),0)</f>
        <v>315</v>
      </c>
      <c r="BC141" s="167">
        <f>IFERROR(IF($C141="Top WS",VLOOKUP($B141,'2) หลักการคำนวน Table'!$D$5:$M$20,HLOOKUP(AE141,'2) หลักการคำนวน Table'!$D$1:$M$5,5,TRUE),0),
IF($C141="WS SF",VLOOKUP($B141,'2) หลักการคำนวน Table'!$D$33:$M$48,HLOOKUP(AE141,'2) หลักการคำนวน Table'!$D$1:$M$5,5,TRUE),0),
IF($C141="WS WH",VLOOKUP($B141,'2) หลักการคำนวน Table'!$D$63:$M$78,HLOOKUP(AE141,'2) หลักการคำนวน Table'!$D$1:$M$5,5,TRUE),0),
IF($C141="SF WH",VLOOKUP($B141,'2) หลักการคำนวน Table'!$D$93:$M$108,HLOOKUP(AE141,'2) หลักการคำนวน Table'!$D$1:$M$5,5,TRUE),0))))),0)</f>
        <v>315</v>
      </c>
      <c r="BD141" s="167">
        <f>IFERROR(IF($C141="Top WS",VLOOKUP($B141,'2) หลักการคำนวน Table'!$D$5:$M$20,HLOOKUP(AF141,'2) หลักการคำนวน Table'!$D$1:$M$5,5,TRUE),0),
IF($C141="WS SF",VLOOKUP($B141,'2) หลักการคำนวน Table'!$D$33:$M$48,HLOOKUP(AF141,'2) หลักการคำนวน Table'!$D$1:$M$5,5,TRUE),0),
IF($C141="WS WH",VLOOKUP($B141,'2) หลักการคำนวน Table'!$D$63:$M$78,HLOOKUP(AF141,'2) หลักการคำนวน Table'!$D$1:$M$5,5,TRUE),0),
IF($C141="SF WH",VLOOKUP($B141,'2) หลักการคำนวน Table'!$D$93:$M$108,HLOOKUP(AF141,'2) หลักการคำนวน Table'!$D$1:$M$5,5,TRUE),0))))),0)</f>
        <v>315</v>
      </c>
      <c r="BE141" s="167">
        <f>IFERROR(IF($C141="Top WS",VLOOKUP($B141,'2) หลักการคำนวน Table'!$D$5:$M$20,HLOOKUP(AG141,'2) หลักการคำนวน Table'!$D$1:$M$5,5,TRUE),0),
IF($C141="WS SF",VLOOKUP($B141,'2) หลักการคำนวน Table'!$D$33:$M$48,HLOOKUP(AG141,'2) หลักการคำนวน Table'!$D$1:$M$5,5,TRUE),0),
IF($C141="WS WH",VLOOKUP($B141,'2) หลักการคำนวน Table'!$D$63:$M$78,HLOOKUP(AG141,'2) หลักการคำนวน Table'!$D$1:$M$5,5,TRUE),0),
IF($C141="SF WH",VLOOKUP($B141,'2) หลักการคำนวน Table'!$D$93:$M$108,HLOOKUP(AG141,'2) หลักการคำนวน Table'!$D$1:$M$5,5,TRUE),0))))),0)</f>
        <v>315</v>
      </c>
      <c r="BF141" s="167">
        <f>IFERROR(IF($C141="Top WS",VLOOKUP($B141,'2) หลักการคำนวน Table'!$D$5:$M$20,HLOOKUP(AH141,'2) หลักการคำนวน Table'!$D$1:$M$5,5,TRUE),0),
IF($C141="WS SF",VLOOKUP($B141,'2) หลักการคำนวน Table'!$D$33:$M$48,HLOOKUP(AH141,'2) หลักการคำนวน Table'!$D$1:$M$5,5,TRUE),0),
IF($C141="WS WH",VLOOKUP($B141,'2) หลักการคำนวน Table'!$D$63:$M$78,HLOOKUP(AH141,'2) หลักการคำนวน Table'!$D$1:$M$5,5,TRUE),0),
IF($C141="SF WH",VLOOKUP($B141,'2) หลักการคำนวน Table'!$D$93:$M$108,HLOOKUP(AH141,'2) หลักการคำนวน Table'!$D$1:$M$5,5,TRUE),0))))),0)</f>
        <v>315</v>
      </c>
      <c r="BG141" s="167">
        <f>IFERROR(IF($C141="Top WS",VLOOKUP($B141,'2) หลักการคำนวน Table'!$D$5:$M$20,HLOOKUP(AI141,'2) หลักการคำนวน Table'!$D$1:$M$5,5,TRUE),0),
IF($C141="WS SF",VLOOKUP($B141,'2) หลักการคำนวน Table'!$D$33:$M$48,HLOOKUP(AI141,'2) หลักการคำนวน Table'!$D$1:$M$5,5,TRUE),0),
IF($C141="WS WH",VLOOKUP($B141,'2) หลักการคำนวน Table'!$D$63:$M$78,HLOOKUP(AI141,'2) หลักการคำนวน Table'!$D$1:$M$5,5,TRUE),0),
IF($C141="SF WH",VLOOKUP($B141,'2) หลักการคำนวน Table'!$D$93:$M$108,HLOOKUP(AI141,'2) หลักการคำนวน Table'!$D$1:$M$5,5,TRUE),0))))),0)</f>
        <v>315</v>
      </c>
      <c r="BH141" s="167">
        <f>IFERROR(IF($C141="Top WS",VLOOKUP($B141,'2) หลักการคำนวน Table'!$D$5:$M$20,HLOOKUP(AP141,'2) หลักการคำนวน Table'!$D$1:$M$5,5,TRUE),0),
IF($C141="WS SF",VLOOKUP($B141,'2) หลักการคำนวน Table'!$D$33:$M$48,HLOOKUP(AP141,'2) หลักการคำนวน Table'!$D$1:$M$5,5,TRUE),0),
IF($C141="WS WH",VLOOKUP($B141,'2) หลักการคำนวน Table'!$D$63:$M$78,HLOOKUP(AP141,'2) หลักการคำนวน Table'!$D$1:$M$5,5,TRUE),0),
IF($C141="SF WH",VLOOKUP($B141,'2) หลักการคำนวน Table'!$D$93:$M$108,HLOOKUP(AP141,'2) หลักการคำนวน Table'!$D$1:$M$5,5,TRUE),0))))),0)</f>
        <v>315</v>
      </c>
      <c r="BI141" s="167">
        <f>IFERROR(IF($C141="Top WS",VLOOKUP($B141,'2) หลักการคำนวน Table'!$D$5:$M$20,HLOOKUP(AK141,'2) หลักการคำนวน Table'!$D$1:$M$5,5,TRUE),0),
IF($C141="WS SF",VLOOKUP($B141,'2) หลักการคำนวน Table'!$D$33:$M$48,HLOOKUP(AK141,'2) หลักการคำนวน Table'!$D$1:$M$5,5,TRUE),0),
IF($C141="WS WH",VLOOKUP($B141,'2) หลักการคำนวน Table'!$D$63:$M$78,HLOOKUP(AK141,'2) หลักการคำนวน Table'!$D$1:$M$5,5,TRUE),0),
IF($C141="SF WH",VLOOKUP($B141,'2) หลักการคำนวน Table'!$D$93:$M$108,HLOOKUP(AK141,'2) หลักการคำนวน Table'!$D$1:$M$5,5,TRUE),0))))),0)</f>
        <v>315</v>
      </c>
      <c r="BJ141" s="167">
        <f>IFERROR(IF($C141="Top WS",VLOOKUP($B141,'2) หลักการคำนวน Table'!$D$5:$M$20,HLOOKUP(AL141,'2) หลักการคำนวน Table'!$D$1:$M$5,5,TRUE),0),
IF($C141="WS SF",VLOOKUP($B141,'2) หลักการคำนวน Table'!$D$33:$M$48,HLOOKUP(AL141,'2) หลักการคำนวน Table'!$D$1:$M$5,5,TRUE),0),
IF($C141="WS WH",VLOOKUP($B141,'2) หลักการคำนวน Table'!$D$63:$M$78,HLOOKUP(AL141,'2) หลักการคำนวน Table'!$D$1:$M$5,5,TRUE),0),
IF($C141="SF WH",VLOOKUP($B141,'2) หลักการคำนวน Table'!$D$93:$M$108,HLOOKUP(AL141,'2) หลักการคำนวน Table'!$D$1:$M$5,5,TRUE),0))))),0)</f>
        <v>315</v>
      </c>
      <c r="BK141" s="167">
        <f>IFERROR(IF($C141="Top WS",VLOOKUP($B141,'2) หลักการคำนวน Table'!$D$5:$M$20,HLOOKUP(AM141,'2) หลักการคำนวน Table'!$D$1:$M$5,5,TRUE),0),
IF($C141="WS SF",VLOOKUP($B141,'2) หลักการคำนวน Table'!$D$33:$M$48,HLOOKUP(AM141,'2) หลักการคำนวน Table'!$D$1:$M$5,5,TRUE),0),
IF($C141="WS WH",VLOOKUP($B141,'2) หลักการคำนวน Table'!$D$63:$M$78,HLOOKUP(AM141,'2) หลักการคำนวน Table'!$D$1:$M$5,5,TRUE),0),
IF($C141="SF WH",VLOOKUP($B141,'2) หลักการคำนวน Table'!$D$93:$M$108,HLOOKUP(AM141,'2) หลักการคำนวน Table'!$D$1:$M$5,5,TRUE),0))))),0)</f>
        <v>315</v>
      </c>
      <c r="BM141" s="119">
        <f>VLOOKUP(VLOOKUP(A141,ASTBase!E:S,13,FALSE),ASTBase!F:P,11,FALSE)</f>
        <v>130000</v>
      </c>
      <c r="BN141" s="196" cm="1">
        <f t="array" ref="BN141">INDEX(AN141:AY141,,Period!$D$2)</f>
        <v>1.03</v>
      </c>
    </row>
    <row r="142" spans="1:66" x14ac:dyDescent="0.25">
      <c r="A142" s="117">
        <v>130002</v>
      </c>
      <c r="B142" s="117" t="s">
        <v>396</v>
      </c>
      <c r="C142" s="117" t="s">
        <v>179</v>
      </c>
      <c r="D142" s="118">
        <v>75</v>
      </c>
      <c r="E142" s="118">
        <v>92</v>
      </c>
      <c r="F142" s="118">
        <v>97</v>
      </c>
      <c r="G142" s="118">
        <v>65</v>
      </c>
      <c r="H142" s="118">
        <v>86</v>
      </c>
      <c r="I142" s="118">
        <v>122</v>
      </c>
      <c r="J142" s="118">
        <v>79</v>
      </c>
      <c r="K142" s="118">
        <v>160</v>
      </c>
      <c r="L142" s="118">
        <v>145</v>
      </c>
      <c r="M142" s="118">
        <v>113</v>
      </c>
      <c r="N142" s="118">
        <v>195</v>
      </c>
      <c r="O142" s="118">
        <v>197</v>
      </c>
      <c r="P142" s="117">
        <f>SUMIFS(Actual!C:C,Actual!$A:$A,'3)Target &amp; Cal'!$A142,Actual!$B:$B,'3)Target &amp; Cal'!$B142)</f>
        <v>67.391999999999996</v>
      </c>
      <c r="Q142" s="117">
        <f>SUMIFS(Actual!D:D,Actual!$A:$A,'3)Target &amp; Cal'!$A142,Actual!$B:$B,'3)Target &amp; Cal'!$B142)</f>
        <v>34.56</v>
      </c>
      <c r="R142" s="117">
        <f>SUMIFS(Actual!E:E,Actual!$A:$A,'3)Target &amp; Cal'!$A142,Actual!$B:$B,'3)Target &amp; Cal'!$B142)</f>
        <v>0</v>
      </c>
      <c r="S142" s="117">
        <f>SUMIFS(Actual!F:F,Actual!$A:$A,'3)Target &amp; Cal'!$A142,Actual!$B:$B,'3)Target &amp; Cal'!$B142)</f>
        <v>0</v>
      </c>
      <c r="T142" s="117">
        <f>SUMIFS(Actual!G:G,Actual!$A:$A,'3)Target &amp; Cal'!$A142,Actual!$B:$B,'3)Target &amp; Cal'!$B142)</f>
        <v>0</v>
      </c>
      <c r="U142" s="117">
        <f>SUMIFS(Actual!H:H,Actual!$A:$A,'3)Target &amp; Cal'!$A142,Actual!$B:$B,'3)Target &amp; Cal'!$B142)</f>
        <v>0</v>
      </c>
      <c r="V142" s="117">
        <f>SUMIFS(Actual!I:I,Actual!$A:$A,'3)Target &amp; Cal'!$A142,Actual!$B:$B,'3)Target &amp; Cal'!$B142)</f>
        <v>0</v>
      </c>
      <c r="W142" s="117">
        <f>SUMIFS(Actual!J:J,Actual!$A:$A,'3)Target &amp; Cal'!$A142,Actual!$B:$B,'3)Target &amp; Cal'!$B142)</f>
        <v>0</v>
      </c>
      <c r="X142" s="117">
        <f>SUMIFS(Actual!K:K,Actual!$A:$A,'3)Target &amp; Cal'!$A142,Actual!$B:$B,'3)Target &amp; Cal'!$B142)</f>
        <v>0</v>
      </c>
      <c r="Y142" s="117">
        <f>SUMIFS(Actual!L:L,Actual!$A:$A,'3)Target &amp; Cal'!$A142,Actual!$B:$B,'3)Target &amp; Cal'!$B142)</f>
        <v>0</v>
      </c>
      <c r="Z142" s="117">
        <f>SUMIFS(Actual!M:M,Actual!$A:$A,'3)Target &amp; Cal'!$A142,Actual!$B:$B,'3)Target &amp; Cal'!$B142)</f>
        <v>0</v>
      </c>
      <c r="AA142" s="117">
        <f>SUMIFS(Actual!N:N,Actual!$A:$A,'3)Target &amp; Cal'!$A142,Actual!$B:$B,'3)Target &amp; Cal'!$B142)</f>
        <v>0</v>
      </c>
      <c r="AB142" s="123">
        <f>IFERROR(IF(VLOOKUP($B142,Shortage!$A:$M,AB$2,FALSE)="Shortage",1,IFERROR(ROUND(P142/D142,4),0)),IFERROR(ROUND(P142/D142,4),0))</f>
        <v>0.89859999999999995</v>
      </c>
      <c r="AC142" s="123">
        <f>IFERROR(IF(VLOOKUP($B142,Shortage!$A:$M,AC$2,FALSE)="Shortage",1,IFERROR(ROUND(Q142/E142,4),0)),IFERROR(ROUND(Q142/E142,4),0))</f>
        <v>0.37569999999999998</v>
      </c>
      <c r="AD142" s="123">
        <f>IFERROR(IF(VLOOKUP($B142,Shortage!$A:$M,AD$2,FALSE)="Shortage",1,IFERROR(ROUND(R142/F142,4),0)),IFERROR(ROUND(R142/F142,4),0))</f>
        <v>0</v>
      </c>
      <c r="AE142" s="123">
        <f>IFERROR(IF(VLOOKUP($B142,Shortage!$A:$M,AE$2,FALSE)="Shortage",1,IFERROR(ROUND(S142/G142,4),0)),IFERROR(ROUND(S142/G142,4),0))</f>
        <v>0</v>
      </c>
      <c r="AF142" s="123">
        <f>IFERROR(IF(VLOOKUP($B142,Shortage!$A:$M,AF$2,FALSE)="Shortage",1,IFERROR(ROUND(T142/H142,4),0)),IFERROR(ROUND(T142/H142,4),0))</f>
        <v>0</v>
      </c>
      <c r="AG142" s="123">
        <f>IFERROR(IF(VLOOKUP($B142,Shortage!$A:$M,AG$2,FALSE)="Shortage",1,IFERROR(ROUND(U142/I142,4),0)),IFERROR(ROUND(U142/I142,4),0))</f>
        <v>0</v>
      </c>
      <c r="AH142" s="123">
        <f>IFERROR(IF(VLOOKUP($B142,Shortage!$A:$M,AH$2,FALSE)="Shortage",1,IFERROR(ROUND(V142/J142,4),0)),IFERROR(ROUND(V142/J142,4),0))</f>
        <v>0</v>
      </c>
      <c r="AI142" s="123">
        <f>IFERROR(IF(VLOOKUP($B142,Shortage!$A:$M,AI$2,FALSE)="Shortage",1,IFERROR(ROUND(W142/K142,4),0)),IFERROR(ROUND(W142/K142,4),0))</f>
        <v>0</v>
      </c>
      <c r="AJ142" s="123">
        <f>IFERROR(IF(VLOOKUP($B142,Shortage!$A:$M,AP$2,FALSE)="Shortage",1,IFERROR(ROUND(X142/L142,4),0)),IFERROR(ROUND(X142/L142,4),0))</f>
        <v>0</v>
      </c>
      <c r="AK142" s="123">
        <f>IFERROR(IF(VLOOKUP($B142,Shortage!$A:$M,AK$2,FALSE)="Shortage",1,IFERROR(ROUND(Y142/M142,4),0)),IFERROR(ROUND(Y142/M142,4),0))</f>
        <v>0</v>
      </c>
      <c r="AL142" s="123">
        <f>IFERROR(IF(VLOOKUP($B142,Shortage!$A:$M,AL$2,FALSE)="Shortage",1,IFERROR(ROUND(Z142/N142,4),0)),IFERROR(ROUND(Z142/N142,4),0))</f>
        <v>0</v>
      </c>
      <c r="AM142" s="123">
        <f>IFERROR(IF(VLOOKUP($B142,Shortage!$A:$M,AM$2,FALSE)="Shortage",1,IFERROR(ROUND(AA142/O142,4),0)),IFERROR(ROUND(AA142/O142,4),0))</f>
        <v>0</v>
      </c>
      <c r="AN142" s="232">
        <f>IFERROR(IF($C142="Top WS",VLOOKUP("GOAL",'2) หลักการคำนวน Table'!$D$4:$M$4,HLOOKUP(AB142,'2) หลักการคำนวน Table'!$D$1:$M$5,5,TRUE),0),
IF($C142="WS SF",VLOOKUP("GOAL",'2) หลักการคำนวน Table'!$D$32:$M$32,HLOOKUP(AB142,'2) หลักการคำนวน Table'!$D$1:$M$5,5,TRUE),0),
IF($C142="WS WH",VLOOKUP("GOAL",'2) หลักการคำนวน Table'!$D$62:$M$62,HLOOKUP(AB142,'2) หลักการคำนวน Table'!$D$1:$M$5,5,TRUE),0),
IF($C142="SF WH",VLOOKUP("GOAL",'2) หลักการคำนวน Table'!$D$92:$M$92,HLOOKUP(AB142,'2) หลักการคำนวน Table'!$D$1:$M$5,5,TRUE),0))))),0)</f>
        <v>0.9</v>
      </c>
      <c r="AO142" s="232">
        <f>IFERROR(IF($C142="Top WS",VLOOKUP("GOAL",'2) หลักการคำนวน Table'!$D$4:$M$4,HLOOKUP(AC142,'2) หลักการคำนวน Table'!$D$1:$M$5,5,TRUE),0),
IF($C142="WS SF",VLOOKUP("GOAL",'2) หลักการคำนวน Table'!$D$32:$M$32,HLOOKUP(AC142,'2) หลักการคำนวน Table'!$D$1:$M$5,5,TRUE),0),
IF($C142="WS WH",VLOOKUP("GOAL",'2) หลักการคำนวน Table'!$D$62:$M$62,HLOOKUP(AC142,'2) หลักการคำนวน Table'!$D$1:$M$5,5,TRUE),0),
IF($C142="SF WH",VLOOKUP("GOAL",'2) หลักการคำนวน Table'!$D$92:$M$92,HLOOKUP(AC142,'2) หลักการคำนวน Table'!$D$1:$M$5,5,TRUE),0))))),0)</f>
        <v>0.9</v>
      </c>
      <c r="AP142" s="232">
        <f>IFERROR(IF($C142="Top WS",VLOOKUP("GOAL",'2) หลักการคำนวน Table'!$D$4:$M$4,HLOOKUP(AD142,'2) หลักการคำนวน Table'!$D$1:$M$5,5,TRUE),0),
IF($C142="WS SF",VLOOKUP("GOAL",'2) หลักการคำนวน Table'!$D$32:$M$32,HLOOKUP(AD142,'2) หลักการคำนวน Table'!$D$1:$M$5,5,TRUE),0),
IF($C142="WS WH",VLOOKUP("GOAL",'2) หลักการคำนวน Table'!$D$62:$M$62,HLOOKUP(AD142,'2) หลักการคำนวน Table'!$D$1:$M$5,5,TRUE),0),
IF($C142="SF WH",VLOOKUP("GOAL",'2) หลักการคำนวน Table'!$D$92:$M$92,HLOOKUP(AD142,'2) หลักการคำนวน Table'!$D$1:$M$5,5,TRUE),0))))),0)</f>
        <v>0.9</v>
      </c>
      <c r="AQ142" s="232">
        <f>IFERROR(IF($C142="Top WS",VLOOKUP("GOAL",'2) หลักการคำนวน Table'!$D$4:$M$4,HLOOKUP(AE142,'2) หลักการคำนวน Table'!$D$1:$M$5,5,TRUE),0),
IF($C142="WS SF",VLOOKUP("GOAL",'2) หลักการคำนวน Table'!$D$32:$M$32,HLOOKUP(AE142,'2) หลักการคำนวน Table'!$D$1:$M$5,5,TRUE),0),
IF($C142="WS WH",VLOOKUP("GOAL",'2) หลักการคำนวน Table'!$D$62:$M$62,HLOOKUP(AE142,'2) หลักการคำนวน Table'!$D$1:$M$5,5,TRUE),0),
IF($C142="SF WH",VLOOKUP("GOAL",'2) หลักการคำนวน Table'!$D$92:$M$92,HLOOKUP(AE142,'2) หลักการคำนวน Table'!$D$1:$M$5,5,TRUE),0))))),0)</f>
        <v>0.9</v>
      </c>
      <c r="AR142" s="232">
        <f>IFERROR(IF($C142="Top WS",VLOOKUP("GOAL",'2) หลักการคำนวน Table'!$D$4:$M$4,HLOOKUP(AF142,'2) หลักการคำนวน Table'!$D$1:$M$5,5,TRUE),0),
IF($C142="WS SF",VLOOKUP("GOAL",'2) หลักการคำนวน Table'!$D$32:$M$32,HLOOKUP(AF142,'2) หลักการคำนวน Table'!$D$1:$M$5,5,TRUE),0),
IF($C142="WS WH",VLOOKUP("GOAL",'2) หลักการคำนวน Table'!$D$62:$M$62,HLOOKUP(AF142,'2) หลักการคำนวน Table'!$D$1:$M$5,5,TRUE),0),
IF($C142="SF WH",VLOOKUP("GOAL",'2) หลักการคำนวน Table'!$D$92:$M$92,HLOOKUP(AF142,'2) หลักการคำนวน Table'!$D$1:$M$5,5,TRUE),0))))),0)</f>
        <v>0.9</v>
      </c>
      <c r="AS142" s="232">
        <f>IFERROR(IF($C142="Top WS",VLOOKUP("GOAL",'2) หลักการคำนวน Table'!$D$4:$M$4,HLOOKUP(AG142,'2) หลักการคำนวน Table'!$D$1:$M$5,5,TRUE),0),
IF($C142="WS SF",VLOOKUP("GOAL",'2) หลักการคำนวน Table'!$D$32:$M$32,HLOOKUP(AG142,'2) หลักการคำนวน Table'!$D$1:$M$5,5,TRUE),0),
IF($C142="WS WH",VLOOKUP("GOAL",'2) หลักการคำนวน Table'!$D$62:$M$62,HLOOKUP(AG142,'2) หลักการคำนวน Table'!$D$1:$M$5,5,TRUE),0),
IF($C142="SF WH",VLOOKUP("GOAL",'2) หลักการคำนวน Table'!$D$92:$M$92,HLOOKUP(AG142,'2) หลักการคำนวน Table'!$D$1:$M$5,5,TRUE),0))))),0)</f>
        <v>0.9</v>
      </c>
      <c r="AT142" s="232">
        <f>IFERROR(IF($C142="Top WS",VLOOKUP("GOAL",'2) หลักการคำนวน Table'!$D$4:$M$4,HLOOKUP(AH142,'2) หลักการคำนวน Table'!$D$1:$M$5,5,TRUE),0),
IF($C142="WS SF",VLOOKUP("GOAL",'2) หลักการคำนวน Table'!$D$32:$M$32,HLOOKUP(AH142,'2) หลักการคำนวน Table'!$D$1:$M$5,5,TRUE),0),
IF($C142="WS WH",VLOOKUP("GOAL",'2) หลักการคำนวน Table'!$D$62:$M$62,HLOOKUP(AH142,'2) หลักการคำนวน Table'!$D$1:$M$5,5,TRUE),0),
IF($C142="SF WH",VLOOKUP("GOAL",'2) หลักการคำนวน Table'!$D$92:$M$92,HLOOKUP(AH142,'2) หลักการคำนวน Table'!$D$1:$M$5,5,TRUE),0))))),0)</f>
        <v>0.9</v>
      </c>
      <c r="AU142" s="232">
        <f>IFERROR(IF($C142="Top WS",VLOOKUP("GOAL",'2) หลักการคำนวน Table'!$D$4:$M$4,HLOOKUP(AI142,'2) หลักการคำนวน Table'!$D$1:$M$5,5,TRUE),0),
IF($C142="WS SF",VLOOKUP("GOAL",'2) หลักการคำนวน Table'!$D$32:$M$32,HLOOKUP(AI142,'2) หลักการคำนวน Table'!$D$1:$M$5,5,TRUE),0),
IF($C142="WS WH",VLOOKUP("GOAL",'2) หลักการคำนวน Table'!$D$62:$M$62,HLOOKUP(AI142,'2) หลักการคำนวน Table'!$D$1:$M$5,5,TRUE),0),
IF($C142="SF WH",VLOOKUP("GOAL",'2) หลักการคำนวน Table'!$D$92:$M$92,HLOOKUP(AI142,'2) หลักการคำนวน Table'!$D$1:$M$5,5,TRUE),0))))),0)</f>
        <v>0.9</v>
      </c>
      <c r="AV142" s="232">
        <f>IFERROR(IF($C142="Top WS",VLOOKUP("GOAL",'2) หลักการคำนวน Table'!$D$4:$M$4,HLOOKUP(AP142,'2) หลักการคำนวน Table'!$D$1:$M$5,5,TRUE),0),
IF($C142="WS SF",VLOOKUP("GOAL",'2) หลักการคำนวน Table'!$D$32:$M$32,HLOOKUP(AP142,'2) หลักการคำนวน Table'!$D$1:$M$5,5,TRUE),0),
IF($C142="WS WH",VLOOKUP("GOAL",'2) หลักการคำนวน Table'!$D$62:$M$62,HLOOKUP(AP142,'2) หลักการคำนวน Table'!$D$1:$M$5,5,TRUE),0),
IF($C142="SF WH",VLOOKUP("GOAL",'2) หลักการคำนวน Table'!$D$92:$M$92,HLOOKUP(AP142,'2) หลักการคำนวน Table'!$D$1:$M$5,5,TRUE),0))))),0)</f>
        <v>0.9</v>
      </c>
      <c r="AW142" s="232">
        <f>IFERROR(IF($C142="Top WS",VLOOKUP("GOAL",'2) หลักการคำนวน Table'!$D$4:$M$4,HLOOKUP(AK142,'2) หลักการคำนวน Table'!$D$1:$M$5,5,TRUE),0),
IF($C142="WS SF",VLOOKUP("GOAL",'2) หลักการคำนวน Table'!$D$32:$M$32,HLOOKUP(AK142,'2) หลักการคำนวน Table'!$D$1:$M$5,5,TRUE),0),
IF($C142="WS WH",VLOOKUP("GOAL",'2) หลักการคำนวน Table'!$D$62:$M$62,HLOOKUP(AK142,'2) หลักการคำนวน Table'!$D$1:$M$5,5,TRUE),0),
IF($C142="SF WH",VLOOKUP("GOAL",'2) หลักการคำนวน Table'!$D$92:$M$92,HLOOKUP(AK142,'2) หลักการคำนวน Table'!$D$1:$M$5,5,TRUE),0))))),0)</f>
        <v>0.9</v>
      </c>
      <c r="AX142" s="232">
        <f>IFERROR(IF($C142="Top WS",VLOOKUP("GOAL",'2) หลักการคำนวน Table'!$D$4:$M$4,HLOOKUP(AL142,'2) หลักการคำนวน Table'!$D$1:$M$5,5,TRUE),0),
IF($C142="WS SF",VLOOKUP("GOAL",'2) หลักการคำนวน Table'!$D$32:$M$32,HLOOKUP(AL142,'2) หลักการคำนวน Table'!$D$1:$M$5,5,TRUE),0),
IF($C142="WS WH",VLOOKUP("GOAL",'2) หลักการคำนวน Table'!$D$62:$M$62,HLOOKUP(AL142,'2) หลักการคำนวน Table'!$D$1:$M$5,5,TRUE),0),
IF($C142="SF WH",VLOOKUP("GOAL",'2) หลักการคำนวน Table'!$D$92:$M$92,HLOOKUP(AL142,'2) หลักการคำนวน Table'!$D$1:$M$5,5,TRUE),0))))),0)</f>
        <v>0.9</v>
      </c>
      <c r="AY142" s="232">
        <f>IFERROR(IF($C142="Top WS",VLOOKUP("GOAL",'2) หลักการคำนวน Table'!$D$4:$M$4,HLOOKUP(AM142,'2) หลักการคำนวน Table'!$D$1:$M$5,5,TRUE),0),
IF($C142="WS SF",VLOOKUP("GOAL",'2) หลักการคำนวน Table'!$D$32:$M$32,HLOOKUP(AM142,'2) หลักการคำนวน Table'!$D$1:$M$5,5,TRUE),0),
IF($C142="WS WH",VLOOKUP("GOAL",'2) หลักการคำนวน Table'!$D$62:$M$62,HLOOKUP(AM142,'2) หลักการคำนวน Table'!$D$1:$M$5,5,TRUE),0),
IF($C142="SF WH",VLOOKUP("GOAL",'2) หลักการคำนวน Table'!$D$92:$M$92,HLOOKUP(AM142,'2) หลักการคำนวน Table'!$D$1:$M$5,5,TRUE),0))))),0)</f>
        <v>0.9</v>
      </c>
      <c r="AZ142" s="167">
        <f>IFERROR(IF($C142="Top WS",VLOOKUP($B142,'2) หลักการคำนวน Table'!$D$5:$M$20,HLOOKUP(AB142,'2) หลักการคำนวน Table'!$D$1:$M$5,5,TRUE),0),
IF($C142="WS SF",VLOOKUP($B142,'2) หลักการคำนวน Table'!$D$33:$M$48,HLOOKUP(AB142,'2) หลักการคำนวน Table'!$D$1:$M$5,5,TRUE),0),
IF($C142="WS WH",VLOOKUP($B142,'2) หลักการคำนวน Table'!$D$63:$M$78,HLOOKUP(AB142,'2) หลักการคำนวน Table'!$D$1:$M$5,5,TRUE),0),
IF($C142="SF WH",VLOOKUP($B142,'2) หลักการคำนวน Table'!$D$93:$M$108,HLOOKUP(AB142,'2) หลักการคำนวน Table'!$D$1:$M$5,5,TRUE),0))))),0)</f>
        <v>315</v>
      </c>
      <c r="BA142" s="167">
        <f>IFERROR(IF($C142="Top WS",VLOOKUP($B142,'2) หลักการคำนวน Table'!$D$5:$M$20,HLOOKUP(AC142,'2) หลักการคำนวน Table'!$D$1:$M$5,5,TRUE),0),
IF($C142="WS SF",VLOOKUP($B142,'2) หลักการคำนวน Table'!$D$33:$M$48,HLOOKUP(AC142,'2) หลักการคำนวน Table'!$D$1:$M$5,5,TRUE),0),
IF($C142="WS WH",VLOOKUP($B142,'2) หลักการคำนวน Table'!$D$63:$M$78,HLOOKUP(AC142,'2) หลักการคำนวน Table'!$D$1:$M$5,5,TRUE),0),
IF($C142="SF WH",VLOOKUP($B142,'2) หลักการคำนวน Table'!$D$93:$M$108,HLOOKUP(AC142,'2) หลักการคำนวน Table'!$D$1:$M$5,5,TRUE),0))))),0)</f>
        <v>315</v>
      </c>
      <c r="BB142" s="167">
        <f>IFERROR(IF($C142="Top WS",VLOOKUP($B142,'2) หลักการคำนวน Table'!$D$5:$M$20,HLOOKUP(AD142,'2) หลักการคำนวน Table'!$D$1:$M$5,5,TRUE),0),
IF($C142="WS SF",VLOOKUP($B142,'2) หลักการคำนวน Table'!$D$33:$M$48,HLOOKUP(AD142,'2) หลักการคำนวน Table'!$D$1:$M$5,5,TRUE),0),
IF($C142="WS WH",VLOOKUP($B142,'2) หลักการคำนวน Table'!$D$63:$M$78,HLOOKUP(AD142,'2) หลักการคำนวน Table'!$D$1:$M$5,5,TRUE),0),
IF($C142="SF WH",VLOOKUP($B142,'2) หลักการคำนวน Table'!$D$93:$M$108,HLOOKUP(AD142,'2) หลักการคำนวน Table'!$D$1:$M$5,5,TRUE),0))))),0)</f>
        <v>315</v>
      </c>
      <c r="BC142" s="167">
        <f>IFERROR(IF($C142="Top WS",VLOOKUP($B142,'2) หลักการคำนวน Table'!$D$5:$M$20,HLOOKUP(AE142,'2) หลักการคำนวน Table'!$D$1:$M$5,5,TRUE),0),
IF($C142="WS SF",VLOOKUP($B142,'2) หลักการคำนวน Table'!$D$33:$M$48,HLOOKUP(AE142,'2) หลักการคำนวน Table'!$D$1:$M$5,5,TRUE),0),
IF($C142="WS WH",VLOOKUP($B142,'2) หลักการคำนวน Table'!$D$63:$M$78,HLOOKUP(AE142,'2) หลักการคำนวน Table'!$D$1:$M$5,5,TRUE),0),
IF($C142="SF WH",VLOOKUP($B142,'2) หลักการคำนวน Table'!$D$93:$M$108,HLOOKUP(AE142,'2) หลักการคำนวน Table'!$D$1:$M$5,5,TRUE),0))))),0)</f>
        <v>315</v>
      </c>
      <c r="BD142" s="167">
        <f>IFERROR(IF($C142="Top WS",VLOOKUP($B142,'2) หลักการคำนวน Table'!$D$5:$M$20,HLOOKUP(AF142,'2) หลักการคำนวน Table'!$D$1:$M$5,5,TRUE),0),
IF($C142="WS SF",VLOOKUP($B142,'2) หลักการคำนวน Table'!$D$33:$M$48,HLOOKUP(AF142,'2) หลักการคำนวน Table'!$D$1:$M$5,5,TRUE),0),
IF($C142="WS WH",VLOOKUP($B142,'2) หลักการคำนวน Table'!$D$63:$M$78,HLOOKUP(AF142,'2) หลักการคำนวน Table'!$D$1:$M$5,5,TRUE),0),
IF($C142="SF WH",VLOOKUP($B142,'2) หลักการคำนวน Table'!$D$93:$M$108,HLOOKUP(AF142,'2) หลักการคำนวน Table'!$D$1:$M$5,5,TRUE),0))))),0)</f>
        <v>315</v>
      </c>
      <c r="BE142" s="167">
        <f>IFERROR(IF($C142="Top WS",VLOOKUP($B142,'2) หลักการคำนวน Table'!$D$5:$M$20,HLOOKUP(AG142,'2) หลักการคำนวน Table'!$D$1:$M$5,5,TRUE),0),
IF($C142="WS SF",VLOOKUP($B142,'2) หลักการคำนวน Table'!$D$33:$M$48,HLOOKUP(AG142,'2) หลักการคำนวน Table'!$D$1:$M$5,5,TRUE),0),
IF($C142="WS WH",VLOOKUP($B142,'2) หลักการคำนวน Table'!$D$63:$M$78,HLOOKUP(AG142,'2) หลักการคำนวน Table'!$D$1:$M$5,5,TRUE),0),
IF($C142="SF WH",VLOOKUP($B142,'2) หลักการคำนวน Table'!$D$93:$M$108,HLOOKUP(AG142,'2) หลักการคำนวน Table'!$D$1:$M$5,5,TRUE),0))))),0)</f>
        <v>315</v>
      </c>
      <c r="BF142" s="167">
        <f>IFERROR(IF($C142="Top WS",VLOOKUP($B142,'2) หลักการคำนวน Table'!$D$5:$M$20,HLOOKUP(AH142,'2) หลักการคำนวน Table'!$D$1:$M$5,5,TRUE),0),
IF($C142="WS SF",VLOOKUP($B142,'2) หลักการคำนวน Table'!$D$33:$M$48,HLOOKUP(AH142,'2) หลักการคำนวน Table'!$D$1:$M$5,5,TRUE),0),
IF($C142="WS WH",VLOOKUP($B142,'2) หลักการคำนวน Table'!$D$63:$M$78,HLOOKUP(AH142,'2) หลักการคำนวน Table'!$D$1:$M$5,5,TRUE),0),
IF($C142="SF WH",VLOOKUP($B142,'2) หลักการคำนวน Table'!$D$93:$M$108,HLOOKUP(AH142,'2) หลักการคำนวน Table'!$D$1:$M$5,5,TRUE),0))))),0)</f>
        <v>315</v>
      </c>
      <c r="BG142" s="167">
        <f>IFERROR(IF($C142="Top WS",VLOOKUP($B142,'2) หลักการคำนวน Table'!$D$5:$M$20,HLOOKUP(AI142,'2) หลักการคำนวน Table'!$D$1:$M$5,5,TRUE),0),
IF($C142="WS SF",VLOOKUP($B142,'2) หลักการคำนวน Table'!$D$33:$M$48,HLOOKUP(AI142,'2) หลักการคำนวน Table'!$D$1:$M$5,5,TRUE),0),
IF($C142="WS WH",VLOOKUP($B142,'2) หลักการคำนวน Table'!$D$63:$M$78,HLOOKUP(AI142,'2) หลักการคำนวน Table'!$D$1:$M$5,5,TRUE),0),
IF($C142="SF WH",VLOOKUP($B142,'2) หลักการคำนวน Table'!$D$93:$M$108,HLOOKUP(AI142,'2) หลักการคำนวน Table'!$D$1:$M$5,5,TRUE),0))))),0)</f>
        <v>315</v>
      </c>
      <c r="BH142" s="167">
        <f>IFERROR(IF($C142="Top WS",VLOOKUP($B142,'2) หลักการคำนวน Table'!$D$5:$M$20,HLOOKUP(AP142,'2) หลักการคำนวน Table'!$D$1:$M$5,5,TRUE),0),
IF($C142="WS SF",VLOOKUP($B142,'2) หลักการคำนวน Table'!$D$33:$M$48,HLOOKUP(AP142,'2) หลักการคำนวน Table'!$D$1:$M$5,5,TRUE),0),
IF($C142="WS WH",VLOOKUP($B142,'2) หลักการคำนวน Table'!$D$63:$M$78,HLOOKUP(AP142,'2) หลักการคำนวน Table'!$D$1:$M$5,5,TRUE),0),
IF($C142="SF WH",VLOOKUP($B142,'2) หลักการคำนวน Table'!$D$93:$M$108,HLOOKUP(AP142,'2) หลักการคำนวน Table'!$D$1:$M$5,5,TRUE),0))))),0)</f>
        <v>315</v>
      </c>
      <c r="BI142" s="167">
        <f>IFERROR(IF($C142="Top WS",VLOOKUP($B142,'2) หลักการคำนวน Table'!$D$5:$M$20,HLOOKUP(AK142,'2) หลักการคำนวน Table'!$D$1:$M$5,5,TRUE),0),
IF($C142="WS SF",VLOOKUP($B142,'2) หลักการคำนวน Table'!$D$33:$M$48,HLOOKUP(AK142,'2) หลักการคำนวน Table'!$D$1:$M$5,5,TRUE),0),
IF($C142="WS WH",VLOOKUP($B142,'2) หลักการคำนวน Table'!$D$63:$M$78,HLOOKUP(AK142,'2) หลักการคำนวน Table'!$D$1:$M$5,5,TRUE),0),
IF($C142="SF WH",VLOOKUP($B142,'2) หลักการคำนวน Table'!$D$93:$M$108,HLOOKUP(AK142,'2) หลักการคำนวน Table'!$D$1:$M$5,5,TRUE),0))))),0)</f>
        <v>315</v>
      </c>
      <c r="BJ142" s="167">
        <f>IFERROR(IF($C142="Top WS",VLOOKUP($B142,'2) หลักการคำนวน Table'!$D$5:$M$20,HLOOKUP(AL142,'2) หลักการคำนวน Table'!$D$1:$M$5,5,TRUE),0),
IF($C142="WS SF",VLOOKUP($B142,'2) หลักการคำนวน Table'!$D$33:$M$48,HLOOKUP(AL142,'2) หลักการคำนวน Table'!$D$1:$M$5,5,TRUE),0),
IF($C142="WS WH",VLOOKUP($B142,'2) หลักการคำนวน Table'!$D$63:$M$78,HLOOKUP(AL142,'2) หลักการคำนวน Table'!$D$1:$M$5,5,TRUE),0),
IF($C142="SF WH",VLOOKUP($B142,'2) หลักการคำนวน Table'!$D$93:$M$108,HLOOKUP(AL142,'2) หลักการคำนวน Table'!$D$1:$M$5,5,TRUE),0))))),0)</f>
        <v>315</v>
      </c>
      <c r="BK142" s="167">
        <f>IFERROR(IF($C142="Top WS",VLOOKUP($B142,'2) หลักการคำนวน Table'!$D$5:$M$20,HLOOKUP(AM142,'2) หลักการคำนวน Table'!$D$1:$M$5,5,TRUE),0),
IF($C142="WS SF",VLOOKUP($B142,'2) หลักการคำนวน Table'!$D$33:$M$48,HLOOKUP(AM142,'2) หลักการคำนวน Table'!$D$1:$M$5,5,TRUE),0),
IF($C142="WS WH",VLOOKUP($B142,'2) หลักการคำนวน Table'!$D$63:$M$78,HLOOKUP(AM142,'2) หลักการคำนวน Table'!$D$1:$M$5,5,TRUE),0),
IF($C142="SF WH",VLOOKUP($B142,'2) หลักการคำนวน Table'!$D$93:$M$108,HLOOKUP(AM142,'2) หลักการคำนวน Table'!$D$1:$M$5,5,TRUE),0))))),0)</f>
        <v>315</v>
      </c>
      <c r="BM142" s="119">
        <f>VLOOKUP(VLOOKUP(A142,ASTBase!E:S,13,FALSE),ASTBase!F:P,11,FALSE)</f>
        <v>130000</v>
      </c>
      <c r="BN142" s="196" cm="1">
        <f t="array" ref="BN142">INDEX(AN142:AY142,,Period!$D$2)</f>
        <v>0.9</v>
      </c>
    </row>
    <row r="143" spans="1:66" x14ac:dyDescent="0.25">
      <c r="A143" s="117">
        <v>130002</v>
      </c>
      <c r="B143" s="117" t="s">
        <v>394</v>
      </c>
      <c r="C143" s="117" t="s">
        <v>179</v>
      </c>
      <c r="D143" s="118">
        <v>421</v>
      </c>
      <c r="E143" s="118">
        <v>626</v>
      </c>
      <c r="F143" s="118">
        <v>341</v>
      </c>
      <c r="G143" s="118">
        <v>116</v>
      </c>
      <c r="H143" s="118">
        <v>8</v>
      </c>
      <c r="I143" s="118">
        <v>554</v>
      </c>
      <c r="J143" s="118">
        <v>495</v>
      </c>
      <c r="K143" s="118">
        <v>772</v>
      </c>
      <c r="L143" s="118">
        <v>552</v>
      </c>
      <c r="M143" s="118">
        <v>486</v>
      </c>
      <c r="N143" s="118">
        <v>532</v>
      </c>
      <c r="O143" s="118">
        <v>539</v>
      </c>
      <c r="P143" s="117">
        <f>SUMIFS(Actual!C:C,Actual!$A:$A,'3)Target &amp; Cal'!$A143,Actual!$B:$B,'3)Target &amp; Cal'!$B143)</f>
        <v>162</v>
      </c>
      <c r="Q143" s="117">
        <f>SUMIFS(Actual!D:D,Actual!$A:$A,'3)Target &amp; Cal'!$A143,Actual!$B:$B,'3)Target &amp; Cal'!$B143)</f>
        <v>639</v>
      </c>
      <c r="R143" s="117">
        <f>SUMIFS(Actual!E:E,Actual!$A:$A,'3)Target &amp; Cal'!$A143,Actual!$B:$B,'3)Target &amp; Cal'!$B143)</f>
        <v>0</v>
      </c>
      <c r="S143" s="117">
        <f>SUMIFS(Actual!F:F,Actual!$A:$A,'3)Target &amp; Cal'!$A143,Actual!$B:$B,'3)Target &amp; Cal'!$B143)</f>
        <v>0</v>
      </c>
      <c r="T143" s="117">
        <f>SUMIFS(Actual!G:G,Actual!$A:$A,'3)Target &amp; Cal'!$A143,Actual!$B:$B,'3)Target &amp; Cal'!$B143)</f>
        <v>0</v>
      </c>
      <c r="U143" s="117">
        <f>SUMIFS(Actual!H:H,Actual!$A:$A,'3)Target &amp; Cal'!$A143,Actual!$B:$B,'3)Target &amp; Cal'!$B143)</f>
        <v>0</v>
      </c>
      <c r="V143" s="117">
        <f>SUMIFS(Actual!I:I,Actual!$A:$A,'3)Target &amp; Cal'!$A143,Actual!$B:$B,'3)Target &amp; Cal'!$B143)</f>
        <v>0</v>
      </c>
      <c r="W143" s="117">
        <f>SUMIFS(Actual!J:J,Actual!$A:$A,'3)Target &amp; Cal'!$A143,Actual!$B:$B,'3)Target &amp; Cal'!$B143)</f>
        <v>0</v>
      </c>
      <c r="X143" s="117">
        <f>SUMIFS(Actual!K:K,Actual!$A:$A,'3)Target &amp; Cal'!$A143,Actual!$B:$B,'3)Target &amp; Cal'!$B143)</f>
        <v>0</v>
      </c>
      <c r="Y143" s="117">
        <f>SUMIFS(Actual!L:L,Actual!$A:$A,'3)Target &amp; Cal'!$A143,Actual!$B:$B,'3)Target &amp; Cal'!$B143)</f>
        <v>0</v>
      </c>
      <c r="Z143" s="117">
        <f>SUMIFS(Actual!M:M,Actual!$A:$A,'3)Target &amp; Cal'!$A143,Actual!$B:$B,'3)Target &amp; Cal'!$B143)</f>
        <v>0</v>
      </c>
      <c r="AA143" s="117">
        <f>SUMIFS(Actual!N:N,Actual!$A:$A,'3)Target &amp; Cal'!$A143,Actual!$B:$B,'3)Target &amp; Cal'!$B143)</f>
        <v>0</v>
      </c>
      <c r="AB143" s="123">
        <f>IFERROR(IF(VLOOKUP($B143,Shortage!$A:$M,AB$2,FALSE)="Shortage",1,IFERROR(ROUND(P143/D143,4),0)),IFERROR(ROUND(P143/D143,4),0))</f>
        <v>0.38479999999999998</v>
      </c>
      <c r="AC143" s="123">
        <f>IFERROR(IF(VLOOKUP($B143,Shortage!$A:$M,AC$2,FALSE)="Shortage",1,IFERROR(ROUND(Q143/E143,4),0)),IFERROR(ROUND(Q143/E143,4),0))</f>
        <v>1.0207999999999999</v>
      </c>
      <c r="AD143" s="123">
        <f>IFERROR(IF(VLOOKUP($B143,Shortage!$A:$M,AD$2,FALSE)="Shortage",1,IFERROR(ROUND(R143/F143,4),0)),IFERROR(ROUND(R143/F143,4),0))</f>
        <v>0</v>
      </c>
      <c r="AE143" s="123">
        <f>IFERROR(IF(VLOOKUP($B143,Shortage!$A:$M,AE$2,FALSE)="Shortage",1,IFERROR(ROUND(S143/G143,4),0)),IFERROR(ROUND(S143/G143,4),0))</f>
        <v>0</v>
      </c>
      <c r="AF143" s="123">
        <f>IFERROR(IF(VLOOKUP($B143,Shortage!$A:$M,AF$2,FALSE)="Shortage",1,IFERROR(ROUND(T143/H143,4),0)),IFERROR(ROUND(T143/H143,4),0))</f>
        <v>0</v>
      </c>
      <c r="AG143" s="123">
        <f>IFERROR(IF(VLOOKUP($B143,Shortage!$A:$M,AG$2,FALSE)="Shortage",1,IFERROR(ROUND(U143/I143,4),0)),IFERROR(ROUND(U143/I143,4),0))</f>
        <v>0</v>
      </c>
      <c r="AH143" s="123">
        <f>IFERROR(IF(VLOOKUP($B143,Shortage!$A:$M,AH$2,FALSE)="Shortage",1,IFERROR(ROUND(V143/J143,4),0)),IFERROR(ROUND(V143/J143,4),0))</f>
        <v>0</v>
      </c>
      <c r="AI143" s="123">
        <f>IFERROR(IF(VLOOKUP($B143,Shortage!$A:$M,AI$2,FALSE)="Shortage",1,IFERROR(ROUND(W143/K143,4),0)),IFERROR(ROUND(W143/K143,4),0))</f>
        <v>0</v>
      </c>
      <c r="AJ143" s="123">
        <f>IFERROR(IF(VLOOKUP($B143,Shortage!$A:$M,AP$2,FALSE)="Shortage",1,IFERROR(ROUND(X143/L143,4),0)),IFERROR(ROUND(X143/L143,4),0))</f>
        <v>0</v>
      </c>
      <c r="AK143" s="123">
        <f>IFERROR(IF(VLOOKUP($B143,Shortage!$A:$M,AK$2,FALSE)="Shortage",1,IFERROR(ROUND(Y143/M143,4),0)),IFERROR(ROUND(Y143/M143,4),0))</f>
        <v>0</v>
      </c>
      <c r="AL143" s="123">
        <f>IFERROR(IF(VLOOKUP($B143,Shortage!$A:$M,AL$2,FALSE)="Shortage",1,IFERROR(ROUND(Z143/N143,4),0)),IFERROR(ROUND(Z143/N143,4),0))</f>
        <v>0</v>
      </c>
      <c r="AM143" s="123">
        <f>IFERROR(IF(VLOOKUP($B143,Shortage!$A:$M,AM$2,FALSE)="Shortage",1,IFERROR(ROUND(AA143/O143,4),0)),IFERROR(ROUND(AA143/O143,4),0))</f>
        <v>0</v>
      </c>
      <c r="AN143" s="232">
        <f>IFERROR(IF($C143="Top WS",VLOOKUP("GOAL",'2) หลักการคำนวน Table'!$D$4:$M$4,HLOOKUP(AB143,'2) หลักการคำนวน Table'!$D$1:$M$5,5,TRUE),0),
IF($C143="WS SF",VLOOKUP("GOAL",'2) หลักการคำนวน Table'!$D$32:$M$32,HLOOKUP(AB143,'2) หลักการคำนวน Table'!$D$1:$M$5,5,TRUE),0),
IF($C143="WS WH",VLOOKUP("GOAL",'2) หลักการคำนวน Table'!$D$62:$M$62,HLOOKUP(AB143,'2) หลักการคำนวน Table'!$D$1:$M$5,5,TRUE),0),
IF($C143="SF WH",VLOOKUP("GOAL",'2) หลักการคำนวน Table'!$D$92:$M$92,HLOOKUP(AB143,'2) หลักการคำนวน Table'!$D$1:$M$5,5,TRUE),0))))),0)</f>
        <v>0.9</v>
      </c>
      <c r="AO143" s="232">
        <f>IFERROR(IF($C143="Top WS",VLOOKUP("GOAL",'2) หลักการคำนวน Table'!$D$4:$M$4,HLOOKUP(AC143,'2) หลักการคำนวน Table'!$D$1:$M$5,5,TRUE),0),
IF($C143="WS SF",VLOOKUP("GOAL",'2) หลักการคำนวน Table'!$D$32:$M$32,HLOOKUP(AC143,'2) หลักการคำนวน Table'!$D$1:$M$5,5,TRUE),0),
IF($C143="WS WH",VLOOKUP("GOAL",'2) หลักการคำนวน Table'!$D$62:$M$62,HLOOKUP(AC143,'2) หลักการคำนวน Table'!$D$1:$M$5,5,TRUE),0),
IF($C143="SF WH",VLOOKUP("GOAL",'2) หลักการคำนวน Table'!$D$92:$M$92,HLOOKUP(AC143,'2) หลักการคำนวน Table'!$D$1:$M$5,5,TRUE),0))))),0)</f>
        <v>1.03</v>
      </c>
      <c r="AP143" s="232">
        <f>IFERROR(IF($C143="Top WS",VLOOKUP("GOAL",'2) หลักการคำนวน Table'!$D$4:$M$4,HLOOKUP(AD143,'2) หลักการคำนวน Table'!$D$1:$M$5,5,TRUE),0),
IF($C143="WS SF",VLOOKUP("GOAL",'2) หลักการคำนวน Table'!$D$32:$M$32,HLOOKUP(AD143,'2) หลักการคำนวน Table'!$D$1:$M$5,5,TRUE),0),
IF($C143="WS WH",VLOOKUP("GOAL",'2) หลักการคำนวน Table'!$D$62:$M$62,HLOOKUP(AD143,'2) หลักการคำนวน Table'!$D$1:$M$5,5,TRUE),0),
IF($C143="SF WH",VLOOKUP("GOAL",'2) หลักการคำนวน Table'!$D$92:$M$92,HLOOKUP(AD143,'2) หลักการคำนวน Table'!$D$1:$M$5,5,TRUE),0))))),0)</f>
        <v>0.9</v>
      </c>
      <c r="AQ143" s="232">
        <f>IFERROR(IF($C143="Top WS",VLOOKUP("GOAL",'2) หลักการคำนวน Table'!$D$4:$M$4,HLOOKUP(AE143,'2) หลักการคำนวน Table'!$D$1:$M$5,5,TRUE),0),
IF($C143="WS SF",VLOOKUP("GOAL",'2) หลักการคำนวน Table'!$D$32:$M$32,HLOOKUP(AE143,'2) หลักการคำนวน Table'!$D$1:$M$5,5,TRUE),0),
IF($C143="WS WH",VLOOKUP("GOAL",'2) หลักการคำนวน Table'!$D$62:$M$62,HLOOKUP(AE143,'2) หลักการคำนวน Table'!$D$1:$M$5,5,TRUE),0),
IF($C143="SF WH",VLOOKUP("GOAL",'2) หลักการคำนวน Table'!$D$92:$M$92,HLOOKUP(AE143,'2) หลักการคำนวน Table'!$D$1:$M$5,5,TRUE),0))))),0)</f>
        <v>0.9</v>
      </c>
      <c r="AR143" s="232">
        <f>IFERROR(IF($C143="Top WS",VLOOKUP("GOAL",'2) หลักการคำนวน Table'!$D$4:$M$4,HLOOKUP(AF143,'2) หลักการคำนวน Table'!$D$1:$M$5,5,TRUE),0),
IF($C143="WS SF",VLOOKUP("GOAL",'2) หลักการคำนวน Table'!$D$32:$M$32,HLOOKUP(AF143,'2) หลักการคำนวน Table'!$D$1:$M$5,5,TRUE),0),
IF($C143="WS WH",VLOOKUP("GOAL",'2) หลักการคำนวน Table'!$D$62:$M$62,HLOOKUP(AF143,'2) หลักการคำนวน Table'!$D$1:$M$5,5,TRUE),0),
IF($C143="SF WH",VLOOKUP("GOAL",'2) หลักการคำนวน Table'!$D$92:$M$92,HLOOKUP(AF143,'2) หลักการคำนวน Table'!$D$1:$M$5,5,TRUE),0))))),0)</f>
        <v>0.9</v>
      </c>
      <c r="AS143" s="232">
        <f>IFERROR(IF($C143="Top WS",VLOOKUP("GOAL",'2) หลักการคำนวน Table'!$D$4:$M$4,HLOOKUP(AG143,'2) หลักการคำนวน Table'!$D$1:$M$5,5,TRUE),0),
IF($C143="WS SF",VLOOKUP("GOAL",'2) หลักการคำนวน Table'!$D$32:$M$32,HLOOKUP(AG143,'2) หลักการคำนวน Table'!$D$1:$M$5,5,TRUE),0),
IF($C143="WS WH",VLOOKUP("GOAL",'2) หลักการคำนวน Table'!$D$62:$M$62,HLOOKUP(AG143,'2) หลักการคำนวน Table'!$D$1:$M$5,5,TRUE),0),
IF($C143="SF WH",VLOOKUP("GOAL",'2) หลักการคำนวน Table'!$D$92:$M$92,HLOOKUP(AG143,'2) หลักการคำนวน Table'!$D$1:$M$5,5,TRUE),0))))),0)</f>
        <v>0.9</v>
      </c>
      <c r="AT143" s="232">
        <f>IFERROR(IF($C143="Top WS",VLOOKUP("GOAL",'2) หลักการคำนวน Table'!$D$4:$M$4,HLOOKUP(AH143,'2) หลักการคำนวน Table'!$D$1:$M$5,5,TRUE),0),
IF($C143="WS SF",VLOOKUP("GOAL",'2) หลักการคำนวน Table'!$D$32:$M$32,HLOOKUP(AH143,'2) หลักการคำนวน Table'!$D$1:$M$5,5,TRUE),0),
IF($C143="WS WH",VLOOKUP("GOAL",'2) หลักการคำนวน Table'!$D$62:$M$62,HLOOKUP(AH143,'2) หลักการคำนวน Table'!$D$1:$M$5,5,TRUE),0),
IF($C143="SF WH",VLOOKUP("GOAL",'2) หลักการคำนวน Table'!$D$92:$M$92,HLOOKUP(AH143,'2) หลักการคำนวน Table'!$D$1:$M$5,5,TRUE),0))))),0)</f>
        <v>0.9</v>
      </c>
      <c r="AU143" s="232">
        <f>IFERROR(IF($C143="Top WS",VLOOKUP("GOAL",'2) หลักการคำนวน Table'!$D$4:$M$4,HLOOKUP(AI143,'2) หลักการคำนวน Table'!$D$1:$M$5,5,TRUE),0),
IF($C143="WS SF",VLOOKUP("GOAL",'2) หลักการคำนวน Table'!$D$32:$M$32,HLOOKUP(AI143,'2) หลักการคำนวน Table'!$D$1:$M$5,5,TRUE),0),
IF($C143="WS WH",VLOOKUP("GOAL",'2) หลักการคำนวน Table'!$D$62:$M$62,HLOOKUP(AI143,'2) หลักการคำนวน Table'!$D$1:$M$5,5,TRUE),0),
IF($C143="SF WH",VLOOKUP("GOAL",'2) หลักการคำนวน Table'!$D$92:$M$92,HLOOKUP(AI143,'2) หลักการคำนวน Table'!$D$1:$M$5,5,TRUE),0))))),0)</f>
        <v>0.9</v>
      </c>
      <c r="AV143" s="232">
        <f>IFERROR(IF($C143="Top WS",VLOOKUP("GOAL",'2) หลักการคำนวน Table'!$D$4:$M$4,HLOOKUP(AP143,'2) หลักการคำนวน Table'!$D$1:$M$5,5,TRUE),0),
IF($C143="WS SF",VLOOKUP("GOAL",'2) หลักการคำนวน Table'!$D$32:$M$32,HLOOKUP(AP143,'2) หลักการคำนวน Table'!$D$1:$M$5,5,TRUE),0),
IF($C143="WS WH",VLOOKUP("GOAL",'2) หลักการคำนวน Table'!$D$62:$M$62,HLOOKUP(AP143,'2) หลักการคำนวน Table'!$D$1:$M$5,5,TRUE),0),
IF($C143="SF WH",VLOOKUP("GOAL",'2) หลักการคำนวน Table'!$D$92:$M$92,HLOOKUP(AP143,'2) หลักการคำนวน Table'!$D$1:$M$5,5,TRUE),0))))),0)</f>
        <v>0.9</v>
      </c>
      <c r="AW143" s="232">
        <f>IFERROR(IF($C143="Top WS",VLOOKUP("GOAL",'2) หลักการคำนวน Table'!$D$4:$M$4,HLOOKUP(AK143,'2) หลักการคำนวน Table'!$D$1:$M$5,5,TRUE),0),
IF($C143="WS SF",VLOOKUP("GOAL",'2) หลักการคำนวน Table'!$D$32:$M$32,HLOOKUP(AK143,'2) หลักการคำนวน Table'!$D$1:$M$5,5,TRUE),0),
IF($C143="WS WH",VLOOKUP("GOAL",'2) หลักการคำนวน Table'!$D$62:$M$62,HLOOKUP(AK143,'2) หลักการคำนวน Table'!$D$1:$M$5,5,TRUE),0),
IF($C143="SF WH",VLOOKUP("GOAL",'2) หลักการคำนวน Table'!$D$92:$M$92,HLOOKUP(AK143,'2) หลักการคำนวน Table'!$D$1:$M$5,5,TRUE),0))))),0)</f>
        <v>0.9</v>
      </c>
      <c r="AX143" s="232">
        <f>IFERROR(IF($C143="Top WS",VLOOKUP("GOAL",'2) หลักการคำนวน Table'!$D$4:$M$4,HLOOKUP(AL143,'2) หลักการคำนวน Table'!$D$1:$M$5,5,TRUE),0),
IF($C143="WS SF",VLOOKUP("GOAL",'2) หลักการคำนวน Table'!$D$32:$M$32,HLOOKUP(AL143,'2) หลักการคำนวน Table'!$D$1:$M$5,5,TRUE),0),
IF($C143="WS WH",VLOOKUP("GOAL",'2) หลักการคำนวน Table'!$D$62:$M$62,HLOOKUP(AL143,'2) หลักการคำนวน Table'!$D$1:$M$5,5,TRUE),0),
IF($C143="SF WH",VLOOKUP("GOAL",'2) หลักการคำนวน Table'!$D$92:$M$92,HLOOKUP(AL143,'2) หลักการคำนวน Table'!$D$1:$M$5,5,TRUE),0))))),0)</f>
        <v>0.9</v>
      </c>
      <c r="AY143" s="232">
        <f>IFERROR(IF($C143="Top WS",VLOOKUP("GOAL",'2) หลักการคำนวน Table'!$D$4:$M$4,HLOOKUP(AM143,'2) หลักการคำนวน Table'!$D$1:$M$5,5,TRUE),0),
IF($C143="WS SF",VLOOKUP("GOAL",'2) หลักการคำนวน Table'!$D$32:$M$32,HLOOKUP(AM143,'2) หลักการคำนวน Table'!$D$1:$M$5,5,TRUE),0),
IF($C143="WS WH",VLOOKUP("GOAL",'2) หลักการคำนวน Table'!$D$62:$M$62,HLOOKUP(AM143,'2) หลักการคำนวน Table'!$D$1:$M$5,5,TRUE),0),
IF($C143="SF WH",VLOOKUP("GOAL",'2) หลักการคำนวน Table'!$D$92:$M$92,HLOOKUP(AM143,'2) หลักการคำนวน Table'!$D$1:$M$5,5,TRUE),0))))),0)</f>
        <v>0.9</v>
      </c>
      <c r="AZ143" s="167">
        <f>IFERROR(IF($C143="Top WS",VLOOKUP($B143,'2) หลักการคำนวน Table'!$D$5:$M$20,HLOOKUP(AB143,'2) หลักการคำนวน Table'!$D$1:$M$5,5,TRUE),0),
IF($C143="WS SF",VLOOKUP($B143,'2) หลักการคำนวน Table'!$D$33:$M$48,HLOOKUP(AB143,'2) หลักการคำนวน Table'!$D$1:$M$5,5,TRUE),0),
IF($C143="WS WH",VLOOKUP($B143,'2) หลักการคำนวน Table'!$D$63:$M$78,HLOOKUP(AB143,'2) หลักการคำนวน Table'!$D$1:$M$5,5,TRUE),0),
IF($C143="SF WH",VLOOKUP($B143,'2) หลักการคำนวน Table'!$D$93:$M$108,HLOOKUP(AB143,'2) หลักการคำนวน Table'!$D$1:$M$5,5,TRUE),0))))),0)</f>
        <v>157.5</v>
      </c>
      <c r="BA143" s="167">
        <f>IFERROR(IF($C143="Top WS",VLOOKUP($B143,'2) หลักการคำนวน Table'!$D$5:$M$20,HLOOKUP(AC143,'2) หลักการคำนวน Table'!$D$1:$M$5,5,TRUE),0),
IF($C143="WS SF",VLOOKUP($B143,'2) หลักการคำนวน Table'!$D$33:$M$48,HLOOKUP(AC143,'2) หลักการคำนวน Table'!$D$1:$M$5,5,TRUE),0),
IF($C143="WS WH",VLOOKUP($B143,'2) หลักการคำนวน Table'!$D$63:$M$78,HLOOKUP(AC143,'2) หลักการคำนวน Table'!$D$1:$M$5,5,TRUE),0),
IF($C143="SF WH",VLOOKUP($B143,'2) หลักการคำนวน Table'!$D$93:$M$108,HLOOKUP(AC143,'2) หลักการคำนวน Table'!$D$1:$M$5,5,TRUE),0))))),0)</f>
        <v>180.25</v>
      </c>
      <c r="BB143" s="167">
        <f>IFERROR(IF($C143="Top WS",VLOOKUP($B143,'2) หลักการคำนวน Table'!$D$5:$M$20,HLOOKUP(AD143,'2) หลักการคำนวน Table'!$D$1:$M$5,5,TRUE),0),
IF($C143="WS SF",VLOOKUP($B143,'2) หลักการคำนวน Table'!$D$33:$M$48,HLOOKUP(AD143,'2) หลักการคำนวน Table'!$D$1:$M$5,5,TRUE),0),
IF($C143="WS WH",VLOOKUP($B143,'2) หลักการคำนวน Table'!$D$63:$M$78,HLOOKUP(AD143,'2) หลักการคำนวน Table'!$D$1:$M$5,5,TRUE),0),
IF($C143="SF WH",VLOOKUP($B143,'2) หลักการคำนวน Table'!$D$93:$M$108,HLOOKUP(AD143,'2) หลักการคำนวน Table'!$D$1:$M$5,5,TRUE),0))))),0)</f>
        <v>157.5</v>
      </c>
      <c r="BC143" s="167">
        <f>IFERROR(IF($C143="Top WS",VLOOKUP($B143,'2) หลักการคำนวน Table'!$D$5:$M$20,HLOOKUP(AE143,'2) หลักการคำนวน Table'!$D$1:$M$5,5,TRUE),0),
IF($C143="WS SF",VLOOKUP($B143,'2) หลักการคำนวน Table'!$D$33:$M$48,HLOOKUP(AE143,'2) หลักการคำนวน Table'!$D$1:$M$5,5,TRUE),0),
IF($C143="WS WH",VLOOKUP($B143,'2) หลักการคำนวน Table'!$D$63:$M$78,HLOOKUP(AE143,'2) หลักการคำนวน Table'!$D$1:$M$5,5,TRUE),0),
IF($C143="SF WH",VLOOKUP($B143,'2) หลักการคำนวน Table'!$D$93:$M$108,HLOOKUP(AE143,'2) หลักการคำนวน Table'!$D$1:$M$5,5,TRUE),0))))),0)</f>
        <v>157.5</v>
      </c>
      <c r="BD143" s="167">
        <f>IFERROR(IF($C143="Top WS",VLOOKUP($B143,'2) หลักการคำนวน Table'!$D$5:$M$20,HLOOKUP(AF143,'2) หลักการคำนวน Table'!$D$1:$M$5,5,TRUE),0),
IF($C143="WS SF",VLOOKUP($B143,'2) หลักการคำนวน Table'!$D$33:$M$48,HLOOKUP(AF143,'2) หลักการคำนวน Table'!$D$1:$M$5,5,TRUE),0),
IF($C143="WS WH",VLOOKUP($B143,'2) หลักการคำนวน Table'!$D$63:$M$78,HLOOKUP(AF143,'2) หลักการคำนวน Table'!$D$1:$M$5,5,TRUE),0),
IF($C143="SF WH",VLOOKUP($B143,'2) หลักการคำนวน Table'!$D$93:$M$108,HLOOKUP(AF143,'2) หลักการคำนวน Table'!$D$1:$M$5,5,TRUE),0))))),0)</f>
        <v>157.5</v>
      </c>
      <c r="BE143" s="167">
        <f>IFERROR(IF($C143="Top WS",VLOOKUP($B143,'2) หลักการคำนวน Table'!$D$5:$M$20,HLOOKUP(AG143,'2) หลักการคำนวน Table'!$D$1:$M$5,5,TRUE),0),
IF($C143="WS SF",VLOOKUP($B143,'2) หลักการคำนวน Table'!$D$33:$M$48,HLOOKUP(AG143,'2) หลักการคำนวน Table'!$D$1:$M$5,5,TRUE),0),
IF($C143="WS WH",VLOOKUP($B143,'2) หลักการคำนวน Table'!$D$63:$M$78,HLOOKUP(AG143,'2) หลักการคำนวน Table'!$D$1:$M$5,5,TRUE),0),
IF($C143="SF WH",VLOOKUP($B143,'2) หลักการคำนวน Table'!$D$93:$M$108,HLOOKUP(AG143,'2) หลักการคำนวน Table'!$D$1:$M$5,5,TRUE),0))))),0)</f>
        <v>157.5</v>
      </c>
      <c r="BF143" s="167">
        <f>IFERROR(IF($C143="Top WS",VLOOKUP($B143,'2) หลักการคำนวน Table'!$D$5:$M$20,HLOOKUP(AH143,'2) หลักการคำนวน Table'!$D$1:$M$5,5,TRUE),0),
IF($C143="WS SF",VLOOKUP($B143,'2) หลักการคำนวน Table'!$D$33:$M$48,HLOOKUP(AH143,'2) หลักการคำนวน Table'!$D$1:$M$5,5,TRUE),0),
IF($C143="WS WH",VLOOKUP($B143,'2) หลักการคำนวน Table'!$D$63:$M$78,HLOOKUP(AH143,'2) หลักการคำนวน Table'!$D$1:$M$5,5,TRUE),0),
IF($C143="SF WH",VLOOKUP($B143,'2) หลักการคำนวน Table'!$D$93:$M$108,HLOOKUP(AH143,'2) หลักการคำนวน Table'!$D$1:$M$5,5,TRUE),0))))),0)</f>
        <v>157.5</v>
      </c>
      <c r="BG143" s="167">
        <f>IFERROR(IF($C143="Top WS",VLOOKUP($B143,'2) หลักการคำนวน Table'!$D$5:$M$20,HLOOKUP(AI143,'2) หลักการคำนวน Table'!$D$1:$M$5,5,TRUE),0),
IF($C143="WS SF",VLOOKUP($B143,'2) หลักการคำนวน Table'!$D$33:$M$48,HLOOKUP(AI143,'2) หลักการคำนวน Table'!$D$1:$M$5,5,TRUE),0),
IF($C143="WS WH",VLOOKUP($B143,'2) หลักการคำนวน Table'!$D$63:$M$78,HLOOKUP(AI143,'2) หลักการคำนวน Table'!$D$1:$M$5,5,TRUE),0),
IF($C143="SF WH",VLOOKUP($B143,'2) หลักการคำนวน Table'!$D$93:$M$108,HLOOKUP(AI143,'2) หลักการคำนวน Table'!$D$1:$M$5,5,TRUE),0))))),0)</f>
        <v>157.5</v>
      </c>
      <c r="BH143" s="167">
        <f>IFERROR(IF($C143="Top WS",VLOOKUP($B143,'2) หลักการคำนวน Table'!$D$5:$M$20,HLOOKUP(AP143,'2) หลักการคำนวน Table'!$D$1:$M$5,5,TRUE),0),
IF($C143="WS SF",VLOOKUP($B143,'2) หลักการคำนวน Table'!$D$33:$M$48,HLOOKUP(AP143,'2) หลักการคำนวน Table'!$D$1:$M$5,5,TRUE),0),
IF($C143="WS WH",VLOOKUP($B143,'2) หลักการคำนวน Table'!$D$63:$M$78,HLOOKUP(AP143,'2) หลักการคำนวน Table'!$D$1:$M$5,5,TRUE),0),
IF($C143="SF WH",VLOOKUP($B143,'2) หลักการคำนวน Table'!$D$93:$M$108,HLOOKUP(AP143,'2) หลักการคำนวน Table'!$D$1:$M$5,5,TRUE),0))))),0)</f>
        <v>157.5</v>
      </c>
      <c r="BI143" s="167">
        <f>IFERROR(IF($C143="Top WS",VLOOKUP($B143,'2) หลักการคำนวน Table'!$D$5:$M$20,HLOOKUP(AK143,'2) หลักการคำนวน Table'!$D$1:$M$5,5,TRUE),0),
IF($C143="WS SF",VLOOKUP($B143,'2) หลักการคำนวน Table'!$D$33:$M$48,HLOOKUP(AK143,'2) หลักการคำนวน Table'!$D$1:$M$5,5,TRUE),0),
IF($C143="WS WH",VLOOKUP($B143,'2) หลักการคำนวน Table'!$D$63:$M$78,HLOOKUP(AK143,'2) หลักการคำนวน Table'!$D$1:$M$5,5,TRUE),0),
IF($C143="SF WH",VLOOKUP($B143,'2) หลักการคำนวน Table'!$D$93:$M$108,HLOOKUP(AK143,'2) หลักการคำนวน Table'!$D$1:$M$5,5,TRUE),0))))),0)</f>
        <v>157.5</v>
      </c>
      <c r="BJ143" s="167">
        <f>IFERROR(IF($C143="Top WS",VLOOKUP($B143,'2) หลักการคำนวน Table'!$D$5:$M$20,HLOOKUP(AL143,'2) หลักการคำนวน Table'!$D$1:$M$5,5,TRUE),0),
IF($C143="WS SF",VLOOKUP($B143,'2) หลักการคำนวน Table'!$D$33:$M$48,HLOOKUP(AL143,'2) หลักการคำนวน Table'!$D$1:$M$5,5,TRUE),0),
IF($C143="WS WH",VLOOKUP($B143,'2) หลักการคำนวน Table'!$D$63:$M$78,HLOOKUP(AL143,'2) หลักการคำนวน Table'!$D$1:$M$5,5,TRUE),0),
IF($C143="SF WH",VLOOKUP($B143,'2) หลักการคำนวน Table'!$D$93:$M$108,HLOOKUP(AL143,'2) หลักการคำนวน Table'!$D$1:$M$5,5,TRUE),0))))),0)</f>
        <v>157.5</v>
      </c>
      <c r="BK143" s="167">
        <f>IFERROR(IF($C143="Top WS",VLOOKUP($B143,'2) หลักการคำนวน Table'!$D$5:$M$20,HLOOKUP(AM143,'2) หลักการคำนวน Table'!$D$1:$M$5,5,TRUE),0),
IF($C143="WS SF",VLOOKUP($B143,'2) หลักการคำนวน Table'!$D$33:$M$48,HLOOKUP(AM143,'2) หลักการคำนวน Table'!$D$1:$M$5,5,TRUE),0),
IF($C143="WS WH",VLOOKUP($B143,'2) หลักการคำนวน Table'!$D$63:$M$78,HLOOKUP(AM143,'2) หลักการคำนวน Table'!$D$1:$M$5,5,TRUE),0),
IF($C143="SF WH",VLOOKUP($B143,'2) หลักการคำนวน Table'!$D$93:$M$108,HLOOKUP(AM143,'2) หลักการคำนวน Table'!$D$1:$M$5,5,TRUE),0))))),0)</f>
        <v>157.5</v>
      </c>
      <c r="BM143" s="119">
        <f>VLOOKUP(VLOOKUP(A143,ASTBase!E:S,13,FALSE),ASTBase!F:P,11,FALSE)</f>
        <v>130000</v>
      </c>
      <c r="BN143" s="196" cm="1">
        <f t="array" ref="BN143">INDEX(AN143:AY143,,Period!$D$2)</f>
        <v>1.03</v>
      </c>
    </row>
    <row r="144" spans="1:66" x14ac:dyDescent="0.25">
      <c r="A144" s="117">
        <v>130002</v>
      </c>
      <c r="B144" s="117" t="s">
        <v>405</v>
      </c>
      <c r="C144" s="117" t="s">
        <v>179</v>
      </c>
      <c r="D144" s="118">
        <v>189</v>
      </c>
      <c r="E144" s="118">
        <v>180</v>
      </c>
      <c r="F144" s="118">
        <v>190</v>
      </c>
      <c r="G144" s="118">
        <v>128</v>
      </c>
      <c r="H144" s="118">
        <v>109</v>
      </c>
      <c r="I144" s="118">
        <v>190</v>
      </c>
      <c r="J144" s="118">
        <v>133</v>
      </c>
      <c r="K144" s="118">
        <v>136</v>
      </c>
      <c r="L144" s="118">
        <v>96</v>
      </c>
      <c r="M144" s="118">
        <v>127</v>
      </c>
      <c r="N144" s="118">
        <v>180</v>
      </c>
      <c r="O144" s="118">
        <v>183</v>
      </c>
      <c r="P144" s="117">
        <f>SUMIFS(Actual!C:C,Actual!$A:$A,'3)Target &amp; Cal'!$A144,Actual!$B:$B,'3)Target &amp; Cal'!$B144)</f>
        <v>246.76</v>
      </c>
      <c r="Q144" s="117">
        <f>SUMIFS(Actual!D:D,Actual!$A:$A,'3)Target &amp; Cal'!$A144,Actual!$B:$B,'3)Target &amp; Cal'!$B144)</f>
        <v>60.739999999999995</v>
      </c>
      <c r="R144" s="117">
        <f>SUMIFS(Actual!E:E,Actual!$A:$A,'3)Target &amp; Cal'!$A144,Actual!$B:$B,'3)Target &amp; Cal'!$B144)</f>
        <v>0</v>
      </c>
      <c r="S144" s="117">
        <f>SUMIFS(Actual!F:F,Actual!$A:$A,'3)Target &amp; Cal'!$A144,Actual!$B:$B,'3)Target &amp; Cal'!$B144)</f>
        <v>0</v>
      </c>
      <c r="T144" s="117">
        <f>SUMIFS(Actual!G:G,Actual!$A:$A,'3)Target &amp; Cal'!$A144,Actual!$B:$B,'3)Target &amp; Cal'!$B144)</f>
        <v>0</v>
      </c>
      <c r="U144" s="117">
        <f>SUMIFS(Actual!H:H,Actual!$A:$A,'3)Target &amp; Cal'!$A144,Actual!$B:$B,'3)Target &amp; Cal'!$B144)</f>
        <v>0</v>
      </c>
      <c r="V144" s="117">
        <f>SUMIFS(Actual!I:I,Actual!$A:$A,'3)Target &amp; Cal'!$A144,Actual!$B:$B,'3)Target &amp; Cal'!$B144)</f>
        <v>0</v>
      </c>
      <c r="W144" s="117">
        <f>SUMIFS(Actual!J:J,Actual!$A:$A,'3)Target &amp; Cal'!$A144,Actual!$B:$B,'3)Target &amp; Cal'!$B144)</f>
        <v>0</v>
      </c>
      <c r="X144" s="117">
        <f>SUMIFS(Actual!K:K,Actual!$A:$A,'3)Target &amp; Cal'!$A144,Actual!$B:$B,'3)Target &amp; Cal'!$B144)</f>
        <v>0</v>
      </c>
      <c r="Y144" s="117">
        <f>SUMIFS(Actual!L:L,Actual!$A:$A,'3)Target &amp; Cal'!$A144,Actual!$B:$B,'3)Target &amp; Cal'!$B144)</f>
        <v>0</v>
      </c>
      <c r="Z144" s="117">
        <f>SUMIFS(Actual!M:M,Actual!$A:$A,'3)Target &amp; Cal'!$A144,Actual!$B:$B,'3)Target &amp; Cal'!$B144)</f>
        <v>0</v>
      </c>
      <c r="AA144" s="117">
        <f>SUMIFS(Actual!N:N,Actual!$A:$A,'3)Target &amp; Cal'!$A144,Actual!$B:$B,'3)Target &amp; Cal'!$B144)</f>
        <v>0</v>
      </c>
      <c r="AB144" s="123">
        <f>IFERROR(IF(VLOOKUP($B144,Shortage!$A:$M,AB$2,FALSE)="Shortage",1,IFERROR(ROUND(P144/D144,4),0)),IFERROR(ROUND(P144/D144,4),0))</f>
        <v>1.3056000000000001</v>
      </c>
      <c r="AC144" s="123">
        <f>IFERROR(IF(VLOOKUP($B144,Shortage!$A:$M,AC$2,FALSE)="Shortage",1,IFERROR(ROUND(Q144/E144,4),0)),IFERROR(ROUND(Q144/E144,4),0))</f>
        <v>0.33739999999999998</v>
      </c>
      <c r="AD144" s="123">
        <f>IFERROR(IF(VLOOKUP($B144,Shortage!$A:$M,AD$2,FALSE)="Shortage",1,IFERROR(ROUND(R144/F144,4),0)),IFERROR(ROUND(R144/F144,4),0))</f>
        <v>0</v>
      </c>
      <c r="AE144" s="123">
        <f>IFERROR(IF(VLOOKUP($B144,Shortage!$A:$M,AE$2,FALSE)="Shortage",1,IFERROR(ROUND(S144/G144,4),0)),IFERROR(ROUND(S144/G144,4),0))</f>
        <v>0</v>
      </c>
      <c r="AF144" s="123">
        <f>IFERROR(IF(VLOOKUP($B144,Shortage!$A:$M,AF$2,FALSE)="Shortage",1,IFERROR(ROUND(T144/H144,4),0)),IFERROR(ROUND(T144/H144,4),0))</f>
        <v>0</v>
      </c>
      <c r="AG144" s="123">
        <f>IFERROR(IF(VLOOKUP($B144,Shortage!$A:$M,AG$2,FALSE)="Shortage",1,IFERROR(ROUND(U144/I144,4),0)),IFERROR(ROUND(U144/I144,4),0))</f>
        <v>0</v>
      </c>
      <c r="AH144" s="123">
        <f>IFERROR(IF(VLOOKUP($B144,Shortage!$A:$M,AH$2,FALSE)="Shortage",1,IFERROR(ROUND(V144/J144,4),0)),IFERROR(ROUND(V144/J144,4),0))</f>
        <v>0</v>
      </c>
      <c r="AI144" s="123">
        <f>IFERROR(IF(VLOOKUP($B144,Shortage!$A:$M,AI$2,FALSE)="Shortage",1,IFERROR(ROUND(W144/K144,4),0)),IFERROR(ROUND(W144/K144,4),0))</f>
        <v>0</v>
      </c>
      <c r="AJ144" s="123">
        <f>IFERROR(IF(VLOOKUP($B144,Shortage!$A:$M,AP$2,FALSE)="Shortage",1,IFERROR(ROUND(X144/L144,4),0)),IFERROR(ROUND(X144/L144,4),0))</f>
        <v>0</v>
      </c>
      <c r="AK144" s="123">
        <f>IFERROR(IF(VLOOKUP($B144,Shortage!$A:$M,AK$2,FALSE)="Shortage",1,IFERROR(ROUND(Y144/M144,4),0)),IFERROR(ROUND(Y144/M144,4),0))</f>
        <v>0</v>
      </c>
      <c r="AL144" s="123">
        <f>IFERROR(IF(VLOOKUP($B144,Shortage!$A:$M,AL$2,FALSE)="Shortage",1,IFERROR(ROUND(Z144/N144,4),0)),IFERROR(ROUND(Z144/N144,4),0))</f>
        <v>0</v>
      </c>
      <c r="AM144" s="123">
        <f>IFERROR(IF(VLOOKUP($B144,Shortage!$A:$M,AM$2,FALSE)="Shortage",1,IFERROR(ROUND(AA144/O144,4),0)),IFERROR(ROUND(AA144/O144,4),0))</f>
        <v>0</v>
      </c>
      <c r="AN144" s="232">
        <f>IFERROR(IF($C144="Top WS",VLOOKUP("GOAL",'2) หลักการคำนวน Table'!$D$4:$M$4,HLOOKUP(AB144,'2) หลักการคำนวน Table'!$D$1:$M$5,5,TRUE),0),
IF($C144="WS SF",VLOOKUP("GOAL",'2) หลักการคำนวน Table'!$D$32:$M$32,HLOOKUP(AB144,'2) หลักการคำนวน Table'!$D$1:$M$5,5,TRUE),0),
IF($C144="WS WH",VLOOKUP("GOAL",'2) หลักการคำนวน Table'!$D$62:$M$62,HLOOKUP(AB144,'2) หลักการคำนวน Table'!$D$1:$M$5,5,TRUE),0),
IF($C144="SF WH",VLOOKUP("GOAL",'2) หลักการคำนวน Table'!$D$92:$M$92,HLOOKUP(AB144,'2) หลักการคำนวน Table'!$D$1:$M$5,5,TRUE),0))))),0)</f>
        <v>1.3</v>
      </c>
      <c r="AO144" s="232">
        <f>IFERROR(IF($C144="Top WS",VLOOKUP("GOAL",'2) หลักการคำนวน Table'!$D$4:$M$4,HLOOKUP(AC144,'2) หลักการคำนวน Table'!$D$1:$M$5,5,TRUE),0),
IF($C144="WS SF",VLOOKUP("GOAL",'2) หลักการคำนวน Table'!$D$32:$M$32,HLOOKUP(AC144,'2) หลักการคำนวน Table'!$D$1:$M$5,5,TRUE),0),
IF($C144="WS WH",VLOOKUP("GOAL",'2) หลักการคำนวน Table'!$D$62:$M$62,HLOOKUP(AC144,'2) หลักการคำนวน Table'!$D$1:$M$5,5,TRUE),0),
IF($C144="SF WH",VLOOKUP("GOAL",'2) หลักการคำนวน Table'!$D$92:$M$92,HLOOKUP(AC144,'2) หลักการคำนวน Table'!$D$1:$M$5,5,TRUE),0))))),0)</f>
        <v>0.9</v>
      </c>
      <c r="AP144" s="232">
        <f>IFERROR(IF($C144="Top WS",VLOOKUP("GOAL",'2) หลักการคำนวน Table'!$D$4:$M$4,HLOOKUP(AD144,'2) หลักการคำนวน Table'!$D$1:$M$5,5,TRUE),0),
IF($C144="WS SF",VLOOKUP("GOAL",'2) หลักการคำนวน Table'!$D$32:$M$32,HLOOKUP(AD144,'2) หลักการคำนวน Table'!$D$1:$M$5,5,TRUE),0),
IF($C144="WS WH",VLOOKUP("GOAL",'2) หลักการคำนวน Table'!$D$62:$M$62,HLOOKUP(AD144,'2) หลักการคำนวน Table'!$D$1:$M$5,5,TRUE),0),
IF($C144="SF WH",VLOOKUP("GOAL",'2) หลักการคำนวน Table'!$D$92:$M$92,HLOOKUP(AD144,'2) หลักการคำนวน Table'!$D$1:$M$5,5,TRUE),0))))),0)</f>
        <v>0.9</v>
      </c>
      <c r="AQ144" s="232">
        <f>IFERROR(IF($C144="Top WS",VLOOKUP("GOAL",'2) หลักการคำนวน Table'!$D$4:$M$4,HLOOKUP(AE144,'2) หลักการคำนวน Table'!$D$1:$M$5,5,TRUE),0),
IF($C144="WS SF",VLOOKUP("GOAL",'2) หลักการคำนวน Table'!$D$32:$M$32,HLOOKUP(AE144,'2) หลักการคำนวน Table'!$D$1:$M$5,5,TRUE),0),
IF($C144="WS WH",VLOOKUP("GOAL",'2) หลักการคำนวน Table'!$D$62:$M$62,HLOOKUP(AE144,'2) หลักการคำนวน Table'!$D$1:$M$5,5,TRUE),0),
IF($C144="SF WH",VLOOKUP("GOAL",'2) หลักการคำนวน Table'!$D$92:$M$92,HLOOKUP(AE144,'2) หลักการคำนวน Table'!$D$1:$M$5,5,TRUE),0))))),0)</f>
        <v>0.9</v>
      </c>
      <c r="AR144" s="232">
        <f>IFERROR(IF($C144="Top WS",VLOOKUP("GOAL",'2) หลักการคำนวน Table'!$D$4:$M$4,HLOOKUP(AF144,'2) หลักการคำนวน Table'!$D$1:$M$5,5,TRUE),0),
IF($C144="WS SF",VLOOKUP("GOAL",'2) หลักการคำนวน Table'!$D$32:$M$32,HLOOKUP(AF144,'2) หลักการคำนวน Table'!$D$1:$M$5,5,TRUE),0),
IF($C144="WS WH",VLOOKUP("GOAL",'2) หลักการคำนวน Table'!$D$62:$M$62,HLOOKUP(AF144,'2) หลักการคำนวน Table'!$D$1:$M$5,5,TRUE),0),
IF($C144="SF WH",VLOOKUP("GOAL",'2) หลักการคำนวน Table'!$D$92:$M$92,HLOOKUP(AF144,'2) หลักการคำนวน Table'!$D$1:$M$5,5,TRUE),0))))),0)</f>
        <v>0.9</v>
      </c>
      <c r="AS144" s="232">
        <f>IFERROR(IF($C144="Top WS",VLOOKUP("GOAL",'2) หลักการคำนวน Table'!$D$4:$M$4,HLOOKUP(AG144,'2) หลักการคำนวน Table'!$D$1:$M$5,5,TRUE),0),
IF($C144="WS SF",VLOOKUP("GOAL",'2) หลักการคำนวน Table'!$D$32:$M$32,HLOOKUP(AG144,'2) หลักการคำนวน Table'!$D$1:$M$5,5,TRUE),0),
IF($C144="WS WH",VLOOKUP("GOAL",'2) หลักการคำนวน Table'!$D$62:$M$62,HLOOKUP(AG144,'2) หลักการคำนวน Table'!$D$1:$M$5,5,TRUE),0),
IF($C144="SF WH",VLOOKUP("GOAL",'2) หลักการคำนวน Table'!$D$92:$M$92,HLOOKUP(AG144,'2) หลักการคำนวน Table'!$D$1:$M$5,5,TRUE),0))))),0)</f>
        <v>0.9</v>
      </c>
      <c r="AT144" s="232">
        <f>IFERROR(IF($C144="Top WS",VLOOKUP("GOAL",'2) หลักการคำนวน Table'!$D$4:$M$4,HLOOKUP(AH144,'2) หลักการคำนวน Table'!$D$1:$M$5,5,TRUE),0),
IF($C144="WS SF",VLOOKUP("GOAL",'2) หลักการคำนวน Table'!$D$32:$M$32,HLOOKUP(AH144,'2) หลักการคำนวน Table'!$D$1:$M$5,5,TRUE),0),
IF($C144="WS WH",VLOOKUP("GOAL",'2) หลักการคำนวน Table'!$D$62:$M$62,HLOOKUP(AH144,'2) หลักการคำนวน Table'!$D$1:$M$5,5,TRUE),0),
IF($C144="SF WH",VLOOKUP("GOAL",'2) หลักการคำนวน Table'!$D$92:$M$92,HLOOKUP(AH144,'2) หลักการคำนวน Table'!$D$1:$M$5,5,TRUE),0))))),0)</f>
        <v>0.9</v>
      </c>
      <c r="AU144" s="232">
        <f>IFERROR(IF($C144="Top WS",VLOOKUP("GOAL",'2) หลักการคำนวน Table'!$D$4:$M$4,HLOOKUP(AI144,'2) หลักการคำนวน Table'!$D$1:$M$5,5,TRUE),0),
IF($C144="WS SF",VLOOKUP("GOAL",'2) หลักการคำนวน Table'!$D$32:$M$32,HLOOKUP(AI144,'2) หลักการคำนวน Table'!$D$1:$M$5,5,TRUE),0),
IF($C144="WS WH",VLOOKUP("GOAL",'2) หลักการคำนวน Table'!$D$62:$M$62,HLOOKUP(AI144,'2) หลักการคำนวน Table'!$D$1:$M$5,5,TRUE),0),
IF($C144="SF WH",VLOOKUP("GOAL",'2) หลักการคำนวน Table'!$D$92:$M$92,HLOOKUP(AI144,'2) หลักการคำนวน Table'!$D$1:$M$5,5,TRUE),0))))),0)</f>
        <v>0.9</v>
      </c>
      <c r="AV144" s="232">
        <f>IFERROR(IF($C144="Top WS",VLOOKUP("GOAL",'2) หลักการคำนวน Table'!$D$4:$M$4,HLOOKUP(AP144,'2) หลักการคำนวน Table'!$D$1:$M$5,5,TRUE),0),
IF($C144="WS SF",VLOOKUP("GOAL",'2) หลักการคำนวน Table'!$D$32:$M$32,HLOOKUP(AP144,'2) หลักการคำนวน Table'!$D$1:$M$5,5,TRUE),0),
IF($C144="WS WH",VLOOKUP("GOAL",'2) หลักการคำนวน Table'!$D$62:$M$62,HLOOKUP(AP144,'2) หลักการคำนวน Table'!$D$1:$M$5,5,TRUE),0),
IF($C144="SF WH",VLOOKUP("GOAL",'2) หลักการคำนวน Table'!$D$92:$M$92,HLOOKUP(AP144,'2) หลักการคำนวน Table'!$D$1:$M$5,5,TRUE),0))))),0)</f>
        <v>0.9</v>
      </c>
      <c r="AW144" s="232">
        <f>IFERROR(IF($C144="Top WS",VLOOKUP("GOAL",'2) หลักการคำนวน Table'!$D$4:$M$4,HLOOKUP(AK144,'2) หลักการคำนวน Table'!$D$1:$M$5,5,TRUE),0),
IF($C144="WS SF",VLOOKUP("GOAL",'2) หลักการคำนวน Table'!$D$32:$M$32,HLOOKUP(AK144,'2) หลักการคำนวน Table'!$D$1:$M$5,5,TRUE),0),
IF($C144="WS WH",VLOOKUP("GOAL",'2) หลักการคำนวน Table'!$D$62:$M$62,HLOOKUP(AK144,'2) หลักการคำนวน Table'!$D$1:$M$5,5,TRUE),0),
IF($C144="SF WH",VLOOKUP("GOAL",'2) หลักการคำนวน Table'!$D$92:$M$92,HLOOKUP(AK144,'2) หลักการคำนวน Table'!$D$1:$M$5,5,TRUE),0))))),0)</f>
        <v>0.9</v>
      </c>
      <c r="AX144" s="232">
        <f>IFERROR(IF($C144="Top WS",VLOOKUP("GOAL",'2) หลักการคำนวน Table'!$D$4:$M$4,HLOOKUP(AL144,'2) หลักการคำนวน Table'!$D$1:$M$5,5,TRUE),0),
IF($C144="WS SF",VLOOKUP("GOAL",'2) หลักการคำนวน Table'!$D$32:$M$32,HLOOKUP(AL144,'2) หลักการคำนวน Table'!$D$1:$M$5,5,TRUE),0),
IF($C144="WS WH",VLOOKUP("GOAL",'2) หลักการคำนวน Table'!$D$62:$M$62,HLOOKUP(AL144,'2) หลักการคำนวน Table'!$D$1:$M$5,5,TRUE),0),
IF($C144="SF WH",VLOOKUP("GOAL",'2) หลักการคำนวน Table'!$D$92:$M$92,HLOOKUP(AL144,'2) หลักการคำนวน Table'!$D$1:$M$5,5,TRUE),0))))),0)</f>
        <v>0.9</v>
      </c>
      <c r="AY144" s="232">
        <f>IFERROR(IF($C144="Top WS",VLOOKUP("GOAL",'2) หลักการคำนวน Table'!$D$4:$M$4,HLOOKUP(AM144,'2) หลักการคำนวน Table'!$D$1:$M$5,5,TRUE),0),
IF($C144="WS SF",VLOOKUP("GOAL",'2) หลักการคำนวน Table'!$D$32:$M$32,HLOOKUP(AM144,'2) หลักการคำนวน Table'!$D$1:$M$5,5,TRUE),0),
IF($C144="WS WH",VLOOKUP("GOAL",'2) หลักการคำนวน Table'!$D$62:$M$62,HLOOKUP(AM144,'2) หลักการคำนวน Table'!$D$1:$M$5,5,TRUE),0),
IF($C144="SF WH",VLOOKUP("GOAL",'2) หลักการคำนวน Table'!$D$92:$M$92,HLOOKUP(AM144,'2) หลักการคำนวน Table'!$D$1:$M$5,5,TRUE),0))))),0)</f>
        <v>0.9</v>
      </c>
      <c r="AZ144" s="167">
        <f>IFERROR(IF($C144="Top WS",VLOOKUP($B144,'2) หลักการคำนวน Table'!$D$5:$M$20,HLOOKUP(AB144,'2) หลักการคำนวน Table'!$D$1:$M$5,5,TRUE),0),
IF($C144="WS SF",VLOOKUP($B144,'2) หลักการคำนวน Table'!$D$33:$M$48,HLOOKUP(AB144,'2) หลักการคำนวน Table'!$D$1:$M$5,5,TRUE),0),
IF($C144="WS WH",VLOOKUP($B144,'2) หลักการคำนวน Table'!$D$63:$M$78,HLOOKUP(AB144,'2) หลักการคำนวน Table'!$D$1:$M$5,5,TRUE),0),
IF($C144="SF WH",VLOOKUP($B144,'2) หลักการคำนวน Table'!$D$93:$M$108,HLOOKUP(AB144,'2) หลักการคำนวน Table'!$D$1:$M$5,5,TRUE),0))))),0)</f>
        <v>455</v>
      </c>
      <c r="BA144" s="167">
        <f>IFERROR(IF($C144="Top WS",VLOOKUP($B144,'2) หลักการคำนวน Table'!$D$5:$M$20,HLOOKUP(AC144,'2) หลักการคำนวน Table'!$D$1:$M$5,5,TRUE),0),
IF($C144="WS SF",VLOOKUP($B144,'2) หลักการคำนวน Table'!$D$33:$M$48,HLOOKUP(AC144,'2) หลักการคำนวน Table'!$D$1:$M$5,5,TRUE),0),
IF($C144="WS WH",VLOOKUP($B144,'2) หลักการคำนวน Table'!$D$63:$M$78,HLOOKUP(AC144,'2) หลักการคำนวน Table'!$D$1:$M$5,5,TRUE),0),
IF($C144="SF WH",VLOOKUP($B144,'2) หลักการคำนวน Table'!$D$93:$M$108,HLOOKUP(AC144,'2) หลักการคำนวน Table'!$D$1:$M$5,5,TRUE),0))))),0)</f>
        <v>315</v>
      </c>
      <c r="BB144" s="167">
        <f>IFERROR(IF($C144="Top WS",VLOOKUP($B144,'2) หลักการคำนวน Table'!$D$5:$M$20,HLOOKUP(AD144,'2) หลักการคำนวน Table'!$D$1:$M$5,5,TRUE),0),
IF($C144="WS SF",VLOOKUP($B144,'2) หลักการคำนวน Table'!$D$33:$M$48,HLOOKUP(AD144,'2) หลักการคำนวน Table'!$D$1:$M$5,5,TRUE),0),
IF($C144="WS WH",VLOOKUP($B144,'2) หลักการคำนวน Table'!$D$63:$M$78,HLOOKUP(AD144,'2) หลักการคำนวน Table'!$D$1:$M$5,5,TRUE),0),
IF($C144="SF WH",VLOOKUP($B144,'2) หลักการคำนวน Table'!$D$93:$M$108,HLOOKUP(AD144,'2) หลักการคำนวน Table'!$D$1:$M$5,5,TRUE),0))))),0)</f>
        <v>315</v>
      </c>
      <c r="BC144" s="167">
        <f>IFERROR(IF($C144="Top WS",VLOOKUP($B144,'2) หลักการคำนวน Table'!$D$5:$M$20,HLOOKUP(AE144,'2) หลักการคำนวน Table'!$D$1:$M$5,5,TRUE),0),
IF($C144="WS SF",VLOOKUP($B144,'2) หลักการคำนวน Table'!$D$33:$M$48,HLOOKUP(AE144,'2) หลักการคำนวน Table'!$D$1:$M$5,5,TRUE),0),
IF($C144="WS WH",VLOOKUP($B144,'2) หลักการคำนวน Table'!$D$63:$M$78,HLOOKUP(AE144,'2) หลักการคำนวน Table'!$D$1:$M$5,5,TRUE),0),
IF($C144="SF WH",VLOOKUP($B144,'2) หลักการคำนวน Table'!$D$93:$M$108,HLOOKUP(AE144,'2) หลักการคำนวน Table'!$D$1:$M$5,5,TRUE),0))))),0)</f>
        <v>315</v>
      </c>
      <c r="BD144" s="167">
        <f>IFERROR(IF($C144="Top WS",VLOOKUP($B144,'2) หลักการคำนวน Table'!$D$5:$M$20,HLOOKUP(AF144,'2) หลักการคำนวน Table'!$D$1:$M$5,5,TRUE),0),
IF($C144="WS SF",VLOOKUP($B144,'2) หลักการคำนวน Table'!$D$33:$M$48,HLOOKUP(AF144,'2) หลักการคำนวน Table'!$D$1:$M$5,5,TRUE),0),
IF($C144="WS WH",VLOOKUP($B144,'2) หลักการคำนวน Table'!$D$63:$M$78,HLOOKUP(AF144,'2) หลักการคำนวน Table'!$D$1:$M$5,5,TRUE),0),
IF($C144="SF WH",VLOOKUP($B144,'2) หลักการคำนวน Table'!$D$93:$M$108,HLOOKUP(AF144,'2) หลักการคำนวน Table'!$D$1:$M$5,5,TRUE),0))))),0)</f>
        <v>315</v>
      </c>
      <c r="BE144" s="167">
        <f>IFERROR(IF($C144="Top WS",VLOOKUP($B144,'2) หลักการคำนวน Table'!$D$5:$M$20,HLOOKUP(AG144,'2) หลักการคำนวน Table'!$D$1:$M$5,5,TRUE),0),
IF($C144="WS SF",VLOOKUP($B144,'2) หลักการคำนวน Table'!$D$33:$M$48,HLOOKUP(AG144,'2) หลักการคำนวน Table'!$D$1:$M$5,5,TRUE),0),
IF($C144="WS WH",VLOOKUP($B144,'2) หลักการคำนวน Table'!$D$63:$M$78,HLOOKUP(AG144,'2) หลักการคำนวน Table'!$D$1:$M$5,5,TRUE),0),
IF($C144="SF WH",VLOOKUP($B144,'2) หลักการคำนวน Table'!$D$93:$M$108,HLOOKUP(AG144,'2) หลักการคำนวน Table'!$D$1:$M$5,5,TRUE),0))))),0)</f>
        <v>315</v>
      </c>
      <c r="BF144" s="167">
        <f>IFERROR(IF($C144="Top WS",VLOOKUP($B144,'2) หลักการคำนวน Table'!$D$5:$M$20,HLOOKUP(AH144,'2) หลักการคำนวน Table'!$D$1:$M$5,5,TRUE),0),
IF($C144="WS SF",VLOOKUP($B144,'2) หลักการคำนวน Table'!$D$33:$M$48,HLOOKUP(AH144,'2) หลักการคำนวน Table'!$D$1:$M$5,5,TRUE),0),
IF($C144="WS WH",VLOOKUP($B144,'2) หลักการคำนวน Table'!$D$63:$M$78,HLOOKUP(AH144,'2) หลักการคำนวน Table'!$D$1:$M$5,5,TRUE),0),
IF($C144="SF WH",VLOOKUP($B144,'2) หลักการคำนวน Table'!$D$93:$M$108,HLOOKUP(AH144,'2) หลักการคำนวน Table'!$D$1:$M$5,5,TRUE),0))))),0)</f>
        <v>315</v>
      </c>
      <c r="BG144" s="167">
        <f>IFERROR(IF($C144="Top WS",VLOOKUP($B144,'2) หลักการคำนวน Table'!$D$5:$M$20,HLOOKUP(AI144,'2) หลักการคำนวน Table'!$D$1:$M$5,5,TRUE),0),
IF($C144="WS SF",VLOOKUP($B144,'2) หลักการคำนวน Table'!$D$33:$M$48,HLOOKUP(AI144,'2) หลักการคำนวน Table'!$D$1:$M$5,5,TRUE),0),
IF($C144="WS WH",VLOOKUP($B144,'2) หลักการคำนวน Table'!$D$63:$M$78,HLOOKUP(AI144,'2) หลักการคำนวน Table'!$D$1:$M$5,5,TRUE),0),
IF($C144="SF WH",VLOOKUP($B144,'2) หลักการคำนวน Table'!$D$93:$M$108,HLOOKUP(AI144,'2) หลักการคำนวน Table'!$D$1:$M$5,5,TRUE),0))))),0)</f>
        <v>315</v>
      </c>
      <c r="BH144" s="167">
        <f>IFERROR(IF($C144="Top WS",VLOOKUP($B144,'2) หลักการคำนวน Table'!$D$5:$M$20,HLOOKUP(AP144,'2) หลักการคำนวน Table'!$D$1:$M$5,5,TRUE),0),
IF($C144="WS SF",VLOOKUP($B144,'2) หลักการคำนวน Table'!$D$33:$M$48,HLOOKUP(AP144,'2) หลักการคำนวน Table'!$D$1:$M$5,5,TRUE),0),
IF($C144="WS WH",VLOOKUP($B144,'2) หลักการคำนวน Table'!$D$63:$M$78,HLOOKUP(AP144,'2) หลักการคำนวน Table'!$D$1:$M$5,5,TRUE),0),
IF($C144="SF WH",VLOOKUP($B144,'2) หลักการคำนวน Table'!$D$93:$M$108,HLOOKUP(AP144,'2) หลักการคำนวน Table'!$D$1:$M$5,5,TRUE),0))))),0)</f>
        <v>315</v>
      </c>
      <c r="BI144" s="167">
        <f>IFERROR(IF($C144="Top WS",VLOOKUP($B144,'2) หลักการคำนวน Table'!$D$5:$M$20,HLOOKUP(AK144,'2) หลักการคำนวน Table'!$D$1:$M$5,5,TRUE),0),
IF($C144="WS SF",VLOOKUP($B144,'2) หลักการคำนวน Table'!$D$33:$M$48,HLOOKUP(AK144,'2) หลักการคำนวน Table'!$D$1:$M$5,5,TRUE),0),
IF($C144="WS WH",VLOOKUP($B144,'2) หลักการคำนวน Table'!$D$63:$M$78,HLOOKUP(AK144,'2) หลักการคำนวน Table'!$D$1:$M$5,5,TRUE),0),
IF($C144="SF WH",VLOOKUP($B144,'2) หลักการคำนวน Table'!$D$93:$M$108,HLOOKUP(AK144,'2) หลักการคำนวน Table'!$D$1:$M$5,5,TRUE),0))))),0)</f>
        <v>315</v>
      </c>
      <c r="BJ144" s="167">
        <f>IFERROR(IF($C144="Top WS",VLOOKUP($B144,'2) หลักการคำนวน Table'!$D$5:$M$20,HLOOKUP(AL144,'2) หลักการคำนวน Table'!$D$1:$M$5,5,TRUE),0),
IF($C144="WS SF",VLOOKUP($B144,'2) หลักการคำนวน Table'!$D$33:$M$48,HLOOKUP(AL144,'2) หลักการคำนวน Table'!$D$1:$M$5,5,TRUE),0),
IF($C144="WS WH",VLOOKUP($B144,'2) หลักการคำนวน Table'!$D$63:$M$78,HLOOKUP(AL144,'2) หลักการคำนวน Table'!$D$1:$M$5,5,TRUE),0),
IF($C144="SF WH",VLOOKUP($B144,'2) หลักการคำนวน Table'!$D$93:$M$108,HLOOKUP(AL144,'2) หลักการคำนวน Table'!$D$1:$M$5,5,TRUE),0))))),0)</f>
        <v>315</v>
      </c>
      <c r="BK144" s="167">
        <f>IFERROR(IF($C144="Top WS",VLOOKUP($B144,'2) หลักการคำนวน Table'!$D$5:$M$20,HLOOKUP(AM144,'2) หลักการคำนวน Table'!$D$1:$M$5,5,TRUE),0),
IF($C144="WS SF",VLOOKUP($B144,'2) หลักการคำนวน Table'!$D$33:$M$48,HLOOKUP(AM144,'2) หลักการคำนวน Table'!$D$1:$M$5,5,TRUE),0),
IF($C144="WS WH",VLOOKUP($B144,'2) หลักการคำนวน Table'!$D$63:$M$78,HLOOKUP(AM144,'2) หลักการคำนวน Table'!$D$1:$M$5,5,TRUE),0),
IF($C144="SF WH",VLOOKUP($B144,'2) หลักการคำนวน Table'!$D$93:$M$108,HLOOKUP(AM144,'2) หลักการคำนวน Table'!$D$1:$M$5,5,TRUE),0))))),0)</f>
        <v>315</v>
      </c>
      <c r="BM144" s="119">
        <f>VLOOKUP(VLOOKUP(A144,ASTBase!E:S,13,FALSE),ASTBase!F:P,11,FALSE)</f>
        <v>130000</v>
      </c>
      <c r="BN144" s="196" cm="1">
        <f t="array" ref="BN144">INDEX(AN144:AY144,,Period!$D$2)</f>
        <v>0.9</v>
      </c>
    </row>
    <row r="145" spans="1:66" x14ac:dyDescent="0.25">
      <c r="A145" s="117">
        <v>130002</v>
      </c>
      <c r="B145" s="117" t="s">
        <v>393</v>
      </c>
      <c r="C145" s="117" t="s">
        <v>179</v>
      </c>
      <c r="D145" s="118">
        <v>320</v>
      </c>
      <c r="E145" s="118">
        <v>229</v>
      </c>
      <c r="F145" s="118">
        <v>242</v>
      </c>
      <c r="G145" s="118">
        <v>246</v>
      </c>
      <c r="H145" s="118">
        <v>203</v>
      </c>
      <c r="I145" s="118">
        <v>236</v>
      </c>
      <c r="J145" s="118">
        <v>302</v>
      </c>
      <c r="K145" s="118">
        <v>312</v>
      </c>
      <c r="L145" s="118">
        <v>295</v>
      </c>
      <c r="M145" s="118">
        <v>309</v>
      </c>
      <c r="N145" s="118">
        <v>237</v>
      </c>
      <c r="O145" s="118">
        <v>239</v>
      </c>
      <c r="P145" s="117">
        <f>SUMIFS(Actual!C:C,Actual!$A:$A,'3)Target &amp; Cal'!$A145,Actual!$B:$B,'3)Target &amp; Cal'!$B145)</f>
        <v>200.4</v>
      </c>
      <c r="Q145" s="117">
        <f>SUMIFS(Actual!D:D,Actual!$A:$A,'3)Target &amp; Cal'!$A145,Actual!$B:$B,'3)Target &amp; Cal'!$B145)</f>
        <v>4.8000000000000007</v>
      </c>
      <c r="R145" s="117">
        <f>SUMIFS(Actual!E:E,Actual!$A:$A,'3)Target &amp; Cal'!$A145,Actual!$B:$B,'3)Target &amp; Cal'!$B145)</f>
        <v>0</v>
      </c>
      <c r="S145" s="117">
        <f>SUMIFS(Actual!F:F,Actual!$A:$A,'3)Target &amp; Cal'!$A145,Actual!$B:$B,'3)Target &amp; Cal'!$B145)</f>
        <v>0</v>
      </c>
      <c r="T145" s="117">
        <f>SUMIFS(Actual!G:G,Actual!$A:$A,'3)Target &amp; Cal'!$A145,Actual!$B:$B,'3)Target &amp; Cal'!$B145)</f>
        <v>0</v>
      </c>
      <c r="U145" s="117">
        <f>SUMIFS(Actual!H:H,Actual!$A:$A,'3)Target &amp; Cal'!$A145,Actual!$B:$B,'3)Target &amp; Cal'!$B145)</f>
        <v>0</v>
      </c>
      <c r="V145" s="117">
        <f>SUMIFS(Actual!I:I,Actual!$A:$A,'3)Target &amp; Cal'!$A145,Actual!$B:$B,'3)Target &amp; Cal'!$B145)</f>
        <v>0</v>
      </c>
      <c r="W145" s="117">
        <f>SUMIFS(Actual!J:J,Actual!$A:$A,'3)Target &amp; Cal'!$A145,Actual!$B:$B,'3)Target &amp; Cal'!$B145)</f>
        <v>0</v>
      </c>
      <c r="X145" s="117">
        <f>SUMIFS(Actual!K:K,Actual!$A:$A,'3)Target &amp; Cal'!$A145,Actual!$B:$B,'3)Target &amp; Cal'!$B145)</f>
        <v>0</v>
      </c>
      <c r="Y145" s="117">
        <f>SUMIFS(Actual!L:L,Actual!$A:$A,'3)Target &amp; Cal'!$A145,Actual!$B:$B,'3)Target &amp; Cal'!$B145)</f>
        <v>0</v>
      </c>
      <c r="Z145" s="117">
        <f>SUMIFS(Actual!M:M,Actual!$A:$A,'3)Target &amp; Cal'!$A145,Actual!$B:$B,'3)Target &amp; Cal'!$B145)</f>
        <v>0</v>
      </c>
      <c r="AA145" s="117">
        <f>SUMIFS(Actual!N:N,Actual!$A:$A,'3)Target &amp; Cal'!$A145,Actual!$B:$B,'3)Target &amp; Cal'!$B145)</f>
        <v>0</v>
      </c>
      <c r="AB145" s="123">
        <f>IFERROR(IF(VLOOKUP($B145,Shortage!$A:$M,AB$2,FALSE)="Shortage",1,IFERROR(ROUND(P145/D145,4),0)),IFERROR(ROUND(P145/D145,4),0))</f>
        <v>0.62629999999999997</v>
      </c>
      <c r="AC145" s="123">
        <f>IFERROR(IF(VLOOKUP($B145,Shortage!$A:$M,AC$2,FALSE)="Shortage",1,IFERROR(ROUND(Q145/E145,4),0)),IFERROR(ROUND(Q145/E145,4),0))</f>
        <v>2.1000000000000001E-2</v>
      </c>
      <c r="AD145" s="123">
        <f>IFERROR(IF(VLOOKUP($B145,Shortage!$A:$M,AD$2,FALSE)="Shortage",1,IFERROR(ROUND(R145/F145,4),0)),IFERROR(ROUND(R145/F145,4),0))</f>
        <v>0</v>
      </c>
      <c r="AE145" s="123">
        <f>IFERROR(IF(VLOOKUP($B145,Shortage!$A:$M,AE$2,FALSE)="Shortage",1,IFERROR(ROUND(S145/G145,4),0)),IFERROR(ROUND(S145/G145,4),0))</f>
        <v>0</v>
      </c>
      <c r="AF145" s="123">
        <f>IFERROR(IF(VLOOKUP($B145,Shortage!$A:$M,AF$2,FALSE)="Shortage",1,IFERROR(ROUND(T145/H145,4),0)),IFERROR(ROUND(T145/H145,4),0))</f>
        <v>0</v>
      </c>
      <c r="AG145" s="123">
        <f>IFERROR(IF(VLOOKUP($B145,Shortage!$A:$M,AG$2,FALSE)="Shortage",1,IFERROR(ROUND(U145/I145,4),0)),IFERROR(ROUND(U145/I145,4),0))</f>
        <v>0</v>
      </c>
      <c r="AH145" s="123">
        <f>IFERROR(IF(VLOOKUP($B145,Shortage!$A:$M,AH$2,FALSE)="Shortage",1,IFERROR(ROUND(V145/J145,4),0)),IFERROR(ROUND(V145/J145,4),0))</f>
        <v>0</v>
      </c>
      <c r="AI145" s="123">
        <f>IFERROR(IF(VLOOKUP($B145,Shortage!$A:$M,AI$2,FALSE)="Shortage",1,IFERROR(ROUND(W145/K145,4),0)),IFERROR(ROUND(W145/K145,4),0))</f>
        <v>0</v>
      </c>
      <c r="AJ145" s="123">
        <f>IFERROR(IF(VLOOKUP($B145,Shortage!$A:$M,AP$2,FALSE)="Shortage",1,IFERROR(ROUND(X145/L145,4),0)),IFERROR(ROUND(X145/L145,4),0))</f>
        <v>0</v>
      </c>
      <c r="AK145" s="123">
        <f>IFERROR(IF(VLOOKUP($B145,Shortage!$A:$M,AK$2,FALSE)="Shortage",1,IFERROR(ROUND(Y145/M145,4),0)),IFERROR(ROUND(Y145/M145,4),0))</f>
        <v>0</v>
      </c>
      <c r="AL145" s="123">
        <f>IFERROR(IF(VLOOKUP($B145,Shortage!$A:$M,AL$2,FALSE)="Shortage",1,IFERROR(ROUND(Z145/N145,4),0)),IFERROR(ROUND(Z145/N145,4),0))</f>
        <v>0</v>
      </c>
      <c r="AM145" s="123">
        <f>IFERROR(IF(VLOOKUP($B145,Shortage!$A:$M,AM$2,FALSE)="Shortage",1,IFERROR(ROUND(AA145/O145,4),0)),IFERROR(ROUND(AA145/O145,4),0))</f>
        <v>0</v>
      </c>
      <c r="AN145" s="232">
        <f>IFERROR(IF($C145="Top WS",VLOOKUP("GOAL",'2) หลักการคำนวน Table'!$D$4:$M$4,HLOOKUP(AB145,'2) หลักการคำนวน Table'!$D$1:$M$5,5,TRUE),0),
IF($C145="WS SF",VLOOKUP("GOAL",'2) หลักการคำนวน Table'!$D$32:$M$32,HLOOKUP(AB145,'2) หลักการคำนวน Table'!$D$1:$M$5,5,TRUE),0),
IF($C145="WS WH",VLOOKUP("GOAL",'2) หลักการคำนวน Table'!$D$62:$M$62,HLOOKUP(AB145,'2) หลักการคำนวน Table'!$D$1:$M$5,5,TRUE),0),
IF($C145="SF WH",VLOOKUP("GOAL",'2) หลักการคำนวน Table'!$D$92:$M$92,HLOOKUP(AB145,'2) หลักการคำนวน Table'!$D$1:$M$5,5,TRUE),0))))),0)</f>
        <v>0.9</v>
      </c>
      <c r="AO145" s="232">
        <f>IFERROR(IF($C145="Top WS",VLOOKUP("GOAL",'2) หลักการคำนวน Table'!$D$4:$M$4,HLOOKUP(AC145,'2) หลักการคำนวน Table'!$D$1:$M$5,5,TRUE),0),
IF($C145="WS SF",VLOOKUP("GOAL",'2) หลักการคำนวน Table'!$D$32:$M$32,HLOOKUP(AC145,'2) หลักการคำนวน Table'!$D$1:$M$5,5,TRUE),0),
IF($C145="WS WH",VLOOKUP("GOAL",'2) หลักการคำนวน Table'!$D$62:$M$62,HLOOKUP(AC145,'2) หลักการคำนวน Table'!$D$1:$M$5,5,TRUE),0),
IF($C145="SF WH",VLOOKUP("GOAL",'2) หลักการคำนวน Table'!$D$92:$M$92,HLOOKUP(AC145,'2) หลักการคำนวน Table'!$D$1:$M$5,5,TRUE),0))))),0)</f>
        <v>0.9</v>
      </c>
      <c r="AP145" s="232">
        <f>IFERROR(IF($C145="Top WS",VLOOKUP("GOAL",'2) หลักการคำนวน Table'!$D$4:$M$4,HLOOKUP(AD145,'2) หลักการคำนวน Table'!$D$1:$M$5,5,TRUE),0),
IF($C145="WS SF",VLOOKUP("GOAL",'2) หลักการคำนวน Table'!$D$32:$M$32,HLOOKUP(AD145,'2) หลักการคำนวน Table'!$D$1:$M$5,5,TRUE),0),
IF($C145="WS WH",VLOOKUP("GOAL",'2) หลักการคำนวน Table'!$D$62:$M$62,HLOOKUP(AD145,'2) หลักการคำนวน Table'!$D$1:$M$5,5,TRUE),0),
IF($C145="SF WH",VLOOKUP("GOAL",'2) หลักการคำนวน Table'!$D$92:$M$92,HLOOKUP(AD145,'2) หลักการคำนวน Table'!$D$1:$M$5,5,TRUE),0))))),0)</f>
        <v>0.9</v>
      </c>
      <c r="AQ145" s="232">
        <f>IFERROR(IF($C145="Top WS",VLOOKUP("GOAL",'2) หลักการคำนวน Table'!$D$4:$M$4,HLOOKUP(AE145,'2) หลักการคำนวน Table'!$D$1:$M$5,5,TRUE),0),
IF($C145="WS SF",VLOOKUP("GOAL",'2) หลักการคำนวน Table'!$D$32:$M$32,HLOOKUP(AE145,'2) หลักการคำนวน Table'!$D$1:$M$5,5,TRUE),0),
IF($C145="WS WH",VLOOKUP("GOAL",'2) หลักการคำนวน Table'!$D$62:$M$62,HLOOKUP(AE145,'2) หลักการคำนวน Table'!$D$1:$M$5,5,TRUE),0),
IF($C145="SF WH",VLOOKUP("GOAL",'2) หลักการคำนวน Table'!$D$92:$M$92,HLOOKUP(AE145,'2) หลักการคำนวน Table'!$D$1:$M$5,5,TRUE),0))))),0)</f>
        <v>0.9</v>
      </c>
      <c r="AR145" s="232">
        <f>IFERROR(IF($C145="Top WS",VLOOKUP("GOAL",'2) หลักการคำนวน Table'!$D$4:$M$4,HLOOKUP(AF145,'2) หลักการคำนวน Table'!$D$1:$M$5,5,TRUE),0),
IF($C145="WS SF",VLOOKUP("GOAL",'2) หลักการคำนวน Table'!$D$32:$M$32,HLOOKUP(AF145,'2) หลักการคำนวน Table'!$D$1:$M$5,5,TRUE),0),
IF($C145="WS WH",VLOOKUP("GOAL",'2) หลักการคำนวน Table'!$D$62:$M$62,HLOOKUP(AF145,'2) หลักการคำนวน Table'!$D$1:$M$5,5,TRUE),0),
IF($C145="SF WH",VLOOKUP("GOAL",'2) หลักการคำนวน Table'!$D$92:$M$92,HLOOKUP(AF145,'2) หลักการคำนวน Table'!$D$1:$M$5,5,TRUE),0))))),0)</f>
        <v>0.9</v>
      </c>
      <c r="AS145" s="232">
        <f>IFERROR(IF($C145="Top WS",VLOOKUP("GOAL",'2) หลักการคำนวน Table'!$D$4:$M$4,HLOOKUP(AG145,'2) หลักการคำนวน Table'!$D$1:$M$5,5,TRUE),0),
IF($C145="WS SF",VLOOKUP("GOAL",'2) หลักการคำนวน Table'!$D$32:$M$32,HLOOKUP(AG145,'2) หลักการคำนวน Table'!$D$1:$M$5,5,TRUE),0),
IF($C145="WS WH",VLOOKUP("GOAL",'2) หลักการคำนวน Table'!$D$62:$M$62,HLOOKUP(AG145,'2) หลักการคำนวน Table'!$D$1:$M$5,5,TRUE),0),
IF($C145="SF WH",VLOOKUP("GOAL",'2) หลักการคำนวน Table'!$D$92:$M$92,HLOOKUP(AG145,'2) หลักการคำนวน Table'!$D$1:$M$5,5,TRUE),0))))),0)</f>
        <v>0.9</v>
      </c>
      <c r="AT145" s="232">
        <f>IFERROR(IF($C145="Top WS",VLOOKUP("GOAL",'2) หลักการคำนวน Table'!$D$4:$M$4,HLOOKUP(AH145,'2) หลักการคำนวน Table'!$D$1:$M$5,5,TRUE),0),
IF($C145="WS SF",VLOOKUP("GOAL",'2) หลักการคำนวน Table'!$D$32:$M$32,HLOOKUP(AH145,'2) หลักการคำนวน Table'!$D$1:$M$5,5,TRUE),0),
IF($C145="WS WH",VLOOKUP("GOAL",'2) หลักการคำนวน Table'!$D$62:$M$62,HLOOKUP(AH145,'2) หลักการคำนวน Table'!$D$1:$M$5,5,TRUE),0),
IF($C145="SF WH",VLOOKUP("GOAL",'2) หลักการคำนวน Table'!$D$92:$M$92,HLOOKUP(AH145,'2) หลักการคำนวน Table'!$D$1:$M$5,5,TRUE),0))))),0)</f>
        <v>0.9</v>
      </c>
      <c r="AU145" s="232">
        <f>IFERROR(IF($C145="Top WS",VLOOKUP("GOAL",'2) หลักการคำนวน Table'!$D$4:$M$4,HLOOKUP(AI145,'2) หลักการคำนวน Table'!$D$1:$M$5,5,TRUE),0),
IF($C145="WS SF",VLOOKUP("GOAL",'2) หลักการคำนวน Table'!$D$32:$M$32,HLOOKUP(AI145,'2) หลักการคำนวน Table'!$D$1:$M$5,5,TRUE),0),
IF($C145="WS WH",VLOOKUP("GOAL",'2) หลักการคำนวน Table'!$D$62:$M$62,HLOOKUP(AI145,'2) หลักการคำนวน Table'!$D$1:$M$5,5,TRUE),0),
IF($C145="SF WH",VLOOKUP("GOAL",'2) หลักการคำนวน Table'!$D$92:$M$92,HLOOKUP(AI145,'2) หลักการคำนวน Table'!$D$1:$M$5,5,TRUE),0))))),0)</f>
        <v>0.9</v>
      </c>
      <c r="AV145" s="232">
        <f>IFERROR(IF($C145="Top WS",VLOOKUP("GOAL",'2) หลักการคำนวน Table'!$D$4:$M$4,HLOOKUP(AP145,'2) หลักการคำนวน Table'!$D$1:$M$5,5,TRUE),0),
IF($C145="WS SF",VLOOKUP("GOAL",'2) หลักการคำนวน Table'!$D$32:$M$32,HLOOKUP(AP145,'2) หลักการคำนวน Table'!$D$1:$M$5,5,TRUE),0),
IF($C145="WS WH",VLOOKUP("GOAL",'2) หลักการคำนวน Table'!$D$62:$M$62,HLOOKUP(AP145,'2) หลักการคำนวน Table'!$D$1:$M$5,5,TRUE),0),
IF($C145="SF WH",VLOOKUP("GOAL",'2) หลักการคำนวน Table'!$D$92:$M$92,HLOOKUP(AP145,'2) หลักการคำนวน Table'!$D$1:$M$5,5,TRUE),0))))),0)</f>
        <v>0.9</v>
      </c>
      <c r="AW145" s="232">
        <f>IFERROR(IF($C145="Top WS",VLOOKUP("GOAL",'2) หลักการคำนวน Table'!$D$4:$M$4,HLOOKUP(AK145,'2) หลักการคำนวน Table'!$D$1:$M$5,5,TRUE),0),
IF($C145="WS SF",VLOOKUP("GOAL",'2) หลักการคำนวน Table'!$D$32:$M$32,HLOOKUP(AK145,'2) หลักการคำนวน Table'!$D$1:$M$5,5,TRUE),0),
IF($C145="WS WH",VLOOKUP("GOAL",'2) หลักการคำนวน Table'!$D$62:$M$62,HLOOKUP(AK145,'2) หลักการคำนวน Table'!$D$1:$M$5,5,TRUE),0),
IF($C145="SF WH",VLOOKUP("GOAL",'2) หลักการคำนวน Table'!$D$92:$M$92,HLOOKUP(AK145,'2) หลักการคำนวน Table'!$D$1:$M$5,5,TRUE),0))))),0)</f>
        <v>0.9</v>
      </c>
      <c r="AX145" s="232">
        <f>IFERROR(IF($C145="Top WS",VLOOKUP("GOAL",'2) หลักการคำนวน Table'!$D$4:$M$4,HLOOKUP(AL145,'2) หลักการคำนวน Table'!$D$1:$M$5,5,TRUE),0),
IF($C145="WS SF",VLOOKUP("GOAL",'2) หลักการคำนวน Table'!$D$32:$M$32,HLOOKUP(AL145,'2) หลักการคำนวน Table'!$D$1:$M$5,5,TRUE),0),
IF($C145="WS WH",VLOOKUP("GOAL",'2) หลักการคำนวน Table'!$D$62:$M$62,HLOOKUP(AL145,'2) หลักการคำนวน Table'!$D$1:$M$5,5,TRUE),0),
IF($C145="SF WH",VLOOKUP("GOAL",'2) หลักการคำนวน Table'!$D$92:$M$92,HLOOKUP(AL145,'2) หลักการคำนวน Table'!$D$1:$M$5,5,TRUE),0))))),0)</f>
        <v>0.9</v>
      </c>
      <c r="AY145" s="232">
        <f>IFERROR(IF($C145="Top WS",VLOOKUP("GOAL",'2) หลักการคำนวน Table'!$D$4:$M$4,HLOOKUP(AM145,'2) หลักการคำนวน Table'!$D$1:$M$5,5,TRUE),0),
IF($C145="WS SF",VLOOKUP("GOAL",'2) หลักการคำนวน Table'!$D$32:$M$32,HLOOKUP(AM145,'2) หลักการคำนวน Table'!$D$1:$M$5,5,TRUE),0),
IF($C145="WS WH",VLOOKUP("GOAL",'2) หลักการคำนวน Table'!$D$62:$M$62,HLOOKUP(AM145,'2) หลักการคำนวน Table'!$D$1:$M$5,5,TRUE),0),
IF($C145="SF WH",VLOOKUP("GOAL",'2) หลักการคำนวน Table'!$D$92:$M$92,HLOOKUP(AM145,'2) หลักการคำนวน Table'!$D$1:$M$5,5,TRUE),0))))),0)</f>
        <v>0.9</v>
      </c>
      <c r="AZ145" s="167">
        <f>IFERROR(IF($C145="Top WS",VLOOKUP($B145,'2) หลักการคำนวน Table'!$D$5:$M$20,HLOOKUP(AB145,'2) หลักการคำนวน Table'!$D$1:$M$5,5,TRUE),0),
IF($C145="WS SF",VLOOKUP($B145,'2) หลักการคำนวน Table'!$D$33:$M$48,HLOOKUP(AB145,'2) หลักการคำนวน Table'!$D$1:$M$5,5,TRUE),0),
IF($C145="WS WH",VLOOKUP($B145,'2) หลักการคำนวน Table'!$D$63:$M$78,HLOOKUP(AB145,'2) หลักการคำนวน Table'!$D$1:$M$5,5,TRUE),0),
IF($C145="SF WH",VLOOKUP($B145,'2) หลักการคำนวน Table'!$D$93:$M$108,HLOOKUP(AB145,'2) หลักการคำนวน Table'!$D$1:$M$5,5,TRUE),0))))),0)</f>
        <v>157.5</v>
      </c>
      <c r="BA145" s="167">
        <f>IFERROR(IF($C145="Top WS",VLOOKUP($B145,'2) หลักการคำนวน Table'!$D$5:$M$20,HLOOKUP(AC145,'2) หลักการคำนวน Table'!$D$1:$M$5,5,TRUE),0),
IF($C145="WS SF",VLOOKUP($B145,'2) หลักการคำนวน Table'!$D$33:$M$48,HLOOKUP(AC145,'2) หลักการคำนวน Table'!$D$1:$M$5,5,TRUE),0),
IF($C145="WS WH",VLOOKUP($B145,'2) หลักการคำนวน Table'!$D$63:$M$78,HLOOKUP(AC145,'2) หลักการคำนวน Table'!$D$1:$M$5,5,TRUE),0),
IF($C145="SF WH",VLOOKUP($B145,'2) หลักการคำนวน Table'!$D$93:$M$108,HLOOKUP(AC145,'2) หลักการคำนวน Table'!$D$1:$M$5,5,TRUE),0))))),0)</f>
        <v>157.5</v>
      </c>
      <c r="BB145" s="167">
        <f>IFERROR(IF($C145="Top WS",VLOOKUP($B145,'2) หลักการคำนวน Table'!$D$5:$M$20,HLOOKUP(AD145,'2) หลักการคำนวน Table'!$D$1:$M$5,5,TRUE),0),
IF($C145="WS SF",VLOOKUP($B145,'2) หลักการคำนวน Table'!$D$33:$M$48,HLOOKUP(AD145,'2) หลักการคำนวน Table'!$D$1:$M$5,5,TRUE),0),
IF($C145="WS WH",VLOOKUP($B145,'2) หลักการคำนวน Table'!$D$63:$M$78,HLOOKUP(AD145,'2) หลักการคำนวน Table'!$D$1:$M$5,5,TRUE),0),
IF($C145="SF WH",VLOOKUP($B145,'2) หลักการคำนวน Table'!$D$93:$M$108,HLOOKUP(AD145,'2) หลักการคำนวน Table'!$D$1:$M$5,5,TRUE),0))))),0)</f>
        <v>157.5</v>
      </c>
      <c r="BC145" s="167">
        <f>IFERROR(IF($C145="Top WS",VLOOKUP($B145,'2) หลักการคำนวน Table'!$D$5:$M$20,HLOOKUP(AE145,'2) หลักการคำนวน Table'!$D$1:$M$5,5,TRUE),0),
IF($C145="WS SF",VLOOKUP($B145,'2) หลักการคำนวน Table'!$D$33:$M$48,HLOOKUP(AE145,'2) หลักการคำนวน Table'!$D$1:$M$5,5,TRUE),0),
IF($C145="WS WH",VLOOKUP($B145,'2) หลักการคำนวน Table'!$D$63:$M$78,HLOOKUP(AE145,'2) หลักการคำนวน Table'!$D$1:$M$5,5,TRUE),0),
IF($C145="SF WH",VLOOKUP($B145,'2) หลักการคำนวน Table'!$D$93:$M$108,HLOOKUP(AE145,'2) หลักการคำนวน Table'!$D$1:$M$5,5,TRUE),0))))),0)</f>
        <v>157.5</v>
      </c>
      <c r="BD145" s="167">
        <f>IFERROR(IF($C145="Top WS",VLOOKUP($B145,'2) หลักการคำนวน Table'!$D$5:$M$20,HLOOKUP(AF145,'2) หลักการคำนวน Table'!$D$1:$M$5,5,TRUE),0),
IF($C145="WS SF",VLOOKUP($B145,'2) หลักการคำนวน Table'!$D$33:$M$48,HLOOKUP(AF145,'2) หลักการคำนวน Table'!$D$1:$M$5,5,TRUE),0),
IF($C145="WS WH",VLOOKUP($B145,'2) หลักการคำนวน Table'!$D$63:$M$78,HLOOKUP(AF145,'2) หลักการคำนวน Table'!$D$1:$M$5,5,TRUE),0),
IF($C145="SF WH",VLOOKUP($B145,'2) หลักการคำนวน Table'!$D$93:$M$108,HLOOKUP(AF145,'2) หลักการคำนวน Table'!$D$1:$M$5,5,TRUE),0))))),0)</f>
        <v>157.5</v>
      </c>
      <c r="BE145" s="167">
        <f>IFERROR(IF($C145="Top WS",VLOOKUP($B145,'2) หลักการคำนวน Table'!$D$5:$M$20,HLOOKUP(AG145,'2) หลักการคำนวน Table'!$D$1:$M$5,5,TRUE),0),
IF($C145="WS SF",VLOOKUP($B145,'2) หลักการคำนวน Table'!$D$33:$M$48,HLOOKUP(AG145,'2) หลักการคำนวน Table'!$D$1:$M$5,5,TRUE),0),
IF($C145="WS WH",VLOOKUP($B145,'2) หลักการคำนวน Table'!$D$63:$M$78,HLOOKUP(AG145,'2) หลักการคำนวน Table'!$D$1:$M$5,5,TRUE),0),
IF($C145="SF WH",VLOOKUP($B145,'2) หลักการคำนวน Table'!$D$93:$M$108,HLOOKUP(AG145,'2) หลักการคำนวน Table'!$D$1:$M$5,5,TRUE),0))))),0)</f>
        <v>157.5</v>
      </c>
      <c r="BF145" s="167">
        <f>IFERROR(IF($C145="Top WS",VLOOKUP($B145,'2) หลักการคำนวน Table'!$D$5:$M$20,HLOOKUP(AH145,'2) หลักการคำนวน Table'!$D$1:$M$5,5,TRUE),0),
IF($C145="WS SF",VLOOKUP($B145,'2) หลักการคำนวน Table'!$D$33:$M$48,HLOOKUP(AH145,'2) หลักการคำนวน Table'!$D$1:$M$5,5,TRUE),0),
IF($C145="WS WH",VLOOKUP($B145,'2) หลักการคำนวน Table'!$D$63:$M$78,HLOOKUP(AH145,'2) หลักการคำนวน Table'!$D$1:$M$5,5,TRUE),0),
IF($C145="SF WH",VLOOKUP($B145,'2) หลักการคำนวน Table'!$D$93:$M$108,HLOOKUP(AH145,'2) หลักการคำนวน Table'!$D$1:$M$5,5,TRUE),0))))),0)</f>
        <v>157.5</v>
      </c>
      <c r="BG145" s="167">
        <f>IFERROR(IF($C145="Top WS",VLOOKUP($B145,'2) หลักการคำนวน Table'!$D$5:$M$20,HLOOKUP(AI145,'2) หลักการคำนวน Table'!$D$1:$M$5,5,TRUE),0),
IF($C145="WS SF",VLOOKUP($B145,'2) หลักการคำนวน Table'!$D$33:$M$48,HLOOKUP(AI145,'2) หลักการคำนวน Table'!$D$1:$M$5,5,TRUE),0),
IF($C145="WS WH",VLOOKUP($B145,'2) หลักการคำนวน Table'!$D$63:$M$78,HLOOKUP(AI145,'2) หลักการคำนวน Table'!$D$1:$M$5,5,TRUE),0),
IF($C145="SF WH",VLOOKUP($B145,'2) หลักการคำนวน Table'!$D$93:$M$108,HLOOKUP(AI145,'2) หลักการคำนวน Table'!$D$1:$M$5,5,TRUE),0))))),0)</f>
        <v>157.5</v>
      </c>
      <c r="BH145" s="167">
        <f>IFERROR(IF($C145="Top WS",VLOOKUP($B145,'2) หลักการคำนวน Table'!$D$5:$M$20,HLOOKUP(AP145,'2) หลักการคำนวน Table'!$D$1:$M$5,5,TRUE),0),
IF($C145="WS SF",VLOOKUP($B145,'2) หลักการคำนวน Table'!$D$33:$M$48,HLOOKUP(AP145,'2) หลักการคำนวน Table'!$D$1:$M$5,5,TRUE),0),
IF($C145="WS WH",VLOOKUP($B145,'2) หลักการคำนวน Table'!$D$63:$M$78,HLOOKUP(AP145,'2) หลักการคำนวน Table'!$D$1:$M$5,5,TRUE),0),
IF($C145="SF WH",VLOOKUP($B145,'2) หลักการคำนวน Table'!$D$93:$M$108,HLOOKUP(AP145,'2) หลักการคำนวน Table'!$D$1:$M$5,5,TRUE),0))))),0)</f>
        <v>157.5</v>
      </c>
      <c r="BI145" s="167">
        <f>IFERROR(IF($C145="Top WS",VLOOKUP($B145,'2) หลักการคำนวน Table'!$D$5:$M$20,HLOOKUP(AK145,'2) หลักการคำนวน Table'!$D$1:$M$5,5,TRUE),0),
IF($C145="WS SF",VLOOKUP($B145,'2) หลักการคำนวน Table'!$D$33:$M$48,HLOOKUP(AK145,'2) หลักการคำนวน Table'!$D$1:$M$5,5,TRUE),0),
IF($C145="WS WH",VLOOKUP($B145,'2) หลักการคำนวน Table'!$D$63:$M$78,HLOOKUP(AK145,'2) หลักการคำนวน Table'!$D$1:$M$5,5,TRUE),0),
IF($C145="SF WH",VLOOKUP($B145,'2) หลักการคำนวน Table'!$D$93:$M$108,HLOOKUP(AK145,'2) หลักการคำนวน Table'!$D$1:$M$5,5,TRUE),0))))),0)</f>
        <v>157.5</v>
      </c>
      <c r="BJ145" s="167">
        <f>IFERROR(IF($C145="Top WS",VLOOKUP($B145,'2) หลักการคำนวน Table'!$D$5:$M$20,HLOOKUP(AL145,'2) หลักการคำนวน Table'!$D$1:$M$5,5,TRUE),0),
IF($C145="WS SF",VLOOKUP($B145,'2) หลักการคำนวน Table'!$D$33:$M$48,HLOOKUP(AL145,'2) หลักการคำนวน Table'!$D$1:$M$5,5,TRUE),0),
IF($C145="WS WH",VLOOKUP($B145,'2) หลักการคำนวน Table'!$D$63:$M$78,HLOOKUP(AL145,'2) หลักการคำนวน Table'!$D$1:$M$5,5,TRUE),0),
IF($C145="SF WH",VLOOKUP($B145,'2) หลักการคำนวน Table'!$D$93:$M$108,HLOOKUP(AL145,'2) หลักการคำนวน Table'!$D$1:$M$5,5,TRUE),0))))),0)</f>
        <v>157.5</v>
      </c>
      <c r="BK145" s="167">
        <f>IFERROR(IF($C145="Top WS",VLOOKUP($B145,'2) หลักการคำนวน Table'!$D$5:$M$20,HLOOKUP(AM145,'2) หลักการคำนวน Table'!$D$1:$M$5,5,TRUE),0),
IF($C145="WS SF",VLOOKUP($B145,'2) หลักการคำนวน Table'!$D$33:$M$48,HLOOKUP(AM145,'2) หลักการคำนวน Table'!$D$1:$M$5,5,TRUE),0),
IF($C145="WS WH",VLOOKUP($B145,'2) หลักการคำนวน Table'!$D$63:$M$78,HLOOKUP(AM145,'2) หลักการคำนวน Table'!$D$1:$M$5,5,TRUE),0),
IF($C145="SF WH",VLOOKUP($B145,'2) หลักการคำนวน Table'!$D$93:$M$108,HLOOKUP(AM145,'2) หลักการคำนวน Table'!$D$1:$M$5,5,TRUE),0))))),0)</f>
        <v>157.5</v>
      </c>
      <c r="BM145" s="119">
        <f>VLOOKUP(VLOOKUP(A145,ASTBase!E:S,13,FALSE),ASTBase!F:P,11,FALSE)</f>
        <v>130000</v>
      </c>
      <c r="BN145" s="196" cm="1">
        <f t="array" ref="BN145">INDEX(AN145:AY145,,Period!$D$2)</f>
        <v>0.9</v>
      </c>
    </row>
    <row r="146" spans="1:66" x14ac:dyDescent="0.25">
      <c r="A146" s="117">
        <v>130003</v>
      </c>
      <c r="B146" s="117" t="s">
        <v>388</v>
      </c>
      <c r="C146" s="117" t="s">
        <v>180</v>
      </c>
      <c r="D146" s="118">
        <v>15302</v>
      </c>
      <c r="E146" s="118">
        <v>17199</v>
      </c>
      <c r="F146" s="118">
        <v>16945</v>
      </c>
      <c r="G146" s="118">
        <v>15853</v>
      </c>
      <c r="H146" s="118">
        <v>17013</v>
      </c>
      <c r="I146" s="118">
        <v>17309</v>
      </c>
      <c r="J146" s="118">
        <v>16909</v>
      </c>
      <c r="K146" s="118">
        <v>17949</v>
      </c>
      <c r="L146" s="118">
        <v>17592</v>
      </c>
      <c r="M146" s="118">
        <v>19633</v>
      </c>
      <c r="N146" s="118">
        <v>17170</v>
      </c>
      <c r="O146" s="118">
        <v>17178</v>
      </c>
      <c r="P146" s="117">
        <f>SUMIFS(Actual!C:C,Actual!$A:$A,'3)Target &amp; Cal'!$A146,Actual!$B:$B,'3)Target &amp; Cal'!$B146)</f>
        <v>12086.3</v>
      </c>
      <c r="Q146" s="117">
        <f>SUMIFS(Actual!D:D,Actual!$A:$A,'3)Target &amp; Cal'!$A146,Actual!$B:$B,'3)Target &amp; Cal'!$B146)</f>
        <v>11470.2</v>
      </c>
      <c r="R146" s="117">
        <f>SUMIFS(Actual!E:E,Actual!$A:$A,'3)Target &amp; Cal'!$A146,Actual!$B:$B,'3)Target &amp; Cal'!$B146)</f>
        <v>0</v>
      </c>
      <c r="S146" s="117">
        <f>SUMIFS(Actual!F:F,Actual!$A:$A,'3)Target &amp; Cal'!$A146,Actual!$B:$B,'3)Target &amp; Cal'!$B146)</f>
        <v>0</v>
      </c>
      <c r="T146" s="117">
        <f>SUMIFS(Actual!G:G,Actual!$A:$A,'3)Target &amp; Cal'!$A146,Actual!$B:$B,'3)Target &amp; Cal'!$B146)</f>
        <v>0</v>
      </c>
      <c r="U146" s="117">
        <f>SUMIFS(Actual!H:H,Actual!$A:$A,'3)Target &amp; Cal'!$A146,Actual!$B:$B,'3)Target &amp; Cal'!$B146)</f>
        <v>0</v>
      </c>
      <c r="V146" s="117">
        <f>SUMIFS(Actual!I:I,Actual!$A:$A,'3)Target &amp; Cal'!$A146,Actual!$B:$B,'3)Target &amp; Cal'!$B146)</f>
        <v>0</v>
      </c>
      <c r="W146" s="117">
        <f>SUMIFS(Actual!J:J,Actual!$A:$A,'3)Target &amp; Cal'!$A146,Actual!$B:$B,'3)Target &amp; Cal'!$B146)</f>
        <v>0</v>
      </c>
      <c r="X146" s="117">
        <f>SUMIFS(Actual!K:K,Actual!$A:$A,'3)Target &amp; Cal'!$A146,Actual!$B:$B,'3)Target &amp; Cal'!$B146)</f>
        <v>0</v>
      </c>
      <c r="Y146" s="117">
        <f>SUMIFS(Actual!L:L,Actual!$A:$A,'3)Target &amp; Cal'!$A146,Actual!$B:$B,'3)Target &amp; Cal'!$B146)</f>
        <v>0</v>
      </c>
      <c r="Z146" s="117">
        <f>SUMIFS(Actual!M:M,Actual!$A:$A,'3)Target &amp; Cal'!$A146,Actual!$B:$B,'3)Target &amp; Cal'!$B146)</f>
        <v>0</v>
      </c>
      <c r="AA146" s="117">
        <f>SUMIFS(Actual!N:N,Actual!$A:$A,'3)Target &amp; Cal'!$A146,Actual!$B:$B,'3)Target &amp; Cal'!$B146)</f>
        <v>0</v>
      </c>
      <c r="AB146" s="123">
        <f>IFERROR(IF(VLOOKUP($B146,Shortage!$A:$M,AB$2,FALSE)="Shortage",1,IFERROR(ROUND(P146/D146,4),0)),IFERROR(ROUND(P146/D146,4),0))</f>
        <v>1</v>
      </c>
      <c r="AC146" s="123">
        <f>IFERROR(IF(VLOOKUP($B146,Shortage!$A:$M,AC$2,FALSE)="Shortage",1,IFERROR(ROUND(Q146/E146,4),0)),IFERROR(ROUND(Q146/E146,4),0))</f>
        <v>0.66690000000000005</v>
      </c>
      <c r="AD146" s="123">
        <f>IFERROR(IF(VLOOKUP($B146,Shortage!$A:$M,AD$2,FALSE)="Shortage",1,IFERROR(ROUND(R146/F146,4),0)),IFERROR(ROUND(R146/F146,4),0))</f>
        <v>0</v>
      </c>
      <c r="AE146" s="123">
        <f>IFERROR(IF(VLOOKUP($B146,Shortage!$A:$M,AE$2,FALSE)="Shortage",1,IFERROR(ROUND(S146/G146,4),0)),IFERROR(ROUND(S146/G146,4),0))</f>
        <v>0</v>
      </c>
      <c r="AF146" s="123">
        <f>IFERROR(IF(VLOOKUP($B146,Shortage!$A:$M,AF$2,FALSE)="Shortage",1,IFERROR(ROUND(T146/H146,4),0)),IFERROR(ROUND(T146/H146,4),0))</f>
        <v>0</v>
      </c>
      <c r="AG146" s="123">
        <f>IFERROR(IF(VLOOKUP($B146,Shortage!$A:$M,AG$2,FALSE)="Shortage",1,IFERROR(ROUND(U146/I146,4),0)),IFERROR(ROUND(U146/I146,4),0))</f>
        <v>0</v>
      </c>
      <c r="AH146" s="123">
        <f>IFERROR(IF(VLOOKUP($B146,Shortage!$A:$M,AH$2,FALSE)="Shortage",1,IFERROR(ROUND(V146/J146,4),0)),IFERROR(ROUND(V146/J146,4),0))</f>
        <v>0</v>
      </c>
      <c r="AI146" s="123">
        <f>IFERROR(IF(VLOOKUP($B146,Shortage!$A:$M,AI$2,FALSE)="Shortage",1,IFERROR(ROUND(W146/K146,4),0)),IFERROR(ROUND(W146/K146,4),0))</f>
        <v>0</v>
      </c>
      <c r="AJ146" s="123">
        <f>IFERROR(IF(VLOOKUP($B146,Shortage!$A:$M,AP$2,FALSE)="Shortage",1,IFERROR(ROUND(X146/L146,4),0)),IFERROR(ROUND(X146/L146,4),0))</f>
        <v>0</v>
      </c>
      <c r="AK146" s="123">
        <f>IFERROR(IF(VLOOKUP($B146,Shortage!$A:$M,AK$2,FALSE)="Shortage",1,IFERROR(ROUND(Y146/M146,4),0)),IFERROR(ROUND(Y146/M146,4),0))</f>
        <v>0</v>
      </c>
      <c r="AL146" s="123">
        <f>IFERROR(IF(VLOOKUP($B146,Shortage!$A:$M,AL$2,FALSE)="Shortage",1,IFERROR(ROUND(Z146/N146,4),0)),IFERROR(ROUND(Z146/N146,4),0))</f>
        <v>0</v>
      </c>
      <c r="AM146" s="123">
        <f>IFERROR(IF(VLOOKUP($B146,Shortage!$A:$M,AM$2,FALSE)="Shortage",1,IFERROR(ROUND(AA146/O146,4),0)),IFERROR(ROUND(AA146/O146,4),0))</f>
        <v>0</v>
      </c>
      <c r="AN146" s="232">
        <f>IFERROR(IF($C146="Top WS",VLOOKUP("GOAL",'2) หลักการคำนวน Table'!$D$4:$M$4,HLOOKUP(AB146,'2) หลักการคำนวน Table'!$D$1:$M$5,5,TRUE),0),
IF($C146="WS SF",VLOOKUP("GOAL",'2) หลักการคำนวน Table'!$D$32:$M$32,HLOOKUP(AB146,'2) หลักการคำนวน Table'!$D$1:$M$5,5,TRUE),0),
IF($C146="WS WH",VLOOKUP("GOAL",'2) หลักการคำนวน Table'!$D$62:$M$62,HLOOKUP(AB146,'2) หลักการคำนวน Table'!$D$1:$M$5,5,TRUE),0),
IF($C146="SF WH",VLOOKUP("GOAL",'2) หลักการคำนวน Table'!$D$92:$M$92,HLOOKUP(AB146,'2) หลักการคำนวน Table'!$D$1:$M$5,5,TRUE),0))))),0)</f>
        <v>1</v>
      </c>
      <c r="AO146" s="232">
        <f>IFERROR(IF($C146="Top WS",VLOOKUP("GOAL",'2) หลักการคำนวน Table'!$D$4:$M$4,HLOOKUP(AC146,'2) หลักการคำนวน Table'!$D$1:$M$5,5,TRUE),0),
IF($C146="WS SF",VLOOKUP("GOAL",'2) หลักการคำนวน Table'!$D$32:$M$32,HLOOKUP(AC146,'2) หลักการคำนวน Table'!$D$1:$M$5,5,TRUE),0),
IF($C146="WS WH",VLOOKUP("GOAL",'2) หลักการคำนวน Table'!$D$62:$M$62,HLOOKUP(AC146,'2) หลักการคำนวน Table'!$D$1:$M$5,5,TRUE),0),
IF($C146="SF WH",VLOOKUP("GOAL",'2) หลักการคำนวน Table'!$D$92:$M$92,HLOOKUP(AC146,'2) หลักการคำนวน Table'!$D$1:$M$5,5,TRUE),0))))),0)</f>
        <v>0.9</v>
      </c>
      <c r="AP146" s="232">
        <f>IFERROR(IF($C146="Top WS",VLOOKUP("GOAL",'2) หลักการคำนวน Table'!$D$4:$M$4,HLOOKUP(AD146,'2) หลักการคำนวน Table'!$D$1:$M$5,5,TRUE),0),
IF($C146="WS SF",VLOOKUP("GOAL",'2) หลักการคำนวน Table'!$D$32:$M$32,HLOOKUP(AD146,'2) หลักการคำนวน Table'!$D$1:$M$5,5,TRUE),0),
IF($C146="WS WH",VLOOKUP("GOAL",'2) หลักการคำนวน Table'!$D$62:$M$62,HLOOKUP(AD146,'2) หลักการคำนวน Table'!$D$1:$M$5,5,TRUE),0),
IF($C146="SF WH",VLOOKUP("GOAL",'2) หลักการคำนวน Table'!$D$92:$M$92,HLOOKUP(AD146,'2) หลักการคำนวน Table'!$D$1:$M$5,5,TRUE),0))))),0)</f>
        <v>0.9</v>
      </c>
      <c r="AQ146" s="232">
        <f>IFERROR(IF($C146="Top WS",VLOOKUP("GOAL",'2) หลักการคำนวน Table'!$D$4:$M$4,HLOOKUP(AE146,'2) หลักการคำนวน Table'!$D$1:$M$5,5,TRUE),0),
IF($C146="WS SF",VLOOKUP("GOAL",'2) หลักการคำนวน Table'!$D$32:$M$32,HLOOKUP(AE146,'2) หลักการคำนวน Table'!$D$1:$M$5,5,TRUE),0),
IF($C146="WS WH",VLOOKUP("GOAL",'2) หลักการคำนวน Table'!$D$62:$M$62,HLOOKUP(AE146,'2) หลักการคำนวน Table'!$D$1:$M$5,5,TRUE),0),
IF($C146="SF WH",VLOOKUP("GOAL",'2) หลักการคำนวน Table'!$D$92:$M$92,HLOOKUP(AE146,'2) หลักการคำนวน Table'!$D$1:$M$5,5,TRUE),0))))),0)</f>
        <v>0.9</v>
      </c>
      <c r="AR146" s="232">
        <f>IFERROR(IF($C146="Top WS",VLOOKUP("GOAL",'2) หลักการคำนวน Table'!$D$4:$M$4,HLOOKUP(AF146,'2) หลักการคำนวน Table'!$D$1:$M$5,5,TRUE),0),
IF($C146="WS SF",VLOOKUP("GOAL",'2) หลักการคำนวน Table'!$D$32:$M$32,HLOOKUP(AF146,'2) หลักการคำนวน Table'!$D$1:$M$5,5,TRUE),0),
IF($C146="WS WH",VLOOKUP("GOAL",'2) หลักการคำนวน Table'!$D$62:$M$62,HLOOKUP(AF146,'2) หลักการคำนวน Table'!$D$1:$M$5,5,TRUE),0),
IF($C146="SF WH",VLOOKUP("GOAL",'2) หลักการคำนวน Table'!$D$92:$M$92,HLOOKUP(AF146,'2) หลักการคำนวน Table'!$D$1:$M$5,5,TRUE),0))))),0)</f>
        <v>0.9</v>
      </c>
      <c r="AS146" s="232">
        <f>IFERROR(IF($C146="Top WS",VLOOKUP("GOAL",'2) หลักการคำนวน Table'!$D$4:$M$4,HLOOKUP(AG146,'2) หลักการคำนวน Table'!$D$1:$M$5,5,TRUE),0),
IF($C146="WS SF",VLOOKUP("GOAL",'2) หลักการคำนวน Table'!$D$32:$M$32,HLOOKUP(AG146,'2) หลักการคำนวน Table'!$D$1:$M$5,5,TRUE),0),
IF($C146="WS WH",VLOOKUP("GOAL",'2) หลักการคำนวน Table'!$D$62:$M$62,HLOOKUP(AG146,'2) หลักการคำนวน Table'!$D$1:$M$5,5,TRUE),0),
IF($C146="SF WH",VLOOKUP("GOAL",'2) หลักการคำนวน Table'!$D$92:$M$92,HLOOKUP(AG146,'2) หลักการคำนวน Table'!$D$1:$M$5,5,TRUE),0))))),0)</f>
        <v>0.9</v>
      </c>
      <c r="AT146" s="232">
        <f>IFERROR(IF($C146="Top WS",VLOOKUP("GOAL",'2) หลักการคำนวน Table'!$D$4:$M$4,HLOOKUP(AH146,'2) หลักการคำนวน Table'!$D$1:$M$5,5,TRUE),0),
IF($C146="WS SF",VLOOKUP("GOAL",'2) หลักการคำนวน Table'!$D$32:$M$32,HLOOKUP(AH146,'2) หลักการคำนวน Table'!$D$1:$M$5,5,TRUE),0),
IF($C146="WS WH",VLOOKUP("GOAL",'2) หลักการคำนวน Table'!$D$62:$M$62,HLOOKUP(AH146,'2) หลักการคำนวน Table'!$D$1:$M$5,5,TRUE),0),
IF($C146="SF WH",VLOOKUP("GOAL",'2) หลักการคำนวน Table'!$D$92:$M$92,HLOOKUP(AH146,'2) หลักการคำนวน Table'!$D$1:$M$5,5,TRUE),0))))),0)</f>
        <v>0.9</v>
      </c>
      <c r="AU146" s="232">
        <f>IFERROR(IF($C146="Top WS",VLOOKUP("GOAL",'2) หลักการคำนวน Table'!$D$4:$M$4,HLOOKUP(AI146,'2) หลักการคำนวน Table'!$D$1:$M$5,5,TRUE),0),
IF($C146="WS SF",VLOOKUP("GOAL",'2) หลักการคำนวน Table'!$D$32:$M$32,HLOOKUP(AI146,'2) หลักการคำนวน Table'!$D$1:$M$5,5,TRUE),0),
IF($C146="WS WH",VLOOKUP("GOAL",'2) หลักการคำนวน Table'!$D$62:$M$62,HLOOKUP(AI146,'2) หลักการคำนวน Table'!$D$1:$M$5,5,TRUE),0),
IF($C146="SF WH",VLOOKUP("GOAL",'2) หลักการคำนวน Table'!$D$92:$M$92,HLOOKUP(AI146,'2) หลักการคำนวน Table'!$D$1:$M$5,5,TRUE),0))))),0)</f>
        <v>0.9</v>
      </c>
      <c r="AV146" s="232">
        <f>IFERROR(IF($C146="Top WS",VLOOKUP("GOAL",'2) หลักการคำนวน Table'!$D$4:$M$4,HLOOKUP(AP146,'2) หลักการคำนวน Table'!$D$1:$M$5,5,TRUE),0),
IF($C146="WS SF",VLOOKUP("GOAL",'2) หลักการคำนวน Table'!$D$32:$M$32,HLOOKUP(AP146,'2) หลักการคำนวน Table'!$D$1:$M$5,5,TRUE),0),
IF($C146="WS WH",VLOOKUP("GOAL",'2) หลักการคำนวน Table'!$D$62:$M$62,HLOOKUP(AP146,'2) หลักการคำนวน Table'!$D$1:$M$5,5,TRUE),0),
IF($C146="SF WH",VLOOKUP("GOAL",'2) หลักการคำนวน Table'!$D$92:$M$92,HLOOKUP(AP146,'2) หลักการคำนวน Table'!$D$1:$M$5,5,TRUE),0))))),0)</f>
        <v>0.9</v>
      </c>
      <c r="AW146" s="232">
        <f>IFERROR(IF($C146="Top WS",VLOOKUP("GOAL",'2) หลักการคำนวน Table'!$D$4:$M$4,HLOOKUP(AK146,'2) หลักการคำนวน Table'!$D$1:$M$5,5,TRUE),0),
IF($C146="WS SF",VLOOKUP("GOAL",'2) หลักการคำนวน Table'!$D$32:$M$32,HLOOKUP(AK146,'2) หลักการคำนวน Table'!$D$1:$M$5,5,TRUE),0),
IF($C146="WS WH",VLOOKUP("GOAL",'2) หลักการคำนวน Table'!$D$62:$M$62,HLOOKUP(AK146,'2) หลักการคำนวน Table'!$D$1:$M$5,5,TRUE),0),
IF($C146="SF WH",VLOOKUP("GOAL",'2) หลักการคำนวน Table'!$D$92:$M$92,HLOOKUP(AK146,'2) หลักการคำนวน Table'!$D$1:$M$5,5,TRUE),0))))),0)</f>
        <v>0.9</v>
      </c>
      <c r="AX146" s="232">
        <f>IFERROR(IF($C146="Top WS",VLOOKUP("GOAL",'2) หลักการคำนวน Table'!$D$4:$M$4,HLOOKUP(AL146,'2) หลักการคำนวน Table'!$D$1:$M$5,5,TRUE),0),
IF($C146="WS SF",VLOOKUP("GOAL",'2) หลักการคำนวน Table'!$D$32:$M$32,HLOOKUP(AL146,'2) หลักการคำนวน Table'!$D$1:$M$5,5,TRUE),0),
IF($C146="WS WH",VLOOKUP("GOAL",'2) หลักการคำนวน Table'!$D$62:$M$62,HLOOKUP(AL146,'2) หลักการคำนวน Table'!$D$1:$M$5,5,TRUE),0),
IF($C146="SF WH",VLOOKUP("GOAL",'2) หลักการคำนวน Table'!$D$92:$M$92,HLOOKUP(AL146,'2) หลักการคำนวน Table'!$D$1:$M$5,5,TRUE),0))))),0)</f>
        <v>0.9</v>
      </c>
      <c r="AY146" s="232">
        <f>IFERROR(IF($C146="Top WS",VLOOKUP("GOAL",'2) หลักการคำนวน Table'!$D$4:$M$4,HLOOKUP(AM146,'2) หลักการคำนวน Table'!$D$1:$M$5,5,TRUE),0),
IF($C146="WS SF",VLOOKUP("GOAL",'2) หลักการคำนวน Table'!$D$32:$M$32,HLOOKUP(AM146,'2) หลักการคำนวน Table'!$D$1:$M$5,5,TRUE),0),
IF($C146="WS WH",VLOOKUP("GOAL",'2) หลักการคำนวน Table'!$D$62:$M$62,HLOOKUP(AM146,'2) หลักการคำนวน Table'!$D$1:$M$5,5,TRUE),0),
IF($C146="SF WH",VLOOKUP("GOAL",'2) หลักการคำนวน Table'!$D$92:$M$92,HLOOKUP(AM146,'2) หลักการคำนวน Table'!$D$1:$M$5,5,TRUE),0))))),0)</f>
        <v>0.9</v>
      </c>
      <c r="AZ146" s="167">
        <f>IFERROR(IF($C146="Top WS",VLOOKUP($B146,'2) หลักการคำนวน Table'!$D$5:$M$20,HLOOKUP(AB146,'2) หลักการคำนวน Table'!$D$1:$M$5,5,TRUE),0),
IF($C146="WS SF",VLOOKUP($B146,'2) หลักการคำนวน Table'!$D$33:$M$48,HLOOKUP(AB146,'2) หลักการคำนวน Table'!$D$1:$M$5,5,TRUE),0),
IF($C146="WS WH",VLOOKUP($B146,'2) หลักการคำนวน Table'!$D$63:$M$78,HLOOKUP(AB146,'2) หลักการคำนวน Table'!$D$1:$M$5,5,TRUE),0),
IF($C146="SF WH",VLOOKUP($B146,'2) หลักการคำนวน Table'!$D$93:$M$108,HLOOKUP(AB146,'2) หลักการคำนวน Table'!$D$1:$M$5,5,TRUE),0))))),0)</f>
        <v>350</v>
      </c>
      <c r="BA146" s="167">
        <f>IFERROR(IF($C146="Top WS",VLOOKUP($B146,'2) หลักการคำนวน Table'!$D$5:$M$20,HLOOKUP(AC146,'2) หลักการคำนวน Table'!$D$1:$M$5,5,TRUE),0),
IF($C146="WS SF",VLOOKUP($B146,'2) หลักการคำนวน Table'!$D$33:$M$48,HLOOKUP(AC146,'2) หลักการคำนวน Table'!$D$1:$M$5,5,TRUE),0),
IF($C146="WS WH",VLOOKUP($B146,'2) หลักการคำนวน Table'!$D$63:$M$78,HLOOKUP(AC146,'2) หลักการคำนวน Table'!$D$1:$M$5,5,TRUE),0),
IF($C146="SF WH",VLOOKUP($B146,'2) หลักการคำนวน Table'!$D$93:$M$108,HLOOKUP(AC146,'2) หลักการคำนวน Table'!$D$1:$M$5,5,TRUE),0))))),0)</f>
        <v>315</v>
      </c>
      <c r="BB146" s="167">
        <f>IFERROR(IF($C146="Top WS",VLOOKUP($B146,'2) หลักการคำนวน Table'!$D$5:$M$20,HLOOKUP(AD146,'2) หลักการคำนวน Table'!$D$1:$M$5,5,TRUE),0),
IF($C146="WS SF",VLOOKUP($B146,'2) หลักการคำนวน Table'!$D$33:$M$48,HLOOKUP(AD146,'2) หลักการคำนวน Table'!$D$1:$M$5,5,TRUE),0),
IF($C146="WS WH",VLOOKUP($B146,'2) หลักการคำนวน Table'!$D$63:$M$78,HLOOKUP(AD146,'2) หลักการคำนวน Table'!$D$1:$M$5,5,TRUE),0),
IF($C146="SF WH",VLOOKUP($B146,'2) หลักการคำนวน Table'!$D$93:$M$108,HLOOKUP(AD146,'2) หลักการคำนวน Table'!$D$1:$M$5,5,TRUE),0))))),0)</f>
        <v>315</v>
      </c>
      <c r="BC146" s="167">
        <f>IFERROR(IF($C146="Top WS",VLOOKUP($B146,'2) หลักการคำนวน Table'!$D$5:$M$20,HLOOKUP(AE146,'2) หลักการคำนวน Table'!$D$1:$M$5,5,TRUE),0),
IF($C146="WS SF",VLOOKUP($B146,'2) หลักการคำนวน Table'!$D$33:$M$48,HLOOKUP(AE146,'2) หลักการคำนวน Table'!$D$1:$M$5,5,TRUE),0),
IF($C146="WS WH",VLOOKUP($B146,'2) หลักการคำนวน Table'!$D$63:$M$78,HLOOKUP(AE146,'2) หลักการคำนวน Table'!$D$1:$M$5,5,TRUE),0),
IF($C146="SF WH",VLOOKUP($B146,'2) หลักการคำนวน Table'!$D$93:$M$108,HLOOKUP(AE146,'2) หลักการคำนวน Table'!$D$1:$M$5,5,TRUE),0))))),0)</f>
        <v>315</v>
      </c>
      <c r="BD146" s="167">
        <f>IFERROR(IF($C146="Top WS",VLOOKUP($B146,'2) หลักการคำนวน Table'!$D$5:$M$20,HLOOKUP(AF146,'2) หลักการคำนวน Table'!$D$1:$M$5,5,TRUE),0),
IF($C146="WS SF",VLOOKUP($B146,'2) หลักการคำนวน Table'!$D$33:$M$48,HLOOKUP(AF146,'2) หลักการคำนวน Table'!$D$1:$M$5,5,TRUE),0),
IF($C146="WS WH",VLOOKUP($B146,'2) หลักการคำนวน Table'!$D$63:$M$78,HLOOKUP(AF146,'2) หลักการคำนวน Table'!$D$1:$M$5,5,TRUE),0),
IF($C146="SF WH",VLOOKUP($B146,'2) หลักการคำนวน Table'!$D$93:$M$108,HLOOKUP(AF146,'2) หลักการคำนวน Table'!$D$1:$M$5,5,TRUE),0))))),0)</f>
        <v>315</v>
      </c>
      <c r="BE146" s="167">
        <f>IFERROR(IF($C146="Top WS",VLOOKUP($B146,'2) หลักการคำนวน Table'!$D$5:$M$20,HLOOKUP(AG146,'2) หลักการคำนวน Table'!$D$1:$M$5,5,TRUE),0),
IF($C146="WS SF",VLOOKUP($B146,'2) หลักการคำนวน Table'!$D$33:$M$48,HLOOKUP(AG146,'2) หลักการคำนวน Table'!$D$1:$M$5,5,TRUE),0),
IF($C146="WS WH",VLOOKUP($B146,'2) หลักการคำนวน Table'!$D$63:$M$78,HLOOKUP(AG146,'2) หลักการคำนวน Table'!$D$1:$M$5,5,TRUE),0),
IF($C146="SF WH",VLOOKUP($B146,'2) หลักการคำนวน Table'!$D$93:$M$108,HLOOKUP(AG146,'2) หลักการคำนวน Table'!$D$1:$M$5,5,TRUE),0))))),0)</f>
        <v>315</v>
      </c>
      <c r="BF146" s="167">
        <f>IFERROR(IF($C146="Top WS",VLOOKUP($B146,'2) หลักการคำนวน Table'!$D$5:$M$20,HLOOKUP(AH146,'2) หลักการคำนวน Table'!$D$1:$M$5,5,TRUE),0),
IF($C146="WS SF",VLOOKUP($B146,'2) หลักการคำนวน Table'!$D$33:$M$48,HLOOKUP(AH146,'2) หลักการคำนวน Table'!$D$1:$M$5,5,TRUE),0),
IF($C146="WS WH",VLOOKUP($B146,'2) หลักการคำนวน Table'!$D$63:$M$78,HLOOKUP(AH146,'2) หลักการคำนวน Table'!$D$1:$M$5,5,TRUE),0),
IF($C146="SF WH",VLOOKUP($B146,'2) หลักการคำนวน Table'!$D$93:$M$108,HLOOKUP(AH146,'2) หลักการคำนวน Table'!$D$1:$M$5,5,TRUE),0))))),0)</f>
        <v>315</v>
      </c>
      <c r="BG146" s="167">
        <f>IFERROR(IF($C146="Top WS",VLOOKUP($B146,'2) หลักการคำนวน Table'!$D$5:$M$20,HLOOKUP(AI146,'2) หลักการคำนวน Table'!$D$1:$M$5,5,TRUE),0),
IF($C146="WS SF",VLOOKUP($B146,'2) หลักการคำนวน Table'!$D$33:$M$48,HLOOKUP(AI146,'2) หลักการคำนวน Table'!$D$1:$M$5,5,TRUE),0),
IF($C146="WS WH",VLOOKUP($B146,'2) หลักการคำนวน Table'!$D$63:$M$78,HLOOKUP(AI146,'2) หลักการคำนวน Table'!$D$1:$M$5,5,TRUE),0),
IF($C146="SF WH",VLOOKUP($B146,'2) หลักการคำนวน Table'!$D$93:$M$108,HLOOKUP(AI146,'2) หลักการคำนวน Table'!$D$1:$M$5,5,TRUE),0))))),0)</f>
        <v>315</v>
      </c>
      <c r="BH146" s="167">
        <f>IFERROR(IF($C146="Top WS",VLOOKUP($B146,'2) หลักการคำนวน Table'!$D$5:$M$20,HLOOKUP(AP146,'2) หลักการคำนวน Table'!$D$1:$M$5,5,TRUE),0),
IF($C146="WS SF",VLOOKUP($B146,'2) หลักการคำนวน Table'!$D$33:$M$48,HLOOKUP(AP146,'2) หลักการคำนวน Table'!$D$1:$M$5,5,TRUE),0),
IF($C146="WS WH",VLOOKUP($B146,'2) หลักการคำนวน Table'!$D$63:$M$78,HLOOKUP(AP146,'2) หลักการคำนวน Table'!$D$1:$M$5,5,TRUE),0),
IF($C146="SF WH",VLOOKUP($B146,'2) หลักการคำนวน Table'!$D$93:$M$108,HLOOKUP(AP146,'2) หลักการคำนวน Table'!$D$1:$M$5,5,TRUE),0))))),0)</f>
        <v>315</v>
      </c>
      <c r="BI146" s="167">
        <f>IFERROR(IF($C146="Top WS",VLOOKUP($B146,'2) หลักการคำนวน Table'!$D$5:$M$20,HLOOKUP(AK146,'2) หลักการคำนวน Table'!$D$1:$M$5,5,TRUE),0),
IF($C146="WS SF",VLOOKUP($B146,'2) หลักการคำนวน Table'!$D$33:$M$48,HLOOKUP(AK146,'2) หลักการคำนวน Table'!$D$1:$M$5,5,TRUE),0),
IF($C146="WS WH",VLOOKUP($B146,'2) หลักการคำนวน Table'!$D$63:$M$78,HLOOKUP(AK146,'2) หลักการคำนวน Table'!$D$1:$M$5,5,TRUE),0),
IF($C146="SF WH",VLOOKUP($B146,'2) หลักการคำนวน Table'!$D$93:$M$108,HLOOKUP(AK146,'2) หลักการคำนวน Table'!$D$1:$M$5,5,TRUE),0))))),0)</f>
        <v>315</v>
      </c>
      <c r="BJ146" s="167">
        <f>IFERROR(IF($C146="Top WS",VLOOKUP($B146,'2) หลักการคำนวน Table'!$D$5:$M$20,HLOOKUP(AL146,'2) หลักการคำนวน Table'!$D$1:$M$5,5,TRUE),0),
IF($C146="WS SF",VLOOKUP($B146,'2) หลักการคำนวน Table'!$D$33:$M$48,HLOOKUP(AL146,'2) หลักการคำนวน Table'!$D$1:$M$5,5,TRUE),0),
IF($C146="WS WH",VLOOKUP($B146,'2) หลักการคำนวน Table'!$D$63:$M$78,HLOOKUP(AL146,'2) หลักการคำนวน Table'!$D$1:$M$5,5,TRUE),0),
IF($C146="SF WH",VLOOKUP($B146,'2) หลักการคำนวน Table'!$D$93:$M$108,HLOOKUP(AL146,'2) หลักการคำนวน Table'!$D$1:$M$5,5,TRUE),0))))),0)</f>
        <v>315</v>
      </c>
      <c r="BK146" s="167">
        <f>IFERROR(IF($C146="Top WS",VLOOKUP($B146,'2) หลักการคำนวน Table'!$D$5:$M$20,HLOOKUP(AM146,'2) หลักการคำนวน Table'!$D$1:$M$5,5,TRUE),0),
IF($C146="WS SF",VLOOKUP($B146,'2) หลักการคำนวน Table'!$D$33:$M$48,HLOOKUP(AM146,'2) หลักการคำนวน Table'!$D$1:$M$5,5,TRUE),0),
IF($C146="WS WH",VLOOKUP($B146,'2) หลักการคำนวน Table'!$D$63:$M$78,HLOOKUP(AM146,'2) หลักการคำนวน Table'!$D$1:$M$5,5,TRUE),0),
IF($C146="SF WH",VLOOKUP($B146,'2) หลักการคำนวน Table'!$D$93:$M$108,HLOOKUP(AM146,'2) หลักการคำนวน Table'!$D$1:$M$5,5,TRUE),0))))),0)</f>
        <v>315</v>
      </c>
      <c r="BM146" s="119">
        <f>VLOOKUP(VLOOKUP(A146,ASTBase!E:S,13,FALSE),ASTBase!F:P,11,FALSE)</f>
        <v>130000</v>
      </c>
      <c r="BN146" s="196" cm="1">
        <f t="array" ref="BN146">INDEX(AN146:AY146,,Period!$D$2)</f>
        <v>0.9</v>
      </c>
    </row>
    <row r="147" spans="1:66" x14ac:dyDescent="0.25">
      <c r="A147" s="117">
        <v>130003</v>
      </c>
      <c r="B147" s="117" t="s">
        <v>389</v>
      </c>
      <c r="C147" s="117" t="s">
        <v>180</v>
      </c>
      <c r="D147" s="118">
        <v>16272</v>
      </c>
      <c r="E147" s="118">
        <v>15346</v>
      </c>
      <c r="F147" s="118">
        <v>17753</v>
      </c>
      <c r="G147" s="118">
        <v>14552</v>
      </c>
      <c r="H147" s="118">
        <v>12175</v>
      </c>
      <c r="I147" s="118">
        <v>15449</v>
      </c>
      <c r="J147" s="118">
        <v>14180</v>
      </c>
      <c r="K147" s="118">
        <v>16113</v>
      </c>
      <c r="L147" s="118">
        <v>16161</v>
      </c>
      <c r="M147" s="118">
        <v>17988</v>
      </c>
      <c r="N147" s="118">
        <v>14554</v>
      </c>
      <c r="O147" s="118">
        <v>14551</v>
      </c>
      <c r="P147" s="117">
        <f>SUMIFS(Actual!C:C,Actual!$A:$A,'3)Target &amp; Cal'!$A147,Actual!$B:$B,'3)Target &amp; Cal'!$B147)</f>
        <v>11168.600000000002</v>
      </c>
      <c r="Q147" s="117">
        <f>SUMIFS(Actual!D:D,Actual!$A:$A,'3)Target &amp; Cal'!$A147,Actual!$B:$B,'3)Target &amp; Cal'!$B147)</f>
        <v>11939.8</v>
      </c>
      <c r="R147" s="117">
        <f>SUMIFS(Actual!E:E,Actual!$A:$A,'3)Target &amp; Cal'!$A147,Actual!$B:$B,'3)Target &amp; Cal'!$B147)</f>
        <v>0</v>
      </c>
      <c r="S147" s="117">
        <f>SUMIFS(Actual!F:F,Actual!$A:$A,'3)Target &amp; Cal'!$A147,Actual!$B:$B,'3)Target &amp; Cal'!$B147)</f>
        <v>0</v>
      </c>
      <c r="T147" s="117">
        <f>SUMIFS(Actual!G:G,Actual!$A:$A,'3)Target &amp; Cal'!$A147,Actual!$B:$B,'3)Target &amp; Cal'!$B147)</f>
        <v>0</v>
      </c>
      <c r="U147" s="117">
        <f>SUMIFS(Actual!H:H,Actual!$A:$A,'3)Target &amp; Cal'!$A147,Actual!$B:$B,'3)Target &amp; Cal'!$B147)</f>
        <v>0</v>
      </c>
      <c r="V147" s="117">
        <f>SUMIFS(Actual!I:I,Actual!$A:$A,'3)Target &amp; Cal'!$A147,Actual!$B:$B,'3)Target &amp; Cal'!$B147)</f>
        <v>0</v>
      </c>
      <c r="W147" s="117">
        <f>SUMIFS(Actual!J:J,Actual!$A:$A,'3)Target &amp; Cal'!$A147,Actual!$B:$B,'3)Target &amp; Cal'!$B147)</f>
        <v>0</v>
      </c>
      <c r="X147" s="117">
        <f>SUMIFS(Actual!K:K,Actual!$A:$A,'3)Target &amp; Cal'!$A147,Actual!$B:$B,'3)Target &amp; Cal'!$B147)</f>
        <v>0</v>
      </c>
      <c r="Y147" s="117">
        <f>SUMIFS(Actual!L:L,Actual!$A:$A,'3)Target &amp; Cal'!$A147,Actual!$B:$B,'3)Target &amp; Cal'!$B147)</f>
        <v>0</v>
      </c>
      <c r="Z147" s="117">
        <f>SUMIFS(Actual!M:M,Actual!$A:$A,'3)Target &amp; Cal'!$A147,Actual!$B:$B,'3)Target &amp; Cal'!$B147)</f>
        <v>0</v>
      </c>
      <c r="AA147" s="117">
        <f>SUMIFS(Actual!N:N,Actual!$A:$A,'3)Target &amp; Cal'!$A147,Actual!$B:$B,'3)Target &amp; Cal'!$B147)</f>
        <v>0</v>
      </c>
      <c r="AB147" s="123">
        <f>IFERROR(IF(VLOOKUP($B147,Shortage!$A:$M,AB$2,FALSE)="Shortage",1,IFERROR(ROUND(P147/D147,4),0)),IFERROR(ROUND(P147/D147,4),0))</f>
        <v>1</v>
      </c>
      <c r="AC147" s="123">
        <f>IFERROR(IF(VLOOKUP($B147,Shortage!$A:$M,AC$2,FALSE)="Shortage",1,IFERROR(ROUND(Q147/E147,4),0)),IFERROR(ROUND(Q147/E147,4),0))</f>
        <v>1</v>
      </c>
      <c r="AD147" s="123">
        <f>IFERROR(IF(VLOOKUP($B147,Shortage!$A:$M,AD$2,FALSE)="Shortage",1,IFERROR(ROUND(R147/F147,4),0)),IFERROR(ROUND(R147/F147,4),0))</f>
        <v>0</v>
      </c>
      <c r="AE147" s="123">
        <f>IFERROR(IF(VLOOKUP($B147,Shortage!$A:$M,AE$2,FALSE)="Shortage",1,IFERROR(ROUND(S147/G147,4),0)),IFERROR(ROUND(S147/G147,4),0))</f>
        <v>0</v>
      </c>
      <c r="AF147" s="123">
        <f>IFERROR(IF(VLOOKUP($B147,Shortage!$A:$M,AF$2,FALSE)="Shortage",1,IFERROR(ROUND(T147/H147,4),0)),IFERROR(ROUND(T147/H147,4),0))</f>
        <v>0</v>
      </c>
      <c r="AG147" s="123">
        <f>IFERROR(IF(VLOOKUP($B147,Shortage!$A:$M,AG$2,FALSE)="Shortage",1,IFERROR(ROUND(U147/I147,4),0)),IFERROR(ROUND(U147/I147,4),0))</f>
        <v>0</v>
      </c>
      <c r="AH147" s="123">
        <f>IFERROR(IF(VLOOKUP($B147,Shortage!$A:$M,AH$2,FALSE)="Shortage",1,IFERROR(ROUND(V147/J147,4),0)),IFERROR(ROUND(V147/J147,4),0))</f>
        <v>0</v>
      </c>
      <c r="AI147" s="123">
        <f>IFERROR(IF(VLOOKUP($B147,Shortage!$A:$M,AI$2,FALSE)="Shortage",1,IFERROR(ROUND(W147/K147,4),0)),IFERROR(ROUND(W147/K147,4),0))</f>
        <v>0</v>
      </c>
      <c r="AJ147" s="123">
        <f>IFERROR(IF(VLOOKUP($B147,Shortage!$A:$M,AP$2,FALSE)="Shortage",1,IFERROR(ROUND(X147/L147,4),0)),IFERROR(ROUND(X147/L147,4),0))</f>
        <v>0</v>
      </c>
      <c r="AK147" s="123">
        <f>IFERROR(IF(VLOOKUP($B147,Shortage!$A:$M,AK$2,FALSE)="Shortage",1,IFERROR(ROUND(Y147/M147,4),0)),IFERROR(ROUND(Y147/M147,4),0))</f>
        <v>0</v>
      </c>
      <c r="AL147" s="123">
        <f>IFERROR(IF(VLOOKUP($B147,Shortage!$A:$M,AL$2,FALSE)="Shortage",1,IFERROR(ROUND(Z147/N147,4),0)),IFERROR(ROUND(Z147/N147,4),0))</f>
        <v>0</v>
      </c>
      <c r="AM147" s="123">
        <f>IFERROR(IF(VLOOKUP($B147,Shortage!$A:$M,AM$2,FALSE)="Shortage",1,IFERROR(ROUND(AA147/O147,4),0)),IFERROR(ROUND(AA147/O147,4),0))</f>
        <v>0</v>
      </c>
      <c r="AN147" s="232">
        <f>IFERROR(IF($C147="Top WS",VLOOKUP("GOAL",'2) หลักการคำนวน Table'!$D$4:$M$4,HLOOKUP(AB147,'2) หลักการคำนวน Table'!$D$1:$M$5,5,TRUE),0),
IF($C147="WS SF",VLOOKUP("GOAL",'2) หลักการคำนวน Table'!$D$32:$M$32,HLOOKUP(AB147,'2) หลักการคำนวน Table'!$D$1:$M$5,5,TRUE),0),
IF($C147="WS WH",VLOOKUP("GOAL",'2) หลักการคำนวน Table'!$D$62:$M$62,HLOOKUP(AB147,'2) หลักการคำนวน Table'!$D$1:$M$5,5,TRUE),0),
IF($C147="SF WH",VLOOKUP("GOAL",'2) หลักการคำนวน Table'!$D$92:$M$92,HLOOKUP(AB147,'2) หลักการคำนวน Table'!$D$1:$M$5,5,TRUE),0))))),0)</f>
        <v>1</v>
      </c>
      <c r="AO147" s="232">
        <f>IFERROR(IF($C147="Top WS",VLOOKUP("GOAL",'2) หลักการคำนวน Table'!$D$4:$M$4,HLOOKUP(AC147,'2) หลักการคำนวน Table'!$D$1:$M$5,5,TRUE),0),
IF($C147="WS SF",VLOOKUP("GOAL",'2) หลักการคำนวน Table'!$D$32:$M$32,HLOOKUP(AC147,'2) หลักการคำนวน Table'!$D$1:$M$5,5,TRUE),0),
IF($C147="WS WH",VLOOKUP("GOAL",'2) หลักการคำนวน Table'!$D$62:$M$62,HLOOKUP(AC147,'2) หลักการคำนวน Table'!$D$1:$M$5,5,TRUE),0),
IF($C147="SF WH",VLOOKUP("GOAL",'2) หลักการคำนวน Table'!$D$92:$M$92,HLOOKUP(AC147,'2) หลักการคำนวน Table'!$D$1:$M$5,5,TRUE),0))))),0)</f>
        <v>1</v>
      </c>
      <c r="AP147" s="232">
        <f>IFERROR(IF($C147="Top WS",VLOOKUP("GOAL",'2) หลักการคำนวน Table'!$D$4:$M$4,HLOOKUP(AD147,'2) หลักการคำนวน Table'!$D$1:$M$5,5,TRUE),0),
IF($C147="WS SF",VLOOKUP("GOAL",'2) หลักการคำนวน Table'!$D$32:$M$32,HLOOKUP(AD147,'2) หลักการคำนวน Table'!$D$1:$M$5,5,TRUE),0),
IF($C147="WS WH",VLOOKUP("GOAL",'2) หลักการคำนวน Table'!$D$62:$M$62,HLOOKUP(AD147,'2) หลักการคำนวน Table'!$D$1:$M$5,5,TRUE),0),
IF($C147="SF WH",VLOOKUP("GOAL",'2) หลักการคำนวน Table'!$D$92:$M$92,HLOOKUP(AD147,'2) หลักการคำนวน Table'!$D$1:$M$5,5,TRUE),0))))),0)</f>
        <v>0.9</v>
      </c>
      <c r="AQ147" s="232">
        <f>IFERROR(IF($C147="Top WS",VLOOKUP("GOAL",'2) หลักการคำนวน Table'!$D$4:$M$4,HLOOKUP(AE147,'2) หลักการคำนวน Table'!$D$1:$M$5,5,TRUE),0),
IF($C147="WS SF",VLOOKUP("GOAL",'2) หลักการคำนวน Table'!$D$32:$M$32,HLOOKUP(AE147,'2) หลักการคำนวน Table'!$D$1:$M$5,5,TRUE),0),
IF($C147="WS WH",VLOOKUP("GOAL",'2) หลักการคำนวน Table'!$D$62:$M$62,HLOOKUP(AE147,'2) หลักการคำนวน Table'!$D$1:$M$5,5,TRUE),0),
IF($C147="SF WH",VLOOKUP("GOAL",'2) หลักการคำนวน Table'!$D$92:$M$92,HLOOKUP(AE147,'2) หลักการคำนวน Table'!$D$1:$M$5,5,TRUE),0))))),0)</f>
        <v>0.9</v>
      </c>
      <c r="AR147" s="232">
        <f>IFERROR(IF($C147="Top WS",VLOOKUP("GOAL",'2) หลักการคำนวน Table'!$D$4:$M$4,HLOOKUP(AF147,'2) หลักการคำนวน Table'!$D$1:$M$5,5,TRUE),0),
IF($C147="WS SF",VLOOKUP("GOAL",'2) หลักการคำนวน Table'!$D$32:$M$32,HLOOKUP(AF147,'2) หลักการคำนวน Table'!$D$1:$M$5,5,TRUE),0),
IF($C147="WS WH",VLOOKUP("GOAL",'2) หลักการคำนวน Table'!$D$62:$M$62,HLOOKUP(AF147,'2) หลักการคำนวน Table'!$D$1:$M$5,5,TRUE),0),
IF($C147="SF WH",VLOOKUP("GOAL",'2) หลักการคำนวน Table'!$D$92:$M$92,HLOOKUP(AF147,'2) หลักการคำนวน Table'!$D$1:$M$5,5,TRUE),0))))),0)</f>
        <v>0.9</v>
      </c>
      <c r="AS147" s="232">
        <f>IFERROR(IF($C147="Top WS",VLOOKUP("GOAL",'2) หลักการคำนวน Table'!$D$4:$M$4,HLOOKUP(AG147,'2) หลักการคำนวน Table'!$D$1:$M$5,5,TRUE),0),
IF($C147="WS SF",VLOOKUP("GOAL",'2) หลักการคำนวน Table'!$D$32:$M$32,HLOOKUP(AG147,'2) หลักการคำนวน Table'!$D$1:$M$5,5,TRUE),0),
IF($C147="WS WH",VLOOKUP("GOAL",'2) หลักการคำนวน Table'!$D$62:$M$62,HLOOKUP(AG147,'2) หลักการคำนวน Table'!$D$1:$M$5,5,TRUE),0),
IF($C147="SF WH",VLOOKUP("GOAL",'2) หลักการคำนวน Table'!$D$92:$M$92,HLOOKUP(AG147,'2) หลักการคำนวน Table'!$D$1:$M$5,5,TRUE),0))))),0)</f>
        <v>0.9</v>
      </c>
      <c r="AT147" s="232">
        <f>IFERROR(IF($C147="Top WS",VLOOKUP("GOAL",'2) หลักการคำนวน Table'!$D$4:$M$4,HLOOKUP(AH147,'2) หลักการคำนวน Table'!$D$1:$M$5,5,TRUE),0),
IF($C147="WS SF",VLOOKUP("GOAL",'2) หลักการคำนวน Table'!$D$32:$M$32,HLOOKUP(AH147,'2) หลักการคำนวน Table'!$D$1:$M$5,5,TRUE),0),
IF($C147="WS WH",VLOOKUP("GOAL",'2) หลักการคำนวน Table'!$D$62:$M$62,HLOOKUP(AH147,'2) หลักการคำนวน Table'!$D$1:$M$5,5,TRUE),0),
IF($C147="SF WH",VLOOKUP("GOAL",'2) หลักการคำนวน Table'!$D$92:$M$92,HLOOKUP(AH147,'2) หลักการคำนวน Table'!$D$1:$M$5,5,TRUE),0))))),0)</f>
        <v>0.9</v>
      </c>
      <c r="AU147" s="232">
        <f>IFERROR(IF($C147="Top WS",VLOOKUP("GOAL",'2) หลักการคำนวน Table'!$D$4:$M$4,HLOOKUP(AI147,'2) หลักการคำนวน Table'!$D$1:$M$5,5,TRUE),0),
IF($C147="WS SF",VLOOKUP("GOAL",'2) หลักการคำนวน Table'!$D$32:$M$32,HLOOKUP(AI147,'2) หลักการคำนวน Table'!$D$1:$M$5,5,TRUE),0),
IF($C147="WS WH",VLOOKUP("GOAL",'2) หลักการคำนวน Table'!$D$62:$M$62,HLOOKUP(AI147,'2) หลักการคำนวน Table'!$D$1:$M$5,5,TRUE),0),
IF($C147="SF WH",VLOOKUP("GOAL",'2) หลักการคำนวน Table'!$D$92:$M$92,HLOOKUP(AI147,'2) หลักการคำนวน Table'!$D$1:$M$5,5,TRUE),0))))),0)</f>
        <v>0.9</v>
      </c>
      <c r="AV147" s="232">
        <f>IFERROR(IF($C147="Top WS",VLOOKUP("GOAL",'2) หลักการคำนวน Table'!$D$4:$M$4,HLOOKUP(AP147,'2) หลักการคำนวน Table'!$D$1:$M$5,5,TRUE),0),
IF($C147="WS SF",VLOOKUP("GOAL",'2) หลักการคำนวน Table'!$D$32:$M$32,HLOOKUP(AP147,'2) หลักการคำนวน Table'!$D$1:$M$5,5,TRUE),0),
IF($C147="WS WH",VLOOKUP("GOAL",'2) หลักการคำนวน Table'!$D$62:$M$62,HLOOKUP(AP147,'2) หลักการคำนวน Table'!$D$1:$M$5,5,TRUE),0),
IF($C147="SF WH",VLOOKUP("GOAL",'2) หลักการคำนวน Table'!$D$92:$M$92,HLOOKUP(AP147,'2) หลักการคำนวน Table'!$D$1:$M$5,5,TRUE),0))))),0)</f>
        <v>0.9</v>
      </c>
      <c r="AW147" s="232">
        <f>IFERROR(IF($C147="Top WS",VLOOKUP("GOAL",'2) หลักการคำนวน Table'!$D$4:$M$4,HLOOKUP(AK147,'2) หลักการคำนวน Table'!$D$1:$M$5,5,TRUE),0),
IF($C147="WS SF",VLOOKUP("GOAL",'2) หลักการคำนวน Table'!$D$32:$M$32,HLOOKUP(AK147,'2) หลักการคำนวน Table'!$D$1:$M$5,5,TRUE),0),
IF($C147="WS WH",VLOOKUP("GOAL",'2) หลักการคำนวน Table'!$D$62:$M$62,HLOOKUP(AK147,'2) หลักการคำนวน Table'!$D$1:$M$5,5,TRUE),0),
IF($C147="SF WH",VLOOKUP("GOAL",'2) หลักการคำนวน Table'!$D$92:$M$92,HLOOKUP(AK147,'2) หลักการคำนวน Table'!$D$1:$M$5,5,TRUE),0))))),0)</f>
        <v>0.9</v>
      </c>
      <c r="AX147" s="232">
        <f>IFERROR(IF($C147="Top WS",VLOOKUP("GOAL",'2) หลักการคำนวน Table'!$D$4:$M$4,HLOOKUP(AL147,'2) หลักการคำนวน Table'!$D$1:$M$5,5,TRUE),0),
IF($C147="WS SF",VLOOKUP("GOAL",'2) หลักการคำนวน Table'!$D$32:$M$32,HLOOKUP(AL147,'2) หลักการคำนวน Table'!$D$1:$M$5,5,TRUE),0),
IF($C147="WS WH",VLOOKUP("GOAL",'2) หลักการคำนวน Table'!$D$62:$M$62,HLOOKUP(AL147,'2) หลักการคำนวน Table'!$D$1:$M$5,5,TRUE),0),
IF($C147="SF WH",VLOOKUP("GOAL",'2) หลักการคำนวน Table'!$D$92:$M$92,HLOOKUP(AL147,'2) หลักการคำนวน Table'!$D$1:$M$5,5,TRUE),0))))),0)</f>
        <v>0.9</v>
      </c>
      <c r="AY147" s="232">
        <f>IFERROR(IF($C147="Top WS",VLOOKUP("GOAL",'2) หลักการคำนวน Table'!$D$4:$M$4,HLOOKUP(AM147,'2) หลักการคำนวน Table'!$D$1:$M$5,5,TRUE),0),
IF($C147="WS SF",VLOOKUP("GOAL",'2) หลักการคำนวน Table'!$D$32:$M$32,HLOOKUP(AM147,'2) หลักการคำนวน Table'!$D$1:$M$5,5,TRUE),0),
IF($C147="WS WH",VLOOKUP("GOAL",'2) หลักการคำนวน Table'!$D$62:$M$62,HLOOKUP(AM147,'2) หลักการคำนวน Table'!$D$1:$M$5,5,TRUE),0),
IF($C147="SF WH",VLOOKUP("GOAL",'2) หลักการคำนวน Table'!$D$92:$M$92,HLOOKUP(AM147,'2) หลักการคำนวน Table'!$D$1:$M$5,5,TRUE),0))))),0)</f>
        <v>0.9</v>
      </c>
      <c r="AZ147" s="167">
        <f>IFERROR(IF($C147="Top WS",VLOOKUP($B147,'2) หลักการคำนวน Table'!$D$5:$M$20,HLOOKUP(AB147,'2) หลักการคำนวน Table'!$D$1:$M$5,5,TRUE),0),
IF($C147="WS SF",VLOOKUP($B147,'2) หลักการคำนวน Table'!$D$33:$M$48,HLOOKUP(AB147,'2) หลักการคำนวน Table'!$D$1:$M$5,5,TRUE),0),
IF($C147="WS WH",VLOOKUP($B147,'2) หลักการคำนวน Table'!$D$63:$M$78,HLOOKUP(AB147,'2) หลักการคำนวน Table'!$D$1:$M$5,5,TRUE),0),
IF($C147="SF WH",VLOOKUP($B147,'2) หลักการคำนวน Table'!$D$93:$M$108,HLOOKUP(AB147,'2) หลักการคำนวน Table'!$D$1:$M$5,5,TRUE),0))))),0)</f>
        <v>525</v>
      </c>
      <c r="BA147" s="167">
        <f>IFERROR(IF($C147="Top WS",VLOOKUP($B147,'2) หลักการคำนวน Table'!$D$5:$M$20,HLOOKUP(AC147,'2) หลักการคำนวน Table'!$D$1:$M$5,5,TRUE),0),
IF($C147="WS SF",VLOOKUP($B147,'2) หลักการคำนวน Table'!$D$33:$M$48,HLOOKUP(AC147,'2) หลักการคำนวน Table'!$D$1:$M$5,5,TRUE),0),
IF($C147="WS WH",VLOOKUP($B147,'2) หลักการคำนวน Table'!$D$63:$M$78,HLOOKUP(AC147,'2) หลักการคำนวน Table'!$D$1:$M$5,5,TRUE),0),
IF($C147="SF WH",VLOOKUP($B147,'2) หลักการคำนวน Table'!$D$93:$M$108,HLOOKUP(AC147,'2) หลักการคำนวน Table'!$D$1:$M$5,5,TRUE),0))))),0)</f>
        <v>525</v>
      </c>
      <c r="BB147" s="167">
        <f>IFERROR(IF($C147="Top WS",VLOOKUP($B147,'2) หลักการคำนวน Table'!$D$5:$M$20,HLOOKUP(AD147,'2) หลักการคำนวน Table'!$D$1:$M$5,5,TRUE),0),
IF($C147="WS SF",VLOOKUP($B147,'2) หลักการคำนวน Table'!$D$33:$M$48,HLOOKUP(AD147,'2) หลักการคำนวน Table'!$D$1:$M$5,5,TRUE),0),
IF($C147="WS WH",VLOOKUP($B147,'2) หลักการคำนวน Table'!$D$63:$M$78,HLOOKUP(AD147,'2) หลักการคำนวน Table'!$D$1:$M$5,5,TRUE),0),
IF($C147="SF WH",VLOOKUP($B147,'2) หลักการคำนวน Table'!$D$93:$M$108,HLOOKUP(AD147,'2) หลักการคำนวน Table'!$D$1:$M$5,5,TRUE),0))))),0)</f>
        <v>472.5</v>
      </c>
      <c r="BC147" s="167">
        <f>IFERROR(IF($C147="Top WS",VLOOKUP($B147,'2) หลักการคำนวน Table'!$D$5:$M$20,HLOOKUP(AE147,'2) หลักการคำนวน Table'!$D$1:$M$5,5,TRUE),0),
IF($C147="WS SF",VLOOKUP($B147,'2) หลักการคำนวน Table'!$D$33:$M$48,HLOOKUP(AE147,'2) หลักการคำนวน Table'!$D$1:$M$5,5,TRUE),0),
IF($C147="WS WH",VLOOKUP($B147,'2) หลักการคำนวน Table'!$D$63:$M$78,HLOOKUP(AE147,'2) หลักการคำนวน Table'!$D$1:$M$5,5,TRUE),0),
IF($C147="SF WH",VLOOKUP($B147,'2) หลักการคำนวน Table'!$D$93:$M$108,HLOOKUP(AE147,'2) หลักการคำนวน Table'!$D$1:$M$5,5,TRUE),0))))),0)</f>
        <v>472.5</v>
      </c>
      <c r="BD147" s="167">
        <f>IFERROR(IF($C147="Top WS",VLOOKUP($B147,'2) หลักการคำนวน Table'!$D$5:$M$20,HLOOKUP(AF147,'2) หลักการคำนวน Table'!$D$1:$M$5,5,TRUE),0),
IF($C147="WS SF",VLOOKUP($B147,'2) หลักการคำนวน Table'!$D$33:$M$48,HLOOKUP(AF147,'2) หลักการคำนวน Table'!$D$1:$M$5,5,TRUE),0),
IF($C147="WS WH",VLOOKUP($B147,'2) หลักการคำนวน Table'!$D$63:$M$78,HLOOKUP(AF147,'2) หลักการคำนวน Table'!$D$1:$M$5,5,TRUE),0),
IF($C147="SF WH",VLOOKUP($B147,'2) หลักการคำนวน Table'!$D$93:$M$108,HLOOKUP(AF147,'2) หลักการคำนวน Table'!$D$1:$M$5,5,TRUE),0))))),0)</f>
        <v>472.5</v>
      </c>
      <c r="BE147" s="167">
        <f>IFERROR(IF($C147="Top WS",VLOOKUP($B147,'2) หลักการคำนวน Table'!$D$5:$M$20,HLOOKUP(AG147,'2) หลักการคำนวน Table'!$D$1:$M$5,5,TRUE),0),
IF($C147="WS SF",VLOOKUP($B147,'2) หลักการคำนวน Table'!$D$33:$M$48,HLOOKUP(AG147,'2) หลักการคำนวน Table'!$D$1:$M$5,5,TRUE),0),
IF($C147="WS WH",VLOOKUP($B147,'2) หลักการคำนวน Table'!$D$63:$M$78,HLOOKUP(AG147,'2) หลักการคำนวน Table'!$D$1:$M$5,5,TRUE),0),
IF($C147="SF WH",VLOOKUP($B147,'2) หลักการคำนวน Table'!$D$93:$M$108,HLOOKUP(AG147,'2) หลักการคำนวน Table'!$D$1:$M$5,5,TRUE),0))))),0)</f>
        <v>472.5</v>
      </c>
      <c r="BF147" s="167">
        <f>IFERROR(IF($C147="Top WS",VLOOKUP($B147,'2) หลักการคำนวน Table'!$D$5:$M$20,HLOOKUP(AH147,'2) หลักการคำนวน Table'!$D$1:$M$5,5,TRUE),0),
IF($C147="WS SF",VLOOKUP($B147,'2) หลักการคำนวน Table'!$D$33:$M$48,HLOOKUP(AH147,'2) หลักการคำนวน Table'!$D$1:$M$5,5,TRUE),0),
IF($C147="WS WH",VLOOKUP($B147,'2) หลักการคำนวน Table'!$D$63:$M$78,HLOOKUP(AH147,'2) หลักการคำนวน Table'!$D$1:$M$5,5,TRUE),0),
IF($C147="SF WH",VLOOKUP($B147,'2) หลักการคำนวน Table'!$D$93:$M$108,HLOOKUP(AH147,'2) หลักการคำนวน Table'!$D$1:$M$5,5,TRUE),0))))),0)</f>
        <v>472.5</v>
      </c>
      <c r="BG147" s="167">
        <f>IFERROR(IF($C147="Top WS",VLOOKUP($B147,'2) หลักการคำนวน Table'!$D$5:$M$20,HLOOKUP(AI147,'2) หลักการคำนวน Table'!$D$1:$M$5,5,TRUE),0),
IF($C147="WS SF",VLOOKUP($B147,'2) หลักการคำนวน Table'!$D$33:$M$48,HLOOKUP(AI147,'2) หลักการคำนวน Table'!$D$1:$M$5,5,TRUE),0),
IF($C147="WS WH",VLOOKUP($B147,'2) หลักการคำนวน Table'!$D$63:$M$78,HLOOKUP(AI147,'2) หลักการคำนวน Table'!$D$1:$M$5,5,TRUE),0),
IF($C147="SF WH",VLOOKUP($B147,'2) หลักการคำนวน Table'!$D$93:$M$108,HLOOKUP(AI147,'2) หลักการคำนวน Table'!$D$1:$M$5,5,TRUE),0))))),0)</f>
        <v>472.5</v>
      </c>
      <c r="BH147" s="167">
        <f>IFERROR(IF($C147="Top WS",VLOOKUP($B147,'2) หลักการคำนวน Table'!$D$5:$M$20,HLOOKUP(AP147,'2) หลักการคำนวน Table'!$D$1:$M$5,5,TRUE),0),
IF($C147="WS SF",VLOOKUP($B147,'2) หลักการคำนวน Table'!$D$33:$M$48,HLOOKUP(AP147,'2) หลักการคำนวน Table'!$D$1:$M$5,5,TRUE),0),
IF($C147="WS WH",VLOOKUP($B147,'2) หลักการคำนวน Table'!$D$63:$M$78,HLOOKUP(AP147,'2) หลักการคำนวน Table'!$D$1:$M$5,5,TRUE),0),
IF($C147="SF WH",VLOOKUP($B147,'2) หลักการคำนวน Table'!$D$93:$M$108,HLOOKUP(AP147,'2) หลักการคำนวน Table'!$D$1:$M$5,5,TRUE),0))))),0)</f>
        <v>472.5</v>
      </c>
      <c r="BI147" s="167">
        <f>IFERROR(IF($C147="Top WS",VLOOKUP($B147,'2) หลักการคำนวน Table'!$D$5:$M$20,HLOOKUP(AK147,'2) หลักการคำนวน Table'!$D$1:$M$5,5,TRUE),0),
IF($C147="WS SF",VLOOKUP($B147,'2) หลักการคำนวน Table'!$D$33:$M$48,HLOOKUP(AK147,'2) หลักการคำนวน Table'!$D$1:$M$5,5,TRUE),0),
IF($C147="WS WH",VLOOKUP($B147,'2) หลักการคำนวน Table'!$D$63:$M$78,HLOOKUP(AK147,'2) หลักการคำนวน Table'!$D$1:$M$5,5,TRUE),0),
IF($C147="SF WH",VLOOKUP($B147,'2) หลักการคำนวน Table'!$D$93:$M$108,HLOOKUP(AK147,'2) หลักการคำนวน Table'!$D$1:$M$5,5,TRUE),0))))),0)</f>
        <v>472.5</v>
      </c>
      <c r="BJ147" s="167">
        <f>IFERROR(IF($C147="Top WS",VLOOKUP($B147,'2) หลักการคำนวน Table'!$D$5:$M$20,HLOOKUP(AL147,'2) หลักการคำนวน Table'!$D$1:$M$5,5,TRUE),0),
IF($C147="WS SF",VLOOKUP($B147,'2) หลักการคำนวน Table'!$D$33:$M$48,HLOOKUP(AL147,'2) หลักการคำนวน Table'!$D$1:$M$5,5,TRUE),0),
IF($C147="WS WH",VLOOKUP($B147,'2) หลักการคำนวน Table'!$D$63:$M$78,HLOOKUP(AL147,'2) หลักการคำนวน Table'!$D$1:$M$5,5,TRUE),0),
IF($C147="SF WH",VLOOKUP($B147,'2) หลักการคำนวน Table'!$D$93:$M$108,HLOOKUP(AL147,'2) หลักการคำนวน Table'!$D$1:$M$5,5,TRUE),0))))),0)</f>
        <v>472.5</v>
      </c>
      <c r="BK147" s="167">
        <f>IFERROR(IF($C147="Top WS",VLOOKUP($B147,'2) หลักการคำนวน Table'!$D$5:$M$20,HLOOKUP(AM147,'2) หลักการคำนวน Table'!$D$1:$M$5,5,TRUE),0),
IF($C147="WS SF",VLOOKUP($B147,'2) หลักการคำนวน Table'!$D$33:$M$48,HLOOKUP(AM147,'2) หลักการคำนวน Table'!$D$1:$M$5,5,TRUE),0),
IF($C147="WS WH",VLOOKUP($B147,'2) หลักการคำนวน Table'!$D$63:$M$78,HLOOKUP(AM147,'2) หลักการคำนวน Table'!$D$1:$M$5,5,TRUE),0),
IF($C147="SF WH",VLOOKUP($B147,'2) หลักการคำนวน Table'!$D$93:$M$108,HLOOKUP(AM147,'2) หลักการคำนวน Table'!$D$1:$M$5,5,TRUE),0))))),0)</f>
        <v>472.5</v>
      </c>
      <c r="BM147" s="119">
        <f>VLOOKUP(VLOOKUP(A147,ASTBase!E:S,13,FALSE),ASTBase!F:P,11,FALSE)</f>
        <v>130000</v>
      </c>
      <c r="BN147" s="196" cm="1">
        <f t="array" ref="BN147">INDEX(AN147:AY147,,Period!$D$2)</f>
        <v>1</v>
      </c>
    </row>
    <row r="148" spans="1:66" x14ac:dyDescent="0.25">
      <c r="A148" s="117">
        <v>130003</v>
      </c>
      <c r="B148" s="117" t="s">
        <v>390</v>
      </c>
      <c r="C148" s="117" t="s">
        <v>180</v>
      </c>
      <c r="D148" s="118">
        <v>6741</v>
      </c>
      <c r="E148" s="118">
        <v>3796</v>
      </c>
      <c r="F148" s="118">
        <v>4248</v>
      </c>
      <c r="G148" s="118">
        <v>6240</v>
      </c>
      <c r="H148" s="118">
        <v>5782</v>
      </c>
      <c r="I148" s="118">
        <v>6742</v>
      </c>
      <c r="J148" s="118">
        <v>6182</v>
      </c>
      <c r="K148" s="118">
        <v>6439</v>
      </c>
      <c r="L148" s="118">
        <v>6083</v>
      </c>
      <c r="M148" s="118">
        <v>5962</v>
      </c>
      <c r="N148" s="118">
        <v>6084</v>
      </c>
      <c r="O148" s="118">
        <v>6182</v>
      </c>
      <c r="P148" s="117">
        <f>SUMIFS(Actual!C:C,Actual!$A:$A,'3)Target &amp; Cal'!$A148,Actual!$B:$B,'3)Target &amp; Cal'!$B148)</f>
        <v>119.99999999879999</v>
      </c>
      <c r="Q148" s="117">
        <f>SUMIFS(Actual!D:D,Actual!$A:$A,'3)Target &amp; Cal'!$A148,Actual!$B:$B,'3)Target &amp; Cal'!$B148)</f>
        <v>1799.999999982</v>
      </c>
      <c r="R148" s="117">
        <f>SUMIFS(Actual!E:E,Actual!$A:$A,'3)Target &amp; Cal'!$A148,Actual!$B:$B,'3)Target &amp; Cal'!$B148)</f>
        <v>0</v>
      </c>
      <c r="S148" s="117">
        <f>SUMIFS(Actual!F:F,Actual!$A:$A,'3)Target &amp; Cal'!$A148,Actual!$B:$B,'3)Target &amp; Cal'!$B148)</f>
        <v>0</v>
      </c>
      <c r="T148" s="117">
        <f>SUMIFS(Actual!G:G,Actual!$A:$A,'3)Target &amp; Cal'!$A148,Actual!$B:$B,'3)Target &amp; Cal'!$B148)</f>
        <v>0</v>
      </c>
      <c r="U148" s="117">
        <f>SUMIFS(Actual!H:H,Actual!$A:$A,'3)Target &amp; Cal'!$A148,Actual!$B:$B,'3)Target &amp; Cal'!$B148)</f>
        <v>0</v>
      </c>
      <c r="V148" s="117">
        <f>SUMIFS(Actual!I:I,Actual!$A:$A,'3)Target &amp; Cal'!$A148,Actual!$B:$B,'3)Target &amp; Cal'!$B148)</f>
        <v>0</v>
      </c>
      <c r="W148" s="117">
        <f>SUMIFS(Actual!J:J,Actual!$A:$A,'3)Target &amp; Cal'!$A148,Actual!$B:$B,'3)Target &amp; Cal'!$B148)</f>
        <v>0</v>
      </c>
      <c r="X148" s="117">
        <f>SUMIFS(Actual!K:K,Actual!$A:$A,'3)Target &amp; Cal'!$A148,Actual!$B:$B,'3)Target &amp; Cal'!$B148)</f>
        <v>0</v>
      </c>
      <c r="Y148" s="117">
        <f>SUMIFS(Actual!L:L,Actual!$A:$A,'3)Target &amp; Cal'!$A148,Actual!$B:$B,'3)Target &amp; Cal'!$B148)</f>
        <v>0</v>
      </c>
      <c r="Z148" s="117">
        <f>SUMIFS(Actual!M:M,Actual!$A:$A,'3)Target &amp; Cal'!$A148,Actual!$B:$B,'3)Target &amp; Cal'!$B148)</f>
        <v>0</v>
      </c>
      <c r="AA148" s="117">
        <f>SUMIFS(Actual!N:N,Actual!$A:$A,'3)Target &amp; Cal'!$A148,Actual!$B:$B,'3)Target &amp; Cal'!$B148)</f>
        <v>0</v>
      </c>
      <c r="AB148" s="123">
        <f>IFERROR(IF(VLOOKUP($B148,Shortage!$A:$M,AB$2,FALSE)="Shortage",1,IFERROR(ROUND(P148/D148,4),0)),IFERROR(ROUND(P148/D148,4),0))</f>
        <v>1.78E-2</v>
      </c>
      <c r="AC148" s="123">
        <f>IFERROR(IF(VLOOKUP($B148,Shortage!$A:$M,AC$2,FALSE)="Shortage",1,IFERROR(ROUND(Q148/E148,4),0)),IFERROR(ROUND(Q148/E148,4),0))</f>
        <v>0.47420000000000001</v>
      </c>
      <c r="AD148" s="123">
        <f>IFERROR(IF(VLOOKUP($B148,Shortage!$A:$M,AD$2,FALSE)="Shortage",1,IFERROR(ROUND(R148/F148,4),0)),IFERROR(ROUND(R148/F148,4),0))</f>
        <v>0</v>
      </c>
      <c r="AE148" s="123">
        <f>IFERROR(IF(VLOOKUP($B148,Shortage!$A:$M,AE$2,FALSE)="Shortage",1,IFERROR(ROUND(S148/G148,4),0)),IFERROR(ROUND(S148/G148,4),0))</f>
        <v>0</v>
      </c>
      <c r="AF148" s="123">
        <f>IFERROR(IF(VLOOKUP($B148,Shortage!$A:$M,AF$2,FALSE)="Shortage",1,IFERROR(ROUND(T148/H148,4),0)),IFERROR(ROUND(T148/H148,4),0))</f>
        <v>0</v>
      </c>
      <c r="AG148" s="123">
        <f>IFERROR(IF(VLOOKUP($B148,Shortage!$A:$M,AG$2,FALSE)="Shortage",1,IFERROR(ROUND(U148/I148,4),0)),IFERROR(ROUND(U148/I148,4),0))</f>
        <v>0</v>
      </c>
      <c r="AH148" s="123">
        <f>IFERROR(IF(VLOOKUP($B148,Shortage!$A:$M,AH$2,FALSE)="Shortage",1,IFERROR(ROUND(V148/J148,4),0)),IFERROR(ROUND(V148/J148,4),0))</f>
        <v>0</v>
      </c>
      <c r="AI148" s="123">
        <f>IFERROR(IF(VLOOKUP($B148,Shortage!$A:$M,AI$2,FALSE)="Shortage",1,IFERROR(ROUND(W148/K148,4),0)),IFERROR(ROUND(W148/K148,4),0))</f>
        <v>0</v>
      </c>
      <c r="AJ148" s="123">
        <f>IFERROR(IF(VLOOKUP($B148,Shortage!$A:$M,AP$2,FALSE)="Shortage",1,IFERROR(ROUND(X148/L148,4),0)),IFERROR(ROUND(X148/L148,4),0))</f>
        <v>0</v>
      </c>
      <c r="AK148" s="123">
        <f>IFERROR(IF(VLOOKUP($B148,Shortage!$A:$M,AK$2,FALSE)="Shortage",1,IFERROR(ROUND(Y148/M148,4),0)),IFERROR(ROUND(Y148/M148,4),0))</f>
        <v>0</v>
      </c>
      <c r="AL148" s="123">
        <f>IFERROR(IF(VLOOKUP($B148,Shortage!$A:$M,AL$2,FALSE)="Shortage",1,IFERROR(ROUND(Z148/N148,4),0)),IFERROR(ROUND(Z148/N148,4),0))</f>
        <v>0</v>
      </c>
      <c r="AM148" s="123">
        <f>IFERROR(IF(VLOOKUP($B148,Shortage!$A:$M,AM$2,FALSE)="Shortage",1,IFERROR(ROUND(AA148/O148,4),0)),IFERROR(ROUND(AA148/O148,4),0))</f>
        <v>0</v>
      </c>
      <c r="AN148" s="232">
        <f>IFERROR(IF($C148="Top WS",VLOOKUP("GOAL",'2) หลักการคำนวน Table'!$D$4:$M$4,HLOOKUP(AB148,'2) หลักการคำนวน Table'!$D$1:$M$5,5,TRUE),0),
IF($C148="WS SF",VLOOKUP("GOAL",'2) หลักการคำนวน Table'!$D$32:$M$32,HLOOKUP(AB148,'2) หลักการคำนวน Table'!$D$1:$M$5,5,TRUE),0),
IF($C148="WS WH",VLOOKUP("GOAL",'2) หลักการคำนวน Table'!$D$62:$M$62,HLOOKUP(AB148,'2) หลักการคำนวน Table'!$D$1:$M$5,5,TRUE),0),
IF($C148="SF WH",VLOOKUP("GOAL",'2) หลักการคำนวน Table'!$D$92:$M$92,HLOOKUP(AB148,'2) หลักการคำนวน Table'!$D$1:$M$5,5,TRUE),0))))),0)</f>
        <v>0.9</v>
      </c>
      <c r="AO148" s="232">
        <f>IFERROR(IF($C148="Top WS",VLOOKUP("GOAL",'2) หลักการคำนวน Table'!$D$4:$M$4,HLOOKUP(AC148,'2) หลักการคำนวน Table'!$D$1:$M$5,5,TRUE),0),
IF($C148="WS SF",VLOOKUP("GOAL",'2) หลักการคำนวน Table'!$D$32:$M$32,HLOOKUP(AC148,'2) หลักการคำนวน Table'!$D$1:$M$5,5,TRUE),0),
IF($C148="WS WH",VLOOKUP("GOAL",'2) หลักการคำนวน Table'!$D$62:$M$62,HLOOKUP(AC148,'2) หลักการคำนวน Table'!$D$1:$M$5,5,TRUE),0),
IF($C148="SF WH",VLOOKUP("GOAL",'2) หลักการคำนวน Table'!$D$92:$M$92,HLOOKUP(AC148,'2) หลักการคำนวน Table'!$D$1:$M$5,5,TRUE),0))))),0)</f>
        <v>0.9</v>
      </c>
      <c r="AP148" s="232">
        <f>IFERROR(IF($C148="Top WS",VLOOKUP("GOAL",'2) หลักการคำนวน Table'!$D$4:$M$4,HLOOKUP(AD148,'2) หลักการคำนวน Table'!$D$1:$M$5,5,TRUE),0),
IF($C148="WS SF",VLOOKUP("GOAL",'2) หลักการคำนวน Table'!$D$32:$M$32,HLOOKUP(AD148,'2) หลักการคำนวน Table'!$D$1:$M$5,5,TRUE),0),
IF($C148="WS WH",VLOOKUP("GOAL",'2) หลักการคำนวน Table'!$D$62:$M$62,HLOOKUP(AD148,'2) หลักการคำนวน Table'!$D$1:$M$5,5,TRUE),0),
IF($C148="SF WH",VLOOKUP("GOAL",'2) หลักการคำนวน Table'!$D$92:$M$92,HLOOKUP(AD148,'2) หลักการคำนวน Table'!$D$1:$M$5,5,TRUE),0))))),0)</f>
        <v>0.9</v>
      </c>
      <c r="AQ148" s="232">
        <f>IFERROR(IF($C148="Top WS",VLOOKUP("GOAL",'2) หลักการคำนวน Table'!$D$4:$M$4,HLOOKUP(AE148,'2) หลักการคำนวน Table'!$D$1:$M$5,5,TRUE),0),
IF($C148="WS SF",VLOOKUP("GOAL",'2) หลักการคำนวน Table'!$D$32:$M$32,HLOOKUP(AE148,'2) หลักการคำนวน Table'!$D$1:$M$5,5,TRUE),0),
IF($C148="WS WH",VLOOKUP("GOAL",'2) หลักการคำนวน Table'!$D$62:$M$62,HLOOKUP(AE148,'2) หลักการคำนวน Table'!$D$1:$M$5,5,TRUE),0),
IF($C148="SF WH",VLOOKUP("GOAL",'2) หลักการคำนวน Table'!$D$92:$M$92,HLOOKUP(AE148,'2) หลักการคำนวน Table'!$D$1:$M$5,5,TRUE),0))))),0)</f>
        <v>0.9</v>
      </c>
      <c r="AR148" s="232">
        <f>IFERROR(IF($C148="Top WS",VLOOKUP("GOAL",'2) หลักการคำนวน Table'!$D$4:$M$4,HLOOKUP(AF148,'2) หลักการคำนวน Table'!$D$1:$M$5,5,TRUE),0),
IF($C148="WS SF",VLOOKUP("GOAL",'2) หลักการคำนวน Table'!$D$32:$M$32,HLOOKUP(AF148,'2) หลักการคำนวน Table'!$D$1:$M$5,5,TRUE),0),
IF($C148="WS WH",VLOOKUP("GOAL",'2) หลักการคำนวน Table'!$D$62:$M$62,HLOOKUP(AF148,'2) หลักการคำนวน Table'!$D$1:$M$5,5,TRUE),0),
IF($C148="SF WH",VLOOKUP("GOAL",'2) หลักการคำนวน Table'!$D$92:$M$92,HLOOKUP(AF148,'2) หลักการคำนวน Table'!$D$1:$M$5,5,TRUE),0))))),0)</f>
        <v>0.9</v>
      </c>
      <c r="AS148" s="232">
        <f>IFERROR(IF($C148="Top WS",VLOOKUP("GOAL",'2) หลักการคำนวน Table'!$D$4:$M$4,HLOOKUP(AG148,'2) หลักการคำนวน Table'!$D$1:$M$5,5,TRUE),0),
IF($C148="WS SF",VLOOKUP("GOAL",'2) หลักการคำนวน Table'!$D$32:$M$32,HLOOKUP(AG148,'2) หลักการคำนวน Table'!$D$1:$M$5,5,TRUE),0),
IF($C148="WS WH",VLOOKUP("GOAL",'2) หลักการคำนวน Table'!$D$62:$M$62,HLOOKUP(AG148,'2) หลักการคำนวน Table'!$D$1:$M$5,5,TRUE),0),
IF($C148="SF WH",VLOOKUP("GOAL",'2) หลักการคำนวน Table'!$D$92:$M$92,HLOOKUP(AG148,'2) หลักการคำนวน Table'!$D$1:$M$5,5,TRUE),0))))),0)</f>
        <v>0.9</v>
      </c>
      <c r="AT148" s="232">
        <f>IFERROR(IF($C148="Top WS",VLOOKUP("GOAL",'2) หลักการคำนวน Table'!$D$4:$M$4,HLOOKUP(AH148,'2) หลักการคำนวน Table'!$D$1:$M$5,5,TRUE),0),
IF($C148="WS SF",VLOOKUP("GOAL",'2) หลักการคำนวน Table'!$D$32:$M$32,HLOOKUP(AH148,'2) หลักการคำนวน Table'!$D$1:$M$5,5,TRUE),0),
IF($C148="WS WH",VLOOKUP("GOAL",'2) หลักการคำนวน Table'!$D$62:$M$62,HLOOKUP(AH148,'2) หลักการคำนวน Table'!$D$1:$M$5,5,TRUE),0),
IF($C148="SF WH",VLOOKUP("GOAL",'2) หลักการคำนวน Table'!$D$92:$M$92,HLOOKUP(AH148,'2) หลักการคำนวน Table'!$D$1:$M$5,5,TRUE),0))))),0)</f>
        <v>0.9</v>
      </c>
      <c r="AU148" s="232">
        <f>IFERROR(IF($C148="Top WS",VLOOKUP("GOAL",'2) หลักการคำนวน Table'!$D$4:$M$4,HLOOKUP(AI148,'2) หลักการคำนวน Table'!$D$1:$M$5,5,TRUE),0),
IF($C148="WS SF",VLOOKUP("GOAL",'2) หลักการคำนวน Table'!$D$32:$M$32,HLOOKUP(AI148,'2) หลักการคำนวน Table'!$D$1:$M$5,5,TRUE),0),
IF($C148="WS WH",VLOOKUP("GOAL",'2) หลักการคำนวน Table'!$D$62:$M$62,HLOOKUP(AI148,'2) หลักการคำนวน Table'!$D$1:$M$5,5,TRUE),0),
IF($C148="SF WH",VLOOKUP("GOAL",'2) หลักการคำนวน Table'!$D$92:$M$92,HLOOKUP(AI148,'2) หลักการคำนวน Table'!$D$1:$M$5,5,TRUE),0))))),0)</f>
        <v>0.9</v>
      </c>
      <c r="AV148" s="232">
        <f>IFERROR(IF($C148="Top WS",VLOOKUP("GOAL",'2) หลักการคำนวน Table'!$D$4:$M$4,HLOOKUP(AP148,'2) หลักการคำนวน Table'!$D$1:$M$5,5,TRUE),0),
IF($C148="WS SF",VLOOKUP("GOAL",'2) หลักการคำนวน Table'!$D$32:$M$32,HLOOKUP(AP148,'2) หลักการคำนวน Table'!$D$1:$M$5,5,TRUE),0),
IF($C148="WS WH",VLOOKUP("GOAL",'2) หลักการคำนวน Table'!$D$62:$M$62,HLOOKUP(AP148,'2) หลักการคำนวน Table'!$D$1:$M$5,5,TRUE),0),
IF($C148="SF WH",VLOOKUP("GOAL",'2) หลักการคำนวน Table'!$D$92:$M$92,HLOOKUP(AP148,'2) หลักการคำนวน Table'!$D$1:$M$5,5,TRUE),0))))),0)</f>
        <v>0.9</v>
      </c>
      <c r="AW148" s="232">
        <f>IFERROR(IF($C148="Top WS",VLOOKUP("GOAL",'2) หลักการคำนวน Table'!$D$4:$M$4,HLOOKUP(AK148,'2) หลักการคำนวน Table'!$D$1:$M$5,5,TRUE),0),
IF($C148="WS SF",VLOOKUP("GOAL",'2) หลักการคำนวน Table'!$D$32:$M$32,HLOOKUP(AK148,'2) หลักการคำนวน Table'!$D$1:$M$5,5,TRUE),0),
IF($C148="WS WH",VLOOKUP("GOAL",'2) หลักการคำนวน Table'!$D$62:$M$62,HLOOKUP(AK148,'2) หลักการคำนวน Table'!$D$1:$M$5,5,TRUE),0),
IF($C148="SF WH",VLOOKUP("GOAL",'2) หลักการคำนวน Table'!$D$92:$M$92,HLOOKUP(AK148,'2) หลักการคำนวน Table'!$D$1:$M$5,5,TRUE),0))))),0)</f>
        <v>0.9</v>
      </c>
      <c r="AX148" s="232">
        <f>IFERROR(IF($C148="Top WS",VLOOKUP("GOAL",'2) หลักการคำนวน Table'!$D$4:$M$4,HLOOKUP(AL148,'2) หลักการคำนวน Table'!$D$1:$M$5,5,TRUE),0),
IF($C148="WS SF",VLOOKUP("GOAL",'2) หลักการคำนวน Table'!$D$32:$M$32,HLOOKUP(AL148,'2) หลักการคำนวน Table'!$D$1:$M$5,5,TRUE),0),
IF($C148="WS WH",VLOOKUP("GOAL",'2) หลักการคำนวน Table'!$D$62:$M$62,HLOOKUP(AL148,'2) หลักการคำนวน Table'!$D$1:$M$5,5,TRUE),0),
IF($C148="SF WH",VLOOKUP("GOAL",'2) หลักการคำนวน Table'!$D$92:$M$92,HLOOKUP(AL148,'2) หลักการคำนวน Table'!$D$1:$M$5,5,TRUE),0))))),0)</f>
        <v>0.9</v>
      </c>
      <c r="AY148" s="232">
        <f>IFERROR(IF($C148="Top WS",VLOOKUP("GOAL",'2) หลักการคำนวน Table'!$D$4:$M$4,HLOOKUP(AM148,'2) หลักการคำนวน Table'!$D$1:$M$5,5,TRUE),0),
IF($C148="WS SF",VLOOKUP("GOAL",'2) หลักการคำนวน Table'!$D$32:$M$32,HLOOKUP(AM148,'2) หลักการคำนวน Table'!$D$1:$M$5,5,TRUE),0),
IF($C148="WS WH",VLOOKUP("GOAL",'2) หลักการคำนวน Table'!$D$62:$M$62,HLOOKUP(AM148,'2) หลักการคำนวน Table'!$D$1:$M$5,5,TRUE),0),
IF($C148="SF WH",VLOOKUP("GOAL",'2) หลักการคำนวน Table'!$D$92:$M$92,HLOOKUP(AM148,'2) หลักการคำนวน Table'!$D$1:$M$5,5,TRUE),0))))),0)</f>
        <v>0.9</v>
      </c>
      <c r="AZ148" s="167">
        <f>IFERROR(IF($C148="Top WS",VLOOKUP($B148,'2) หลักการคำนวน Table'!$D$5:$M$20,HLOOKUP(AB148,'2) หลักการคำนวน Table'!$D$1:$M$5,5,TRUE),0),
IF($C148="WS SF",VLOOKUP($B148,'2) หลักการคำนวน Table'!$D$33:$M$48,HLOOKUP(AB148,'2) หลักการคำนวน Table'!$D$1:$M$5,5,TRUE),0),
IF($C148="WS WH",VLOOKUP($B148,'2) หลักการคำนวน Table'!$D$63:$M$78,HLOOKUP(AB148,'2) หลักการคำนวน Table'!$D$1:$M$5,5,TRUE),0),
IF($C148="SF WH",VLOOKUP($B148,'2) หลักการคำนวน Table'!$D$93:$M$108,HLOOKUP(AB148,'2) หลักการคำนวน Table'!$D$1:$M$5,5,TRUE),0))))),0)</f>
        <v>787.5</v>
      </c>
      <c r="BA148" s="167">
        <f>IFERROR(IF($C148="Top WS",VLOOKUP($B148,'2) หลักการคำนวน Table'!$D$5:$M$20,HLOOKUP(AC148,'2) หลักการคำนวน Table'!$D$1:$M$5,5,TRUE),0),
IF($C148="WS SF",VLOOKUP($B148,'2) หลักการคำนวน Table'!$D$33:$M$48,HLOOKUP(AC148,'2) หลักการคำนวน Table'!$D$1:$M$5,5,TRUE),0),
IF($C148="WS WH",VLOOKUP($B148,'2) หลักการคำนวน Table'!$D$63:$M$78,HLOOKUP(AC148,'2) หลักการคำนวน Table'!$D$1:$M$5,5,TRUE),0),
IF($C148="SF WH",VLOOKUP($B148,'2) หลักการคำนวน Table'!$D$93:$M$108,HLOOKUP(AC148,'2) หลักการคำนวน Table'!$D$1:$M$5,5,TRUE),0))))),0)</f>
        <v>787.5</v>
      </c>
      <c r="BB148" s="167">
        <f>IFERROR(IF($C148="Top WS",VLOOKUP($B148,'2) หลักการคำนวน Table'!$D$5:$M$20,HLOOKUP(AD148,'2) หลักการคำนวน Table'!$D$1:$M$5,5,TRUE),0),
IF($C148="WS SF",VLOOKUP($B148,'2) หลักการคำนวน Table'!$D$33:$M$48,HLOOKUP(AD148,'2) หลักการคำนวน Table'!$D$1:$M$5,5,TRUE),0),
IF($C148="WS WH",VLOOKUP($B148,'2) หลักการคำนวน Table'!$D$63:$M$78,HLOOKUP(AD148,'2) หลักการคำนวน Table'!$D$1:$M$5,5,TRUE),0),
IF($C148="SF WH",VLOOKUP($B148,'2) หลักการคำนวน Table'!$D$93:$M$108,HLOOKUP(AD148,'2) หลักการคำนวน Table'!$D$1:$M$5,5,TRUE),0))))),0)</f>
        <v>787.5</v>
      </c>
      <c r="BC148" s="167">
        <f>IFERROR(IF($C148="Top WS",VLOOKUP($B148,'2) หลักการคำนวน Table'!$D$5:$M$20,HLOOKUP(AE148,'2) หลักการคำนวน Table'!$D$1:$M$5,5,TRUE),0),
IF($C148="WS SF",VLOOKUP($B148,'2) หลักการคำนวน Table'!$D$33:$M$48,HLOOKUP(AE148,'2) หลักการคำนวน Table'!$D$1:$M$5,5,TRUE),0),
IF($C148="WS WH",VLOOKUP($B148,'2) หลักการคำนวน Table'!$D$63:$M$78,HLOOKUP(AE148,'2) หลักการคำนวน Table'!$D$1:$M$5,5,TRUE),0),
IF($C148="SF WH",VLOOKUP($B148,'2) หลักการคำนวน Table'!$D$93:$M$108,HLOOKUP(AE148,'2) หลักการคำนวน Table'!$D$1:$M$5,5,TRUE),0))))),0)</f>
        <v>787.5</v>
      </c>
      <c r="BD148" s="167">
        <f>IFERROR(IF($C148="Top WS",VLOOKUP($B148,'2) หลักการคำนวน Table'!$D$5:$M$20,HLOOKUP(AF148,'2) หลักการคำนวน Table'!$D$1:$M$5,5,TRUE),0),
IF($C148="WS SF",VLOOKUP($B148,'2) หลักการคำนวน Table'!$D$33:$M$48,HLOOKUP(AF148,'2) หลักการคำนวน Table'!$D$1:$M$5,5,TRUE),0),
IF($C148="WS WH",VLOOKUP($B148,'2) หลักการคำนวน Table'!$D$63:$M$78,HLOOKUP(AF148,'2) หลักการคำนวน Table'!$D$1:$M$5,5,TRUE),0),
IF($C148="SF WH",VLOOKUP($B148,'2) หลักการคำนวน Table'!$D$93:$M$108,HLOOKUP(AF148,'2) หลักการคำนวน Table'!$D$1:$M$5,5,TRUE),0))))),0)</f>
        <v>787.5</v>
      </c>
      <c r="BE148" s="167">
        <f>IFERROR(IF($C148="Top WS",VLOOKUP($B148,'2) หลักการคำนวน Table'!$D$5:$M$20,HLOOKUP(AG148,'2) หลักการคำนวน Table'!$D$1:$M$5,5,TRUE),0),
IF($C148="WS SF",VLOOKUP($B148,'2) หลักการคำนวน Table'!$D$33:$M$48,HLOOKUP(AG148,'2) หลักการคำนวน Table'!$D$1:$M$5,5,TRUE),0),
IF($C148="WS WH",VLOOKUP($B148,'2) หลักการคำนวน Table'!$D$63:$M$78,HLOOKUP(AG148,'2) หลักการคำนวน Table'!$D$1:$M$5,5,TRUE),0),
IF($C148="SF WH",VLOOKUP($B148,'2) หลักการคำนวน Table'!$D$93:$M$108,HLOOKUP(AG148,'2) หลักการคำนวน Table'!$D$1:$M$5,5,TRUE),0))))),0)</f>
        <v>787.5</v>
      </c>
      <c r="BF148" s="167">
        <f>IFERROR(IF($C148="Top WS",VLOOKUP($B148,'2) หลักการคำนวน Table'!$D$5:$M$20,HLOOKUP(AH148,'2) หลักการคำนวน Table'!$D$1:$M$5,5,TRUE),0),
IF($C148="WS SF",VLOOKUP($B148,'2) หลักการคำนวน Table'!$D$33:$M$48,HLOOKUP(AH148,'2) หลักการคำนวน Table'!$D$1:$M$5,5,TRUE),0),
IF($C148="WS WH",VLOOKUP($B148,'2) หลักการคำนวน Table'!$D$63:$M$78,HLOOKUP(AH148,'2) หลักการคำนวน Table'!$D$1:$M$5,5,TRUE),0),
IF($C148="SF WH",VLOOKUP($B148,'2) หลักการคำนวน Table'!$D$93:$M$108,HLOOKUP(AH148,'2) หลักการคำนวน Table'!$D$1:$M$5,5,TRUE),0))))),0)</f>
        <v>787.5</v>
      </c>
      <c r="BG148" s="167">
        <f>IFERROR(IF($C148="Top WS",VLOOKUP($B148,'2) หลักการคำนวน Table'!$D$5:$M$20,HLOOKUP(AI148,'2) หลักการคำนวน Table'!$D$1:$M$5,5,TRUE),0),
IF($C148="WS SF",VLOOKUP($B148,'2) หลักการคำนวน Table'!$D$33:$M$48,HLOOKUP(AI148,'2) หลักการคำนวน Table'!$D$1:$M$5,5,TRUE),0),
IF($C148="WS WH",VLOOKUP($B148,'2) หลักการคำนวน Table'!$D$63:$M$78,HLOOKUP(AI148,'2) หลักการคำนวน Table'!$D$1:$M$5,5,TRUE),0),
IF($C148="SF WH",VLOOKUP($B148,'2) หลักการคำนวน Table'!$D$93:$M$108,HLOOKUP(AI148,'2) หลักการคำนวน Table'!$D$1:$M$5,5,TRUE),0))))),0)</f>
        <v>787.5</v>
      </c>
      <c r="BH148" s="167">
        <f>IFERROR(IF($C148="Top WS",VLOOKUP($B148,'2) หลักการคำนวน Table'!$D$5:$M$20,HLOOKUP(AP148,'2) หลักการคำนวน Table'!$D$1:$M$5,5,TRUE),0),
IF($C148="WS SF",VLOOKUP($B148,'2) หลักการคำนวน Table'!$D$33:$M$48,HLOOKUP(AP148,'2) หลักการคำนวน Table'!$D$1:$M$5,5,TRUE),0),
IF($C148="WS WH",VLOOKUP($B148,'2) หลักการคำนวน Table'!$D$63:$M$78,HLOOKUP(AP148,'2) หลักการคำนวน Table'!$D$1:$M$5,5,TRUE),0),
IF($C148="SF WH",VLOOKUP($B148,'2) หลักการคำนวน Table'!$D$93:$M$108,HLOOKUP(AP148,'2) หลักการคำนวน Table'!$D$1:$M$5,5,TRUE),0))))),0)</f>
        <v>787.5</v>
      </c>
      <c r="BI148" s="167">
        <f>IFERROR(IF($C148="Top WS",VLOOKUP($B148,'2) หลักการคำนวน Table'!$D$5:$M$20,HLOOKUP(AK148,'2) หลักการคำนวน Table'!$D$1:$M$5,5,TRUE),0),
IF($C148="WS SF",VLOOKUP($B148,'2) หลักการคำนวน Table'!$D$33:$M$48,HLOOKUP(AK148,'2) หลักการคำนวน Table'!$D$1:$M$5,5,TRUE),0),
IF($C148="WS WH",VLOOKUP($B148,'2) หลักการคำนวน Table'!$D$63:$M$78,HLOOKUP(AK148,'2) หลักการคำนวน Table'!$D$1:$M$5,5,TRUE),0),
IF($C148="SF WH",VLOOKUP($B148,'2) หลักการคำนวน Table'!$D$93:$M$108,HLOOKUP(AK148,'2) หลักการคำนวน Table'!$D$1:$M$5,5,TRUE),0))))),0)</f>
        <v>787.5</v>
      </c>
      <c r="BJ148" s="167">
        <f>IFERROR(IF($C148="Top WS",VLOOKUP($B148,'2) หลักการคำนวน Table'!$D$5:$M$20,HLOOKUP(AL148,'2) หลักการคำนวน Table'!$D$1:$M$5,5,TRUE),0),
IF($C148="WS SF",VLOOKUP($B148,'2) หลักการคำนวน Table'!$D$33:$M$48,HLOOKUP(AL148,'2) หลักการคำนวน Table'!$D$1:$M$5,5,TRUE),0),
IF($C148="WS WH",VLOOKUP($B148,'2) หลักการคำนวน Table'!$D$63:$M$78,HLOOKUP(AL148,'2) หลักการคำนวน Table'!$D$1:$M$5,5,TRUE),0),
IF($C148="SF WH",VLOOKUP($B148,'2) หลักการคำนวน Table'!$D$93:$M$108,HLOOKUP(AL148,'2) หลักการคำนวน Table'!$D$1:$M$5,5,TRUE),0))))),0)</f>
        <v>787.5</v>
      </c>
      <c r="BK148" s="167">
        <f>IFERROR(IF($C148="Top WS",VLOOKUP($B148,'2) หลักการคำนวน Table'!$D$5:$M$20,HLOOKUP(AM148,'2) หลักการคำนวน Table'!$D$1:$M$5,5,TRUE),0),
IF($C148="WS SF",VLOOKUP($B148,'2) หลักการคำนวน Table'!$D$33:$M$48,HLOOKUP(AM148,'2) หลักการคำนวน Table'!$D$1:$M$5,5,TRUE),0),
IF($C148="WS WH",VLOOKUP($B148,'2) หลักการคำนวน Table'!$D$63:$M$78,HLOOKUP(AM148,'2) หลักการคำนวน Table'!$D$1:$M$5,5,TRUE),0),
IF($C148="SF WH",VLOOKUP($B148,'2) หลักการคำนวน Table'!$D$93:$M$108,HLOOKUP(AM148,'2) หลักการคำนวน Table'!$D$1:$M$5,5,TRUE),0))))),0)</f>
        <v>787.5</v>
      </c>
      <c r="BM148" s="119">
        <f>VLOOKUP(VLOOKUP(A148,ASTBase!E:S,13,FALSE),ASTBase!F:P,11,FALSE)</f>
        <v>130000</v>
      </c>
      <c r="BN148" s="196" cm="1">
        <f t="array" ref="BN148">INDEX(AN148:AY148,,Period!$D$2)</f>
        <v>0.9</v>
      </c>
    </row>
    <row r="149" spans="1:66" x14ac:dyDescent="0.25">
      <c r="A149" s="117">
        <v>130003</v>
      </c>
      <c r="B149" s="117" t="s">
        <v>392</v>
      </c>
      <c r="C149" s="117" t="s">
        <v>180</v>
      </c>
      <c r="D149" s="118">
        <v>574</v>
      </c>
      <c r="E149" s="118">
        <v>253</v>
      </c>
      <c r="F149" s="118">
        <v>255</v>
      </c>
      <c r="G149" s="118">
        <v>424</v>
      </c>
      <c r="H149" s="118">
        <v>348</v>
      </c>
      <c r="I149" s="118">
        <v>216</v>
      </c>
      <c r="J149" s="118">
        <v>552</v>
      </c>
      <c r="K149" s="118">
        <v>316</v>
      </c>
      <c r="L149" s="118">
        <v>358</v>
      </c>
      <c r="M149" s="118">
        <v>470</v>
      </c>
      <c r="N149" s="118">
        <v>492</v>
      </c>
      <c r="O149" s="118">
        <v>493</v>
      </c>
      <c r="P149" s="117">
        <f>SUMIFS(Actual!C:C,Actual!$A:$A,'3)Target &amp; Cal'!$A149,Actual!$B:$B,'3)Target &amp; Cal'!$B149)</f>
        <v>794.78459999999995</v>
      </c>
      <c r="Q149" s="117">
        <f>SUMIFS(Actual!D:D,Actual!$A:$A,'3)Target &amp; Cal'!$A149,Actual!$B:$B,'3)Target &amp; Cal'!$B149)</f>
        <v>0</v>
      </c>
      <c r="R149" s="117">
        <f>SUMIFS(Actual!E:E,Actual!$A:$A,'3)Target &amp; Cal'!$A149,Actual!$B:$B,'3)Target &amp; Cal'!$B149)</f>
        <v>0</v>
      </c>
      <c r="S149" s="117">
        <f>SUMIFS(Actual!F:F,Actual!$A:$A,'3)Target &amp; Cal'!$A149,Actual!$B:$B,'3)Target &amp; Cal'!$B149)</f>
        <v>0</v>
      </c>
      <c r="T149" s="117">
        <f>SUMIFS(Actual!G:G,Actual!$A:$A,'3)Target &amp; Cal'!$A149,Actual!$B:$B,'3)Target &amp; Cal'!$B149)</f>
        <v>0</v>
      </c>
      <c r="U149" s="117">
        <f>SUMIFS(Actual!H:H,Actual!$A:$A,'3)Target &amp; Cal'!$A149,Actual!$B:$B,'3)Target &amp; Cal'!$B149)</f>
        <v>0</v>
      </c>
      <c r="V149" s="117">
        <f>SUMIFS(Actual!I:I,Actual!$A:$A,'3)Target &amp; Cal'!$A149,Actual!$B:$B,'3)Target &amp; Cal'!$B149)</f>
        <v>0</v>
      </c>
      <c r="W149" s="117">
        <f>SUMIFS(Actual!J:J,Actual!$A:$A,'3)Target &amp; Cal'!$A149,Actual!$B:$B,'3)Target &amp; Cal'!$B149)</f>
        <v>0</v>
      </c>
      <c r="X149" s="117">
        <f>SUMIFS(Actual!K:K,Actual!$A:$A,'3)Target &amp; Cal'!$A149,Actual!$B:$B,'3)Target &amp; Cal'!$B149)</f>
        <v>0</v>
      </c>
      <c r="Y149" s="117">
        <f>SUMIFS(Actual!L:L,Actual!$A:$A,'3)Target &amp; Cal'!$A149,Actual!$B:$B,'3)Target &amp; Cal'!$B149)</f>
        <v>0</v>
      </c>
      <c r="Z149" s="117">
        <f>SUMIFS(Actual!M:M,Actual!$A:$A,'3)Target &amp; Cal'!$A149,Actual!$B:$B,'3)Target &amp; Cal'!$B149)</f>
        <v>0</v>
      </c>
      <c r="AA149" s="117">
        <f>SUMIFS(Actual!N:N,Actual!$A:$A,'3)Target &amp; Cal'!$A149,Actual!$B:$B,'3)Target &amp; Cal'!$B149)</f>
        <v>0</v>
      </c>
      <c r="AB149" s="123">
        <f>IFERROR(IF(VLOOKUP($B149,Shortage!$A:$M,AB$2,FALSE)="Shortage",1,IFERROR(ROUND(P149/D149,4),0)),IFERROR(ROUND(P149/D149,4),0))</f>
        <v>1.3846000000000001</v>
      </c>
      <c r="AC149" s="123">
        <f>IFERROR(IF(VLOOKUP($B149,Shortage!$A:$M,AC$2,FALSE)="Shortage",1,IFERROR(ROUND(Q149/E149,4),0)),IFERROR(ROUND(Q149/E149,4),0))</f>
        <v>0</v>
      </c>
      <c r="AD149" s="123">
        <f>IFERROR(IF(VLOOKUP($B149,Shortage!$A:$M,AD$2,FALSE)="Shortage",1,IFERROR(ROUND(R149/F149,4),0)),IFERROR(ROUND(R149/F149,4),0))</f>
        <v>0</v>
      </c>
      <c r="AE149" s="123">
        <f>IFERROR(IF(VLOOKUP($B149,Shortage!$A:$M,AE$2,FALSE)="Shortage",1,IFERROR(ROUND(S149/G149,4),0)),IFERROR(ROUND(S149/G149,4),0))</f>
        <v>0</v>
      </c>
      <c r="AF149" s="123">
        <f>IFERROR(IF(VLOOKUP($B149,Shortage!$A:$M,AF$2,FALSE)="Shortage",1,IFERROR(ROUND(T149/H149,4),0)),IFERROR(ROUND(T149/H149,4),0))</f>
        <v>0</v>
      </c>
      <c r="AG149" s="123">
        <f>IFERROR(IF(VLOOKUP($B149,Shortage!$A:$M,AG$2,FALSE)="Shortage",1,IFERROR(ROUND(U149/I149,4),0)),IFERROR(ROUND(U149/I149,4),0))</f>
        <v>0</v>
      </c>
      <c r="AH149" s="123">
        <f>IFERROR(IF(VLOOKUP($B149,Shortage!$A:$M,AH$2,FALSE)="Shortage",1,IFERROR(ROUND(V149/J149,4),0)),IFERROR(ROUND(V149/J149,4),0))</f>
        <v>0</v>
      </c>
      <c r="AI149" s="123">
        <f>IFERROR(IF(VLOOKUP($B149,Shortage!$A:$M,AI$2,FALSE)="Shortage",1,IFERROR(ROUND(W149/K149,4),0)),IFERROR(ROUND(W149/K149,4),0))</f>
        <v>0</v>
      </c>
      <c r="AJ149" s="123">
        <f>IFERROR(IF(VLOOKUP($B149,Shortage!$A:$M,AP$2,FALSE)="Shortage",1,IFERROR(ROUND(X149/L149,4),0)),IFERROR(ROUND(X149/L149,4),0))</f>
        <v>0</v>
      </c>
      <c r="AK149" s="123">
        <f>IFERROR(IF(VLOOKUP($B149,Shortage!$A:$M,AK$2,FALSE)="Shortage",1,IFERROR(ROUND(Y149/M149,4),0)),IFERROR(ROUND(Y149/M149,4),0))</f>
        <v>0</v>
      </c>
      <c r="AL149" s="123">
        <f>IFERROR(IF(VLOOKUP($B149,Shortage!$A:$M,AL$2,FALSE)="Shortage",1,IFERROR(ROUND(Z149/N149,4),0)),IFERROR(ROUND(Z149/N149,4),0))</f>
        <v>0</v>
      </c>
      <c r="AM149" s="123">
        <f>IFERROR(IF(VLOOKUP($B149,Shortage!$A:$M,AM$2,FALSE)="Shortage",1,IFERROR(ROUND(AA149/O149,4),0)),IFERROR(ROUND(AA149/O149,4),0))</f>
        <v>0</v>
      </c>
      <c r="AN149" s="232">
        <f>IFERROR(IF($C149="Top WS",VLOOKUP("GOAL",'2) หลักการคำนวน Table'!$D$4:$M$4,HLOOKUP(AB149,'2) หลักการคำนวน Table'!$D$1:$M$5,5,TRUE),0),
IF($C149="WS SF",VLOOKUP("GOAL",'2) หลักการคำนวน Table'!$D$32:$M$32,HLOOKUP(AB149,'2) หลักการคำนวน Table'!$D$1:$M$5,5,TRUE),0),
IF($C149="WS WH",VLOOKUP("GOAL",'2) หลักการคำนวน Table'!$D$62:$M$62,HLOOKUP(AB149,'2) หลักการคำนวน Table'!$D$1:$M$5,5,TRUE),0),
IF($C149="SF WH",VLOOKUP("GOAL",'2) หลักการคำนวน Table'!$D$92:$M$92,HLOOKUP(AB149,'2) หลักการคำนวน Table'!$D$1:$M$5,5,TRUE),0))))),0)</f>
        <v>1.3</v>
      </c>
      <c r="AO149" s="232">
        <f>IFERROR(IF($C149="Top WS",VLOOKUP("GOAL",'2) หลักการคำนวน Table'!$D$4:$M$4,HLOOKUP(AC149,'2) หลักการคำนวน Table'!$D$1:$M$5,5,TRUE),0),
IF($C149="WS SF",VLOOKUP("GOAL",'2) หลักการคำนวน Table'!$D$32:$M$32,HLOOKUP(AC149,'2) หลักการคำนวน Table'!$D$1:$M$5,5,TRUE),0),
IF($C149="WS WH",VLOOKUP("GOAL",'2) หลักการคำนวน Table'!$D$62:$M$62,HLOOKUP(AC149,'2) หลักการคำนวน Table'!$D$1:$M$5,5,TRUE),0),
IF($C149="SF WH",VLOOKUP("GOAL",'2) หลักการคำนวน Table'!$D$92:$M$92,HLOOKUP(AC149,'2) หลักการคำนวน Table'!$D$1:$M$5,5,TRUE),0))))),0)</f>
        <v>0.9</v>
      </c>
      <c r="AP149" s="232">
        <f>IFERROR(IF($C149="Top WS",VLOOKUP("GOAL",'2) หลักการคำนวน Table'!$D$4:$M$4,HLOOKUP(AD149,'2) หลักการคำนวน Table'!$D$1:$M$5,5,TRUE),0),
IF($C149="WS SF",VLOOKUP("GOAL",'2) หลักการคำนวน Table'!$D$32:$M$32,HLOOKUP(AD149,'2) หลักการคำนวน Table'!$D$1:$M$5,5,TRUE),0),
IF($C149="WS WH",VLOOKUP("GOAL",'2) หลักการคำนวน Table'!$D$62:$M$62,HLOOKUP(AD149,'2) หลักการคำนวน Table'!$D$1:$M$5,5,TRUE),0),
IF($C149="SF WH",VLOOKUP("GOAL",'2) หลักการคำนวน Table'!$D$92:$M$92,HLOOKUP(AD149,'2) หลักการคำนวน Table'!$D$1:$M$5,5,TRUE),0))))),0)</f>
        <v>0.9</v>
      </c>
      <c r="AQ149" s="232">
        <f>IFERROR(IF($C149="Top WS",VLOOKUP("GOAL",'2) หลักการคำนวน Table'!$D$4:$M$4,HLOOKUP(AE149,'2) หลักการคำนวน Table'!$D$1:$M$5,5,TRUE),0),
IF($C149="WS SF",VLOOKUP("GOAL",'2) หลักการคำนวน Table'!$D$32:$M$32,HLOOKUP(AE149,'2) หลักการคำนวน Table'!$D$1:$M$5,5,TRUE),0),
IF($C149="WS WH",VLOOKUP("GOAL",'2) หลักการคำนวน Table'!$D$62:$M$62,HLOOKUP(AE149,'2) หลักการคำนวน Table'!$D$1:$M$5,5,TRUE),0),
IF($C149="SF WH",VLOOKUP("GOAL",'2) หลักการคำนวน Table'!$D$92:$M$92,HLOOKUP(AE149,'2) หลักการคำนวน Table'!$D$1:$M$5,5,TRUE),0))))),0)</f>
        <v>0.9</v>
      </c>
      <c r="AR149" s="232">
        <f>IFERROR(IF($C149="Top WS",VLOOKUP("GOAL",'2) หลักการคำนวน Table'!$D$4:$M$4,HLOOKUP(AF149,'2) หลักการคำนวน Table'!$D$1:$M$5,5,TRUE),0),
IF($C149="WS SF",VLOOKUP("GOAL",'2) หลักการคำนวน Table'!$D$32:$M$32,HLOOKUP(AF149,'2) หลักการคำนวน Table'!$D$1:$M$5,5,TRUE),0),
IF($C149="WS WH",VLOOKUP("GOAL",'2) หลักการคำนวน Table'!$D$62:$M$62,HLOOKUP(AF149,'2) หลักการคำนวน Table'!$D$1:$M$5,5,TRUE),0),
IF($C149="SF WH",VLOOKUP("GOAL",'2) หลักการคำนวน Table'!$D$92:$M$92,HLOOKUP(AF149,'2) หลักการคำนวน Table'!$D$1:$M$5,5,TRUE),0))))),0)</f>
        <v>0.9</v>
      </c>
      <c r="AS149" s="232">
        <f>IFERROR(IF($C149="Top WS",VLOOKUP("GOAL",'2) หลักการคำนวน Table'!$D$4:$M$4,HLOOKUP(AG149,'2) หลักการคำนวน Table'!$D$1:$M$5,5,TRUE),0),
IF($C149="WS SF",VLOOKUP("GOAL",'2) หลักการคำนวน Table'!$D$32:$M$32,HLOOKUP(AG149,'2) หลักการคำนวน Table'!$D$1:$M$5,5,TRUE),0),
IF($C149="WS WH",VLOOKUP("GOAL",'2) หลักการคำนวน Table'!$D$62:$M$62,HLOOKUP(AG149,'2) หลักการคำนวน Table'!$D$1:$M$5,5,TRUE),0),
IF($C149="SF WH",VLOOKUP("GOAL",'2) หลักการคำนวน Table'!$D$92:$M$92,HLOOKUP(AG149,'2) หลักการคำนวน Table'!$D$1:$M$5,5,TRUE),0))))),0)</f>
        <v>0.9</v>
      </c>
      <c r="AT149" s="232">
        <f>IFERROR(IF($C149="Top WS",VLOOKUP("GOAL",'2) หลักการคำนวน Table'!$D$4:$M$4,HLOOKUP(AH149,'2) หลักการคำนวน Table'!$D$1:$M$5,5,TRUE),0),
IF($C149="WS SF",VLOOKUP("GOAL",'2) หลักการคำนวน Table'!$D$32:$M$32,HLOOKUP(AH149,'2) หลักการคำนวน Table'!$D$1:$M$5,5,TRUE),0),
IF($C149="WS WH",VLOOKUP("GOAL",'2) หลักการคำนวน Table'!$D$62:$M$62,HLOOKUP(AH149,'2) หลักการคำนวน Table'!$D$1:$M$5,5,TRUE),0),
IF($C149="SF WH",VLOOKUP("GOAL",'2) หลักการคำนวน Table'!$D$92:$M$92,HLOOKUP(AH149,'2) หลักการคำนวน Table'!$D$1:$M$5,5,TRUE),0))))),0)</f>
        <v>0.9</v>
      </c>
      <c r="AU149" s="232">
        <f>IFERROR(IF($C149="Top WS",VLOOKUP("GOAL",'2) หลักการคำนวน Table'!$D$4:$M$4,HLOOKUP(AI149,'2) หลักการคำนวน Table'!$D$1:$M$5,5,TRUE),0),
IF($C149="WS SF",VLOOKUP("GOAL",'2) หลักการคำนวน Table'!$D$32:$M$32,HLOOKUP(AI149,'2) หลักการคำนวน Table'!$D$1:$M$5,5,TRUE),0),
IF($C149="WS WH",VLOOKUP("GOAL",'2) หลักการคำนวน Table'!$D$62:$M$62,HLOOKUP(AI149,'2) หลักการคำนวน Table'!$D$1:$M$5,5,TRUE),0),
IF($C149="SF WH",VLOOKUP("GOAL",'2) หลักการคำนวน Table'!$D$92:$M$92,HLOOKUP(AI149,'2) หลักการคำนวน Table'!$D$1:$M$5,5,TRUE),0))))),0)</f>
        <v>0.9</v>
      </c>
      <c r="AV149" s="232">
        <f>IFERROR(IF($C149="Top WS",VLOOKUP("GOAL",'2) หลักการคำนวน Table'!$D$4:$M$4,HLOOKUP(AP149,'2) หลักการคำนวน Table'!$D$1:$M$5,5,TRUE),0),
IF($C149="WS SF",VLOOKUP("GOAL",'2) หลักการคำนวน Table'!$D$32:$M$32,HLOOKUP(AP149,'2) หลักการคำนวน Table'!$D$1:$M$5,5,TRUE),0),
IF($C149="WS WH",VLOOKUP("GOAL",'2) หลักการคำนวน Table'!$D$62:$M$62,HLOOKUP(AP149,'2) หลักการคำนวน Table'!$D$1:$M$5,5,TRUE),0),
IF($C149="SF WH",VLOOKUP("GOAL",'2) หลักการคำนวน Table'!$D$92:$M$92,HLOOKUP(AP149,'2) หลักการคำนวน Table'!$D$1:$M$5,5,TRUE),0))))),0)</f>
        <v>0.9</v>
      </c>
      <c r="AW149" s="232">
        <f>IFERROR(IF($C149="Top WS",VLOOKUP("GOAL",'2) หลักการคำนวน Table'!$D$4:$M$4,HLOOKUP(AK149,'2) หลักการคำนวน Table'!$D$1:$M$5,5,TRUE),0),
IF($C149="WS SF",VLOOKUP("GOAL",'2) หลักการคำนวน Table'!$D$32:$M$32,HLOOKUP(AK149,'2) หลักการคำนวน Table'!$D$1:$M$5,5,TRUE),0),
IF($C149="WS WH",VLOOKUP("GOAL",'2) หลักการคำนวน Table'!$D$62:$M$62,HLOOKUP(AK149,'2) หลักการคำนวน Table'!$D$1:$M$5,5,TRUE),0),
IF($C149="SF WH",VLOOKUP("GOAL",'2) หลักการคำนวน Table'!$D$92:$M$92,HLOOKUP(AK149,'2) หลักการคำนวน Table'!$D$1:$M$5,5,TRUE),0))))),0)</f>
        <v>0.9</v>
      </c>
      <c r="AX149" s="232">
        <f>IFERROR(IF($C149="Top WS",VLOOKUP("GOAL",'2) หลักการคำนวน Table'!$D$4:$M$4,HLOOKUP(AL149,'2) หลักการคำนวน Table'!$D$1:$M$5,5,TRUE),0),
IF($C149="WS SF",VLOOKUP("GOAL",'2) หลักการคำนวน Table'!$D$32:$M$32,HLOOKUP(AL149,'2) หลักการคำนวน Table'!$D$1:$M$5,5,TRUE),0),
IF($C149="WS WH",VLOOKUP("GOAL",'2) หลักการคำนวน Table'!$D$62:$M$62,HLOOKUP(AL149,'2) หลักการคำนวน Table'!$D$1:$M$5,5,TRUE),0),
IF($C149="SF WH",VLOOKUP("GOAL",'2) หลักการคำนวน Table'!$D$92:$M$92,HLOOKUP(AL149,'2) หลักการคำนวน Table'!$D$1:$M$5,5,TRUE),0))))),0)</f>
        <v>0.9</v>
      </c>
      <c r="AY149" s="232">
        <f>IFERROR(IF($C149="Top WS",VLOOKUP("GOAL",'2) หลักการคำนวน Table'!$D$4:$M$4,HLOOKUP(AM149,'2) หลักการคำนวน Table'!$D$1:$M$5,5,TRUE),0),
IF($C149="WS SF",VLOOKUP("GOAL",'2) หลักการคำนวน Table'!$D$32:$M$32,HLOOKUP(AM149,'2) หลักการคำนวน Table'!$D$1:$M$5,5,TRUE),0),
IF($C149="WS WH",VLOOKUP("GOAL",'2) หลักการคำนวน Table'!$D$62:$M$62,HLOOKUP(AM149,'2) หลักการคำนวน Table'!$D$1:$M$5,5,TRUE),0),
IF($C149="SF WH",VLOOKUP("GOAL",'2) หลักการคำนวน Table'!$D$92:$M$92,HLOOKUP(AM149,'2) หลักการคำนวน Table'!$D$1:$M$5,5,TRUE),0))))),0)</f>
        <v>0.9</v>
      </c>
      <c r="AZ149" s="167">
        <f>IFERROR(IF($C149="Top WS",VLOOKUP($B149,'2) หลักการคำนวน Table'!$D$5:$M$20,HLOOKUP(AB149,'2) หลักการคำนวน Table'!$D$1:$M$5,5,TRUE),0),
IF($C149="WS SF",VLOOKUP($B149,'2) หลักการคำนวน Table'!$D$33:$M$48,HLOOKUP(AB149,'2) หลักการคำนวน Table'!$D$1:$M$5,5,TRUE),0),
IF($C149="WS WH",VLOOKUP($B149,'2) หลักการคำนวน Table'!$D$63:$M$78,HLOOKUP(AB149,'2) หลักการคำนวน Table'!$D$1:$M$5,5,TRUE),0),
IF($C149="SF WH",VLOOKUP($B149,'2) หลักการคำนวน Table'!$D$93:$M$108,HLOOKUP(AB149,'2) หลักการคำนวน Table'!$D$1:$M$5,5,TRUE),0))))),0)</f>
        <v>455</v>
      </c>
      <c r="BA149" s="167">
        <f>IFERROR(IF($C149="Top WS",VLOOKUP($B149,'2) หลักการคำนวน Table'!$D$5:$M$20,HLOOKUP(AC149,'2) หลักการคำนวน Table'!$D$1:$M$5,5,TRUE),0),
IF($C149="WS SF",VLOOKUP($B149,'2) หลักการคำนวน Table'!$D$33:$M$48,HLOOKUP(AC149,'2) หลักการคำนวน Table'!$D$1:$M$5,5,TRUE),0),
IF($C149="WS WH",VLOOKUP($B149,'2) หลักการคำนวน Table'!$D$63:$M$78,HLOOKUP(AC149,'2) หลักการคำนวน Table'!$D$1:$M$5,5,TRUE),0),
IF($C149="SF WH",VLOOKUP($B149,'2) หลักการคำนวน Table'!$D$93:$M$108,HLOOKUP(AC149,'2) หลักการคำนวน Table'!$D$1:$M$5,5,TRUE),0))))),0)</f>
        <v>315</v>
      </c>
      <c r="BB149" s="167">
        <f>IFERROR(IF($C149="Top WS",VLOOKUP($B149,'2) หลักการคำนวน Table'!$D$5:$M$20,HLOOKUP(AD149,'2) หลักการคำนวน Table'!$D$1:$M$5,5,TRUE),0),
IF($C149="WS SF",VLOOKUP($B149,'2) หลักการคำนวน Table'!$D$33:$M$48,HLOOKUP(AD149,'2) หลักการคำนวน Table'!$D$1:$M$5,5,TRUE),0),
IF($C149="WS WH",VLOOKUP($B149,'2) หลักการคำนวน Table'!$D$63:$M$78,HLOOKUP(AD149,'2) หลักการคำนวน Table'!$D$1:$M$5,5,TRUE),0),
IF($C149="SF WH",VLOOKUP($B149,'2) หลักการคำนวน Table'!$D$93:$M$108,HLOOKUP(AD149,'2) หลักการคำนวน Table'!$D$1:$M$5,5,TRUE),0))))),0)</f>
        <v>315</v>
      </c>
      <c r="BC149" s="167">
        <f>IFERROR(IF($C149="Top WS",VLOOKUP($B149,'2) หลักการคำนวน Table'!$D$5:$M$20,HLOOKUP(AE149,'2) หลักการคำนวน Table'!$D$1:$M$5,5,TRUE),0),
IF($C149="WS SF",VLOOKUP($B149,'2) หลักการคำนวน Table'!$D$33:$M$48,HLOOKUP(AE149,'2) หลักการคำนวน Table'!$D$1:$M$5,5,TRUE),0),
IF($C149="WS WH",VLOOKUP($B149,'2) หลักการคำนวน Table'!$D$63:$M$78,HLOOKUP(AE149,'2) หลักการคำนวน Table'!$D$1:$M$5,5,TRUE),0),
IF($C149="SF WH",VLOOKUP($B149,'2) หลักการคำนวน Table'!$D$93:$M$108,HLOOKUP(AE149,'2) หลักการคำนวน Table'!$D$1:$M$5,5,TRUE),0))))),0)</f>
        <v>315</v>
      </c>
      <c r="BD149" s="167">
        <f>IFERROR(IF($C149="Top WS",VLOOKUP($B149,'2) หลักการคำนวน Table'!$D$5:$M$20,HLOOKUP(AF149,'2) หลักการคำนวน Table'!$D$1:$M$5,5,TRUE),0),
IF($C149="WS SF",VLOOKUP($B149,'2) หลักการคำนวน Table'!$D$33:$M$48,HLOOKUP(AF149,'2) หลักการคำนวน Table'!$D$1:$M$5,5,TRUE),0),
IF($C149="WS WH",VLOOKUP($B149,'2) หลักการคำนวน Table'!$D$63:$M$78,HLOOKUP(AF149,'2) หลักการคำนวน Table'!$D$1:$M$5,5,TRUE),0),
IF($C149="SF WH",VLOOKUP($B149,'2) หลักการคำนวน Table'!$D$93:$M$108,HLOOKUP(AF149,'2) หลักการคำนวน Table'!$D$1:$M$5,5,TRUE),0))))),0)</f>
        <v>315</v>
      </c>
      <c r="BE149" s="167">
        <f>IFERROR(IF($C149="Top WS",VLOOKUP($B149,'2) หลักการคำนวน Table'!$D$5:$M$20,HLOOKUP(AG149,'2) หลักการคำนวน Table'!$D$1:$M$5,5,TRUE),0),
IF($C149="WS SF",VLOOKUP($B149,'2) หลักการคำนวน Table'!$D$33:$M$48,HLOOKUP(AG149,'2) หลักการคำนวน Table'!$D$1:$M$5,5,TRUE),0),
IF($C149="WS WH",VLOOKUP($B149,'2) หลักการคำนวน Table'!$D$63:$M$78,HLOOKUP(AG149,'2) หลักการคำนวน Table'!$D$1:$M$5,5,TRUE),0),
IF($C149="SF WH",VLOOKUP($B149,'2) หลักการคำนวน Table'!$D$93:$M$108,HLOOKUP(AG149,'2) หลักการคำนวน Table'!$D$1:$M$5,5,TRUE),0))))),0)</f>
        <v>315</v>
      </c>
      <c r="BF149" s="167">
        <f>IFERROR(IF($C149="Top WS",VLOOKUP($B149,'2) หลักการคำนวน Table'!$D$5:$M$20,HLOOKUP(AH149,'2) หลักการคำนวน Table'!$D$1:$M$5,5,TRUE),0),
IF($C149="WS SF",VLOOKUP($B149,'2) หลักการคำนวน Table'!$D$33:$M$48,HLOOKUP(AH149,'2) หลักการคำนวน Table'!$D$1:$M$5,5,TRUE),0),
IF($C149="WS WH",VLOOKUP($B149,'2) หลักการคำนวน Table'!$D$63:$M$78,HLOOKUP(AH149,'2) หลักการคำนวน Table'!$D$1:$M$5,5,TRUE),0),
IF($C149="SF WH",VLOOKUP($B149,'2) หลักการคำนวน Table'!$D$93:$M$108,HLOOKUP(AH149,'2) หลักการคำนวน Table'!$D$1:$M$5,5,TRUE),0))))),0)</f>
        <v>315</v>
      </c>
      <c r="BG149" s="167">
        <f>IFERROR(IF($C149="Top WS",VLOOKUP($B149,'2) หลักการคำนวน Table'!$D$5:$M$20,HLOOKUP(AI149,'2) หลักการคำนวน Table'!$D$1:$M$5,5,TRUE),0),
IF($C149="WS SF",VLOOKUP($B149,'2) หลักการคำนวน Table'!$D$33:$M$48,HLOOKUP(AI149,'2) หลักการคำนวน Table'!$D$1:$M$5,5,TRUE),0),
IF($C149="WS WH",VLOOKUP($B149,'2) หลักการคำนวน Table'!$D$63:$M$78,HLOOKUP(AI149,'2) หลักการคำนวน Table'!$D$1:$M$5,5,TRUE),0),
IF($C149="SF WH",VLOOKUP($B149,'2) หลักการคำนวน Table'!$D$93:$M$108,HLOOKUP(AI149,'2) หลักการคำนวน Table'!$D$1:$M$5,5,TRUE),0))))),0)</f>
        <v>315</v>
      </c>
      <c r="BH149" s="167">
        <f>IFERROR(IF($C149="Top WS",VLOOKUP($B149,'2) หลักการคำนวน Table'!$D$5:$M$20,HLOOKUP(AP149,'2) หลักการคำนวน Table'!$D$1:$M$5,5,TRUE),0),
IF($C149="WS SF",VLOOKUP($B149,'2) หลักการคำนวน Table'!$D$33:$M$48,HLOOKUP(AP149,'2) หลักการคำนวน Table'!$D$1:$M$5,5,TRUE),0),
IF($C149="WS WH",VLOOKUP($B149,'2) หลักการคำนวน Table'!$D$63:$M$78,HLOOKUP(AP149,'2) หลักการคำนวน Table'!$D$1:$M$5,5,TRUE),0),
IF($C149="SF WH",VLOOKUP($B149,'2) หลักการคำนวน Table'!$D$93:$M$108,HLOOKUP(AP149,'2) หลักการคำนวน Table'!$D$1:$M$5,5,TRUE),0))))),0)</f>
        <v>315</v>
      </c>
      <c r="BI149" s="167">
        <f>IFERROR(IF($C149="Top WS",VLOOKUP($B149,'2) หลักการคำนวน Table'!$D$5:$M$20,HLOOKUP(AK149,'2) หลักการคำนวน Table'!$D$1:$M$5,5,TRUE),0),
IF($C149="WS SF",VLOOKUP($B149,'2) หลักการคำนวน Table'!$D$33:$M$48,HLOOKUP(AK149,'2) หลักการคำนวน Table'!$D$1:$M$5,5,TRUE),0),
IF($C149="WS WH",VLOOKUP($B149,'2) หลักการคำนวน Table'!$D$63:$M$78,HLOOKUP(AK149,'2) หลักการคำนวน Table'!$D$1:$M$5,5,TRUE),0),
IF($C149="SF WH",VLOOKUP($B149,'2) หลักการคำนวน Table'!$D$93:$M$108,HLOOKUP(AK149,'2) หลักการคำนวน Table'!$D$1:$M$5,5,TRUE),0))))),0)</f>
        <v>315</v>
      </c>
      <c r="BJ149" s="167">
        <f>IFERROR(IF($C149="Top WS",VLOOKUP($B149,'2) หลักการคำนวน Table'!$D$5:$M$20,HLOOKUP(AL149,'2) หลักการคำนวน Table'!$D$1:$M$5,5,TRUE),0),
IF($C149="WS SF",VLOOKUP($B149,'2) หลักการคำนวน Table'!$D$33:$M$48,HLOOKUP(AL149,'2) หลักการคำนวน Table'!$D$1:$M$5,5,TRUE),0),
IF($C149="WS WH",VLOOKUP($B149,'2) หลักการคำนวน Table'!$D$63:$M$78,HLOOKUP(AL149,'2) หลักการคำนวน Table'!$D$1:$M$5,5,TRUE),0),
IF($C149="SF WH",VLOOKUP($B149,'2) หลักการคำนวน Table'!$D$93:$M$108,HLOOKUP(AL149,'2) หลักการคำนวน Table'!$D$1:$M$5,5,TRUE),0))))),0)</f>
        <v>315</v>
      </c>
      <c r="BK149" s="167">
        <f>IFERROR(IF($C149="Top WS",VLOOKUP($B149,'2) หลักการคำนวน Table'!$D$5:$M$20,HLOOKUP(AM149,'2) หลักการคำนวน Table'!$D$1:$M$5,5,TRUE),0),
IF($C149="WS SF",VLOOKUP($B149,'2) หลักการคำนวน Table'!$D$33:$M$48,HLOOKUP(AM149,'2) หลักการคำนวน Table'!$D$1:$M$5,5,TRUE),0),
IF($C149="WS WH",VLOOKUP($B149,'2) หลักการคำนวน Table'!$D$63:$M$78,HLOOKUP(AM149,'2) หลักการคำนวน Table'!$D$1:$M$5,5,TRUE),0),
IF($C149="SF WH",VLOOKUP($B149,'2) หลักการคำนวน Table'!$D$93:$M$108,HLOOKUP(AM149,'2) หลักการคำนวน Table'!$D$1:$M$5,5,TRUE),0))))),0)</f>
        <v>315</v>
      </c>
      <c r="BM149" s="119">
        <f>VLOOKUP(VLOOKUP(A149,ASTBase!E:S,13,FALSE),ASTBase!F:P,11,FALSE)</f>
        <v>130000</v>
      </c>
      <c r="BN149" s="196" cm="1">
        <f t="array" ref="BN149">INDEX(AN149:AY149,,Period!$D$2)</f>
        <v>0.9</v>
      </c>
    </row>
    <row r="150" spans="1:66" x14ac:dyDescent="0.25">
      <c r="A150" s="117">
        <v>130003</v>
      </c>
      <c r="B150" s="117" t="s">
        <v>391</v>
      </c>
      <c r="C150" s="117" t="s">
        <v>180</v>
      </c>
      <c r="D150" s="118">
        <v>2897</v>
      </c>
      <c r="E150" s="118">
        <v>3413</v>
      </c>
      <c r="F150" s="118">
        <v>3689</v>
      </c>
      <c r="G150" s="118">
        <v>4143</v>
      </c>
      <c r="H150" s="118">
        <v>3818</v>
      </c>
      <c r="I150" s="118">
        <v>3769</v>
      </c>
      <c r="J150" s="118">
        <v>4200</v>
      </c>
      <c r="K150" s="118">
        <v>4352</v>
      </c>
      <c r="L150" s="118">
        <v>4989</v>
      </c>
      <c r="M150" s="118">
        <v>3732</v>
      </c>
      <c r="N150" s="118">
        <v>3136</v>
      </c>
      <c r="O150" s="118">
        <v>3136</v>
      </c>
      <c r="P150" s="117">
        <f>SUMIFS(Actual!C:C,Actual!$A:$A,'3)Target &amp; Cal'!$A150,Actual!$B:$B,'3)Target &amp; Cal'!$B150)</f>
        <v>1597.9999999461115</v>
      </c>
      <c r="Q150" s="117">
        <f>SUMIFS(Actual!D:D,Actual!$A:$A,'3)Target &amp; Cal'!$A150,Actual!$B:$B,'3)Target &amp; Cal'!$B150)</f>
        <v>3997.9999999012271</v>
      </c>
      <c r="R150" s="117">
        <f>SUMIFS(Actual!E:E,Actual!$A:$A,'3)Target &amp; Cal'!$A150,Actual!$B:$B,'3)Target &amp; Cal'!$B150)</f>
        <v>0</v>
      </c>
      <c r="S150" s="117">
        <f>SUMIFS(Actual!F:F,Actual!$A:$A,'3)Target &amp; Cal'!$A150,Actual!$B:$B,'3)Target &amp; Cal'!$B150)</f>
        <v>0</v>
      </c>
      <c r="T150" s="117">
        <f>SUMIFS(Actual!G:G,Actual!$A:$A,'3)Target &amp; Cal'!$A150,Actual!$B:$B,'3)Target &amp; Cal'!$B150)</f>
        <v>0</v>
      </c>
      <c r="U150" s="117">
        <f>SUMIFS(Actual!H:H,Actual!$A:$A,'3)Target &amp; Cal'!$A150,Actual!$B:$B,'3)Target &amp; Cal'!$B150)</f>
        <v>0</v>
      </c>
      <c r="V150" s="117">
        <f>SUMIFS(Actual!I:I,Actual!$A:$A,'3)Target &amp; Cal'!$A150,Actual!$B:$B,'3)Target &amp; Cal'!$B150)</f>
        <v>0</v>
      </c>
      <c r="W150" s="117">
        <f>SUMIFS(Actual!J:J,Actual!$A:$A,'3)Target &amp; Cal'!$A150,Actual!$B:$B,'3)Target &amp; Cal'!$B150)</f>
        <v>0</v>
      </c>
      <c r="X150" s="117">
        <f>SUMIFS(Actual!K:K,Actual!$A:$A,'3)Target &amp; Cal'!$A150,Actual!$B:$B,'3)Target &amp; Cal'!$B150)</f>
        <v>0</v>
      </c>
      <c r="Y150" s="117">
        <f>SUMIFS(Actual!L:L,Actual!$A:$A,'3)Target &amp; Cal'!$A150,Actual!$B:$B,'3)Target &amp; Cal'!$B150)</f>
        <v>0</v>
      </c>
      <c r="Z150" s="117">
        <f>SUMIFS(Actual!M:M,Actual!$A:$A,'3)Target &amp; Cal'!$A150,Actual!$B:$B,'3)Target &amp; Cal'!$B150)</f>
        <v>0</v>
      </c>
      <c r="AA150" s="117">
        <f>SUMIFS(Actual!N:N,Actual!$A:$A,'3)Target &amp; Cal'!$A150,Actual!$B:$B,'3)Target &amp; Cal'!$B150)</f>
        <v>0</v>
      </c>
      <c r="AB150" s="123">
        <f>IFERROR(IF(VLOOKUP($B150,Shortage!$A:$M,AB$2,FALSE)="Shortage",1,IFERROR(ROUND(P150/D150,4),0)),IFERROR(ROUND(P150/D150,4),0))</f>
        <v>1</v>
      </c>
      <c r="AC150" s="123">
        <f>IFERROR(IF(VLOOKUP($B150,Shortage!$A:$M,AC$2,FALSE)="Shortage",1,IFERROR(ROUND(Q150/E150,4),0)),IFERROR(ROUND(Q150/E150,4),0))</f>
        <v>1</v>
      </c>
      <c r="AD150" s="123">
        <f>IFERROR(IF(VLOOKUP($B150,Shortage!$A:$M,AD$2,FALSE)="Shortage",1,IFERROR(ROUND(R150/F150,4),0)),IFERROR(ROUND(R150/F150,4),0))</f>
        <v>0</v>
      </c>
      <c r="AE150" s="123">
        <f>IFERROR(IF(VLOOKUP($B150,Shortage!$A:$M,AE$2,FALSE)="Shortage",1,IFERROR(ROUND(S150/G150,4),0)),IFERROR(ROUND(S150/G150,4),0))</f>
        <v>0</v>
      </c>
      <c r="AF150" s="123">
        <f>IFERROR(IF(VLOOKUP($B150,Shortage!$A:$M,AF$2,FALSE)="Shortage",1,IFERROR(ROUND(T150/H150,4),0)),IFERROR(ROUND(T150/H150,4),0))</f>
        <v>0</v>
      </c>
      <c r="AG150" s="123">
        <f>IFERROR(IF(VLOOKUP($B150,Shortage!$A:$M,AG$2,FALSE)="Shortage",1,IFERROR(ROUND(U150/I150,4),0)),IFERROR(ROUND(U150/I150,4),0))</f>
        <v>0</v>
      </c>
      <c r="AH150" s="123">
        <f>IFERROR(IF(VLOOKUP($B150,Shortage!$A:$M,AH$2,FALSE)="Shortage",1,IFERROR(ROUND(V150/J150,4),0)),IFERROR(ROUND(V150/J150,4),0))</f>
        <v>0</v>
      </c>
      <c r="AI150" s="123">
        <f>IFERROR(IF(VLOOKUP($B150,Shortage!$A:$M,AI$2,FALSE)="Shortage",1,IFERROR(ROUND(W150/K150,4),0)),IFERROR(ROUND(W150/K150,4),0))</f>
        <v>0</v>
      </c>
      <c r="AJ150" s="123">
        <f>IFERROR(IF(VLOOKUP($B150,Shortage!$A:$M,AP$2,FALSE)="Shortage",1,IFERROR(ROUND(X150/L150,4),0)),IFERROR(ROUND(X150/L150,4),0))</f>
        <v>0</v>
      </c>
      <c r="AK150" s="123">
        <f>IFERROR(IF(VLOOKUP($B150,Shortage!$A:$M,AK$2,FALSE)="Shortage",1,IFERROR(ROUND(Y150/M150,4),0)),IFERROR(ROUND(Y150/M150,4),0))</f>
        <v>0</v>
      </c>
      <c r="AL150" s="123">
        <f>IFERROR(IF(VLOOKUP($B150,Shortage!$A:$M,AL$2,FALSE)="Shortage",1,IFERROR(ROUND(Z150/N150,4),0)),IFERROR(ROUND(Z150/N150,4),0))</f>
        <v>0</v>
      </c>
      <c r="AM150" s="123">
        <f>IFERROR(IF(VLOOKUP($B150,Shortage!$A:$M,AM$2,FALSE)="Shortage",1,IFERROR(ROUND(AA150/O150,4),0)),IFERROR(ROUND(AA150/O150,4),0))</f>
        <v>0</v>
      </c>
      <c r="AN150" s="232">
        <f>IFERROR(IF($C150="Top WS",VLOOKUP("GOAL",'2) หลักการคำนวน Table'!$D$4:$M$4,HLOOKUP(AB150,'2) หลักการคำนวน Table'!$D$1:$M$5,5,TRUE),0),
IF($C150="WS SF",VLOOKUP("GOAL",'2) หลักการคำนวน Table'!$D$32:$M$32,HLOOKUP(AB150,'2) หลักการคำนวน Table'!$D$1:$M$5,5,TRUE),0),
IF($C150="WS WH",VLOOKUP("GOAL",'2) หลักการคำนวน Table'!$D$62:$M$62,HLOOKUP(AB150,'2) หลักการคำนวน Table'!$D$1:$M$5,5,TRUE),0),
IF($C150="SF WH",VLOOKUP("GOAL",'2) หลักการคำนวน Table'!$D$92:$M$92,HLOOKUP(AB150,'2) หลักการคำนวน Table'!$D$1:$M$5,5,TRUE),0))))),0)</f>
        <v>1</v>
      </c>
      <c r="AO150" s="232">
        <f>IFERROR(IF($C150="Top WS",VLOOKUP("GOAL",'2) หลักการคำนวน Table'!$D$4:$M$4,HLOOKUP(AC150,'2) หลักการคำนวน Table'!$D$1:$M$5,5,TRUE),0),
IF($C150="WS SF",VLOOKUP("GOAL",'2) หลักการคำนวน Table'!$D$32:$M$32,HLOOKUP(AC150,'2) หลักการคำนวน Table'!$D$1:$M$5,5,TRUE),0),
IF($C150="WS WH",VLOOKUP("GOAL",'2) หลักการคำนวน Table'!$D$62:$M$62,HLOOKUP(AC150,'2) หลักการคำนวน Table'!$D$1:$M$5,5,TRUE),0),
IF($C150="SF WH",VLOOKUP("GOAL",'2) หลักการคำนวน Table'!$D$92:$M$92,HLOOKUP(AC150,'2) หลักการคำนวน Table'!$D$1:$M$5,5,TRUE),0))))),0)</f>
        <v>1</v>
      </c>
      <c r="AP150" s="232">
        <f>IFERROR(IF($C150="Top WS",VLOOKUP("GOAL",'2) หลักการคำนวน Table'!$D$4:$M$4,HLOOKUP(AD150,'2) หลักการคำนวน Table'!$D$1:$M$5,5,TRUE),0),
IF($C150="WS SF",VLOOKUP("GOAL",'2) หลักการคำนวน Table'!$D$32:$M$32,HLOOKUP(AD150,'2) หลักการคำนวน Table'!$D$1:$M$5,5,TRUE),0),
IF($C150="WS WH",VLOOKUP("GOAL",'2) หลักการคำนวน Table'!$D$62:$M$62,HLOOKUP(AD150,'2) หลักการคำนวน Table'!$D$1:$M$5,5,TRUE),0),
IF($C150="SF WH",VLOOKUP("GOAL",'2) หลักการคำนวน Table'!$D$92:$M$92,HLOOKUP(AD150,'2) หลักการคำนวน Table'!$D$1:$M$5,5,TRUE),0))))),0)</f>
        <v>0.9</v>
      </c>
      <c r="AQ150" s="232">
        <f>IFERROR(IF($C150="Top WS",VLOOKUP("GOAL",'2) หลักการคำนวน Table'!$D$4:$M$4,HLOOKUP(AE150,'2) หลักการคำนวน Table'!$D$1:$M$5,5,TRUE),0),
IF($C150="WS SF",VLOOKUP("GOAL",'2) หลักการคำนวน Table'!$D$32:$M$32,HLOOKUP(AE150,'2) หลักการคำนวน Table'!$D$1:$M$5,5,TRUE),0),
IF($C150="WS WH",VLOOKUP("GOAL",'2) หลักการคำนวน Table'!$D$62:$M$62,HLOOKUP(AE150,'2) หลักการคำนวน Table'!$D$1:$M$5,5,TRUE),0),
IF($C150="SF WH",VLOOKUP("GOAL",'2) หลักการคำนวน Table'!$D$92:$M$92,HLOOKUP(AE150,'2) หลักการคำนวน Table'!$D$1:$M$5,5,TRUE),0))))),0)</f>
        <v>0.9</v>
      </c>
      <c r="AR150" s="232">
        <f>IFERROR(IF($C150="Top WS",VLOOKUP("GOAL",'2) หลักการคำนวน Table'!$D$4:$M$4,HLOOKUP(AF150,'2) หลักการคำนวน Table'!$D$1:$M$5,5,TRUE),0),
IF($C150="WS SF",VLOOKUP("GOAL",'2) หลักการคำนวน Table'!$D$32:$M$32,HLOOKUP(AF150,'2) หลักการคำนวน Table'!$D$1:$M$5,5,TRUE),0),
IF($C150="WS WH",VLOOKUP("GOAL",'2) หลักการคำนวน Table'!$D$62:$M$62,HLOOKUP(AF150,'2) หลักการคำนวน Table'!$D$1:$M$5,5,TRUE),0),
IF($C150="SF WH",VLOOKUP("GOAL",'2) หลักการคำนวน Table'!$D$92:$M$92,HLOOKUP(AF150,'2) หลักการคำนวน Table'!$D$1:$M$5,5,TRUE),0))))),0)</f>
        <v>0.9</v>
      </c>
      <c r="AS150" s="232">
        <f>IFERROR(IF($C150="Top WS",VLOOKUP("GOAL",'2) หลักการคำนวน Table'!$D$4:$M$4,HLOOKUP(AG150,'2) หลักการคำนวน Table'!$D$1:$M$5,5,TRUE),0),
IF($C150="WS SF",VLOOKUP("GOAL",'2) หลักการคำนวน Table'!$D$32:$M$32,HLOOKUP(AG150,'2) หลักการคำนวน Table'!$D$1:$M$5,5,TRUE),0),
IF($C150="WS WH",VLOOKUP("GOAL",'2) หลักการคำนวน Table'!$D$62:$M$62,HLOOKUP(AG150,'2) หลักการคำนวน Table'!$D$1:$M$5,5,TRUE),0),
IF($C150="SF WH",VLOOKUP("GOAL",'2) หลักการคำนวน Table'!$D$92:$M$92,HLOOKUP(AG150,'2) หลักการคำนวน Table'!$D$1:$M$5,5,TRUE),0))))),0)</f>
        <v>0.9</v>
      </c>
      <c r="AT150" s="232">
        <f>IFERROR(IF($C150="Top WS",VLOOKUP("GOAL",'2) หลักการคำนวน Table'!$D$4:$M$4,HLOOKUP(AH150,'2) หลักการคำนวน Table'!$D$1:$M$5,5,TRUE),0),
IF($C150="WS SF",VLOOKUP("GOAL",'2) หลักการคำนวน Table'!$D$32:$M$32,HLOOKUP(AH150,'2) หลักการคำนวน Table'!$D$1:$M$5,5,TRUE),0),
IF($C150="WS WH",VLOOKUP("GOAL",'2) หลักการคำนวน Table'!$D$62:$M$62,HLOOKUP(AH150,'2) หลักการคำนวน Table'!$D$1:$M$5,5,TRUE),0),
IF($C150="SF WH",VLOOKUP("GOAL",'2) หลักการคำนวน Table'!$D$92:$M$92,HLOOKUP(AH150,'2) หลักการคำนวน Table'!$D$1:$M$5,5,TRUE),0))))),0)</f>
        <v>0.9</v>
      </c>
      <c r="AU150" s="232">
        <f>IFERROR(IF($C150="Top WS",VLOOKUP("GOAL",'2) หลักการคำนวน Table'!$D$4:$M$4,HLOOKUP(AI150,'2) หลักการคำนวน Table'!$D$1:$M$5,5,TRUE),0),
IF($C150="WS SF",VLOOKUP("GOAL",'2) หลักการคำนวน Table'!$D$32:$M$32,HLOOKUP(AI150,'2) หลักการคำนวน Table'!$D$1:$M$5,5,TRUE),0),
IF($C150="WS WH",VLOOKUP("GOAL",'2) หลักการคำนวน Table'!$D$62:$M$62,HLOOKUP(AI150,'2) หลักการคำนวน Table'!$D$1:$M$5,5,TRUE),0),
IF($C150="SF WH",VLOOKUP("GOAL",'2) หลักการคำนวน Table'!$D$92:$M$92,HLOOKUP(AI150,'2) หลักการคำนวน Table'!$D$1:$M$5,5,TRUE),0))))),0)</f>
        <v>0.9</v>
      </c>
      <c r="AV150" s="232">
        <f>IFERROR(IF($C150="Top WS",VLOOKUP("GOAL",'2) หลักการคำนวน Table'!$D$4:$M$4,HLOOKUP(AP150,'2) หลักการคำนวน Table'!$D$1:$M$5,5,TRUE),0),
IF($C150="WS SF",VLOOKUP("GOAL",'2) หลักการคำนวน Table'!$D$32:$M$32,HLOOKUP(AP150,'2) หลักการคำนวน Table'!$D$1:$M$5,5,TRUE),0),
IF($C150="WS WH",VLOOKUP("GOAL",'2) หลักการคำนวน Table'!$D$62:$M$62,HLOOKUP(AP150,'2) หลักการคำนวน Table'!$D$1:$M$5,5,TRUE),0),
IF($C150="SF WH",VLOOKUP("GOAL",'2) หลักการคำนวน Table'!$D$92:$M$92,HLOOKUP(AP150,'2) หลักการคำนวน Table'!$D$1:$M$5,5,TRUE),0))))),0)</f>
        <v>0.9</v>
      </c>
      <c r="AW150" s="232">
        <f>IFERROR(IF($C150="Top WS",VLOOKUP("GOAL",'2) หลักการคำนวน Table'!$D$4:$M$4,HLOOKUP(AK150,'2) หลักการคำนวน Table'!$D$1:$M$5,5,TRUE),0),
IF($C150="WS SF",VLOOKUP("GOAL",'2) หลักการคำนวน Table'!$D$32:$M$32,HLOOKUP(AK150,'2) หลักการคำนวน Table'!$D$1:$M$5,5,TRUE),0),
IF($C150="WS WH",VLOOKUP("GOAL",'2) หลักการคำนวน Table'!$D$62:$M$62,HLOOKUP(AK150,'2) หลักการคำนวน Table'!$D$1:$M$5,5,TRUE),0),
IF($C150="SF WH",VLOOKUP("GOAL",'2) หลักการคำนวน Table'!$D$92:$M$92,HLOOKUP(AK150,'2) หลักการคำนวน Table'!$D$1:$M$5,5,TRUE),0))))),0)</f>
        <v>0.9</v>
      </c>
      <c r="AX150" s="232">
        <f>IFERROR(IF($C150="Top WS",VLOOKUP("GOAL",'2) หลักการคำนวน Table'!$D$4:$M$4,HLOOKUP(AL150,'2) หลักการคำนวน Table'!$D$1:$M$5,5,TRUE),0),
IF($C150="WS SF",VLOOKUP("GOAL",'2) หลักการคำนวน Table'!$D$32:$M$32,HLOOKUP(AL150,'2) หลักการคำนวน Table'!$D$1:$M$5,5,TRUE),0),
IF($C150="WS WH",VLOOKUP("GOAL",'2) หลักการคำนวน Table'!$D$62:$M$62,HLOOKUP(AL150,'2) หลักการคำนวน Table'!$D$1:$M$5,5,TRUE),0),
IF($C150="SF WH",VLOOKUP("GOAL",'2) หลักการคำนวน Table'!$D$92:$M$92,HLOOKUP(AL150,'2) หลักการคำนวน Table'!$D$1:$M$5,5,TRUE),0))))),0)</f>
        <v>0.9</v>
      </c>
      <c r="AY150" s="232">
        <f>IFERROR(IF($C150="Top WS",VLOOKUP("GOAL",'2) หลักการคำนวน Table'!$D$4:$M$4,HLOOKUP(AM150,'2) หลักการคำนวน Table'!$D$1:$M$5,5,TRUE),0),
IF($C150="WS SF",VLOOKUP("GOAL",'2) หลักการคำนวน Table'!$D$32:$M$32,HLOOKUP(AM150,'2) หลักการคำนวน Table'!$D$1:$M$5,5,TRUE),0),
IF($C150="WS WH",VLOOKUP("GOAL",'2) หลักการคำนวน Table'!$D$62:$M$62,HLOOKUP(AM150,'2) หลักการคำนวน Table'!$D$1:$M$5,5,TRUE),0),
IF($C150="SF WH",VLOOKUP("GOAL",'2) หลักการคำนวน Table'!$D$92:$M$92,HLOOKUP(AM150,'2) หลักการคำนวน Table'!$D$1:$M$5,5,TRUE),0))))),0)</f>
        <v>0.9</v>
      </c>
      <c r="AZ150" s="167">
        <f>IFERROR(IF($C150="Top WS",VLOOKUP($B150,'2) หลักการคำนวน Table'!$D$5:$M$20,HLOOKUP(AB150,'2) หลักการคำนวน Table'!$D$1:$M$5,5,TRUE),0),
IF($C150="WS SF",VLOOKUP($B150,'2) หลักการคำนวน Table'!$D$33:$M$48,HLOOKUP(AB150,'2) หลักการคำนวน Table'!$D$1:$M$5,5,TRUE),0),
IF($C150="WS WH",VLOOKUP($B150,'2) หลักการคำนวน Table'!$D$63:$M$78,HLOOKUP(AB150,'2) หลักการคำนวน Table'!$D$1:$M$5,5,TRUE),0),
IF($C150="SF WH",VLOOKUP($B150,'2) หลักการคำนวน Table'!$D$93:$M$108,HLOOKUP(AB150,'2) หลักการคำนวน Table'!$D$1:$M$5,5,TRUE),0))))),0)</f>
        <v>350</v>
      </c>
      <c r="BA150" s="167">
        <f>IFERROR(IF($C150="Top WS",VLOOKUP($B150,'2) หลักการคำนวน Table'!$D$5:$M$20,HLOOKUP(AC150,'2) หลักการคำนวน Table'!$D$1:$M$5,5,TRUE),0),
IF($C150="WS SF",VLOOKUP($B150,'2) หลักการคำนวน Table'!$D$33:$M$48,HLOOKUP(AC150,'2) หลักการคำนวน Table'!$D$1:$M$5,5,TRUE),0),
IF($C150="WS WH",VLOOKUP($B150,'2) หลักการคำนวน Table'!$D$63:$M$78,HLOOKUP(AC150,'2) หลักการคำนวน Table'!$D$1:$M$5,5,TRUE),0),
IF($C150="SF WH",VLOOKUP($B150,'2) หลักการคำนวน Table'!$D$93:$M$108,HLOOKUP(AC150,'2) หลักการคำนวน Table'!$D$1:$M$5,5,TRUE),0))))),0)</f>
        <v>350</v>
      </c>
      <c r="BB150" s="167">
        <f>IFERROR(IF($C150="Top WS",VLOOKUP($B150,'2) หลักการคำนวน Table'!$D$5:$M$20,HLOOKUP(AD150,'2) หลักการคำนวน Table'!$D$1:$M$5,5,TRUE),0),
IF($C150="WS SF",VLOOKUP($B150,'2) หลักการคำนวน Table'!$D$33:$M$48,HLOOKUP(AD150,'2) หลักการคำนวน Table'!$D$1:$M$5,5,TRUE),0),
IF($C150="WS WH",VLOOKUP($B150,'2) หลักการคำนวน Table'!$D$63:$M$78,HLOOKUP(AD150,'2) หลักการคำนวน Table'!$D$1:$M$5,5,TRUE),0),
IF($C150="SF WH",VLOOKUP($B150,'2) หลักการคำนวน Table'!$D$93:$M$108,HLOOKUP(AD150,'2) หลักการคำนวน Table'!$D$1:$M$5,5,TRUE),0))))),0)</f>
        <v>315</v>
      </c>
      <c r="BC150" s="167">
        <f>IFERROR(IF($C150="Top WS",VLOOKUP($B150,'2) หลักการคำนวน Table'!$D$5:$M$20,HLOOKUP(AE150,'2) หลักการคำนวน Table'!$D$1:$M$5,5,TRUE),0),
IF($C150="WS SF",VLOOKUP($B150,'2) หลักการคำนวน Table'!$D$33:$M$48,HLOOKUP(AE150,'2) หลักการคำนวน Table'!$D$1:$M$5,5,TRUE),0),
IF($C150="WS WH",VLOOKUP($B150,'2) หลักการคำนวน Table'!$D$63:$M$78,HLOOKUP(AE150,'2) หลักการคำนวน Table'!$D$1:$M$5,5,TRUE),0),
IF($C150="SF WH",VLOOKUP($B150,'2) หลักการคำนวน Table'!$D$93:$M$108,HLOOKUP(AE150,'2) หลักการคำนวน Table'!$D$1:$M$5,5,TRUE),0))))),0)</f>
        <v>315</v>
      </c>
      <c r="BD150" s="167">
        <f>IFERROR(IF($C150="Top WS",VLOOKUP($B150,'2) หลักการคำนวน Table'!$D$5:$M$20,HLOOKUP(AF150,'2) หลักการคำนวน Table'!$D$1:$M$5,5,TRUE),0),
IF($C150="WS SF",VLOOKUP($B150,'2) หลักการคำนวน Table'!$D$33:$M$48,HLOOKUP(AF150,'2) หลักการคำนวน Table'!$D$1:$M$5,5,TRUE),0),
IF($C150="WS WH",VLOOKUP($B150,'2) หลักการคำนวน Table'!$D$63:$M$78,HLOOKUP(AF150,'2) หลักการคำนวน Table'!$D$1:$M$5,5,TRUE),0),
IF($C150="SF WH",VLOOKUP($B150,'2) หลักการคำนวน Table'!$D$93:$M$108,HLOOKUP(AF150,'2) หลักการคำนวน Table'!$D$1:$M$5,5,TRUE),0))))),0)</f>
        <v>315</v>
      </c>
      <c r="BE150" s="167">
        <f>IFERROR(IF($C150="Top WS",VLOOKUP($B150,'2) หลักการคำนวน Table'!$D$5:$M$20,HLOOKUP(AG150,'2) หลักการคำนวน Table'!$D$1:$M$5,5,TRUE),0),
IF($C150="WS SF",VLOOKUP($B150,'2) หลักการคำนวน Table'!$D$33:$M$48,HLOOKUP(AG150,'2) หลักการคำนวน Table'!$D$1:$M$5,5,TRUE),0),
IF($C150="WS WH",VLOOKUP($B150,'2) หลักการคำนวน Table'!$D$63:$M$78,HLOOKUP(AG150,'2) หลักการคำนวน Table'!$D$1:$M$5,5,TRUE),0),
IF($C150="SF WH",VLOOKUP($B150,'2) หลักการคำนวน Table'!$D$93:$M$108,HLOOKUP(AG150,'2) หลักการคำนวน Table'!$D$1:$M$5,5,TRUE),0))))),0)</f>
        <v>315</v>
      </c>
      <c r="BF150" s="167">
        <f>IFERROR(IF($C150="Top WS",VLOOKUP($B150,'2) หลักการคำนวน Table'!$D$5:$M$20,HLOOKUP(AH150,'2) หลักการคำนวน Table'!$D$1:$M$5,5,TRUE),0),
IF($C150="WS SF",VLOOKUP($B150,'2) หลักการคำนวน Table'!$D$33:$M$48,HLOOKUP(AH150,'2) หลักการคำนวน Table'!$D$1:$M$5,5,TRUE),0),
IF($C150="WS WH",VLOOKUP($B150,'2) หลักการคำนวน Table'!$D$63:$M$78,HLOOKUP(AH150,'2) หลักการคำนวน Table'!$D$1:$M$5,5,TRUE),0),
IF($C150="SF WH",VLOOKUP($B150,'2) หลักการคำนวน Table'!$D$93:$M$108,HLOOKUP(AH150,'2) หลักการคำนวน Table'!$D$1:$M$5,5,TRUE),0))))),0)</f>
        <v>315</v>
      </c>
      <c r="BG150" s="167">
        <f>IFERROR(IF($C150="Top WS",VLOOKUP($B150,'2) หลักการคำนวน Table'!$D$5:$M$20,HLOOKUP(AI150,'2) หลักการคำนวน Table'!$D$1:$M$5,5,TRUE),0),
IF($C150="WS SF",VLOOKUP($B150,'2) หลักการคำนวน Table'!$D$33:$M$48,HLOOKUP(AI150,'2) หลักการคำนวน Table'!$D$1:$M$5,5,TRUE),0),
IF($C150="WS WH",VLOOKUP($B150,'2) หลักการคำนวน Table'!$D$63:$M$78,HLOOKUP(AI150,'2) หลักการคำนวน Table'!$D$1:$M$5,5,TRUE),0),
IF($C150="SF WH",VLOOKUP($B150,'2) หลักการคำนวน Table'!$D$93:$M$108,HLOOKUP(AI150,'2) หลักการคำนวน Table'!$D$1:$M$5,5,TRUE),0))))),0)</f>
        <v>315</v>
      </c>
      <c r="BH150" s="167">
        <f>IFERROR(IF($C150="Top WS",VLOOKUP($B150,'2) หลักการคำนวน Table'!$D$5:$M$20,HLOOKUP(AP150,'2) หลักการคำนวน Table'!$D$1:$M$5,5,TRUE),0),
IF($C150="WS SF",VLOOKUP($B150,'2) หลักการคำนวน Table'!$D$33:$M$48,HLOOKUP(AP150,'2) หลักการคำนวน Table'!$D$1:$M$5,5,TRUE),0),
IF($C150="WS WH",VLOOKUP($B150,'2) หลักการคำนวน Table'!$D$63:$M$78,HLOOKUP(AP150,'2) หลักการคำนวน Table'!$D$1:$M$5,5,TRUE),0),
IF($C150="SF WH",VLOOKUP($B150,'2) หลักการคำนวน Table'!$D$93:$M$108,HLOOKUP(AP150,'2) หลักการคำนวน Table'!$D$1:$M$5,5,TRUE),0))))),0)</f>
        <v>315</v>
      </c>
      <c r="BI150" s="167">
        <f>IFERROR(IF($C150="Top WS",VLOOKUP($B150,'2) หลักการคำนวน Table'!$D$5:$M$20,HLOOKUP(AK150,'2) หลักการคำนวน Table'!$D$1:$M$5,5,TRUE),0),
IF($C150="WS SF",VLOOKUP($B150,'2) หลักการคำนวน Table'!$D$33:$M$48,HLOOKUP(AK150,'2) หลักการคำนวน Table'!$D$1:$M$5,5,TRUE),0),
IF($C150="WS WH",VLOOKUP($B150,'2) หลักการคำนวน Table'!$D$63:$M$78,HLOOKUP(AK150,'2) หลักการคำนวน Table'!$D$1:$M$5,5,TRUE),0),
IF($C150="SF WH",VLOOKUP($B150,'2) หลักการคำนวน Table'!$D$93:$M$108,HLOOKUP(AK150,'2) หลักการคำนวน Table'!$D$1:$M$5,5,TRUE),0))))),0)</f>
        <v>315</v>
      </c>
      <c r="BJ150" s="167">
        <f>IFERROR(IF($C150="Top WS",VLOOKUP($B150,'2) หลักการคำนวน Table'!$D$5:$M$20,HLOOKUP(AL150,'2) หลักการคำนวน Table'!$D$1:$M$5,5,TRUE),0),
IF($C150="WS SF",VLOOKUP($B150,'2) หลักการคำนวน Table'!$D$33:$M$48,HLOOKUP(AL150,'2) หลักการคำนวน Table'!$D$1:$M$5,5,TRUE),0),
IF($C150="WS WH",VLOOKUP($B150,'2) หลักการคำนวน Table'!$D$63:$M$78,HLOOKUP(AL150,'2) หลักการคำนวน Table'!$D$1:$M$5,5,TRUE),0),
IF($C150="SF WH",VLOOKUP($B150,'2) หลักการคำนวน Table'!$D$93:$M$108,HLOOKUP(AL150,'2) หลักการคำนวน Table'!$D$1:$M$5,5,TRUE),0))))),0)</f>
        <v>315</v>
      </c>
      <c r="BK150" s="167">
        <f>IFERROR(IF($C150="Top WS",VLOOKUP($B150,'2) หลักการคำนวน Table'!$D$5:$M$20,HLOOKUP(AM150,'2) หลักการคำนวน Table'!$D$1:$M$5,5,TRUE),0),
IF($C150="WS SF",VLOOKUP($B150,'2) หลักการคำนวน Table'!$D$33:$M$48,HLOOKUP(AM150,'2) หลักการคำนวน Table'!$D$1:$M$5,5,TRUE),0),
IF($C150="WS WH",VLOOKUP($B150,'2) หลักการคำนวน Table'!$D$63:$M$78,HLOOKUP(AM150,'2) หลักการคำนวน Table'!$D$1:$M$5,5,TRUE),0),
IF($C150="SF WH",VLOOKUP($B150,'2) หลักการคำนวน Table'!$D$93:$M$108,HLOOKUP(AM150,'2) หลักการคำนวน Table'!$D$1:$M$5,5,TRUE),0))))),0)</f>
        <v>315</v>
      </c>
      <c r="BM150" s="119">
        <f>VLOOKUP(VLOOKUP(A150,ASTBase!E:S,13,FALSE),ASTBase!F:P,11,FALSE)</f>
        <v>130000</v>
      </c>
      <c r="BN150" s="196" cm="1">
        <f t="array" ref="BN150">INDEX(AN150:AY150,,Period!$D$2)</f>
        <v>1</v>
      </c>
    </row>
    <row r="151" spans="1:66" x14ac:dyDescent="0.25">
      <c r="A151" s="117">
        <v>130003</v>
      </c>
      <c r="B151" s="117" t="s">
        <v>395</v>
      </c>
      <c r="C151" s="117" t="s">
        <v>180</v>
      </c>
      <c r="D151" s="118">
        <v>1287</v>
      </c>
      <c r="E151" s="118">
        <v>1407</v>
      </c>
      <c r="F151" s="118">
        <v>1546</v>
      </c>
      <c r="G151" s="118">
        <v>1764</v>
      </c>
      <c r="H151" s="118">
        <v>1449</v>
      </c>
      <c r="I151" s="118">
        <v>1266</v>
      </c>
      <c r="J151" s="118">
        <v>1810</v>
      </c>
      <c r="K151" s="118">
        <v>1895</v>
      </c>
      <c r="L151" s="118">
        <v>1526</v>
      </c>
      <c r="M151" s="118">
        <v>1619</v>
      </c>
      <c r="N151" s="118">
        <v>1365</v>
      </c>
      <c r="O151" s="118">
        <v>1363</v>
      </c>
      <c r="P151" s="117">
        <f>SUMIFS(Actual!C:C,Actual!$A:$A,'3)Target &amp; Cal'!$A151,Actual!$B:$B,'3)Target &amp; Cal'!$B151)</f>
        <v>1209.5999999999999</v>
      </c>
      <c r="Q151" s="117">
        <f>SUMIFS(Actual!D:D,Actual!$A:$A,'3)Target &amp; Cal'!$A151,Actual!$B:$B,'3)Target &amp; Cal'!$B151)</f>
        <v>504</v>
      </c>
      <c r="R151" s="117">
        <f>SUMIFS(Actual!E:E,Actual!$A:$A,'3)Target &amp; Cal'!$A151,Actual!$B:$B,'3)Target &amp; Cal'!$B151)</f>
        <v>0</v>
      </c>
      <c r="S151" s="117">
        <f>SUMIFS(Actual!F:F,Actual!$A:$A,'3)Target &amp; Cal'!$A151,Actual!$B:$B,'3)Target &amp; Cal'!$B151)</f>
        <v>0</v>
      </c>
      <c r="T151" s="117">
        <f>SUMIFS(Actual!G:G,Actual!$A:$A,'3)Target &amp; Cal'!$A151,Actual!$B:$B,'3)Target &amp; Cal'!$B151)</f>
        <v>0</v>
      </c>
      <c r="U151" s="117">
        <f>SUMIFS(Actual!H:H,Actual!$A:$A,'3)Target &amp; Cal'!$A151,Actual!$B:$B,'3)Target &amp; Cal'!$B151)</f>
        <v>0</v>
      </c>
      <c r="V151" s="117">
        <f>SUMIFS(Actual!I:I,Actual!$A:$A,'3)Target &amp; Cal'!$A151,Actual!$B:$B,'3)Target &amp; Cal'!$B151)</f>
        <v>0</v>
      </c>
      <c r="W151" s="117">
        <f>SUMIFS(Actual!J:J,Actual!$A:$A,'3)Target &amp; Cal'!$A151,Actual!$B:$B,'3)Target &amp; Cal'!$B151)</f>
        <v>0</v>
      </c>
      <c r="X151" s="117">
        <f>SUMIFS(Actual!K:K,Actual!$A:$A,'3)Target &amp; Cal'!$A151,Actual!$B:$B,'3)Target &amp; Cal'!$B151)</f>
        <v>0</v>
      </c>
      <c r="Y151" s="117">
        <f>SUMIFS(Actual!L:L,Actual!$A:$A,'3)Target &amp; Cal'!$A151,Actual!$B:$B,'3)Target &amp; Cal'!$B151)</f>
        <v>0</v>
      </c>
      <c r="Z151" s="117">
        <f>SUMIFS(Actual!M:M,Actual!$A:$A,'3)Target &amp; Cal'!$A151,Actual!$B:$B,'3)Target &amp; Cal'!$B151)</f>
        <v>0</v>
      </c>
      <c r="AA151" s="117">
        <f>SUMIFS(Actual!N:N,Actual!$A:$A,'3)Target &amp; Cal'!$A151,Actual!$B:$B,'3)Target &amp; Cal'!$B151)</f>
        <v>0</v>
      </c>
      <c r="AB151" s="123">
        <f>IFERROR(IF(VLOOKUP($B151,Shortage!$A:$M,AB$2,FALSE)="Shortage",1,IFERROR(ROUND(P151/D151,4),0)),IFERROR(ROUND(P151/D151,4),0))</f>
        <v>0.93989999999999996</v>
      </c>
      <c r="AC151" s="123">
        <f>IFERROR(IF(VLOOKUP($B151,Shortage!$A:$M,AC$2,FALSE)="Shortage",1,IFERROR(ROUND(Q151/E151,4),0)),IFERROR(ROUND(Q151/E151,4),0))</f>
        <v>0.35820000000000002</v>
      </c>
      <c r="AD151" s="123">
        <f>IFERROR(IF(VLOOKUP($B151,Shortage!$A:$M,AD$2,FALSE)="Shortage",1,IFERROR(ROUND(R151/F151,4),0)),IFERROR(ROUND(R151/F151,4),0))</f>
        <v>0</v>
      </c>
      <c r="AE151" s="123">
        <f>IFERROR(IF(VLOOKUP($B151,Shortage!$A:$M,AE$2,FALSE)="Shortage",1,IFERROR(ROUND(S151/G151,4),0)),IFERROR(ROUND(S151/G151,4),0))</f>
        <v>0</v>
      </c>
      <c r="AF151" s="123">
        <f>IFERROR(IF(VLOOKUP($B151,Shortage!$A:$M,AF$2,FALSE)="Shortage",1,IFERROR(ROUND(T151/H151,4),0)),IFERROR(ROUND(T151/H151,4),0))</f>
        <v>0</v>
      </c>
      <c r="AG151" s="123">
        <f>IFERROR(IF(VLOOKUP($B151,Shortage!$A:$M,AG$2,FALSE)="Shortage",1,IFERROR(ROUND(U151/I151,4),0)),IFERROR(ROUND(U151/I151,4),0))</f>
        <v>0</v>
      </c>
      <c r="AH151" s="123">
        <f>IFERROR(IF(VLOOKUP($B151,Shortage!$A:$M,AH$2,FALSE)="Shortage",1,IFERROR(ROUND(V151/J151,4),0)),IFERROR(ROUND(V151/J151,4),0))</f>
        <v>0</v>
      </c>
      <c r="AI151" s="123">
        <f>IFERROR(IF(VLOOKUP($B151,Shortage!$A:$M,AI$2,FALSE)="Shortage",1,IFERROR(ROUND(W151/K151,4),0)),IFERROR(ROUND(W151/K151,4),0))</f>
        <v>0</v>
      </c>
      <c r="AJ151" s="123">
        <f>IFERROR(IF(VLOOKUP($B151,Shortage!$A:$M,AP$2,FALSE)="Shortage",1,IFERROR(ROUND(X151/L151,4),0)),IFERROR(ROUND(X151/L151,4),0))</f>
        <v>0</v>
      </c>
      <c r="AK151" s="123">
        <f>IFERROR(IF(VLOOKUP($B151,Shortage!$A:$M,AK$2,FALSE)="Shortage",1,IFERROR(ROUND(Y151/M151,4),0)),IFERROR(ROUND(Y151/M151,4),0))</f>
        <v>0</v>
      </c>
      <c r="AL151" s="123">
        <f>IFERROR(IF(VLOOKUP($B151,Shortage!$A:$M,AL$2,FALSE)="Shortage",1,IFERROR(ROUND(Z151/N151,4),0)),IFERROR(ROUND(Z151/N151,4),0))</f>
        <v>0</v>
      </c>
      <c r="AM151" s="123">
        <f>IFERROR(IF(VLOOKUP($B151,Shortage!$A:$M,AM$2,FALSE)="Shortage",1,IFERROR(ROUND(AA151/O151,4),0)),IFERROR(ROUND(AA151/O151,4),0))</f>
        <v>0</v>
      </c>
      <c r="AN151" s="232">
        <f>IFERROR(IF($C151="Top WS",VLOOKUP("GOAL",'2) หลักการคำนวน Table'!$D$4:$M$4,HLOOKUP(AB151,'2) หลักการคำนวน Table'!$D$1:$M$5,5,TRUE),0),
IF($C151="WS SF",VLOOKUP("GOAL",'2) หลักการคำนวน Table'!$D$32:$M$32,HLOOKUP(AB151,'2) หลักการคำนวน Table'!$D$1:$M$5,5,TRUE),0),
IF($C151="WS WH",VLOOKUP("GOAL",'2) หลักการคำนวน Table'!$D$62:$M$62,HLOOKUP(AB151,'2) หลักการคำนวน Table'!$D$1:$M$5,5,TRUE),0),
IF($C151="SF WH",VLOOKUP("GOAL",'2) หลักการคำนวน Table'!$D$92:$M$92,HLOOKUP(AB151,'2) หลักการคำนวน Table'!$D$1:$M$5,5,TRUE),0))))),0)</f>
        <v>0.95</v>
      </c>
      <c r="AO151" s="232">
        <f>IFERROR(IF($C151="Top WS",VLOOKUP("GOAL",'2) หลักการคำนวน Table'!$D$4:$M$4,HLOOKUP(AC151,'2) หลักการคำนวน Table'!$D$1:$M$5,5,TRUE),0),
IF($C151="WS SF",VLOOKUP("GOAL",'2) หลักการคำนวน Table'!$D$32:$M$32,HLOOKUP(AC151,'2) หลักการคำนวน Table'!$D$1:$M$5,5,TRUE),0),
IF($C151="WS WH",VLOOKUP("GOAL",'2) หลักการคำนวน Table'!$D$62:$M$62,HLOOKUP(AC151,'2) หลักการคำนวน Table'!$D$1:$M$5,5,TRUE),0),
IF($C151="SF WH",VLOOKUP("GOAL",'2) หลักการคำนวน Table'!$D$92:$M$92,HLOOKUP(AC151,'2) หลักการคำนวน Table'!$D$1:$M$5,5,TRUE),0))))),0)</f>
        <v>0.9</v>
      </c>
      <c r="AP151" s="232">
        <f>IFERROR(IF($C151="Top WS",VLOOKUP("GOAL",'2) หลักการคำนวน Table'!$D$4:$M$4,HLOOKUP(AD151,'2) หลักการคำนวน Table'!$D$1:$M$5,5,TRUE),0),
IF($C151="WS SF",VLOOKUP("GOAL",'2) หลักการคำนวน Table'!$D$32:$M$32,HLOOKUP(AD151,'2) หลักการคำนวน Table'!$D$1:$M$5,5,TRUE),0),
IF($C151="WS WH",VLOOKUP("GOAL",'2) หลักการคำนวน Table'!$D$62:$M$62,HLOOKUP(AD151,'2) หลักการคำนวน Table'!$D$1:$M$5,5,TRUE),0),
IF($C151="SF WH",VLOOKUP("GOAL",'2) หลักการคำนวน Table'!$D$92:$M$92,HLOOKUP(AD151,'2) หลักการคำนวน Table'!$D$1:$M$5,5,TRUE),0))))),0)</f>
        <v>0.9</v>
      </c>
      <c r="AQ151" s="232">
        <f>IFERROR(IF($C151="Top WS",VLOOKUP("GOAL",'2) หลักการคำนวน Table'!$D$4:$M$4,HLOOKUP(AE151,'2) หลักการคำนวน Table'!$D$1:$M$5,5,TRUE),0),
IF($C151="WS SF",VLOOKUP("GOAL",'2) หลักการคำนวน Table'!$D$32:$M$32,HLOOKUP(AE151,'2) หลักการคำนวน Table'!$D$1:$M$5,5,TRUE),0),
IF($C151="WS WH",VLOOKUP("GOAL",'2) หลักการคำนวน Table'!$D$62:$M$62,HLOOKUP(AE151,'2) หลักการคำนวน Table'!$D$1:$M$5,5,TRUE),0),
IF($C151="SF WH",VLOOKUP("GOAL",'2) หลักการคำนวน Table'!$D$92:$M$92,HLOOKUP(AE151,'2) หลักการคำนวน Table'!$D$1:$M$5,5,TRUE),0))))),0)</f>
        <v>0.9</v>
      </c>
      <c r="AR151" s="232">
        <f>IFERROR(IF($C151="Top WS",VLOOKUP("GOAL",'2) หลักการคำนวน Table'!$D$4:$M$4,HLOOKUP(AF151,'2) หลักการคำนวน Table'!$D$1:$M$5,5,TRUE),0),
IF($C151="WS SF",VLOOKUP("GOAL",'2) หลักการคำนวน Table'!$D$32:$M$32,HLOOKUP(AF151,'2) หลักการคำนวน Table'!$D$1:$M$5,5,TRUE),0),
IF($C151="WS WH",VLOOKUP("GOAL",'2) หลักการคำนวน Table'!$D$62:$M$62,HLOOKUP(AF151,'2) หลักการคำนวน Table'!$D$1:$M$5,5,TRUE),0),
IF($C151="SF WH",VLOOKUP("GOAL",'2) หลักการคำนวน Table'!$D$92:$M$92,HLOOKUP(AF151,'2) หลักการคำนวน Table'!$D$1:$M$5,5,TRUE),0))))),0)</f>
        <v>0.9</v>
      </c>
      <c r="AS151" s="232">
        <f>IFERROR(IF($C151="Top WS",VLOOKUP("GOAL",'2) หลักการคำนวน Table'!$D$4:$M$4,HLOOKUP(AG151,'2) หลักการคำนวน Table'!$D$1:$M$5,5,TRUE),0),
IF($C151="WS SF",VLOOKUP("GOAL",'2) หลักการคำนวน Table'!$D$32:$M$32,HLOOKUP(AG151,'2) หลักการคำนวน Table'!$D$1:$M$5,5,TRUE),0),
IF($C151="WS WH",VLOOKUP("GOAL",'2) หลักการคำนวน Table'!$D$62:$M$62,HLOOKUP(AG151,'2) หลักการคำนวน Table'!$D$1:$M$5,5,TRUE),0),
IF($C151="SF WH",VLOOKUP("GOAL",'2) หลักการคำนวน Table'!$D$92:$M$92,HLOOKUP(AG151,'2) หลักการคำนวน Table'!$D$1:$M$5,5,TRUE),0))))),0)</f>
        <v>0.9</v>
      </c>
      <c r="AT151" s="232">
        <f>IFERROR(IF($C151="Top WS",VLOOKUP("GOAL",'2) หลักการคำนวน Table'!$D$4:$M$4,HLOOKUP(AH151,'2) หลักการคำนวน Table'!$D$1:$M$5,5,TRUE),0),
IF($C151="WS SF",VLOOKUP("GOAL",'2) หลักการคำนวน Table'!$D$32:$M$32,HLOOKUP(AH151,'2) หลักการคำนวน Table'!$D$1:$M$5,5,TRUE),0),
IF($C151="WS WH",VLOOKUP("GOAL",'2) หลักการคำนวน Table'!$D$62:$M$62,HLOOKUP(AH151,'2) หลักการคำนวน Table'!$D$1:$M$5,5,TRUE),0),
IF($C151="SF WH",VLOOKUP("GOAL",'2) หลักการคำนวน Table'!$D$92:$M$92,HLOOKUP(AH151,'2) หลักการคำนวน Table'!$D$1:$M$5,5,TRUE),0))))),0)</f>
        <v>0.9</v>
      </c>
      <c r="AU151" s="232">
        <f>IFERROR(IF($C151="Top WS",VLOOKUP("GOAL",'2) หลักการคำนวน Table'!$D$4:$M$4,HLOOKUP(AI151,'2) หลักการคำนวน Table'!$D$1:$M$5,5,TRUE),0),
IF($C151="WS SF",VLOOKUP("GOAL",'2) หลักการคำนวน Table'!$D$32:$M$32,HLOOKUP(AI151,'2) หลักการคำนวน Table'!$D$1:$M$5,5,TRUE),0),
IF($C151="WS WH",VLOOKUP("GOAL",'2) หลักการคำนวน Table'!$D$62:$M$62,HLOOKUP(AI151,'2) หลักการคำนวน Table'!$D$1:$M$5,5,TRUE),0),
IF($C151="SF WH",VLOOKUP("GOAL",'2) หลักการคำนวน Table'!$D$92:$M$92,HLOOKUP(AI151,'2) หลักการคำนวน Table'!$D$1:$M$5,5,TRUE),0))))),0)</f>
        <v>0.9</v>
      </c>
      <c r="AV151" s="232">
        <f>IFERROR(IF($C151="Top WS",VLOOKUP("GOAL",'2) หลักการคำนวน Table'!$D$4:$M$4,HLOOKUP(AP151,'2) หลักการคำนวน Table'!$D$1:$M$5,5,TRUE),0),
IF($C151="WS SF",VLOOKUP("GOAL",'2) หลักการคำนวน Table'!$D$32:$M$32,HLOOKUP(AP151,'2) หลักการคำนวน Table'!$D$1:$M$5,5,TRUE),0),
IF($C151="WS WH",VLOOKUP("GOAL",'2) หลักการคำนวน Table'!$D$62:$M$62,HLOOKUP(AP151,'2) หลักการคำนวน Table'!$D$1:$M$5,5,TRUE),0),
IF($C151="SF WH",VLOOKUP("GOAL",'2) หลักการคำนวน Table'!$D$92:$M$92,HLOOKUP(AP151,'2) หลักการคำนวน Table'!$D$1:$M$5,5,TRUE),0))))),0)</f>
        <v>0.9</v>
      </c>
      <c r="AW151" s="232">
        <f>IFERROR(IF($C151="Top WS",VLOOKUP("GOAL",'2) หลักการคำนวน Table'!$D$4:$M$4,HLOOKUP(AK151,'2) หลักการคำนวน Table'!$D$1:$M$5,5,TRUE),0),
IF($C151="WS SF",VLOOKUP("GOAL",'2) หลักการคำนวน Table'!$D$32:$M$32,HLOOKUP(AK151,'2) หลักการคำนวน Table'!$D$1:$M$5,5,TRUE),0),
IF($C151="WS WH",VLOOKUP("GOAL",'2) หลักการคำนวน Table'!$D$62:$M$62,HLOOKUP(AK151,'2) หลักการคำนวน Table'!$D$1:$M$5,5,TRUE),0),
IF($C151="SF WH",VLOOKUP("GOAL",'2) หลักการคำนวน Table'!$D$92:$M$92,HLOOKUP(AK151,'2) หลักการคำนวน Table'!$D$1:$M$5,5,TRUE),0))))),0)</f>
        <v>0.9</v>
      </c>
      <c r="AX151" s="232">
        <f>IFERROR(IF($C151="Top WS",VLOOKUP("GOAL",'2) หลักการคำนวน Table'!$D$4:$M$4,HLOOKUP(AL151,'2) หลักการคำนวน Table'!$D$1:$M$5,5,TRUE),0),
IF($C151="WS SF",VLOOKUP("GOAL",'2) หลักการคำนวน Table'!$D$32:$M$32,HLOOKUP(AL151,'2) หลักการคำนวน Table'!$D$1:$M$5,5,TRUE),0),
IF($C151="WS WH",VLOOKUP("GOAL",'2) หลักการคำนวน Table'!$D$62:$M$62,HLOOKUP(AL151,'2) หลักการคำนวน Table'!$D$1:$M$5,5,TRUE),0),
IF($C151="SF WH",VLOOKUP("GOAL",'2) หลักการคำนวน Table'!$D$92:$M$92,HLOOKUP(AL151,'2) หลักการคำนวน Table'!$D$1:$M$5,5,TRUE),0))))),0)</f>
        <v>0.9</v>
      </c>
      <c r="AY151" s="232">
        <f>IFERROR(IF($C151="Top WS",VLOOKUP("GOAL",'2) หลักการคำนวน Table'!$D$4:$M$4,HLOOKUP(AM151,'2) หลักการคำนวน Table'!$D$1:$M$5,5,TRUE),0),
IF($C151="WS SF",VLOOKUP("GOAL",'2) หลักการคำนวน Table'!$D$32:$M$32,HLOOKUP(AM151,'2) หลักการคำนวน Table'!$D$1:$M$5,5,TRUE),0),
IF($C151="WS WH",VLOOKUP("GOAL",'2) หลักการคำนวน Table'!$D$62:$M$62,HLOOKUP(AM151,'2) หลักการคำนวน Table'!$D$1:$M$5,5,TRUE),0),
IF($C151="SF WH",VLOOKUP("GOAL",'2) หลักการคำนวน Table'!$D$92:$M$92,HLOOKUP(AM151,'2) หลักการคำนวน Table'!$D$1:$M$5,5,TRUE),0))))),0)</f>
        <v>0.9</v>
      </c>
      <c r="AZ151" s="167">
        <f>IFERROR(IF($C151="Top WS",VLOOKUP($B151,'2) หลักการคำนวน Table'!$D$5:$M$20,HLOOKUP(AB151,'2) หลักการคำนวน Table'!$D$1:$M$5,5,TRUE),0),
IF($C151="WS SF",VLOOKUP($B151,'2) หลักการคำนวน Table'!$D$33:$M$48,HLOOKUP(AB151,'2) หลักการคำนวน Table'!$D$1:$M$5,5,TRUE),0),
IF($C151="WS WH",VLOOKUP($B151,'2) หลักการคำนวน Table'!$D$63:$M$78,HLOOKUP(AB151,'2) หลักการคำนวน Table'!$D$1:$M$5,5,TRUE),0),
IF($C151="SF WH",VLOOKUP($B151,'2) หลักการคำนวน Table'!$D$93:$M$108,HLOOKUP(AB151,'2) หลักการคำนวน Table'!$D$1:$M$5,5,TRUE),0))))),0)</f>
        <v>166.25</v>
      </c>
      <c r="BA151" s="167">
        <f>IFERROR(IF($C151="Top WS",VLOOKUP($B151,'2) หลักการคำนวน Table'!$D$5:$M$20,HLOOKUP(AC151,'2) หลักการคำนวน Table'!$D$1:$M$5,5,TRUE),0),
IF($C151="WS SF",VLOOKUP($B151,'2) หลักการคำนวน Table'!$D$33:$M$48,HLOOKUP(AC151,'2) หลักการคำนวน Table'!$D$1:$M$5,5,TRUE),0),
IF($C151="WS WH",VLOOKUP($B151,'2) หลักการคำนวน Table'!$D$63:$M$78,HLOOKUP(AC151,'2) หลักการคำนวน Table'!$D$1:$M$5,5,TRUE),0),
IF($C151="SF WH",VLOOKUP($B151,'2) หลักการคำนวน Table'!$D$93:$M$108,HLOOKUP(AC151,'2) หลักการคำนวน Table'!$D$1:$M$5,5,TRUE),0))))),0)</f>
        <v>157.5</v>
      </c>
      <c r="BB151" s="167">
        <f>IFERROR(IF($C151="Top WS",VLOOKUP($B151,'2) หลักการคำนวน Table'!$D$5:$M$20,HLOOKUP(AD151,'2) หลักการคำนวน Table'!$D$1:$M$5,5,TRUE),0),
IF($C151="WS SF",VLOOKUP($B151,'2) หลักการคำนวน Table'!$D$33:$M$48,HLOOKUP(AD151,'2) หลักการคำนวน Table'!$D$1:$M$5,5,TRUE),0),
IF($C151="WS WH",VLOOKUP($B151,'2) หลักการคำนวน Table'!$D$63:$M$78,HLOOKUP(AD151,'2) หลักการคำนวน Table'!$D$1:$M$5,5,TRUE),0),
IF($C151="SF WH",VLOOKUP($B151,'2) หลักการคำนวน Table'!$D$93:$M$108,HLOOKUP(AD151,'2) หลักการคำนวน Table'!$D$1:$M$5,5,TRUE),0))))),0)</f>
        <v>157.5</v>
      </c>
      <c r="BC151" s="167">
        <f>IFERROR(IF($C151="Top WS",VLOOKUP($B151,'2) หลักการคำนวน Table'!$D$5:$M$20,HLOOKUP(AE151,'2) หลักการคำนวน Table'!$D$1:$M$5,5,TRUE),0),
IF($C151="WS SF",VLOOKUP($B151,'2) หลักการคำนวน Table'!$D$33:$M$48,HLOOKUP(AE151,'2) หลักการคำนวน Table'!$D$1:$M$5,5,TRUE),0),
IF($C151="WS WH",VLOOKUP($B151,'2) หลักการคำนวน Table'!$D$63:$M$78,HLOOKUP(AE151,'2) หลักการคำนวน Table'!$D$1:$M$5,5,TRUE),0),
IF($C151="SF WH",VLOOKUP($B151,'2) หลักการคำนวน Table'!$D$93:$M$108,HLOOKUP(AE151,'2) หลักการคำนวน Table'!$D$1:$M$5,5,TRUE),0))))),0)</f>
        <v>157.5</v>
      </c>
      <c r="BD151" s="167">
        <f>IFERROR(IF($C151="Top WS",VLOOKUP($B151,'2) หลักการคำนวน Table'!$D$5:$M$20,HLOOKUP(AF151,'2) หลักการคำนวน Table'!$D$1:$M$5,5,TRUE),0),
IF($C151="WS SF",VLOOKUP($B151,'2) หลักการคำนวน Table'!$D$33:$M$48,HLOOKUP(AF151,'2) หลักการคำนวน Table'!$D$1:$M$5,5,TRUE),0),
IF($C151="WS WH",VLOOKUP($B151,'2) หลักการคำนวน Table'!$D$63:$M$78,HLOOKUP(AF151,'2) หลักการคำนวน Table'!$D$1:$M$5,5,TRUE),0),
IF($C151="SF WH",VLOOKUP($B151,'2) หลักการคำนวน Table'!$D$93:$M$108,HLOOKUP(AF151,'2) หลักการคำนวน Table'!$D$1:$M$5,5,TRUE),0))))),0)</f>
        <v>157.5</v>
      </c>
      <c r="BE151" s="167">
        <f>IFERROR(IF($C151="Top WS",VLOOKUP($B151,'2) หลักการคำนวน Table'!$D$5:$M$20,HLOOKUP(AG151,'2) หลักการคำนวน Table'!$D$1:$M$5,5,TRUE),0),
IF($C151="WS SF",VLOOKUP($B151,'2) หลักการคำนวน Table'!$D$33:$M$48,HLOOKUP(AG151,'2) หลักการคำนวน Table'!$D$1:$M$5,5,TRUE),0),
IF($C151="WS WH",VLOOKUP($B151,'2) หลักการคำนวน Table'!$D$63:$M$78,HLOOKUP(AG151,'2) หลักการคำนวน Table'!$D$1:$M$5,5,TRUE),0),
IF($C151="SF WH",VLOOKUP($B151,'2) หลักการคำนวน Table'!$D$93:$M$108,HLOOKUP(AG151,'2) หลักการคำนวน Table'!$D$1:$M$5,5,TRUE),0))))),0)</f>
        <v>157.5</v>
      </c>
      <c r="BF151" s="167">
        <f>IFERROR(IF($C151="Top WS",VLOOKUP($B151,'2) หลักการคำนวน Table'!$D$5:$M$20,HLOOKUP(AH151,'2) หลักการคำนวน Table'!$D$1:$M$5,5,TRUE),0),
IF($C151="WS SF",VLOOKUP($B151,'2) หลักการคำนวน Table'!$D$33:$M$48,HLOOKUP(AH151,'2) หลักการคำนวน Table'!$D$1:$M$5,5,TRUE),0),
IF($C151="WS WH",VLOOKUP($B151,'2) หลักการคำนวน Table'!$D$63:$M$78,HLOOKUP(AH151,'2) หลักการคำนวน Table'!$D$1:$M$5,5,TRUE),0),
IF($C151="SF WH",VLOOKUP($B151,'2) หลักการคำนวน Table'!$D$93:$M$108,HLOOKUP(AH151,'2) หลักการคำนวน Table'!$D$1:$M$5,5,TRUE),0))))),0)</f>
        <v>157.5</v>
      </c>
      <c r="BG151" s="167">
        <f>IFERROR(IF($C151="Top WS",VLOOKUP($B151,'2) หลักการคำนวน Table'!$D$5:$M$20,HLOOKUP(AI151,'2) หลักการคำนวน Table'!$D$1:$M$5,5,TRUE),0),
IF($C151="WS SF",VLOOKUP($B151,'2) หลักการคำนวน Table'!$D$33:$M$48,HLOOKUP(AI151,'2) หลักการคำนวน Table'!$D$1:$M$5,5,TRUE),0),
IF($C151="WS WH",VLOOKUP($B151,'2) หลักการคำนวน Table'!$D$63:$M$78,HLOOKUP(AI151,'2) หลักการคำนวน Table'!$D$1:$M$5,5,TRUE),0),
IF($C151="SF WH",VLOOKUP($B151,'2) หลักการคำนวน Table'!$D$93:$M$108,HLOOKUP(AI151,'2) หลักการคำนวน Table'!$D$1:$M$5,5,TRUE),0))))),0)</f>
        <v>157.5</v>
      </c>
      <c r="BH151" s="167">
        <f>IFERROR(IF($C151="Top WS",VLOOKUP($B151,'2) หลักการคำนวน Table'!$D$5:$M$20,HLOOKUP(AP151,'2) หลักการคำนวน Table'!$D$1:$M$5,5,TRUE),0),
IF($C151="WS SF",VLOOKUP($B151,'2) หลักการคำนวน Table'!$D$33:$M$48,HLOOKUP(AP151,'2) หลักการคำนวน Table'!$D$1:$M$5,5,TRUE),0),
IF($C151="WS WH",VLOOKUP($B151,'2) หลักการคำนวน Table'!$D$63:$M$78,HLOOKUP(AP151,'2) หลักการคำนวน Table'!$D$1:$M$5,5,TRUE),0),
IF($C151="SF WH",VLOOKUP($B151,'2) หลักการคำนวน Table'!$D$93:$M$108,HLOOKUP(AP151,'2) หลักการคำนวน Table'!$D$1:$M$5,5,TRUE),0))))),0)</f>
        <v>157.5</v>
      </c>
      <c r="BI151" s="167">
        <f>IFERROR(IF($C151="Top WS",VLOOKUP($B151,'2) หลักการคำนวน Table'!$D$5:$M$20,HLOOKUP(AK151,'2) หลักการคำนวน Table'!$D$1:$M$5,5,TRUE),0),
IF($C151="WS SF",VLOOKUP($B151,'2) หลักการคำนวน Table'!$D$33:$M$48,HLOOKUP(AK151,'2) หลักการคำนวน Table'!$D$1:$M$5,5,TRUE),0),
IF($C151="WS WH",VLOOKUP($B151,'2) หลักการคำนวน Table'!$D$63:$M$78,HLOOKUP(AK151,'2) หลักการคำนวน Table'!$D$1:$M$5,5,TRUE),0),
IF($C151="SF WH",VLOOKUP($B151,'2) หลักการคำนวน Table'!$D$93:$M$108,HLOOKUP(AK151,'2) หลักการคำนวน Table'!$D$1:$M$5,5,TRUE),0))))),0)</f>
        <v>157.5</v>
      </c>
      <c r="BJ151" s="167">
        <f>IFERROR(IF($C151="Top WS",VLOOKUP($B151,'2) หลักการคำนวน Table'!$D$5:$M$20,HLOOKUP(AL151,'2) หลักการคำนวน Table'!$D$1:$M$5,5,TRUE),0),
IF($C151="WS SF",VLOOKUP($B151,'2) หลักการคำนวน Table'!$D$33:$M$48,HLOOKUP(AL151,'2) หลักการคำนวน Table'!$D$1:$M$5,5,TRUE),0),
IF($C151="WS WH",VLOOKUP($B151,'2) หลักการคำนวน Table'!$D$63:$M$78,HLOOKUP(AL151,'2) หลักการคำนวน Table'!$D$1:$M$5,5,TRUE),0),
IF($C151="SF WH",VLOOKUP($B151,'2) หลักการคำนวน Table'!$D$93:$M$108,HLOOKUP(AL151,'2) หลักการคำนวน Table'!$D$1:$M$5,5,TRUE),0))))),0)</f>
        <v>157.5</v>
      </c>
      <c r="BK151" s="167">
        <f>IFERROR(IF($C151="Top WS",VLOOKUP($B151,'2) หลักการคำนวน Table'!$D$5:$M$20,HLOOKUP(AM151,'2) หลักการคำนวน Table'!$D$1:$M$5,5,TRUE),0),
IF($C151="WS SF",VLOOKUP($B151,'2) หลักการคำนวน Table'!$D$33:$M$48,HLOOKUP(AM151,'2) หลักการคำนวน Table'!$D$1:$M$5,5,TRUE),0),
IF($C151="WS WH",VLOOKUP($B151,'2) หลักการคำนวน Table'!$D$63:$M$78,HLOOKUP(AM151,'2) หลักการคำนวน Table'!$D$1:$M$5,5,TRUE),0),
IF($C151="SF WH",VLOOKUP($B151,'2) หลักการคำนวน Table'!$D$93:$M$108,HLOOKUP(AM151,'2) หลักการคำนวน Table'!$D$1:$M$5,5,TRUE),0))))),0)</f>
        <v>157.5</v>
      </c>
      <c r="BM151" s="119">
        <f>VLOOKUP(VLOOKUP(A151,ASTBase!E:S,13,FALSE),ASTBase!F:P,11,FALSE)</f>
        <v>130000</v>
      </c>
      <c r="BN151" s="196" cm="1">
        <f t="array" ref="BN151">INDEX(AN151:AY151,,Period!$D$2)</f>
        <v>0.9</v>
      </c>
    </row>
    <row r="152" spans="1:66" x14ac:dyDescent="0.25">
      <c r="A152" s="117">
        <v>130003</v>
      </c>
      <c r="B152" s="117" t="s">
        <v>402</v>
      </c>
      <c r="C152" s="117" t="s">
        <v>180</v>
      </c>
      <c r="D152" s="118">
        <v>1168</v>
      </c>
      <c r="E152" s="118">
        <v>1325</v>
      </c>
      <c r="F152" s="118">
        <v>1077</v>
      </c>
      <c r="G152" s="118">
        <v>1140</v>
      </c>
      <c r="H152" s="118">
        <v>1159</v>
      </c>
      <c r="I152" s="118">
        <v>1195</v>
      </c>
      <c r="J152" s="118">
        <v>1347</v>
      </c>
      <c r="K152" s="118">
        <v>2001</v>
      </c>
      <c r="L152" s="118">
        <v>1314</v>
      </c>
      <c r="M152" s="118">
        <v>1194</v>
      </c>
      <c r="N152" s="118">
        <v>1508</v>
      </c>
      <c r="O152" s="118">
        <v>1504</v>
      </c>
      <c r="P152" s="117">
        <f>SUMIFS(Actual!C:C,Actual!$A:$A,'3)Target &amp; Cal'!$A152,Actual!$B:$B,'3)Target &amp; Cal'!$B152)</f>
        <v>2063.5</v>
      </c>
      <c r="Q152" s="117">
        <f>SUMIFS(Actual!D:D,Actual!$A:$A,'3)Target &amp; Cal'!$A152,Actual!$B:$B,'3)Target &amp; Cal'!$B152)</f>
        <v>1328.5</v>
      </c>
      <c r="R152" s="117">
        <f>SUMIFS(Actual!E:E,Actual!$A:$A,'3)Target &amp; Cal'!$A152,Actual!$B:$B,'3)Target &amp; Cal'!$B152)</f>
        <v>0</v>
      </c>
      <c r="S152" s="117">
        <f>SUMIFS(Actual!F:F,Actual!$A:$A,'3)Target &amp; Cal'!$A152,Actual!$B:$B,'3)Target &amp; Cal'!$B152)</f>
        <v>0</v>
      </c>
      <c r="T152" s="117">
        <f>SUMIFS(Actual!G:G,Actual!$A:$A,'3)Target &amp; Cal'!$A152,Actual!$B:$B,'3)Target &amp; Cal'!$B152)</f>
        <v>0</v>
      </c>
      <c r="U152" s="117">
        <f>SUMIFS(Actual!H:H,Actual!$A:$A,'3)Target &amp; Cal'!$A152,Actual!$B:$B,'3)Target &amp; Cal'!$B152)</f>
        <v>0</v>
      </c>
      <c r="V152" s="117">
        <f>SUMIFS(Actual!I:I,Actual!$A:$A,'3)Target &amp; Cal'!$A152,Actual!$B:$B,'3)Target &amp; Cal'!$B152)</f>
        <v>0</v>
      </c>
      <c r="W152" s="117">
        <f>SUMIFS(Actual!J:J,Actual!$A:$A,'3)Target &amp; Cal'!$A152,Actual!$B:$B,'3)Target &amp; Cal'!$B152)</f>
        <v>0</v>
      </c>
      <c r="X152" s="117">
        <f>SUMIFS(Actual!K:K,Actual!$A:$A,'3)Target &amp; Cal'!$A152,Actual!$B:$B,'3)Target &amp; Cal'!$B152)</f>
        <v>0</v>
      </c>
      <c r="Y152" s="117">
        <f>SUMIFS(Actual!L:L,Actual!$A:$A,'3)Target &amp; Cal'!$A152,Actual!$B:$B,'3)Target &amp; Cal'!$B152)</f>
        <v>0</v>
      </c>
      <c r="Z152" s="117">
        <f>SUMIFS(Actual!M:M,Actual!$A:$A,'3)Target &amp; Cal'!$A152,Actual!$B:$B,'3)Target &amp; Cal'!$B152)</f>
        <v>0</v>
      </c>
      <c r="AA152" s="117">
        <f>SUMIFS(Actual!N:N,Actual!$A:$A,'3)Target &amp; Cal'!$A152,Actual!$B:$B,'3)Target &amp; Cal'!$B152)</f>
        <v>0</v>
      </c>
      <c r="AB152" s="123">
        <f>IFERROR(IF(VLOOKUP($B152,Shortage!$A:$M,AB$2,FALSE)="Shortage",1,IFERROR(ROUND(P152/D152,4),0)),IFERROR(ROUND(P152/D152,4),0))</f>
        <v>1.7666999999999999</v>
      </c>
      <c r="AC152" s="123">
        <f>IFERROR(IF(VLOOKUP($B152,Shortage!$A:$M,AC$2,FALSE)="Shortage",1,IFERROR(ROUND(Q152/E152,4),0)),IFERROR(ROUND(Q152/E152,4),0))</f>
        <v>1.0025999999999999</v>
      </c>
      <c r="AD152" s="123">
        <f>IFERROR(IF(VLOOKUP($B152,Shortage!$A:$M,AD$2,FALSE)="Shortage",1,IFERROR(ROUND(R152/F152,4),0)),IFERROR(ROUND(R152/F152,4),0))</f>
        <v>0</v>
      </c>
      <c r="AE152" s="123">
        <f>IFERROR(IF(VLOOKUP($B152,Shortage!$A:$M,AE$2,FALSE)="Shortage",1,IFERROR(ROUND(S152/G152,4),0)),IFERROR(ROUND(S152/G152,4),0))</f>
        <v>0</v>
      </c>
      <c r="AF152" s="123">
        <f>IFERROR(IF(VLOOKUP($B152,Shortage!$A:$M,AF$2,FALSE)="Shortage",1,IFERROR(ROUND(T152/H152,4),0)),IFERROR(ROUND(T152/H152,4),0))</f>
        <v>0</v>
      </c>
      <c r="AG152" s="123">
        <f>IFERROR(IF(VLOOKUP($B152,Shortage!$A:$M,AG$2,FALSE)="Shortage",1,IFERROR(ROUND(U152/I152,4),0)),IFERROR(ROUND(U152/I152,4),0))</f>
        <v>0</v>
      </c>
      <c r="AH152" s="123">
        <f>IFERROR(IF(VLOOKUP($B152,Shortage!$A:$M,AH$2,FALSE)="Shortage",1,IFERROR(ROUND(V152/J152,4),0)),IFERROR(ROUND(V152/J152,4),0))</f>
        <v>0</v>
      </c>
      <c r="AI152" s="123">
        <f>IFERROR(IF(VLOOKUP($B152,Shortage!$A:$M,AI$2,FALSE)="Shortage",1,IFERROR(ROUND(W152/K152,4),0)),IFERROR(ROUND(W152/K152,4),0))</f>
        <v>0</v>
      </c>
      <c r="AJ152" s="123">
        <f>IFERROR(IF(VLOOKUP($B152,Shortage!$A:$M,AP$2,FALSE)="Shortage",1,IFERROR(ROUND(X152/L152,4),0)),IFERROR(ROUND(X152/L152,4),0))</f>
        <v>0</v>
      </c>
      <c r="AK152" s="123">
        <f>IFERROR(IF(VLOOKUP($B152,Shortage!$A:$M,AK$2,FALSE)="Shortage",1,IFERROR(ROUND(Y152/M152,4),0)),IFERROR(ROUND(Y152/M152,4),0))</f>
        <v>0</v>
      </c>
      <c r="AL152" s="123">
        <f>IFERROR(IF(VLOOKUP($B152,Shortage!$A:$M,AL$2,FALSE)="Shortage",1,IFERROR(ROUND(Z152/N152,4),0)),IFERROR(ROUND(Z152/N152,4),0))</f>
        <v>0</v>
      </c>
      <c r="AM152" s="123">
        <f>IFERROR(IF(VLOOKUP($B152,Shortage!$A:$M,AM$2,FALSE)="Shortage",1,IFERROR(ROUND(AA152/O152,4),0)),IFERROR(ROUND(AA152/O152,4),0))</f>
        <v>0</v>
      </c>
      <c r="AN152" s="232">
        <f>IFERROR(IF($C152="Top WS",VLOOKUP("GOAL",'2) หลักการคำนวน Table'!$D$4:$M$4,HLOOKUP(AB152,'2) หลักการคำนวน Table'!$D$1:$M$5,5,TRUE),0),
IF($C152="WS SF",VLOOKUP("GOAL",'2) หลักการคำนวน Table'!$D$32:$M$32,HLOOKUP(AB152,'2) หลักการคำนวน Table'!$D$1:$M$5,5,TRUE),0),
IF($C152="WS WH",VLOOKUP("GOAL",'2) หลักการคำนวน Table'!$D$62:$M$62,HLOOKUP(AB152,'2) หลักการคำนวน Table'!$D$1:$M$5,5,TRUE),0),
IF($C152="SF WH",VLOOKUP("GOAL",'2) หลักการคำนวน Table'!$D$92:$M$92,HLOOKUP(AB152,'2) หลักการคำนวน Table'!$D$1:$M$5,5,TRUE),0))))),0)</f>
        <v>1.3</v>
      </c>
      <c r="AO152" s="232">
        <f>IFERROR(IF($C152="Top WS",VLOOKUP("GOAL",'2) หลักการคำนวน Table'!$D$4:$M$4,HLOOKUP(AC152,'2) หลักการคำนวน Table'!$D$1:$M$5,5,TRUE),0),
IF($C152="WS SF",VLOOKUP("GOAL",'2) หลักการคำนวน Table'!$D$32:$M$32,HLOOKUP(AC152,'2) หลักการคำนวน Table'!$D$1:$M$5,5,TRUE),0),
IF($C152="WS WH",VLOOKUP("GOAL",'2) หลักการคำนวน Table'!$D$62:$M$62,HLOOKUP(AC152,'2) หลักการคำนวน Table'!$D$1:$M$5,5,TRUE),0),
IF($C152="SF WH",VLOOKUP("GOAL",'2) หลักการคำนวน Table'!$D$92:$M$92,HLOOKUP(AC152,'2) หลักการคำนวน Table'!$D$1:$M$5,5,TRUE),0))))),0)</f>
        <v>1.03</v>
      </c>
      <c r="AP152" s="232">
        <f>IFERROR(IF($C152="Top WS",VLOOKUP("GOAL",'2) หลักการคำนวน Table'!$D$4:$M$4,HLOOKUP(AD152,'2) หลักการคำนวน Table'!$D$1:$M$5,5,TRUE),0),
IF($C152="WS SF",VLOOKUP("GOAL",'2) หลักการคำนวน Table'!$D$32:$M$32,HLOOKUP(AD152,'2) หลักการคำนวน Table'!$D$1:$M$5,5,TRUE),0),
IF($C152="WS WH",VLOOKUP("GOAL",'2) หลักการคำนวน Table'!$D$62:$M$62,HLOOKUP(AD152,'2) หลักการคำนวน Table'!$D$1:$M$5,5,TRUE),0),
IF($C152="SF WH",VLOOKUP("GOAL",'2) หลักการคำนวน Table'!$D$92:$M$92,HLOOKUP(AD152,'2) หลักการคำนวน Table'!$D$1:$M$5,5,TRUE),0))))),0)</f>
        <v>0.9</v>
      </c>
      <c r="AQ152" s="232">
        <f>IFERROR(IF($C152="Top WS",VLOOKUP("GOAL",'2) หลักการคำนวน Table'!$D$4:$M$4,HLOOKUP(AE152,'2) หลักการคำนวน Table'!$D$1:$M$5,5,TRUE),0),
IF($C152="WS SF",VLOOKUP("GOAL",'2) หลักการคำนวน Table'!$D$32:$M$32,HLOOKUP(AE152,'2) หลักการคำนวน Table'!$D$1:$M$5,5,TRUE),0),
IF($C152="WS WH",VLOOKUP("GOAL",'2) หลักการคำนวน Table'!$D$62:$M$62,HLOOKUP(AE152,'2) หลักการคำนวน Table'!$D$1:$M$5,5,TRUE),0),
IF($C152="SF WH",VLOOKUP("GOAL",'2) หลักการคำนวน Table'!$D$92:$M$92,HLOOKUP(AE152,'2) หลักการคำนวน Table'!$D$1:$M$5,5,TRUE),0))))),0)</f>
        <v>0.9</v>
      </c>
      <c r="AR152" s="232">
        <f>IFERROR(IF($C152="Top WS",VLOOKUP("GOAL",'2) หลักการคำนวน Table'!$D$4:$M$4,HLOOKUP(AF152,'2) หลักการคำนวน Table'!$D$1:$M$5,5,TRUE),0),
IF($C152="WS SF",VLOOKUP("GOAL",'2) หลักการคำนวน Table'!$D$32:$M$32,HLOOKUP(AF152,'2) หลักการคำนวน Table'!$D$1:$M$5,5,TRUE),0),
IF($C152="WS WH",VLOOKUP("GOAL",'2) หลักการคำนวน Table'!$D$62:$M$62,HLOOKUP(AF152,'2) หลักการคำนวน Table'!$D$1:$M$5,5,TRUE),0),
IF($C152="SF WH",VLOOKUP("GOAL",'2) หลักการคำนวน Table'!$D$92:$M$92,HLOOKUP(AF152,'2) หลักการคำนวน Table'!$D$1:$M$5,5,TRUE),0))))),0)</f>
        <v>0.9</v>
      </c>
      <c r="AS152" s="232">
        <f>IFERROR(IF($C152="Top WS",VLOOKUP("GOAL",'2) หลักการคำนวน Table'!$D$4:$M$4,HLOOKUP(AG152,'2) หลักการคำนวน Table'!$D$1:$M$5,5,TRUE),0),
IF($C152="WS SF",VLOOKUP("GOAL",'2) หลักการคำนวน Table'!$D$32:$M$32,HLOOKUP(AG152,'2) หลักการคำนวน Table'!$D$1:$M$5,5,TRUE),0),
IF($C152="WS WH",VLOOKUP("GOAL",'2) หลักการคำนวน Table'!$D$62:$M$62,HLOOKUP(AG152,'2) หลักการคำนวน Table'!$D$1:$M$5,5,TRUE),0),
IF($C152="SF WH",VLOOKUP("GOAL",'2) หลักการคำนวน Table'!$D$92:$M$92,HLOOKUP(AG152,'2) หลักการคำนวน Table'!$D$1:$M$5,5,TRUE),0))))),0)</f>
        <v>0.9</v>
      </c>
      <c r="AT152" s="232">
        <f>IFERROR(IF($C152="Top WS",VLOOKUP("GOAL",'2) หลักการคำนวน Table'!$D$4:$M$4,HLOOKUP(AH152,'2) หลักการคำนวน Table'!$D$1:$M$5,5,TRUE),0),
IF($C152="WS SF",VLOOKUP("GOAL",'2) หลักการคำนวน Table'!$D$32:$M$32,HLOOKUP(AH152,'2) หลักการคำนวน Table'!$D$1:$M$5,5,TRUE),0),
IF($C152="WS WH",VLOOKUP("GOAL",'2) หลักการคำนวน Table'!$D$62:$M$62,HLOOKUP(AH152,'2) หลักการคำนวน Table'!$D$1:$M$5,5,TRUE),0),
IF($C152="SF WH",VLOOKUP("GOAL",'2) หลักการคำนวน Table'!$D$92:$M$92,HLOOKUP(AH152,'2) หลักการคำนวน Table'!$D$1:$M$5,5,TRUE),0))))),0)</f>
        <v>0.9</v>
      </c>
      <c r="AU152" s="232">
        <f>IFERROR(IF($C152="Top WS",VLOOKUP("GOAL",'2) หลักการคำนวน Table'!$D$4:$M$4,HLOOKUP(AI152,'2) หลักการคำนวน Table'!$D$1:$M$5,5,TRUE),0),
IF($C152="WS SF",VLOOKUP("GOAL",'2) หลักการคำนวน Table'!$D$32:$M$32,HLOOKUP(AI152,'2) หลักการคำนวน Table'!$D$1:$M$5,5,TRUE),0),
IF($C152="WS WH",VLOOKUP("GOAL",'2) หลักการคำนวน Table'!$D$62:$M$62,HLOOKUP(AI152,'2) หลักการคำนวน Table'!$D$1:$M$5,5,TRUE),0),
IF($C152="SF WH",VLOOKUP("GOAL",'2) หลักการคำนวน Table'!$D$92:$M$92,HLOOKUP(AI152,'2) หลักการคำนวน Table'!$D$1:$M$5,5,TRUE),0))))),0)</f>
        <v>0.9</v>
      </c>
      <c r="AV152" s="232">
        <f>IFERROR(IF($C152="Top WS",VLOOKUP("GOAL",'2) หลักการคำนวน Table'!$D$4:$M$4,HLOOKUP(AP152,'2) หลักการคำนวน Table'!$D$1:$M$5,5,TRUE),0),
IF($C152="WS SF",VLOOKUP("GOAL",'2) หลักการคำนวน Table'!$D$32:$M$32,HLOOKUP(AP152,'2) หลักการคำนวน Table'!$D$1:$M$5,5,TRUE),0),
IF($C152="WS WH",VLOOKUP("GOAL",'2) หลักการคำนวน Table'!$D$62:$M$62,HLOOKUP(AP152,'2) หลักการคำนวน Table'!$D$1:$M$5,5,TRUE),0),
IF($C152="SF WH",VLOOKUP("GOAL",'2) หลักการคำนวน Table'!$D$92:$M$92,HLOOKUP(AP152,'2) หลักการคำนวน Table'!$D$1:$M$5,5,TRUE),0))))),0)</f>
        <v>0.9</v>
      </c>
      <c r="AW152" s="232">
        <f>IFERROR(IF($C152="Top WS",VLOOKUP("GOAL",'2) หลักการคำนวน Table'!$D$4:$M$4,HLOOKUP(AK152,'2) หลักการคำนวน Table'!$D$1:$M$5,5,TRUE),0),
IF($C152="WS SF",VLOOKUP("GOAL",'2) หลักการคำนวน Table'!$D$32:$M$32,HLOOKUP(AK152,'2) หลักการคำนวน Table'!$D$1:$M$5,5,TRUE),0),
IF($C152="WS WH",VLOOKUP("GOAL",'2) หลักการคำนวน Table'!$D$62:$M$62,HLOOKUP(AK152,'2) หลักการคำนวน Table'!$D$1:$M$5,5,TRUE),0),
IF($C152="SF WH",VLOOKUP("GOAL",'2) หลักการคำนวน Table'!$D$92:$M$92,HLOOKUP(AK152,'2) หลักการคำนวน Table'!$D$1:$M$5,5,TRUE),0))))),0)</f>
        <v>0.9</v>
      </c>
      <c r="AX152" s="232">
        <f>IFERROR(IF($C152="Top WS",VLOOKUP("GOAL",'2) หลักการคำนวน Table'!$D$4:$M$4,HLOOKUP(AL152,'2) หลักการคำนวน Table'!$D$1:$M$5,5,TRUE),0),
IF($C152="WS SF",VLOOKUP("GOAL",'2) หลักการคำนวน Table'!$D$32:$M$32,HLOOKUP(AL152,'2) หลักการคำนวน Table'!$D$1:$M$5,5,TRUE),0),
IF($C152="WS WH",VLOOKUP("GOAL",'2) หลักการคำนวน Table'!$D$62:$M$62,HLOOKUP(AL152,'2) หลักการคำนวน Table'!$D$1:$M$5,5,TRUE),0),
IF($C152="SF WH",VLOOKUP("GOAL",'2) หลักการคำนวน Table'!$D$92:$M$92,HLOOKUP(AL152,'2) หลักการคำนวน Table'!$D$1:$M$5,5,TRUE),0))))),0)</f>
        <v>0.9</v>
      </c>
      <c r="AY152" s="232">
        <f>IFERROR(IF($C152="Top WS",VLOOKUP("GOAL",'2) หลักการคำนวน Table'!$D$4:$M$4,HLOOKUP(AM152,'2) หลักการคำนวน Table'!$D$1:$M$5,5,TRUE),0),
IF($C152="WS SF",VLOOKUP("GOAL",'2) หลักการคำนวน Table'!$D$32:$M$32,HLOOKUP(AM152,'2) หลักการคำนวน Table'!$D$1:$M$5,5,TRUE),0),
IF($C152="WS WH",VLOOKUP("GOAL",'2) หลักการคำนวน Table'!$D$62:$M$62,HLOOKUP(AM152,'2) หลักการคำนวน Table'!$D$1:$M$5,5,TRUE),0),
IF($C152="SF WH",VLOOKUP("GOAL",'2) หลักการคำนวน Table'!$D$92:$M$92,HLOOKUP(AM152,'2) หลักการคำนวน Table'!$D$1:$M$5,5,TRUE),0))))),0)</f>
        <v>0.9</v>
      </c>
      <c r="AZ152" s="167">
        <f>IFERROR(IF($C152="Top WS",VLOOKUP($B152,'2) หลักการคำนวน Table'!$D$5:$M$20,HLOOKUP(AB152,'2) หลักการคำนวน Table'!$D$1:$M$5,5,TRUE),0),
IF($C152="WS SF",VLOOKUP($B152,'2) หลักการคำนวน Table'!$D$33:$M$48,HLOOKUP(AB152,'2) หลักการคำนวน Table'!$D$1:$M$5,5,TRUE),0),
IF($C152="WS WH",VLOOKUP($B152,'2) หลักการคำนวน Table'!$D$63:$M$78,HLOOKUP(AB152,'2) หลักการคำนวน Table'!$D$1:$M$5,5,TRUE),0),
IF($C152="SF WH",VLOOKUP($B152,'2) หลักการคำนวน Table'!$D$93:$M$108,HLOOKUP(AB152,'2) หลักการคำนวน Table'!$D$1:$M$5,5,TRUE),0))))),0)</f>
        <v>227.5</v>
      </c>
      <c r="BA152" s="167">
        <f>IFERROR(IF($C152="Top WS",VLOOKUP($B152,'2) หลักการคำนวน Table'!$D$5:$M$20,HLOOKUP(AC152,'2) หลักการคำนวน Table'!$D$1:$M$5,5,TRUE),0),
IF($C152="WS SF",VLOOKUP($B152,'2) หลักการคำนวน Table'!$D$33:$M$48,HLOOKUP(AC152,'2) หลักการคำนวน Table'!$D$1:$M$5,5,TRUE),0),
IF($C152="WS WH",VLOOKUP($B152,'2) หลักการคำนวน Table'!$D$63:$M$78,HLOOKUP(AC152,'2) หลักการคำนวน Table'!$D$1:$M$5,5,TRUE),0),
IF($C152="SF WH",VLOOKUP($B152,'2) หลักการคำนวน Table'!$D$93:$M$108,HLOOKUP(AC152,'2) หลักการคำนวน Table'!$D$1:$M$5,5,TRUE),0))))),0)</f>
        <v>180.25</v>
      </c>
      <c r="BB152" s="167">
        <f>IFERROR(IF($C152="Top WS",VLOOKUP($B152,'2) หลักการคำนวน Table'!$D$5:$M$20,HLOOKUP(AD152,'2) หลักการคำนวน Table'!$D$1:$M$5,5,TRUE),0),
IF($C152="WS SF",VLOOKUP($B152,'2) หลักการคำนวน Table'!$D$33:$M$48,HLOOKUP(AD152,'2) หลักการคำนวน Table'!$D$1:$M$5,5,TRUE),0),
IF($C152="WS WH",VLOOKUP($B152,'2) หลักการคำนวน Table'!$D$63:$M$78,HLOOKUP(AD152,'2) หลักการคำนวน Table'!$D$1:$M$5,5,TRUE),0),
IF($C152="SF WH",VLOOKUP($B152,'2) หลักการคำนวน Table'!$D$93:$M$108,HLOOKUP(AD152,'2) หลักการคำนวน Table'!$D$1:$M$5,5,TRUE),0))))),0)</f>
        <v>157.5</v>
      </c>
      <c r="BC152" s="167">
        <f>IFERROR(IF($C152="Top WS",VLOOKUP($B152,'2) หลักการคำนวน Table'!$D$5:$M$20,HLOOKUP(AE152,'2) หลักการคำนวน Table'!$D$1:$M$5,5,TRUE),0),
IF($C152="WS SF",VLOOKUP($B152,'2) หลักการคำนวน Table'!$D$33:$M$48,HLOOKUP(AE152,'2) หลักการคำนวน Table'!$D$1:$M$5,5,TRUE),0),
IF($C152="WS WH",VLOOKUP($B152,'2) หลักการคำนวน Table'!$D$63:$M$78,HLOOKUP(AE152,'2) หลักการคำนวน Table'!$D$1:$M$5,5,TRUE),0),
IF($C152="SF WH",VLOOKUP($B152,'2) หลักการคำนวน Table'!$D$93:$M$108,HLOOKUP(AE152,'2) หลักการคำนวน Table'!$D$1:$M$5,5,TRUE),0))))),0)</f>
        <v>157.5</v>
      </c>
      <c r="BD152" s="167">
        <f>IFERROR(IF($C152="Top WS",VLOOKUP($B152,'2) หลักการคำนวน Table'!$D$5:$M$20,HLOOKUP(AF152,'2) หลักการคำนวน Table'!$D$1:$M$5,5,TRUE),0),
IF($C152="WS SF",VLOOKUP($B152,'2) หลักการคำนวน Table'!$D$33:$M$48,HLOOKUP(AF152,'2) หลักการคำนวน Table'!$D$1:$M$5,5,TRUE),0),
IF($C152="WS WH",VLOOKUP($B152,'2) หลักการคำนวน Table'!$D$63:$M$78,HLOOKUP(AF152,'2) หลักการคำนวน Table'!$D$1:$M$5,5,TRUE),0),
IF($C152="SF WH",VLOOKUP($B152,'2) หลักการคำนวน Table'!$D$93:$M$108,HLOOKUP(AF152,'2) หลักการคำนวน Table'!$D$1:$M$5,5,TRUE),0))))),0)</f>
        <v>157.5</v>
      </c>
      <c r="BE152" s="167">
        <f>IFERROR(IF($C152="Top WS",VLOOKUP($B152,'2) หลักการคำนวน Table'!$D$5:$M$20,HLOOKUP(AG152,'2) หลักการคำนวน Table'!$D$1:$M$5,5,TRUE),0),
IF($C152="WS SF",VLOOKUP($B152,'2) หลักการคำนวน Table'!$D$33:$M$48,HLOOKUP(AG152,'2) หลักการคำนวน Table'!$D$1:$M$5,5,TRUE),0),
IF($C152="WS WH",VLOOKUP($B152,'2) หลักการคำนวน Table'!$D$63:$M$78,HLOOKUP(AG152,'2) หลักการคำนวน Table'!$D$1:$M$5,5,TRUE),0),
IF($C152="SF WH",VLOOKUP($B152,'2) หลักการคำนวน Table'!$D$93:$M$108,HLOOKUP(AG152,'2) หลักการคำนวน Table'!$D$1:$M$5,5,TRUE),0))))),0)</f>
        <v>157.5</v>
      </c>
      <c r="BF152" s="167">
        <f>IFERROR(IF($C152="Top WS",VLOOKUP($B152,'2) หลักการคำนวน Table'!$D$5:$M$20,HLOOKUP(AH152,'2) หลักการคำนวน Table'!$D$1:$M$5,5,TRUE),0),
IF($C152="WS SF",VLOOKUP($B152,'2) หลักการคำนวน Table'!$D$33:$M$48,HLOOKUP(AH152,'2) หลักการคำนวน Table'!$D$1:$M$5,5,TRUE),0),
IF($C152="WS WH",VLOOKUP($B152,'2) หลักการคำนวน Table'!$D$63:$M$78,HLOOKUP(AH152,'2) หลักการคำนวน Table'!$D$1:$M$5,5,TRUE),0),
IF($C152="SF WH",VLOOKUP($B152,'2) หลักการคำนวน Table'!$D$93:$M$108,HLOOKUP(AH152,'2) หลักการคำนวน Table'!$D$1:$M$5,5,TRUE),0))))),0)</f>
        <v>157.5</v>
      </c>
      <c r="BG152" s="167">
        <f>IFERROR(IF($C152="Top WS",VLOOKUP($B152,'2) หลักการคำนวน Table'!$D$5:$M$20,HLOOKUP(AI152,'2) หลักการคำนวน Table'!$D$1:$M$5,5,TRUE),0),
IF($C152="WS SF",VLOOKUP($B152,'2) หลักการคำนวน Table'!$D$33:$M$48,HLOOKUP(AI152,'2) หลักการคำนวน Table'!$D$1:$M$5,5,TRUE),0),
IF($C152="WS WH",VLOOKUP($B152,'2) หลักการคำนวน Table'!$D$63:$M$78,HLOOKUP(AI152,'2) หลักการคำนวน Table'!$D$1:$M$5,5,TRUE),0),
IF($C152="SF WH",VLOOKUP($B152,'2) หลักการคำนวน Table'!$D$93:$M$108,HLOOKUP(AI152,'2) หลักการคำนวน Table'!$D$1:$M$5,5,TRUE),0))))),0)</f>
        <v>157.5</v>
      </c>
      <c r="BH152" s="167">
        <f>IFERROR(IF($C152="Top WS",VLOOKUP($B152,'2) หลักการคำนวน Table'!$D$5:$M$20,HLOOKUP(AP152,'2) หลักการคำนวน Table'!$D$1:$M$5,5,TRUE),0),
IF($C152="WS SF",VLOOKUP($B152,'2) หลักการคำนวน Table'!$D$33:$M$48,HLOOKUP(AP152,'2) หลักการคำนวน Table'!$D$1:$M$5,5,TRUE),0),
IF($C152="WS WH",VLOOKUP($B152,'2) หลักการคำนวน Table'!$D$63:$M$78,HLOOKUP(AP152,'2) หลักการคำนวน Table'!$D$1:$M$5,5,TRUE),0),
IF($C152="SF WH",VLOOKUP($B152,'2) หลักการคำนวน Table'!$D$93:$M$108,HLOOKUP(AP152,'2) หลักการคำนวน Table'!$D$1:$M$5,5,TRUE),0))))),0)</f>
        <v>157.5</v>
      </c>
      <c r="BI152" s="167">
        <f>IFERROR(IF($C152="Top WS",VLOOKUP($B152,'2) หลักการคำนวน Table'!$D$5:$M$20,HLOOKUP(AK152,'2) หลักการคำนวน Table'!$D$1:$M$5,5,TRUE),0),
IF($C152="WS SF",VLOOKUP($B152,'2) หลักการคำนวน Table'!$D$33:$M$48,HLOOKUP(AK152,'2) หลักการคำนวน Table'!$D$1:$M$5,5,TRUE),0),
IF($C152="WS WH",VLOOKUP($B152,'2) หลักการคำนวน Table'!$D$63:$M$78,HLOOKUP(AK152,'2) หลักการคำนวน Table'!$D$1:$M$5,5,TRUE),0),
IF($C152="SF WH",VLOOKUP($B152,'2) หลักการคำนวน Table'!$D$93:$M$108,HLOOKUP(AK152,'2) หลักการคำนวน Table'!$D$1:$M$5,5,TRUE),0))))),0)</f>
        <v>157.5</v>
      </c>
      <c r="BJ152" s="167">
        <f>IFERROR(IF($C152="Top WS",VLOOKUP($B152,'2) หลักการคำนวน Table'!$D$5:$M$20,HLOOKUP(AL152,'2) หลักการคำนวน Table'!$D$1:$M$5,5,TRUE),0),
IF($C152="WS SF",VLOOKUP($B152,'2) หลักการคำนวน Table'!$D$33:$M$48,HLOOKUP(AL152,'2) หลักการคำนวน Table'!$D$1:$M$5,5,TRUE),0),
IF($C152="WS WH",VLOOKUP($B152,'2) หลักการคำนวน Table'!$D$63:$M$78,HLOOKUP(AL152,'2) หลักการคำนวน Table'!$D$1:$M$5,5,TRUE),0),
IF($C152="SF WH",VLOOKUP($B152,'2) หลักการคำนวน Table'!$D$93:$M$108,HLOOKUP(AL152,'2) หลักการคำนวน Table'!$D$1:$M$5,5,TRUE),0))))),0)</f>
        <v>157.5</v>
      </c>
      <c r="BK152" s="167">
        <f>IFERROR(IF($C152="Top WS",VLOOKUP($B152,'2) หลักการคำนวน Table'!$D$5:$M$20,HLOOKUP(AM152,'2) หลักการคำนวน Table'!$D$1:$M$5,5,TRUE),0),
IF($C152="WS SF",VLOOKUP($B152,'2) หลักการคำนวน Table'!$D$33:$M$48,HLOOKUP(AM152,'2) หลักการคำนวน Table'!$D$1:$M$5,5,TRUE),0),
IF($C152="WS WH",VLOOKUP($B152,'2) หลักการคำนวน Table'!$D$63:$M$78,HLOOKUP(AM152,'2) หลักการคำนวน Table'!$D$1:$M$5,5,TRUE),0),
IF($C152="SF WH",VLOOKUP($B152,'2) หลักการคำนวน Table'!$D$93:$M$108,HLOOKUP(AM152,'2) หลักการคำนวน Table'!$D$1:$M$5,5,TRUE),0))))),0)</f>
        <v>157.5</v>
      </c>
      <c r="BM152" s="119">
        <f>VLOOKUP(VLOOKUP(A152,ASTBase!E:S,13,FALSE),ASTBase!F:P,11,FALSE)</f>
        <v>130000</v>
      </c>
      <c r="BN152" s="196" cm="1">
        <f t="array" ref="BN152">INDEX(AN152:AY152,,Period!$D$2)</f>
        <v>1.03</v>
      </c>
    </row>
    <row r="153" spans="1:66" x14ac:dyDescent="0.25">
      <c r="A153" s="117">
        <v>130003</v>
      </c>
      <c r="B153" s="117" t="s">
        <v>396</v>
      </c>
      <c r="C153" s="117" t="s">
        <v>180</v>
      </c>
      <c r="D153" s="118">
        <v>11</v>
      </c>
      <c r="E153" s="118">
        <v>14</v>
      </c>
      <c r="F153" s="118">
        <v>15</v>
      </c>
      <c r="G153" s="118">
        <v>10</v>
      </c>
      <c r="H153" s="118">
        <v>13</v>
      </c>
      <c r="I153" s="118">
        <v>18</v>
      </c>
      <c r="J153" s="118">
        <v>12</v>
      </c>
      <c r="K153" s="118">
        <v>24</v>
      </c>
      <c r="L153" s="118">
        <v>22</v>
      </c>
      <c r="M153" s="118">
        <v>17</v>
      </c>
      <c r="N153" s="118">
        <v>30</v>
      </c>
      <c r="O153" s="118">
        <v>29</v>
      </c>
      <c r="P153" s="117">
        <f>SUMIFS(Actual!C:C,Actual!$A:$A,'3)Target &amp; Cal'!$A153,Actual!$B:$B,'3)Target &amp; Cal'!$B153)</f>
        <v>0</v>
      </c>
      <c r="Q153" s="117">
        <f>SUMIFS(Actual!D:D,Actual!$A:$A,'3)Target &amp; Cal'!$A153,Actual!$B:$B,'3)Target &amp; Cal'!$B153)</f>
        <v>0</v>
      </c>
      <c r="R153" s="117">
        <f>SUMIFS(Actual!E:E,Actual!$A:$A,'3)Target &amp; Cal'!$A153,Actual!$B:$B,'3)Target &amp; Cal'!$B153)</f>
        <v>0</v>
      </c>
      <c r="S153" s="117">
        <f>SUMIFS(Actual!F:F,Actual!$A:$A,'3)Target &amp; Cal'!$A153,Actual!$B:$B,'3)Target &amp; Cal'!$B153)</f>
        <v>0</v>
      </c>
      <c r="T153" s="117">
        <f>SUMIFS(Actual!G:G,Actual!$A:$A,'3)Target &amp; Cal'!$A153,Actual!$B:$B,'3)Target &amp; Cal'!$B153)</f>
        <v>0</v>
      </c>
      <c r="U153" s="117">
        <f>SUMIFS(Actual!H:H,Actual!$A:$A,'3)Target &amp; Cal'!$A153,Actual!$B:$B,'3)Target &amp; Cal'!$B153)</f>
        <v>0</v>
      </c>
      <c r="V153" s="117">
        <f>SUMIFS(Actual!I:I,Actual!$A:$A,'3)Target &amp; Cal'!$A153,Actual!$B:$B,'3)Target &amp; Cal'!$B153)</f>
        <v>0</v>
      </c>
      <c r="W153" s="117">
        <f>SUMIFS(Actual!J:J,Actual!$A:$A,'3)Target &amp; Cal'!$A153,Actual!$B:$B,'3)Target &amp; Cal'!$B153)</f>
        <v>0</v>
      </c>
      <c r="X153" s="117">
        <f>SUMIFS(Actual!K:K,Actual!$A:$A,'3)Target &amp; Cal'!$A153,Actual!$B:$B,'3)Target &amp; Cal'!$B153)</f>
        <v>0</v>
      </c>
      <c r="Y153" s="117">
        <f>SUMIFS(Actual!L:L,Actual!$A:$A,'3)Target &amp; Cal'!$A153,Actual!$B:$B,'3)Target &amp; Cal'!$B153)</f>
        <v>0</v>
      </c>
      <c r="Z153" s="117">
        <f>SUMIFS(Actual!M:M,Actual!$A:$A,'3)Target &amp; Cal'!$A153,Actual!$B:$B,'3)Target &amp; Cal'!$B153)</f>
        <v>0</v>
      </c>
      <c r="AA153" s="117">
        <f>SUMIFS(Actual!N:N,Actual!$A:$A,'3)Target &amp; Cal'!$A153,Actual!$B:$B,'3)Target &amp; Cal'!$B153)</f>
        <v>0</v>
      </c>
      <c r="AB153" s="123">
        <f>IFERROR(IF(VLOOKUP($B153,Shortage!$A:$M,AB$2,FALSE)="Shortage",1,IFERROR(ROUND(P153/D153,4),0)),IFERROR(ROUND(P153/D153,4),0))</f>
        <v>0</v>
      </c>
      <c r="AC153" s="123">
        <f>IFERROR(IF(VLOOKUP($B153,Shortage!$A:$M,AC$2,FALSE)="Shortage",1,IFERROR(ROUND(Q153/E153,4),0)),IFERROR(ROUND(Q153/E153,4),0))</f>
        <v>0</v>
      </c>
      <c r="AD153" s="123">
        <f>IFERROR(IF(VLOOKUP($B153,Shortage!$A:$M,AD$2,FALSE)="Shortage",1,IFERROR(ROUND(R153/F153,4),0)),IFERROR(ROUND(R153/F153,4),0))</f>
        <v>0</v>
      </c>
      <c r="AE153" s="123">
        <f>IFERROR(IF(VLOOKUP($B153,Shortage!$A:$M,AE$2,FALSE)="Shortage",1,IFERROR(ROUND(S153/G153,4),0)),IFERROR(ROUND(S153/G153,4),0))</f>
        <v>0</v>
      </c>
      <c r="AF153" s="123">
        <f>IFERROR(IF(VLOOKUP($B153,Shortage!$A:$M,AF$2,FALSE)="Shortage",1,IFERROR(ROUND(T153/H153,4),0)),IFERROR(ROUND(T153/H153,4),0))</f>
        <v>0</v>
      </c>
      <c r="AG153" s="123">
        <f>IFERROR(IF(VLOOKUP($B153,Shortage!$A:$M,AG$2,FALSE)="Shortage",1,IFERROR(ROUND(U153/I153,4),0)),IFERROR(ROUND(U153/I153,4),0))</f>
        <v>0</v>
      </c>
      <c r="AH153" s="123">
        <f>IFERROR(IF(VLOOKUP($B153,Shortage!$A:$M,AH$2,FALSE)="Shortage",1,IFERROR(ROUND(V153/J153,4),0)),IFERROR(ROUND(V153/J153,4),0))</f>
        <v>0</v>
      </c>
      <c r="AI153" s="123">
        <f>IFERROR(IF(VLOOKUP($B153,Shortage!$A:$M,AI$2,FALSE)="Shortage",1,IFERROR(ROUND(W153/K153,4),0)),IFERROR(ROUND(W153/K153,4),0))</f>
        <v>0</v>
      </c>
      <c r="AJ153" s="123">
        <f>IFERROR(IF(VLOOKUP($B153,Shortage!$A:$M,AP$2,FALSE)="Shortage",1,IFERROR(ROUND(X153/L153,4),0)),IFERROR(ROUND(X153/L153,4),0))</f>
        <v>0</v>
      </c>
      <c r="AK153" s="123">
        <f>IFERROR(IF(VLOOKUP($B153,Shortage!$A:$M,AK$2,FALSE)="Shortage",1,IFERROR(ROUND(Y153/M153,4),0)),IFERROR(ROUND(Y153/M153,4),0))</f>
        <v>0</v>
      </c>
      <c r="AL153" s="123">
        <f>IFERROR(IF(VLOOKUP($B153,Shortage!$A:$M,AL$2,FALSE)="Shortage",1,IFERROR(ROUND(Z153/N153,4),0)),IFERROR(ROUND(Z153/N153,4),0))</f>
        <v>0</v>
      </c>
      <c r="AM153" s="123">
        <f>IFERROR(IF(VLOOKUP($B153,Shortage!$A:$M,AM$2,FALSE)="Shortage",1,IFERROR(ROUND(AA153/O153,4),0)),IFERROR(ROUND(AA153/O153,4),0))</f>
        <v>0</v>
      </c>
      <c r="AN153" s="232">
        <f>IFERROR(IF($C153="Top WS",VLOOKUP("GOAL",'2) หลักการคำนวน Table'!$D$4:$M$4,HLOOKUP(AB153,'2) หลักการคำนวน Table'!$D$1:$M$5,5,TRUE),0),
IF($C153="WS SF",VLOOKUP("GOAL",'2) หลักการคำนวน Table'!$D$32:$M$32,HLOOKUP(AB153,'2) หลักการคำนวน Table'!$D$1:$M$5,5,TRUE),0),
IF($C153="WS WH",VLOOKUP("GOAL",'2) หลักการคำนวน Table'!$D$62:$M$62,HLOOKUP(AB153,'2) หลักการคำนวน Table'!$D$1:$M$5,5,TRUE),0),
IF($C153="SF WH",VLOOKUP("GOAL",'2) หลักการคำนวน Table'!$D$92:$M$92,HLOOKUP(AB153,'2) หลักการคำนวน Table'!$D$1:$M$5,5,TRUE),0))))),0)</f>
        <v>0.9</v>
      </c>
      <c r="AO153" s="232">
        <f>IFERROR(IF($C153="Top WS",VLOOKUP("GOAL",'2) หลักการคำนวน Table'!$D$4:$M$4,HLOOKUP(AC153,'2) หลักการคำนวน Table'!$D$1:$M$5,5,TRUE),0),
IF($C153="WS SF",VLOOKUP("GOAL",'2) หลักการคำนวน Table'!$D$32:$M$32,HLOOKUP(AC153,'2) หลักการคำนวน Table'!$D$1:$M$5,5,TRUE),0),
IF($C153="WS WH",VLOOKUP("GOAL",'2) หลักการคำนวน Table'!$D$62:$M$62,HLOOKUP(AC153,'2) หลักการคำนวน Table'!$D$1:$M$5,5,TRUE),0),
IF($C153="SF WH",VLOOKUP("GOAL",'2) หลักการคำนวน Table'!$D$92:$M$92,HLOOKUP(AC153,'2) หลักการคำนวน Table'!$D$1:$M$5,5,TRUE),0))))),0)</f>
        <v>0.9</v>
      </c>
      <c r="AP153" s="232">
        <f>IFERROR(IF($C153="Top WS",VLOOKUP("GOAL",'2) หลักการคำนวน Table'!$D$4:$M$4,HLOOKUP(AD153,'2) หลักการคำนวน Table'!$D$1:$M$5,5,TRUE),0),
IF($C153="WS SF",VLOOKUP("GOAL",'2) หลักการคำนวน Table'!$D$32:$M$32,HLOOKUP(AD153,'2) หลักการคำนวน Table'!$D$1:$M$5,5,TRUE),0),
IF($C153="WS WH",VLOOKUP("GOAL",'2) หลักการคำนวน Table'!$D$62:$M$62,HLOOKUP(AD153,'2) หลักการคำนวน Table'!$D$1:$M$5,5,TRUE),0),
IF($C153="SF WH",VLOOKUP("GOAL",'2) หลักการคำนวน Table'!$D$92:$M$92,HLOOKUP(AD153,'2) หลักการคำนวน Table'!$D$1:$M$5,5,TRUE),0))))),0)</f>
        <v>0.9</v>
      </c>
      <c r="AQ153" s="232">
        <f>IFERROR(IF($C153="Top WS",VLOOKUP("GOAL",'2) หลักการคำนวน Table'!$D$4:$M$4,HLOOKUP(AE153,'2) หลักการคำนวน Table'!$D$1:$M$5,5,TRUE),0),
IF($C153="WS SF",VLOOKUP("GOAL",'2) หลักการคำนวน Table'!$D$32:$M$32,HLOOKUP(AE153,'2) หลักการคำนวน Table'!$D$1:$M$5,5,TRUE),0),
IF($C153="WS WH",VLOOKUP("GOAL",'2) หลักการคำนวน Table'!$D$62:$M$62,HLOOKUP(AE153,'2) หลักการคำนวน Table'!$D$1:$M$5,5,TRUE),0),
IF($C153="SF WH",VLOOKUP("GOAL",'2) หลักการคำนวน Table'!$D$92:$M$92,HLOOKUP(AE153,'2) หลักการคำนวน Table'!$D$1:$M$5,5,TRUE),0))))),0)</f>
        <v>0.9</v>
      </c>
      <c r="AR153" s="232">
        <f>IFERROR(IF($C153="Top WS",VLOOKUP("GOAL",'2) หลักการคำนวน Table'!$D$4:$M$4,HLOOKUP(AF153,'2) หลักการคำนวน Table'!$D$1:$M$5,5,TRUE),0),
IF($C153="WS SF",VLOOKUP("GOAL",'2) หลักการคำนวน Table'!$D$32:$M$32,HLOOKUP(AF153,'2) หลักการคำนวน Table'!$D$1:$M$5,5,TRUE),0),
IF($C153="WS WH",VLOOKUP("GOAL",'2) หลักการคำนวน Table'!$D$62:$M$62,HLOOKUP(AF153,'2) หลักการคำนวน Table'!$D$1:$M$5,5,TRUE),0),
IF($C153="SF WH",VLOOKUP("GOAL",'2) หลักการคำนวน Table'!$D$92:$M$92,HLOOKUP(AF153,'2) หลักการคำนวน Table'!$D$1:$M$5,5,TRUE),0))))),0)</f>
        <v>0.9</v>
      </c>
      <c r="AS153" s="232">
        <f>IFERROR(IF($C153="Top WS",VLOOKUP("GOAL",'2) หลักการคำนวน Table'!$D$4:$M$4,HLOOKUP(AG153,'2) หลักการคำนวน Table'!$D$1:$M$5,5,TRUE),0),
IF($C153="WS SF",VLOOKUP("GOAL",'2) หลักการคำนวน Table'!$D$32:$M$32,HLOOKUP(AG153,'2) หลักการคำนวน Table'!$D$1:$M$5,5,TRUE),0),
IF($C153="WS WH",VLOOKUP("GOAL",'2) หลักการคำนวน Table'!$D$62:$M$62,HLOOKUP(AG153,'2) หลักการคำนวน Table'!$D$1:$M$5,5,TRUE),0),
IF($C153="SF WH",VLOOKUP("GOAL",'2) หลักการคำนวน Table'!$D$92:$M$92,HLOOKUP(AG153,'2) หลักการคำนวน Table'!$D$1:$M$5,5,TRUE),0))))),0)</f>
        <v>0.9</v>
      </c>
      <c r="AT153" s="232">
        <f>IFERROR(IF($C153="Top WS",VLOOKUP("GOAL",'2) หลักการคำนวน Table'!$D$4:$M$4,HLOOKUP(AH153,'2) หลักการคำนวน Table'!$D$1:$M$5,5,TRUE),0),
IF($C153="WS SF",VLOOKUP("GOAL",'2) หลักการคำนวน Table'!$D$32:$M$32,HLOOKUP(AH153,'2) หลักการคำนวน Table'!$D$1:$M$5,5,TRUE),0),
IF($C153="WS WH",VLOOKUP("GOAL",'2) หลักการคำนวน Table'!$D$62:$M$62,HLOOKUP(AH153,'2) หลักการคำนวน Table'!$D$1:$M$5,5,TRUE),0),
IF($C153="SF WH",VLOOKUP("GOAL",'2) หลักการคำนวน Table'!$D$92:$M$92,HLOOKUP(AH153,'2) หลักการคำนวน Table'!$D$1:$M$5,5,TRUE),0))))),0)</f>
        <v>0.9</v>
      </c>
      <c r="AU153" s="232">
        <f>IFERROR(IF($C153="Top WS",VLOOKUP("GOAL",'2) หลักการคำนวน Table'!$D$4:$M$4,HLOOKUP(AI153,'2) หลักการคำนวน Table'!$D$1:$M$5,5,TRUE),0),
IF($C153="WS SF",VLOOKUP("GOAL",'2) หลักการคำนวน Table'!$D$32:$M$32,HLOOKUP(AI153,'2) หลักการคำนวน Table'!$D$1:$M$5,5,TRUE),0),
IF($C153="WS WH",VLOOKUP("GOAL",'2) หลักการคำนวน Table'!$D$62:$M$62,HLOOKUP(AI153,'2) หลักการคำนวน Table'!$D$1:$M$5,5,TRUE),0),
IF($C153="SF WH",VLOOKUP("GOAL",'2) หลักการคำนวน Table'!$D$92:$M$92,HLOOKUP(AI153,'2) หลักการคำนวน Table'!$D$1:$M$5,5,TRUE),0))))),0)</f>
        <v>0.9</v>
      </c>
      <c r="AV153" s="232">
        <f>IFERROR(IF($C153="Top WS",VLOOKUP("GOAL",'2) หลักการคำนวน Table'!$D$4:$M$4,HLOOKUP(AP153,'2) หลักการคำนวน Table'!$D$1:$M$5,5,TRUE),0),
IF($C153="WS SF",VLOOKUP("GOAL",'2) หลักการคำนวน Table'!$D$32:$M$32,HLOOKUP(AP153,'2) หลักการคำนวน Table'!$D$1:$M$5,5,TRUE),0),
IF($C153="WS WH",VLOOKUP("GOAL",'2) หลักการคำนวน Table'!$D$62:$M$62,HLOOKUP(AP153,'2) หลักการคำนวน Table'!$D$1:$M$5,5,TRUE),0),
IF($C153="SF WH",VLOOKUP("GOAL",'2) หลักการคำนวน Table'!$D$92:$M$92,HLOOKUP(AP153,'2) หลักการคำนวน Table'!$D$1:$M$5,5,TRUE),0))))),0)</f>
        <v>0.9</v>
      </c>
      <c r="AW153" s="232">
        <f>IFERROR(IF($C153="Top WS",VLOOKUP("GOAL",'2) หลักการคำนวน Table'!$D$4:$M$4,HLOOKUP(AK153,'2) หลักการคำนวน Table'!$D$1:$M$5,5,TRUE),0),
IF($C153="WS SF",VLOOKUP("GOAL",'2) หลักการคำนวน Table'!$D$32:$M$32,HLOOKUP(AK153,'2) หลักการคำนวน Table'!$D$1:$M$5,5,TRUE),0),
IF($C153="WS WH",VLOOKUP("GOAL",'2) หลักการคำนวน Table'!$D$62:$M$62,HLOOKUP(AK153,'2) หลักการคำนวน Table'!$D$1:$M$5,5,TRUE),0),
IF($C153="SF WH",VLOOKUP("GOAL",'2) หลักการคำนวน Table'!$D$92:$M$92,HLOOKUP(AK153,'2) หลักการคำนวน Table'!$D$1:$M$5,5,TRUE),0))))),0)</f>
        <v>0.9</v>
      </c>
      <c r="AX153" s="232">
        <f>IFERROR(IF($C153="Top WS",VLOOKUP("GOAL",'2) หลักการคำนวน Table'!$D$4:$M$4,HLOOKUP(AL153,'2) หลักการคำนวน Table'!$D$1:$M$5,5,TRUE),0),
IF($C153="WS SF",VLOOKUP("GOAL",'2) หลักการคำนวน Table'!$D$32:$M$32,HLOOKUP(AL153,'2) หลักการคำนวน Table'!$D$1:$M$5,5,TRUE),0),
IF($C153="WS WH",VLOOKUP("GOAL",'2) หลักการคำนวน Table'!$D$62:$M$62,HLOOKUP(AL153,'2) หลักการคำนวน Table'!$D$1:$M$5,5,TRUE),0),
IF($C153="SF WH",VLOOKUP("GOAL",'2) หลักการคำนวน Table'!$D$92:$M$92,HLOOKUP(AL153,'2) หลักการคำนวน Table'!$D$1:$M$5,5,TRUE),0))))),0)</f>
        <v>0.9</v>
      </c>
      <c r="AY153" s="232">
        <f>IFERROR(IF($C153="Top WS",VLOOKUP("GOAL",'2) หลักการคำนวน Table'!$D$4:$M$4,HLOOKUP(AM153,'2) หลักการคำนวน Table'!$D$1:$M$5,5,TRUE),0),
IF($C153="WS SF",VLOOKUP("GOAL",'2) หลักการคำนวน Table'!$D$32:$M$32,HLOOKUP(AM153,'2) หลักการคำนวน Table'!$D$1:$M$5,5,TRUE),0),
IF($C153="WS WH",VLOOKUP("GOAL",'2) หลักการคำนวน Table'!$D$62:$M$62,HLOOKUP(AM153,'2) หลักการคำนวน Table'!$D$1:$M$5,5,TRUE),0),
IF($C153="SF WH",VLOOKUP("GOAL",'2) หลักการคำนวน Table'!$D$92:$M$92,HLOOKUP(AM153,'2) หลักการคำนวน Table'!$D$1:$M$5,5,TRUE),0))))),0)</f>
        <v>0.9</v>
      </c>
      <c r="AZ153" s="167">
        <f>IFERROR(IF($C153="Top WS",VLOOKUP($B153,'2) หลักการคำนวน Table'!$D$5:$M$20,HLOOKUP(AB153,'2) หลักการคำนวน Table'!$D$1:$M$5,5,TRUE),0),
IF($C153="WS SF",VLOOKUP($B153,'2) หลักการคำนวน Table'!$D$33:$M$48,HLOOKUP(AB153,'2) หลักการคำนวน Table'!$D$1:$M$5,5,TRUE),0),
IF($C153="WS WH",VLOOKUP($B153,'2) หลักการคำนวน Table'!$D$63:$M$78,HLOOKUP(AB153,'2) หลักการคำนวน Table'!$D$1:$M$5,5,TRUE),0),
IF($C153="SF WH",VLOOKUP($B153,'2) หลักการคำนวน Table'!$D$93:$M$108,HLOOKUP(AB153,'2) หลักการคำนวน Table'!$D$1:$M$5,5,TRUE),0))))),0)</f>
        <v>157.5</v>
      </c>
      <c r="BA153" s="167">
        <f>IFERROR(IF($C153="Top WS",VLOOKUP($B153,'2) หลักการคำนวน Table'!$D$5:$M$20,HLOOKUP(AC153,'2) หลักการคำนวน Table'!$D$1:$M$5,5,TRUE),0),
IF($C153="WS SF",VLOOKUP($B153,'2) หลักการคำนวน Table'!$D$33:$M$48,HLOOKUP(AC153,'2) หลักการคำนวน Table'!$D$1:$M$5,5,TRUE),0),
IF($C153="WS WH",VLOOKUP($B153,'2) หลักการคำนวน Table'!$D$63:$M$78,HLOOKUP(AC153,'2) หลักการคำนวน Table'!$D$1:$M$5,5,TRUE),0),
IF($C153="SF WH",VLOOKUP($B153,'2) หลักการคำนวน Table'!$D$93:$M$108,HLOOKUP(AC153,'2) หลักการคำนวน Table'!$D$1:$M$5,5,TRUE),0))))),0)</f>
        <v>157.5</v>
      </c>
      <c r="BB153" s="167">
        <f>IFERROR(IF($C153="Top WS",VLOOKUP($B153,'2) หลักการคำนวน Table'!$D$5:$M$20,HLOOKUP(AD153,'2) หลักการคำนวน Table'!$D$1:$M$5,5,TRUE),0),
IF($C153="WS SF",VLOOKUP($B153,'2) หลักการคำนวน Table'!$D$33:$M$48,HLOOKUP(AD153,'2) หลักการคำนวน Table'!$D$1:$M$5,5,TRUE),0),
IF($C153="WS WH",VLOOKUP($B153,'2) หลักการคำนวน Table'!$D$63:$M$78,HLOOKUP(AD153,'2) หลักการคำนวน Table'!$D$1:$M$5,5,TRUE),0),
IF($C153="SF WH",VLOOKUP($B153,'2) หลักการคำนวน Table'!$D$93:$M$108,HLOOKUP(AD153,'2) หลักการคำนวน Table'!$D$1:$M$5,5,TRUE),0))))),0)</f>
        <v>157.5</v>
      </c>
      <c r="BC153" s="167">
        <f>IFERROR(IF($C153="Top WS",VLOOKUP($B153,'2) หลักการคำนวน Table'!$D$5:$M$20,HLOOKUP(AE153,'2) หลักการคำนวน Table'!$D$1:$M$5,5,TRUE),0),
IF($C153="WS SF",VLOOKUP($B153,'2) หลักการคำนวน Table'!$D$33:$M$48,HLOOKUP(AE153,'2) หลักการคำนวน Table'!$D$1:$M$5,5,TRUE),0),
IF($C153="WS WH",VLOOKUP($B153,'2) หลักการคำนวน Table'!$D$63:$M$78,HLOOKUP(AE153,'2) หลักการคำนวน Table'!$D$1:$M$5,5,TRUE),0),
IF($C153="SF WH",VLOOKUP($B153,'2) หลักการคำนวน Table'!$D$93:$M$108,HLOOKUP(AE153,'2) หลักการคำนวน Table'!$D$1:$M$5,5,TRUE),0))))),0)</f>
        <v>157.5</v>
      </c>
      <c r="BD153" s="167">
        <f>IFERROR(IF($C153="Top WS",VLOOKUP($B153,'2) หลักการคำนวน Table'!$D$5:$M$20,HLOOKUP(AF153,'2) หลักการคำนวน Table'!$D$1:$M$5,5,TRUE),0),
IF($C153="WS SF",VLOOKUP($B153,'2) หลักการคำนวน Table'!$D$33:$M$48,HLOOKUP(AF153,'2) หลักการคำนวน Table'!$D$1:$M$5,5,TRUE),0),
IF($C153="WS WH",VLOOKUP($B153,'2) หลักการคำนวน Table'!$D$63:$M$78,HLOOKUP(AF153,'2) หลักการคำนวน Table'!$D$1:$M$5,5,TRUE),0),
IF($C153="SF WH",VLOOKUP($B153,'2) หลักการคำนวน Table'!$D$93:$M$108,HLOOKUP(AF153,'2) หลักการคำนวน Table'!$D$1:$M$5,5,TRUE),0))))),0)</f>
        <v>157.5</v>
      </c>
      <c r="BE153" s="167">
        <f>IFERROR(IF($C153="Top WS",VLOOKUP($B153,'2) หลักการคำนวน Table'!$D$5:$M$20,HLOOKUP(AG153,'2) หลักการคำนวน Table'!$D$1:$M$5,5,TRUE),0),
IF($C153="WS SF",VLOOKUP($B153,'2) หลักการคำนวน Table'!$D$33:$M$48,HLOOKUP(AG153,'2) หลักการคำนวน Table'!$D$1:$M$5,5,TRUE),0),
IF($C153="WS WH",VLOOKUP($B153,'2) หลักการคำนวน Table'!$D$63:$M$78,HLOOKUP(AG153,'2) หลักการคำนวน Table'!$D$1:$M$5,5,TRUE),0),
IF($C153="SF WH",VLOOKUP($B153,'2) หลักการคำนวน Table'!$D$93:$M$108,HLOOKUP(AG153,'2) หลักการคำนวน Table'!$D$1:$M$5,5,TRUE),0))))),0)</f>
        <v>157.5</v>
      </c>
      <c r="BF153" s="167">
        <f>IFERROR(IF($C153="Top WS",VLOOKUP($B153,'2) หลักการคำนวน Table'!$D$5:$M$20,HLOOKUP(AH153,'2) หลักการคำนวน Table'!$D$1:$M$5,5,TRUE),0),
IF($C153="WS SF",VLOOKUP($B153,'2) หลักการคำนวน Table'!$D$33:$M$48,HLOOKUP(AH153,'2) หลักการคำนวน Table'!$D$1:$M$5,5,TRUE),0),
IF($C153="WS WH",VLOOKUP($B153,'2) หลักการคำนวน Table'!$D$63:$M$78,HLOOKUP(AH153,'2) หลักการคำนวน Table'!$D$1:$M$5,5,TRUE),0),
IF($C153="SF WH",VLOOKUP($B153,'2) หลักการคำนวน Table'!$D$93:$M$108,HLOOKUP(AH153,'2) หลักการคำนวน Table'!$D$1:$M$5,5,TRUE),0))))),0)</f>
        <v>157.5</v>
      </c>
      <c r="BG153" s="167">
        <f>IFERROR(IF($C153="Top WS",VLOOKUP($B153,'2) หลักการคำนวน Table'!$D$5:$M$20,HLOOKUP(AI153,'2) หลักการคำนวน Table'!$D$1:$M$5,5,TRUE),0),
IF($C153="WS SF",VLOOKUP($B153,'2) หลักการคำนวน Table'!$D$33:$M$48,HLOOKUP(AI153,'2) หลักการคำนวน Table'!$D$1:$M$5,5,TRUE),0),
IF($C153="WS WH",VLOOKUP($B153,'2) หลักการคำนวน Table'!$D$63:$M$78,HLOOKUP(AI153,'2) หลักการคำนวน Table'!$D$1:$M$5,5,TRUE),0),
IF($C153="SF WH",VLOOKUP($B153,'2) หลักการคำนวน Table'!$D$93:$M$108,HLOOKUP(AI153,'2) หลักการคำนวน Table'!$D$1:$M$5,5,TRUE),0))))),0)</f>
        <v>157.5</v>
      </c>
      <c r="BH153" s="167">
        <f>IFERROR(IF($C153="Top WS",VLOOKUP($B153,'2) หลักการคำนวน Table'!$D$5:$M$20,HLOOKUP(AP153,'2) หลักการคำนวน Table'!$D$1:$M$5,5,TRUE),0),
IF($C153="WS SF",VLOOKUP($B153,'2) หลักการคำนวน Table'!$D$33:$M$48,HLOOKUP(AP153,'2) หลักการคำนวน Table'!$D$1:$M$5,5,TRUE),0),
IF($C153="WS WH",VLOOKUP($B153,'2) หลักการคำนวน Table'!$D$63:$M$78,HLOOKUP(AP153,'2) หลักการคำนวน Table'!$D$1:$M$5,5,TRUE),0),
IF($C153="SF WH",VLOOKUP($B153,'2) หลักการคำนวน Table'!$D$93:$M$108,HLOOKUP(AP153,'2) หลักการคำนวน Table'!$D$1:$M$5,5,TRUE),0))))),0)</f>
        <v>157.5</v>
      </c>
      <c r="BI153" s="167">
        <f>IFERROR(IF($C153="Top WS",VLOOKUP($B153,'2) หลักการคำนวน Table'!$D$5:$M$20,HLOOKUP(AK153,'2) หลักการคำนวน Table'!$D$1:$M$5,5,TRUE),0),
IF($C153="WS SF",VLOOKUP($B153,'2) หลักการคำนวน Table'!$D$33:$M$48,HLOOKUP(AK153,'2) หลักการคำนวน Table'!$D$1:$M$5,5,TRUE),0),
IF($C153="WS WH",VLOOKUP($B153,'2) หลักการคำนวน Table'!$D$63:$M$78,HLOOKUP(AK153,'2) หลักการคำนวน Table'!$D$1:$M$5,5,TRUE),0),
IF($C153="SF WH",VLOOKUP($B153,'2) หลักการคำนวน Table'!$D$93:$M$108,HLOOKUP(AK153,'2) หลักการคำนวน Table'!$D$1:$M$5,5,TRUE),0))))),0)</f>
        <v>157.5</v>
      </c>
      <c r="BJ153" s="167">
        <f>IFERROR(IF($C153="Top WS",VLOOKUP($B153,'2) หลักการคำนวน Table'!$D$5:$M$20,HLOOKUP(AL153,'2) หลักการคำนวน Table'!$D$1:$M$5,5,TRUE),0),
IF($C153="WS SF",VLOOKUP($B153,'2) หลักการคำนวน Table'!$D$33:$M$48,HLOOKUP(AL153,'2) หลักการคำนวน Table'!$D$1:$M$5,5,TRUE),0),
IF($C153="WS WH",VLOOKUP($B153,'2) หลักการคำนวน Table'!$D$63:$M$78,HLOOKUP(AL153,'2) หลักการคำนวน Table'!$D$1:$M$5,5,TRUE),0),
IF($C153="SF WH",VLOOKUP($B153,'2) หลักการคำนวน Table'!$D$93:$M$108,HLOOKUP(AL153,'2) หลักการคำนวน Table'!$D$1:$M$5,5,TRUE),0))))),0)</f>
        <v>157.5</v>
      </c>
      <c r="BK153" s="167">
        <f>IFERROR(IF($C153="Top WS",VLOOKUP($B153,'2) หลักการคำนวน Table'!$D$5:$M$20,HLOOKUP(AM153,'2) หลักการคำนวน Table'!$D$1:$M$5,5,TRUE),0),
IF($C153="WS SF",VLOOKUP($B153,'2) หลักการคำนวน Table'!$D$33:$M$48,HLOOKUP(AM153,'2) หลักการคำนวน Table'!$D$1:$M$5,5,TRUE),0),
IF($C153="WS WH",VLOOKUP($B153,'2) หลักการคำนวน Table'!$D$63:$M$78,HLOOKUP(AM153,'2) หลักการคำนวน Table'!$D$1:$M$5,5,TRUE),0),
IF($C153="SF WH",VLOOKUP($B153,'2) หลักการคำนวน Table'!$D$93:$M$108,HLOOKUP(AM153,'2) หลักการคำนวน Table'!$D$1:$M$5,5,TRUE),0))))),0)</f>
        <v>157.5</v>
      </c>
      <c r="BM153" s="119">
        <f>VLOOKUP(VLOOKUP(A153,ASTBase!E:S,13,FALSE),ASTBase!F:P,11,FALSE)</f>
        <v>130000</v>
      </c>
      <c r="BN153" s="196" cm="1">
        <f t="array" ref="BN153">INDEX(AN153:AY153,,Period!$D$2)</f>
        <v>0.9</v>
      </c>
    </row>
    <row r="154" spans="1:66" x14ac:dyDescent="0.25">
      <c r="A154" s="117">
        <v>130003</v>
      </c>
      <c r="B154" s="117" t="s">
        <v>394</v>
      </c>
      <c r="C154" s="117" t="s">
        <v>180</v>
      </c>
      <c r="D154" s="118">
        <v>100</v>
      </c>
      <c r="E154" s="118">
        <v>148</v>
      </c>
      <c r="F154" s="118">
        <v>81</v>
      </c>
      <c r="G154" s="118">
        <v>27</v>
      </c>
      <c r="H154" s="118">
        <v>1</v>
      </c>
      <c r="I154" s="118">
        <v>131</v>
      </c>
      <c r="J154" s="118">
        <v>118</v>
      </c>
      <c r="K154" s="118">
        <v>183</v>
      </c>
      <c r="L154" s="118">
        <v>131</v>
      </c>
      <c r="M154" s="118">
        <v>115</v>
      </c>
      <c r="N154" s="118">
        <v>126</v>
      </c>
      <c r="O154" s="118">
        <v>126</v>
      </c>
      <c r="P154" s="117">
        <f>SUMIFS(Actual!C:C,Actual!$A:$A,'3)Target &amp; Cal'!$A154,Actual!$B:$B,'3)Target &amp; Cal'!$B154)</f>
        <v>135</v>
      </c>
      <c r="Q154" s="117">
        <f>SUMIFS(Actual!D:D,Actual!$A:$A,'3)Target &amp; Cal'!$A154,Actual!$B:$B,'3)Target &amp; Cal'!$B154)</f>
        <v>27</v>
      </c>
      <c r="R154" s="117">
        <f>SUMIFS(Actual!E:E,Actual!$A:$A,'3)Target &amp; Cal'!$A154,Actual!$B:$B,'3)Target &amp; Cal'!$B154)</f>
        <v>0</v>
      </c>
      <c r="S154" s="117">
        <f>SUMIFS(Actual!F:F,Actual!$A:$A,'3)Target &amp; Cal'!$A154,Actual!$B:$B,'3)Target &amp; Cal'!$B154)</f>
        <v>0</v>
      </c>
      <c r="T154" s="117">
        <f>SUMIFS(Actual!G:G,Actual!$A:$A,'3)Target &amp; Cal'!$A154,Actual!$B:$B,'3)Target &amp; Cal'!$B154)</f>
        <v>0</v>
      </c>
      <c r="U154" s="117">
        <f>SUMIFS(Actual!H:H,Actual!$A:$A,'3)Target &amp; Cal'!$A154,Actual!$B:$B,'3)Target &amp; Cal'!$B154)</f>
        <v>0</v>
      </c>
      <c r="V154" s="117">
        <f>SUMIFS(Actual!I:I,Actual!$A:$A,'3)Target &amp; Cal'!$A154,Actual!$B:$B,'3)Target &amp; Cal'!$B154)</f>
        <v>0</v>
      </c>
      <c r="W154" s="117">
        <f>SUMIFS(Actual!J:J,Actual!$A:$A,'3)Target &amp; Cal'!$A154,Actual!$B:$B,'3)Target &amp; Cal'!$B154)</f>
        <v>0</v>
      </c>
      <c r="X154" s="117">
        <f>SUMIFS(Actual!K:K,Actual!$A:$A,'3)Target &amp; Cal'!$A154,Actual!$B:$B,'3)Target &amp; Cal'!$B154)</f>
        <v>0</v>
      </c>
      <c r="Y154" s="117">
        <f>SUMIFS(Actual!L:L,Actual!$A:$A,'3)Target &amp; Cal'!$A154,Actual!$B:$B,'3)Target &amp; Cal'!$B154)</f>
        <v>0</v>
      </c>
      <c r="Z154" s="117">
        <f>SUMIFS(Actual!M:M,Actual!$A:$A,'3)Target &amp; Cal'!$A154,Actual!$B:$B,'3)Target &amp; Cal'!$B154)</f>
        <v>0</v>
      </c>
      <c r="AA154" s="117">
        <f>SUMIFS(Actual!N:N,Actual!$A:$A,'3)Target &amp; Cal'!$A154,Actual!$B:$B,'3)Target &amp; Cal'!$B154)</f>
        <v>0</v>
      </c>
      <c r="AB154" s="123">
        <f>IFERROR(IF(VLOOKUP($B154,Shortage!$A:$M,AB$2,FALSE)="Shortage",1,IFERROR(ROUND(P154/D154,4),0)),IFERROR(ROUND(P154/D154,4),0))</f>
        <v>1.35</v>
      </c>
      <c r="AC154" s="123">
        <f>IFERROR(IF(VLOOKUP($B154,Shortage!$A:$M,AC$2,FALSE)="Shortage",1,IFERROR(ROUND(Q154/E154,4),0)),IFERROR(ROUND(Q154/E154,4),0))</f>
        <v>0.18240000000000001</v>
      </c>
      <c r="AD154" s="123">
        <f>IFERROR(IF(VLOOKUP($B154,Shortage!$A:$M,AD$2,FALSE)="Shortage",1,IFERROR(ROUND(R154/F154,4),0)),IFERROR(ROUND(R154/F154,4),0))</f>
        <v>0</v>
      </c>
      <c r="AE154" s="123">
        <f>IFERROR(IF(VLOOKUP($B154,Shortage!$A:$M,AE$2,FALSE)="Shortage",1,IFERROR(ROUND(S154/G154,4),0)),IFERROR(ROUND(S154/G154,4),0))</f>
        <v>0</v>
      </c>
      <c r="AF154" s="123">
        <f>IFERROR(IF(VLOOKUP($B154,Shortage!$A:$M,AF$2,FALSE)="Shortage",1,IFERROR(ROUND(T154/H154,4),0)),IFERROR(ROUND(T154/H154,4),0))</f>
        <v>0</v>
      </c>
      <c r="AG154" s="123">
        <f>IFERROR(IF(VLOOKUP($B154,Shortage!$A:$M,AG$2,FALSE)="Shortage",1,IFERROR(ROUND(U154/I154,4),0)),IFERROR(ROUND(U154/I154,4),0))</f>
        <v>0</v>
      </c>
      <c r="AH154" s="123">
        <f>IFERROR(IF(VLOOKUP($B154,Shortage!$A:$M,AH$2,FALSE)="Shortage",1,IFERROR(ROUND(V154/J154,4),0)),IFERROR(ROUND(V154/J154,4),0))</f>
        <v>0</v>
      </c>
      <c r="AI154" s="123">
        <f>IFERROR(IF(VLOOKUP($B154,Shortage!$A:$M,AI$2,FALSE)="Shortage",1,IFERROR(ROUND(W154/K154,4),0)),IFERROR(ROUND(W154/K154,4),0))</f>
        <v>0</v>
      </c>
      <c r="AJ154" s="123">
        <f>IFERROR(IF(VLOOKUP($B154,Shortage!$A:$M,AP$2,FALSE)="Shortage",1,IFERROR(ROUND(X154/L154,4),0)),IFERROR(ROUND(X154/L154,4),0))</f>
        <v>0</v>
      </c>
      <c r="AK154" s="123">
        <f>IFERROR(IF(VLOOKUP($B154,Shortage!$A:$M,AK$2,FALSE)="Shortage",1,IFERROR(ROUND(Y154/M154,4),0)),IFERROR(ROUND(Y154/M154,4),0))</f>
        <v>0</v>
      </c>
      <c r="AL154" s="123">
        <f>IFERROR(IF(VLOOKUP($B154,Shortage!$A:$M,AL$2,FALSE)="Shortage",1,IFERROR(ROUND(Z154/N154,4),0)),IFERROR(ROUND(Z154/N154,4),0))</f>
        <v>0</v>
      </c>
      <c r="AM154" s="123">
        <f>IFERROR(IF(VLOOKUP($B154,Shortage!$A:$M,AM$2,FALSE)="Shortage",1,IFERROR(ROUND(AA154/O154,4),0)),IFERROR(ROUND(AA154/O154,4),0))</f>
        <v>0</v>
      </c>
      <c r="AN154" s="232">
        <f>IFERROR(IF($C154="Top WS",VLOOKUP("GOAL",'2) หลักการคำนวน Table'!$D$4:$M$4,HLOOKUP(AB154,'2) หลักการคำนวน Table'!$D$1:$M$5,5,TRUE),0),
IF($C154="WS SF",VLOOKUP("GOAL",'2) หลักการคำนวน Table'!$D$32:$M$32,HLOOKUP(AB154,'2) หลักการคำนวน Table'!$D$1:$M$5,5,TRUE),0),
IF($C154="WS WH",VLOOKUP("GOAL",'2) หลักการคำนวน Table'!$D$62:$M$62,HLOOKUP(AB154,'2) หลักการคำนวน Table'!$D$1:$M$5,5,TRUE),0),
IF($C154="SF WH",VLOOKUP("GOAL",'2) หลักการคำนวน Table'!$D$92:$M$92,HLOOKUP(AB154,'2) หลักการคำนวน Table'!$D$1:$M$5,5,TRUE),0))))),0)</f>
        <v>1.3</v>
      </c>
      <c r="AO154" s="232">
        <f>IFERROR(IF($C154="Top WS",VLOOKUP("GOAL",'2) หลักการคำนวน Table'!$D$4:$M$4,HLOOKUP(AC154,'2) หลักการคำนวน Table'!$D$1:$M$5,5,TRUE),0),
IF($C154="WS SF",VLOOKUP("GOAL",'2) หลักการคำนวน Table'!$D$32:$M$32,HLOOKUP(AC154,'2) หลักการคำนวน Table'!$D$1:$M$5,5,TRUE),0),
IF($C154="WS WH",VLOOKUP("GOAL",'2) หลักการคำนวน Table'!$D$62:$M$62,HLOOKUP(AC154,'2) หลักการคำนวน Table'!$D$1:$M$5,5,TRUE),0),
IF($C154="SF WH",VLOOKUP("GOAL",'2) หลักการคำนวน Table'!$D$92:$M$92,HLOOKUP(AC154,'2) หลักการคำนวน Table'!$D$1:$M$5,5,TRUE),0))))),0)</f>
        <v>0.9</v>
      </c>
      <c r="AP154" s="232">
        <f>IFERROR(IF($C154="Top WS",VLOOKUP("GOAL",'2) หลักการคำนวน Table'!$D$4:$M$4,HLOOKUP(AD154,'2) หลักการคำนวน Table'!$D$1:$M$5,5,TRUE),0),
IF($C154="WS SF",VLOOKUP("GOAL",'2) หลักการคำนวน Table'!$D$32:$M$32,HLOOKUP(AD154,'2) หลักการคำนวน Table'!$D$1:$M$5,5,TRUE),0),
IF($C154="WS WH",VLOOKUP("GOAL",'2) หลักการคำนวน Table'!$D$62:$M$62,HLOOKUP(AD154,'2) หลักการคำนวน Table'!$D$1:$M$5,5,TRUE),0),
IF($C154="SF WH",VLOOKUP("GOAL",'2) หลักการคำนวน Table'!$D$92:$M$92,HLOOKUP(AD154,'2) หลักการคำนวน Table'!$D$1:$M$5,5,TRUE),0))))),0)</f>
        <v>0.9</v>
      </c>
      <c r="AQ154" s="232">
        <f>IFERROR(IF($C154="Top WS",VLOOKUP("GOAL",'2) หลักการคำนวน Table'!$D$4:$M$4,HLOOKUP(AE154,'2) หลักการคำนวน Table'!$D$1:$M$5,5,TRUE),0),
IF($C154="WS SF",VLOOKUP("GOAL",'2) หลักการคำนวน Table'!$D$32:$M$32,HLOOKUP(AE154,'2) หลักการคำนวน Table'!$D$1:$M$5,5,TRUE),0),
IF($C154="WS WH",VLOOKUP("GOAL",'2) หลักการคำนวน Table'!$D$62:$M$62,HLOOKUP(AE154,'2) หลักการคำนวน Table'!$D$1:$M$5,5,TRUE),0),
IF($C154="SF WH",VLOOKUP("GOAL",'2) หลักการคำนวน Table'!$D$92:$M$92,HLOOKUP(AE154,'2) หลักการคำนวน Table'!$D$1:$M$5,5,TRUE),0))))),0)</f>
        <v>0.9</v>
      </c>
      <c r="AR154" s="232">
        <f>IFERROR(IF($C154="Top WS",VLOOKUP("GOAL",'2) หลักการคำนวน Table'!$D$4:$M$4,HLOOKUP(AF154,'2) หลักการคำนวน Table'!$D$1:$M$5,5,TRUE),0),
IF($C154="WS SF",VLOOKUP("GOAL",'2) หลักการคำนวน Table'!$D$32:$M$32,HLOOKUP(AF154,'2) หลักการคำนวน Table'!$D$1:$M$5,5,TRUE),0),
IF($C154="WS WH",VLOOKUP("GOAL",'2) หลักการคำนวน Table'!$D$62:$M$62,HLOOKUP(AF154,'2) หลักการคำนวน Table'!$D$1:$M$5,5,TRUE),0),
IF($C154="SF WH",VLOOKUP("GOAL",'2) หลักการคำนวน Table'!$D$92:$M$92,HLOOKUP(AF154,'2) หลักการคำนวน Table'!$D$1:$M$5,5,TRUE),0))))),0)</f>
        <v>0.9</v>
      </c>
      <c r="AS154" s="232">
        <f>IFERROR(IF($C154="Top WS",VLOOKUP("GOAL",'2) หลักการคำนวน Table'!$D$4:$M$4,HLOOKUP(AG154,'2) หลักการคำนวน Table'!$D$1:$M$5,5,TRUE),0),
IF($C154="WS SF",VLOOKUP("GOAL",'2) หลักการคำนวน Table'!$D$32:$M$32,HLOOKUP(AG154,'2) หลักการคำนวน Table'!$D$1:$M$5,5,TRUE),0),
IF($C154="WS WH",VLOOKUP("GOAL",'2) หลักการคำนวน Table'!$D$62:$M$62,HLOOKUP(AG154,'2) หลักการคำนวน Table'!$D$1:$M$5,5,TRUE),0),
IF($C154="SF WH",VLOOKUP("GOAL",'2) หลักการคำนวน Table'!$D$92:$M$92,HLOOKUP(AG154,'2) หลักการคำนวน Table'!$D$1:$M$5,5,TRUE),0))))),0)</f>
        <v>0.9</v>
      </c>
      <c r="AT154" s="232">
        <f>IFERROR(IF($C154="Top WS",VLOOKUP("GOAL",'2) หลักการคำนวน Table'!$D$4:$M$4,HLOOKUP(AH154,'2) หลักการคำนวน Table'!$D$1:$M$5,5,TRUE),0),
IF($C154="WS SF",VLOOKUP("GOAL",'2) หลักการคำนวน Table'!$D$32:$M$32,HLOOKUP(AH154,'2) หลักการคำนวน Table'!$D$1:$M$5,5,TRUE),0),
IF($C154="WS WH",VLOOKUP("GOAL",'2) หลักการคำนวน Table'!$D$62:$M$62,HLOOKUP(AH154,'2) หลักการคำนวน Table'!$D$1:$M$5,5,TRUE),0),
IF($C154="SF WH",VLOOKUP("GOAL",'2) หลักการคำนวน Table'!$D$92:$M$92,HLOOKUP(AH154,'2) หลักการคำนวน Table'!$D$1:$M$5,5,TRUE),0))))),0)</f>
        <v>0.9</v>
      </c>
      <c r="AU154" s="232">
        <f>IFERROR(IF($C154="Top WS",VLOOKUP("GOAL",'2) หลักการคำนวน Table'!$D$4:$M$4,HLOOKUP(AI154,'2) หลักการคำนวน Table'!$D$1:$M$5,5,TRUE),0),
IF($C154="WS SF",VLOOKUP("GOAL",'2) หลักการคำนวน Table'!$D$32:$M$32,HLOOKUP(AI154,'2) หลักการคำนวน Table'!$D$1:$M$5,5,TRUE),0),
IF($C154="WS WH",VLOOKUP("GOAL",'2) หลักการคำนวน Table'!$D$62:$M$62,HLOOKUP(AI154,'2) หลักการคำนวน Table'!$D$1:$M$5,5,TRUE),0),
IF($C154="SF WH",VLOOKUP("GOAL",'2) หลักการคำนวน Table'!$D$92:$M$92,HLOOKUP(AI154,'2) หลักการคำนวน Table'!$D$1:$M$5,5,TRUE),0))))),0)</f>
        <v>0.9</v>
      </c>
      <c r="AV154" s="232">
        <f>IFERROR(IF($C154="Top WS",VLOOKUP("GOAL",'2) หลักการคำนวน Table'!$D$4:$M$4,HLOOKUP(AP154,'2) หลักการคำนวน Table'!$D$1:$M$5,5,TRUE),0),
IF($C154="WS SF",VLOOKUP("GOAL",'2) หลักการคำนวน Table'!$D$32:$M$32,HLOOKUP(AP154,'2) หลักการคำนวน Table'!$D$1:$M$5,5,TRUE),0),
IF($C154="WS WH",VLOOKUP("GOAL",'2) หลักการคำนวน Table'!$D$62:$M$62,HLOOKUP(AP154,'2) หลักการคำนวน Table'!$D$1:$M$5,5,TRUE),0),
IF($C154="SF WH",VLOOKUP("GOAL",'2) หลักการคำนวน Table'!$D$92:$M$92,HLOOKUP(AP154,'2) หลักการคำนวน Table'!$D$1:$M$5,5,TRUE),0))))),0)</f>
        <v>0.9</v>
      </c>
      <c r="AW154" s="232">
        <f>IFERROR(IF($C154="Top WS",VLOOKUP("GOAL",'2) หลักการคำนวน Table'!$D$4:$M$4,HLOOKUP(AK154,'2) หลักการคำนวน Table'!$D$1:$M$5,5,TRUE),0),
IF($C154="WS SF",VLOOKUP("GOAL",'2) หลักการคำนวน Table'!$D$32:$M$32,HLOOKUP(AK154,'2) หลักการคำนวน Table'!$D$1:$M$5,5,TRUE),0),
IF($C154="WS WH",VLOOKUP("GOAL",'2) หลักการคำนวน Table'!$D$62:$M$62,HLOOKUP(AK154,'2) หลักการคำนวน Table'!$D$1:$M$5,5,TRUE),0),
IF($C154="SF WH",VLOOKUP("GOAL",'2) หลักการคำนวน Table'!$D$92:$M$92,HLOOKUP(AK154,'2) หลักการคำนวน Table'!$D$1:$M$5,5,TRUE),0))))),0)</f>
        <v>0.9</v>
      </c>
      <c r="AX154" s="232">
        <f>IFERROR(IF($C154="Top WS",VLOOKUP("GOAL",'2) หลักการคำนวน Table'!$D$4:$M$4,HLOOKUP(AL154,'2) หลักการคำนวน Table'!$D$1:$M$5,5,TRUE),0),
IF($C154="WS SF",VLOOKUP("GOAL",'2) หลักการคำนวน Table'!$D$32:$M$32,HLOOKUP(AL154,'2) หลักการคำนวน Table'!$D$1:$M$5,5,TRUE),0),
IF($C154="WS WH",VLOOKUP("GOAL",'2) หลักการคำนวน Table'!$D$62:$M$62,HLOOKUP(AL154,'2) หลักการคำนวน Table'!$D$1:$M$5,5,TRUE),0),
IF($C154="SF WH",VLOOKUP("GOAL",'2) หลักการคำนวน Table'!$D$92:$M$92,HLOOKUP(AL154,'2) หลักการคำนวน Table'!$D$1:$M$5,5,TRUE),0))))),0)</f>
        <v>0.9</v>
      </c>
      <c r="AY154" s="232">
        <f>IFERROR(IF($C154="Top WS",VLOOKUP("GOAL",'2) หลักการคำนวน Table'!$D$4:$M$4,HLOOKUP(AM154,'2) หลักการคำนวน Table'!$D$1:$M$5,5,TRUE),0),
IF($C154="WS SF",VLOOKUP("GOAL",'2) หลักการคำนวน Table'!$D$32:$M$32,HLOOKUP(AM154,'2) หลักการคำนวน Table'!$D$1:$M$5,5,TRUE),0),
IF($C154="WS WH",VLOOKUP("GOAL",'2) หลักการคำนวน Table'!$D$62:$M$62,HLOOKUP(AM154,'2) หลักการคำนวน Table'!$D$1:$M$5,5,TRUE),0),
IF($C154="SF WH",VLOOKUP("GOAL",'2) หลักการคำนวน Table'!$D$92:$M$92,HLOOKUP(AM154,'2) หลักการคำนวน Table'!$D$1:$M$5,5,TRUE),0))))),0)</f>
        <v>0.9</v>
      </c>
      <c r="AZ154" s="167">
        <f>IFERROR(IF($C154="Top WS",VLOOKUP($B154,'2) หลักการคำนวน Table'!$D$5:$M$20,HLOOKUP(AB154,'2) หลักการคำนวน Table'!$D$1:$M$5,5,TRUE),0),
IF($C154="WS SF",VLOOKUP($B154,'2) หลักการคำนวน Table'!$D$33:$M$48,HLOOKUP(AB154,'2) หลักการคำนวน Table'!$D$1:$M$5,5,TRUE),0),
IF($C154="WS WH",VLOOKUP($B154,'2) หลักการคำนวน Table'!$D$63:$M$78,HLOOKUP(AB154,'2) หลักการคำนวน Table'!$D$1:$M$5,5,TRUE),0),
IF($C154="SF WH",VLOOKUP($B154,'2) หลักการคำนวน Table'!$D$93:$M$108,HLOOKUP(AB154,'2) หลักการคำนวน Table'!$D$1:$M$5,5,TRUE),0))))),0)</f>
        <v>227.5</v>
      </c>
      <c r="BA154" s="167">
        <f>IFERROR(IF($C154="Top WS",VLOOKUP($B154,'2) หลักการคำนวน Table'!$D$5:$M$20,HLOOKUP(AC154,'2) หลักการคำนวน Table'!$D$1:$M$5,5,TRUE),0),
IF($C154="WS SF",VLOOKUP($B154,'2) หลักการคำนวน Table'!$D$33:$M$48,HLOOKUP(AC154,'2) หลักการคำนวน Table'!$D$1:$M$5,5,TRUE),0),
IF($C154="WS WH",VLOOKUP($B154,'2) หลักการคำนวน Table'!$D$63:$M$78,HLOOKUP(AC154,'2) หลักการคำนวน Table'!$D$1:$M$5,5,TRUE),0),
IF($C154="SF WH",VLOOKUP($B154,'2) หลักการคำนวน Table'!$D$93:$M$108,HLOOKUP(AC154,'2) หลักการคำนวน Table'!$D$1:$M$5,5,TRUE),0))))),0)</f>
        <v>157.5</v>
      </c>
      <c r="BB154" s="167">
        <f>IFERROR(IF($C154="Top WS",VLOOKUP($B154,'2) หลักการคำนวน Table'!$D$5:$M$20,HLOOKUP(AD154,'2) หลักการคำนวน Table'!$D$1:$M$5,5,TRUE),0),
IF($C154="WS SF",VLOOKUP($B154,'2) หลักการคำนวน Table'!$D$33:$M$48,HLOOKUP(AD154,'2) หลักการคำนวน Table'!$D$1:$M$5,5,TRUE),0),
IF($C154="WS WH",VLOOKUP($B154,'2) หลักการคำนวน Table'!$D$63:$M$78,HLOOKUP(AD154,'2) หลักการคำนวน Table'!$D$1:$M$5,5,TRUE),0),
IF($C154="SF WH",VLOOKUP($B154,'2) หลักการคำนวน Table'!$D$93:$M$108,HLOOKUP(AD154,'2) หลักการคำนวน Table'!$D$1:$M$5,5,TRUE),0))))),0)</f>
        <v>157.5</v>
      </c>
      <c r="BC154" s="167">
        <f>IFERROR(IF($C154="Top WS",VLOOKUP($B154,'2) หลักการคำนวน Table'!$D$5:$M$20,HLOOKUP(AE154,'2) หลักการคำนวน Table'!$D$1:$M$5,5,TRUE),0),
IF($C154="WS SF",VLOOKUP($B154,'2) หลักการคำนวน Table'!$D$33:$M$48,HLOOKUP(AE154,'2) หลักการคำนวน Table'!$D$1:$M$5,5,TRUE),0),
IF($C154="WS WH",VLOOKUP($B154,'2) หลักการคำนวน Table'!$D$63:$M$78,HLOOKUP(AE154,'2) หลักการคำนวน Table'!$D$1:$M$5,5,TRUE),0),
IF($C154="SF WH",VLOOKUP($B154,'2) หลักการคำนวน Table'!$D$93:$M$108,HLOOKUP(AE154,'2) หลักการคำนวน Table'!$D$1:$M$5,5,TRUE),0))))),0)</f>
        <v>157.5</v>
      </c>
      <c r="BD154" s="167">
        <f>IFERROR(IF($C154="Top WS",VLOOKUP($B154,'2) หลักการคำนวน Table'!$D$5:$M$20,HLOOKUP(AF154,'2) หลักการคำนวน Table'!$D$1:$M$5,5,TRUE),0),
IF($C154="WS SF",VLOOKUP($B154,'2) หลักการคำนวน Table'!$D$33:$M$48,HLOOKUP(AF154,'2) หลักการคำนวน Table'!$D$1:$M$5,5,TRUE),0),
IF($C154="WS WH",VLOOKUP($B154,'2) หลักการคำนวน Table'!$D$63:$M$78,HLOOKUP(AF154,'2) หลักการคำนวน Table'!$D$1:$M$5,5,TRUE),0),
IF($C154="SF WH",VLOOKUP($B154,'2) หลักการคำนวน Table'!$D$93:$M$108,HLOOKUP(AF154,'2) หลักการคำนวน Table'!$D$1:$M$5,5,TRUE),0))))),0)</f>
        <v>157.5</v>
      </c>
      <c r="BE154" s="167">
        <f>IFERROR(IF($C154="Top WS",VLOOKUP($B154,'2) หลักการคำนวน Table'!$D$5:$M$20,HLOOKUP(AG154,'2) หลักการคำนวน Table'!$D$1:$M$5,5,TRUE),0),
IF($C154="WS SF",VLOOKUP($B154,'2) หลักการคำนวน Table'!$D$33:$M$48,HLOOKUP(AG154,'2) หลักการคำนวน Table'!$D$1:$M$5,5,TRUE),0),
IF($C154="WS WH",VLOOKUP($B154,'2) หลักการคำนวน Table'!$D$63:$M$78,HLOOKUP(AG154,'2) หลักการคำนวน Table'!$D$1:$M$5,5,TRUE),0),
IF($C154="SF WH",VLOOKUP($B154,'2) หลักการคำนวน Table'!$D$93:$M$108,HLOOKUP(AG154,'2) หลักการคำนวน Table'!$D$1:$M$5,5,TRUE),0))))),0)</f>
        <v>157.5</v>
      </c>
      <c r="BF154" s="167">
        <f>IFERROR(IF($C154="Top WS",VLOOKUP($B154,'2) หลักการคำนวน Table'!$D$5:$M$20,HLOOKUP(AH154,'2) หลักการคำนวน Table'!$D$1:$M$5,5,TRUE),0),
IF($C154="WS SF",VLOOKUP($B154,'2) หลักการคำนวน Table'!$D$33:$M$48,HLOOKUP(AH154,'2) หลักการคำนวน Table'!$D$1:$M$5,5,TRUE),0),
IF($C154="WS WH",VLOOKUP($B154,'2) หลักการคำนวน Table'!$D$63:$M$78,HLOOKUP(AH154,'2) หลักการคำนวน Table'!$D$1:$M$5,5,TRUE),0),
IF($C154="SF WH",VLOOKUP($B154,'2) หลักการคำนวน Table'!$D$93:$M$108,HLOOKUP(AH154,'2) หลักการคำนวน Table'!$D$1:$M$5,5,TRUE),0))))),0)</f>
        <v>157.5</v>
      </c>
      <c r="BG154" s="167">
        <f>IFERROR(IF($C154="Top WS",VLOOKUP($B154,'2) หลักการคำนวน Table'!$D$5:$M$20,HLOOKUP(AI154,'2) หลักการคำนวน Table'!$D$1:$M$5,5,TRUE),0),
IF($C154="WS SF",VLOOKUP($B154,'2) หลักการคำนวน Table'!$D$33:$M$48,HLOOKUP(AI154,'2) หลักการคำนวน Table'!$D$1:$M$5,5,TRUE),0),
IF($C154="WS WH",VLOOKUP($B154,'2) หลักการคำนวน Table'!$D$63:$M$78,HLOOKUP(AI154,'2) หลักการคำนวน Table'!$D$1:$M$5,5,TRUE),0),
IF($C154="SF WH",VLOOKUP($B154,'2) หลักการคำนวน Table'!$D$93:$M$108,HLOOKUP(AI154,'2) หลักการคำนวน Table'!$D$1:$M$5,5,TRUE),0))))),0)</f>
        <v>157.5</v>
      </c>
      <c r="BH154" s="167">
        <f>IFERROR(IF($C154="Top WS",VLOOKUP($B154,'2) หลักการคำนวน Table'!$D$5:$M$20,HLOOKUP(AP154,'2) หลักการคำนวน Table'!$D$1:$M$5,5,TRUE),0),
IF($C154="WS SF",VLOOKUP($B154,'2) หลักการคำนวน Table'!$D$33:$M$48,HLOOKUP(AP154,'2) หลักการคำนวน Table'!$D$1:$M$5,5,TRUE),0),
IF($C154="WS WH",VLOOKUP($B154,'2) หลักการคำนวน Table'!$D$63:$M$78,HLOOKUP(AP154,'2) หลักการคำนวน Table'!$D$1:$M$5,5,TRUE),0),
IF($C154="SF WH",VLOOKUP($B154,'2) หลักการคำนวน Table'!$D$93:$M$108,HLOOKUP(AP154,'2) หลักการคำนวน Table'!$D$1:$M$5,5,TRUE),0))))),0)</f>
        <v>157.5</v>
      </c>
      <c r="BI154" s="167">
        <f>IFERROR(IF($C154="Top WS",VLOOKUP($B154,'2) หลักการคำนวน Table'!$D$5:$M$20,HLOOKUP(AK154,'2) หลักการคำนวน Table'!$D$1:$M$5,5,TRUE),0),
IF($C154="WS SF",VLOOKUP($B154,'2) หลักการคำนวน Table'!$D$33:$M$48,HLOOKUP(AK154,'2) หลักการคำนวน Table'!$D$1:$M$5,5,TRUE),0),
IF($C154="WS WH",VLOOKUP($B154,'2) หลักการคำนวน Table'!$D$63:$M$78,HLOOKUP(AK154,'2) หลักการคำนวน Table'!$D$1:$M$5,5,TRUE),0),
IF($C154="SF WH",VLOOKUP($B154,'2) หลักการคำนวน Table'!$D$93:$M$108,HLOOKUP(AK154,'2) หลักการคำนวน Table'!$D$1:$M$5,5,TRUE),0))))),0)</f>
        <v>157.5</v>
      </c>
      <c r="BJ154" s="167">
        <f>IFERROR(IF($C154="Top WS",VLOOKUP($B154,'2) หลักการคำนวน Table'!$D$5:$M$20,HLOOKUP(AL154,'2) หลักการคำนวน Table'!$D$1:$M$5,5,TRUE),0),
IF($C154="WS SF",VLOOKUP($B154,'2) หลักการคำนวน Table'!$D$33:$M$48,HLOOKUP(AL154,'2) หลักการคำนวน Table'!$D$1:$M$5,5,TRUE),0),
IF($C154="WS WH",VLOOKUP($B154,'2) หลักการคำนวน Table'!$D$63:$M$78,HLOOKUP(AL154,'2) หลักการคำนวน Table'!$D$1:$M$5,5,TRUE),0),
IF($C154="SF WH",VLOOKUP($B154,'2) หลักการคำนวน Table'!$D$93:$M$108,HLOOKUP(AL154,'2) หลักการคำนวน Table'!$D$1:$M$5,5,TRUE),0))))),0)</f>
        <v>157.5</v>
      </c>
      <c r="BK154" s="167">
        <f>IFERROR(IF($C154="Top WS",VLOOKUP($B154,'2) หลักการคำนวน Table'!$D$5:$M$20,HLOOKUP(AM154,'2) หลักการคำนวน Table'!$D$1:$M$5,5,TRUE),0),
IF($C154="WS SF",VLOOKUP($B154,'2) หลักการคำนวน Table'!$D$33:$M$48,HLOOKUP(AM154,'2) หลักการคำนวน Table'!$D$1:$M$5,5,TRUE),0),
IF($C154="WS WH",VLOOKUP($B154,'2) หลักการคำนวน Table'!$D$63:$M$78,HLOOKUP(AM154,'2) หลักการคำนวน Table'!$D$1:$M$5,5,TRUE),0),
IF($C154="SF WH",VLOOKUP($B154,'2) หลักการคำนวน Table'!$D$93:$M$108,HLOOKUP(AM154,'2) หลักการคำนวน Table'!$D$1:$M$5,5,TRUE),0))))),0)</f>
        <v>157.5</v>
      </c>
      <c r="BM154" s="119">
        <f>VLOOKUP(VLOOKUP(A154,ASTBase!E:S,13,FALSE),ASTBase!F:P,11,FALSE)</f>
        <v>130000</v>
      </c>
      <c r="BN154" s="196" cm="1">
        <f t="array" ref="BN154">INDEX(AN154:AY154,,Period!$D$2)</f>
        <v>0.9</v>
      </c>
    </row>
    <row r="155" spans="1:66" x14ac:dyDescent="0.25">
      <c r="A155" s="117">
        <v>130003</v>
      </c>
      <c r="B155" s="117" t="s">
        <v>405</v>
      </c>
      <c r="C155" s="117" t="s">
        <v>180</v>
      </c>
      <c r="D155" s="118">
        <v>150</v>
      </c>
      <c r="E155" s="118">
        <v>141</v>
      </c>
      <c r="F155" s="118">
        <v>149</v>
      </c>
      <c r="G155" s="118">
        <v>101</v>
      </c>
      <c r="H155" s="118">
        <v>86</v>
      </c>
      <c r="I155" s="118">
        <v>149</v>
      </c>
      <c r="J155" s="118">
        <v>106</v>
      </c>
      <c r="K155" s="118">
        <v>109</v>
      </c>
      <c r="L155" s="118">
        <v>75</v>
      </c>
      <c r="M155" s="118">
        <v>100</v>
      </c>
      <c r="N155" s="118">
        <v>142</v>
      </c>
      <c r="O155" s="118">
        <v>139</v>
      </c>
      <c r="P155" s="117">
        <f>SUMIFS(Actual!C:C,Actual!$A:$A,'3)Target &amp; Cal'!$A155,Actual!$B:$B,'3)Target &amp; Cal'!$B155)</f>
        <v>118.80000000000001</v>
      </c>
      <c r="Q155" s="117">
        <f>SUMIFS(Actual!D:D,Actual!$A:$A,'3)Target &amp; Cal'!$A155,Actual!$B:$B,'3)Target &amp; Cal'!$B155)</f>
        <v>118.80000000000001</v>
      </c>
      <c r="R155" s="117">
        <f>SUMIFS(Actual!E:E,Actual!$A:$A,'3)Target &amp; Cal'!$A155,Actual!$B:$B,'3)Target &amp; Cal'!$B155)</f>
        <v>0</v>
      </c>
      <c r="S155" s="117">
        <f>SUMIFS(Actual!F:F,Actual!$A:$A,'3)Target &amp; Cal'!$A155,Actual!$B:$B,'3)Target &amp; Cal'!$B155)</f>
        <v>0</v>
      </c>
      <c r="T155" s="117">
        <f>SUMIFS(Actual!G:G,Actual!$A:$A,'3)Target &amp; Cal'!$A155,Actual!$B:$B,'3)Target &amp; Cal'!$B155)</f>
        <v>0</v>
      </c>
      <c r="U155" s="117">
        <f>SUMIFS(Actual!H:H,Actual!$A:$A,'3)Target &amp; Cal'!$A155,Actual!$B:$B,'3)Target &amp; Cal'!$B155)</f>
        <v>0</v>
      </c>
      <c r="V155" s="117">
        <f>SUMIFS(Actual!I:I,Actual!$A:$A,'3)Target &amp; Cal'!$A155,Actual!$B:$B,'3)Target &amp; Cal'!$B155)</f>
        <v>0</v>
      </c>
      <c r="W155" s="117">
        <f>SUMIFS(Actual!J:J,Actual!$A:$A,'3)Target &amp; Cal'!$A155,Actual!$B:$B,'3)Target &amp; Cal'!$B155)</f>
        <v>0</v>
      </c>
      <c r="X155" s="117">
        <f>SUMIFS(Actual!K:K,Actual!$A:$A,'3)Target &amp; Cal'!$A155,Actual!$B:$B,'3)Target &amp; Cal'!$B155)</f>
        <v>0</v>
      </c>
      <c r="Y155" s="117">
        <f>SUMIFS(Actual!L:L,Actual!$A:$A,'3)Target &amp; Cal'!$A155,Actual!$B:$B,'3)Target &amp; Cal'!$B155)</f>
        <v>0</v>
      </c>
      <c r="Z155" s="117">
        <f>SUMIFS(Actual!M:M,Actual!$A:$A,'3)Target &amp; Cal'!$A155,Actual!$B:$B,'3)Target &amp; Cal'!$B155)</f>
        <v>0</v>
      </c>
      <c r="AA155" s="117">
        <f>SUMIFS(Actual!N:N,Actual!$A:$A,'3)Target &amp; Cal'!$A155,Actual!$B:$B,'3)Target &amp; Cal'!$B155)</f>
        <v>0</v>
      </c>
      <c r="AB155" s="123">
        <f>IFERROR(IF(VLOOKUP($B155,Shortage!$A:$M,AB$2,FALSE)="Shortage",1,IFERROR(ROUND(P155/D155,4),0)),IFERROR(ROUND(P155/D155,4),0))</f>
        <v>0.79200000000000004</v>
      </c>
      <c r="AC155" s="123">
        <f>IFERROR(IF(VLOOKUP($B155,Shortage!$A:$M,AC$2,FALSE)="Shortage",1,IFERROR(ROUND(Q155/E155,4),0)),IFERROR(ROUND(Q155/E155,4),0))</f>
        <v>0.84260000000000002</v>
      </c>
      <c r="AD155" s="123">
        <f>IFERROR(IF(VLOOKUP($B155,Shortage!$A:$M,AD$2,FALSE)="Shortage",1,IFERROR(ROUND(R155/F155,4),0)),IFERROR(ROUND(R155/F155,4),0))</f>
        <v>0</v>
      </c>
      <c r="AE155" s="123">
        <f>IFERROR(IF(VLOOKUP($B155,Shortage!$A:$M,AE$2,FALSE)="Shortage",1,IFERROR(ROUND(S155/G155,4),0)),IFERROR(ROUND(S155/G155,4),0))</f>
        <v>0</v>
      </c>
      <c r="AF155" s="123">
        <f>IFERROR(IF(VLOOKUP($B155,Shortage!$A:$M,AF$2,FALSE)="Shortage",1,IFERROR(ROUND(T155/H155,4),0)),IFERROR(ROUND(T155/H155,4),0))</f>
        <v>0</v>
      </c>
      <c r="AG155" s="123">
        <f>IFERROR(IF(VLOOKUP($B155,Shortage!$A:$M,AG$2,FALSE)="Shortage",1,IFERROR(ROUND(U155/I155,4),0)),IFERROR(ROUND(U155/I155,4),0))</f>
        <v>0</v>
      </c>
      <c r="AH155" s="123">
        <f>IFERROR(IF(VLOOKUP($B155,Shortage!$A:$M,AH$2,FALSE)="Shortage",1,IFERROR(ROUND(V155/J155,4),0)),IFERROR(ROUND(V155/J155,4),0))</f>
        <v>0</v>
      </c>
      <c r="AI155" s="123">
        <f>IFERROR(IF(VLOOKUP($B155,Shortage!$A:$M,AI$2,FALSE)="Shortage",1,IFERROR(ROUND(W155/K155,4),0)),IFERROR(ROUND(W155/K155,4),0))</f>
        <v>0</v>
      </c>
      <c r="AJ155" s="123">
        <f>IFERROR(IF(VLOOKUP($B155,Shortage!$A:$M,AP$2,FALSE)="Shortage",1,IFERROR(ROUND(X155/L155,4),0)),IFERROR(ROUND(X155/L155,4),0))</f>
        <v>0</v>
      </c>
      <c r="AK155" s="123">
        <f>IFERROR(IF(VLOOKUP($B155,Shortage!$A:$M,AK$2,FALSE)="Shortage",1,IFERROR(ROUND(Y155/M155,4),0)),IFERROR(ROUND(Y155/M155,4),0))</f>
        <v>0</v>
      </c>
      <c r="AL155" s="123">
        <f>IFERROR(IF(VLOOKUP($B155,Shortage!$A:$M,AL$2,FALSE)="Shortage",1,IFERROR(ROUND(Z155/N155,4),0)),IFERROR(ROUND(Z155/N155,4),0))</f>
        <v>0</v>
      </c>
      <c r="AM155" s="123">
        <f>IFERROR(IF(VLOOKUP($B155,Shortage!$A:$M,AM$2,FALSE)="Shortage",1,IFERROR(ROUND(AA155/O155,4),0)),IFERROR(ROUND(AA155/O155,4),0))</f>
        <v>0</v>
      </c>
      <c r="AN155" s="232">
        <f>IFERROR(IF($C155="Top WS",VLOOKUP("GOAL",'2) หลักการคำนวน Table'!$D$4:$M$4,HLOOKUP(AB155,'2) หลักการคำนวน Table'!$D$1:$M$5,5,TRUE),0),
IF($C155="WS SF",VLOOKUP("GOAL",'2) หลักการคำนวน Table'!$D$32:$M$32,HLOOKUP(AB155,'2) หลักการคำนวน Table'!$D$1:$M$5,5,TRUE),0),
IF($C155="WS WH",VLOOKUP("GOAL",'2) หลักการคำนวน Table'!$D$62:$M$62,HLOOKUP(AB155,'2) หลักการคำนวน Table'!$D$1:$M$5,5,TRUE),0),
IF($C155="SF WH",VLOOKUP("GOAL",'2) หลักการคำนวน Table'!$D$92:$M$92,HLOOKUP(AB155,'2) หลักการคำนวน Table'!$D$1:$M$5,5,TRUE),0))))),0)</f>
        <v>0.9</v>
      </c>
      <c r="AO155" s="232">
        <f>IFERROR(IF($C155="Top WS",VLOOKUP("GOAL",'2) หลักการคำนวน Table'!$D$4:$M$4,HLOOKUP(AC155,'2) หลักการคำนวน Table'!$D$1:$M$5,5,TRUE),0),
IF($C155="WS SF",VLOOKUP("GOAL",'2) หลักการคำนวน Table'!$D$32:$M$32,HLOOKUP(AC155,'2) หลักการคำนวน Table'!$D$1:$M$5,5,TRUE),0),
IF($C155="WS WH",VLOOKUP("GOAL",'2) หลักการคำนวน Table'!$D$62:$M$62,HLOOKUP(AC155,'2) หลักการคำนวน Table'!$D$1:$M$5,5,TRUE),0),
IF($C155="SF WH",VLOOKUP("GOAL",'2) หลักการคำนวน Table'!$D$92:$M$92,HLOOKUP(AC155,'2) หลักการคำนวน Table'!$D$1:$M$5,5,TRUE),0))))),0)</f>
        <v>0.9</v>
      </c>
      <c r="AP155" s="232">
        <f>IFERROR(IF($C155="Top WS",VLOOKUP("GOAL",'2) หลักการคำนวน Table'!$D$4:$M$4,HLOOKUP(AD155,'2) หลักการคำนวน Table'!$D$1:$M$5,5,TRUE),0),
IF($C155="WS SF",VLOOKUP("GOAL",'2) หลักการคำนวน Table'!$D$32:$M$32,HLOOKUP(AD155,'2) หลักการคำนวน Table'!$D$1:$M$5,5,TRUE),0),
IF($C155="WS WH",VLOOKUP("GOAL",'2) หลักการคำนวน Table'!$D$62:$M$62,HLOOKUP(AD155,'2) หลักการคำนวน Table'!$D$1:$M$5,5,TRUE),0),
IF($C155="SF WH",VLOOKUP("GOAL",'2) หลักการคำนวน Table'!$D$92:$M$92,HLOOKUP(AD155,'2) หลักการคำนวน Table'!$D$1:$M$5,5,TRUE),0))))),0)</f>
        <v>0.9</v>
      </c>
      <c r="AQ155" s="232">
        <f>IFERROR(IF($C155="Top WS",VLOOKUP("GOAL",'2) หลักการคำนวน Table'!$D$4:$M$4,HLOOKUP(AE155,'2) หลักการคำนวน Table'!$D$1:$M$5,5,TRUE),0),
IF($C155="WS SF",VLOOKUP("GOAL",'2) หลักการคำนวน Table'!$D$32:$M$32,HLOOKUP(AE155,'2) หลักการคำนวน Table'!$D$1:$M$5,5,TRUE),0),
IF($C155="WS WH",VLOOKUP("GOAL",'2) หลักการคำนวน Table'!$D$62:$M$62,HLOOKUP(AE155,'2) หลักการคำนวน Table'!$D$1:$M$5,5,TRUE),0),
IF($C155="SF WH",VLOOKUP("GOAL",'2) หลักการคำนวน Table'!$D$92:$M$92,HLOOKUP(AE155,'2) หลักการคำนวน Table'!$D$1:$M$5,5,TRUE),0))))),0)</f>
        <v>0.9</v>
      </c>
      <c r="AR155" s="232">
        <f>IFERROR(IF($C155="Top WS",VLOOKUP("GOAL",'2) หลักการคำนวน Table'!$D$4:$M$4,HLOOKUP(AF155,'2) หลักการคำนวน Table'!$D$1:$M$5,5,TRUE),0),
IF($C155="WS SF",VLOOKUP("GOAL",'2) หลักการคำนวน Table'!$D$32:$M$32,HLOOKUP(AF155,'2) หลักการคำนวน Table'!$D$1:$M$5,5,TRUE),0),
IF($C155="WS WH",VLOOKUP("GOAL",'2) หลักการคำนวน Table'!$D$62:$M$62,HLOOKUP(AF155,'2) หลักการคำนวน Table'!$D$1:$M$5,5,TRUE),0),
IF($C155="SF WH",VLOOKUP("GOAL",'2) หลักการคำนวน Table'!$D$92:$M$92,HLOOKUP(AF155,'2) หลักการคำนวน Table'!$D$1:$M$5,5,TRUE),0))))),0)</f>
        <v>0.9</v>
      </c>
      <c r="AS155" s="232">
        <f>IFERROR(IF($C155="Top WS",VLOOKUP("GOAL",'2) หลักการคำนวน Table'!$D$4:$M$4,HLOOKUP(AG155,'2) หลักการคำนวน Table'!$D$1:$M$5,5,TRUE),0),
IF($C155="WS SF",VLOOKUP("GOAL",'2) หลักการคำนวน Table'!$D$32:$M$32,HLOOKUP(AG155,'2) หลักการคำนวน Table'!$D$1:$M$5,5,TRUE),0),
IF($C155="WS WH",VLOOKUP("GOAL",'2) หลักการคำนวน Table'!$D$62:$M$62,HLOOKUP(AG155,'2) หลักการคำนวน Table'!$D$1:$M$5,5,TRUE),0),
IF($C155="SF WH",VLOOKUP("GOAL",'2) หลักการคำนวน Table'!$D$92:$M$92,HLOOKUP(AG155,'2) หลักการคำนวน Table'!$D$1:$M$5,5,TRUE),0))))),0)</f>
        <v>0.9</v>
      </c>
      <c r="AT155" s="232">
        <f>IFERROR(IF($C155="Top WS",VLOOKUP("GOAL",'2) หลักการคำนวน Table'!$D$4:$M$4,HLOOKUP(AH155,'2) หลักการคำนวน Table'!$D$1:$M$5,5,TRUE),0),
IF($C155="WS SF",VLOOKUP("GOAL",'2) หลักการคำนวน Table'!$D$32:$M$32,HLOOKUP(AH155,'2) หลักการคำนวน Table'!$D$1:$M$5,5,TRUE),0),
IF($C155="WS WH",VLOOKUP("GOAL",'2) หลักการคำนวน Table'!$D$62:$M$62,HLOOKUP(AH155,'2) หลักการคำนวน Table'!$D$1:$M$5,5,TRUE),0),
IF($C155="SF WH",VLOOKUP("GOAL",'2) หลักการคำนวน Table'!$D$92:$M$92,HLOOKUP(AH155,'2) หลักการคำนวน Table'!$D$1:$M$5,5,TRUE),0))))),0)</f>
        <v>0.9</v>
      </c>
      <c r="AU155" s="232">
        <f>IFERROR(IF($C155="Top WS",VLOOKUP("GOAL",'2) หลักการคำนวน Table'!$D$4:$M$4,HLOOKUP(AI155,'2) หลักการคำนวน Table'!$D$1:$M$5,5,TRUE),0),
IF($C155="WS SF",VLOOKUP("GOAL",'2) หลักการคำนวน Table'!$D$32:$M$32,HLOOKUP(AI155,'2) หลักการคำนวน Table'!$D$1:$M$5,5,TRUE),0),
IF($C155="WS WH",VLOOKUP("GOAL",'2) หลักการคำนวน Table'!$D$62:$M$62,HLOOKUP(AI155,'2) หลักการคำนวน Table'!$D$1:$M$5,5,TRUE),0),
IF($C155="SF WH",VLOOKUP("GOAL",'2) หลักการคำนวน Table'!$D$92:$M$92,HLOOKUP(AI155,'2) หลักการคำนวน Table'!$D$1:$M$5,5,TRUE),0))))),0)</f>
        <v>0.9</v>
      </c>
      <c r="AV155" s="232">
        <f>IFERROR(IF($C155="Top WS",VLOOKUP("GOAL",'2) หลักการคำนวน Table'!$D$4:$M$4,HLOOKUP(AP155,'2) หลักการคำนวน Table'!$D$1:$M$5,5,TRUE),0),
IF($C155="WS SF",VLOOKUP("GOAL",'2) หลักการคำนวน Table'!$D$32:$M$32,HLOOKUP(AP155,'2) หลักการคำนวน Table'!$D$1:$M$5,5,TRUE),0),
IF($C155="WS WH",VLOOKUP("GOAL",'2) หลักการคำนวน Table'!$D$62:$M$62,HLOOKUP(AP155,'2) หลักการคำนวน Table'!$D$1:$M$5,5,TRUE),0),
IF($C155="SF WH",VLOOKUP("GOAL",'2) หลักการคำนวน Table'!$D$92:$M$92,HLOOKUP(AP155,'2) หลักการคำนวน Table'!$D$1:$M$5,5,TRUE),0))))),0)</f>
        <v>0.9</v>
      </c>
      <c r="AW155" s="232">
        <f>IFERROR(IF($C155="Top WS",VLOOKUP("GOAL",'2) หลักการคำนวน Table'!$D$4:$M$4,HLOOKUP(AK155,'2) หลักการคำนวน Table'!$D$1:$M$5,5,TRUE),0),
IF($C155="WS SF",VLOOKUP("GOAL",'2) หลักการคำนวน Table'!$D$32:$M$32,HLOOKUP(AK155,'2) หลักการคำนวน Table'!$D$1:$M$5,5,TRUE),0),
IF($C155="WS WH",VLOOKUP("GOAL",'2) หลักการคำนวน Table'!$D$62:$M$62,HLOOKUP(AK155,'2) หลักการคำนวน Table'!$D$1:$M$5,5,TRUE),0),
IF($C155="SF WH",VLOOKUP("GOAL",'2) หลักการคำนวน Table'!$D$92:$M$92,HLOOKUP(AK155,'2) หลักการคำนวน Table'!$D$1:$M$5,5,TRUE),0))))),0)</f>
        <v>0.9</v>
      </c>
      <c r="AX155" s="232">
        <f>IFERROR(IF($C155="Top WS",VLOOKUP("GOAL",'2) หลักการคำนวน Table'!$D$4:$M$4,HLOOKUP(AL155,'2) หลักการคำนวน Table'!$D$1:$M$5,5,TRUE),0),
IF($C155="WS SF",VLOOKUP("GOAL",'2) หลักการคำนวน Table'!$D$32:$M$32,HLOOKUP(AL155,'2) หลักการคำนวน Table'!$D$1:$M$5,5,TRUE),0),
IF($C155="WS WH",VLOOKUP("GOAL",'2) หลักการคำนวน Table'!$D$62:$M$62,HLOOKUP(AL155,'2) หลักการคำนวน Table'!$D$1:$M$5,5,TRUE),0),
IF($C155="SF WH",VLOOKUP("GOAL",'2) หลักการคำนวน Table'!$D$92:$M$92,HLOOKUP(AL155,'2) หลักการคำนวน Table'!$D$1:$M$5,5,TRUE),0))))),0)</f>
        <v>0.9</v>
      </c>
      <c r="AY155" s="232">
        <f>IFERROR(IF($C155="Top WS",VLOOKUP("GOAL",'2) หลักการคำนวน Table'!$D$4:$M$4,HLOOKUP(AM155,'2) หลักการคำนวน Table'!$D$1:$M$5,5,TRUE),0),
IF($C155="WS SF",VLOOKUP("GOAL",'2) หลักการคำนวน Table'!$D$32:$M$32,HLOOKUP(AM155,'2) หลักการคำนวน Table'!$D$1:$M$5,5,TRUE),0),
IF($C155="WS WH",VLOOKUP("GOAL",'2) หลักการคำนวน Table'!$D$62:$M$62,HLOOKUP(AM155,'2) หลักการคำนวน Table'!$D$1:$M$5,5,TRUE),0),
IF($C155="SF WH",VLOOKUP("GOAL",'2) หลักการคำนวน Table'!$D$92:$M$92,HLOOKUP(AM155,'2) หลักการคำนวน Table'!$D$1:$M$5,5,TRUE),0))))),0)</f>
        <v>0.9</v>
      </c>
      <c r="AZ155" s="167">
        <f>IFERROR(IF($C155="Top WS",VLOOKUP($B155,'2) หลักการคำนวน Table'!$D$5:$M$20,HLOOKUP(AB155,'2) หลักการคำนวน Table'!$D$1:$M$5,5,TRUE),0),
IF($C155="WS SF",VLOOKUP($B155,'2) หลักการคำนวน Table'!$D$33:$M$48,HLOOKUP(AB155,'2) หลักการคำนวน Table'!$D$1:$M$5,5,TRUE),0),
IF($C155="WS WH",VLOOKUP($B155,'2) หลักการคำนวน Table'!$D$63:$M$78,HLOOKUP(AB155,'2) หลักการคำนวน Table'!$D$1:$M$5,5,TRUE),0),
IF($C155="SF WH",VLOOKUP($B155,'2) หลักการคำนวน Table'!$D$93:$M$108,HLOOKUP(AB155,'2) หลักการคำนวน Table'!$D$1:$M$5,5,TRUE),0))))),0)</f>
        <v>157.5</v>
      </c>
      <c r="BA155" s="167">
        <f>IFERROR(IF($C155="Top WS",VLOOKUP($B155,'2) หลักการคำนวน Table'!$D$5:$M$20,HLOOKUP(AC155,'2) หลักการคำนวน Table'!$D$1:$M$5,5,TRUE),0),
IF($C155="WS SF",VLOOKUP($B155,'2) หลักการคำนวน Table'!$D$33:$M$48,HLOOKUP(AC155,'2) หลักการคำนวน Table'!$D$1:$M$5,5,TRUE),0),
IF($C155="WS WH",VLOOKUP($B155,'2) หลักการคำนวน Table'!$D$63:$M$78,HLOOKUP(AC155,'2) หลักการคำนวน Table'!$D$1:$M$5,5,TRUE),0),
IF($C155="SF WH",VLOOKUP($B155,'2) หลักการคำนวน Table'!$D$93:$M$108,HLOOKUP(AC155,'2) หลักการคำนวน Table'!$D$1:$M$5,5,TRUE),0))))),0)</f>
        <v>157.5</v>
      </c>
      <c r="BB155" s="167">
        <f>IFERROR(IF($C155="Top WS",VLOOKUP($B155,'2) หลักการคำนวน Table'!$D$5:$M$20,HLOOKUP(AD155,'2) หลักการคำนวน Table'!$D$1:$M$5,5,TRUE),0),
IF($C155="WS SF",VLOOKUP($B155,'2) หลักการคำนวน Table'!$D$33:$M$48,HLOOKUP(AD155,'2) หลักการคำนวน Table'!$D$1:$M$5,5,TRUE),0),
IF($C155="WS WH",VLOOKUP($B155,'2) หลักการคำนวน Table'!$D$63:$M$78,HLOOKUP(AD155,'2) หลักการคำนวน Table'!$D$1:$M$5,5,TRUE),0),
IF($C155="SF WH",VLOOKUP($B155,'2) หลักการคำนวน Table'!$D$93:$M$108,HLOOKUP(AD155,'2) หลักการคำนวน Table'!$D$1:$M$5,5,TRUE),0))))),0)</f>
        <v>157.5</v>
      </c>
      <c r="BC155" s="167">
        <f>IFERROR(IF($C155="Top WS",VLOOKUP($B155,'2) หลักการคำนวน Table'!$D$5:$M$20,HLOOKUP(AE155,'2) หลักการคำนวน Table'!$D$1:$M$5,5,TRUE),0),
IF($C155="WS SF",VLOOKUP($B155,'2) หลักการคำนวน Table'!$D$33:$M$48,HLOOKUP(AE155,'2) หลักการคำนวน Table'!$D$1:$M$5,5,TRUE),0),
IF($C155="WS WH",VLOOKUP($B155,'2) หลักการคำนวน Table'!$D$63:$M$78,HLOOKUP(AE155,'2) หลักการคำนวน Table'!$D$1:$M$5,5,TRUE),0),
IF($C155="SF WH",VLOOKUP($B155,'2) หลักการคำนวน Table'!$D$93:$M$108,HLOOKUP(AE155,'2) หลักการคำนวน Table'!$D$1:$M$5,5,TRUE),0))))),0)</f>
        <v>157.5</v>
      </c>
      <c r="BD155" s="167">
        <f>IFERROR(IF($C155="Top WS",VLOOKUP($B155,'2) หลักการคำนวน Table'!$D$5:$M$20,HLOOKUP(AF155,'2) หลักการคำนวน Table'!$D$1:$M$5,5,TRUE),0),
IF($C155="WS SF",VLOOKUP($B155,'2) หลักการคำนวน Table'!$D$33:$M$48,HLOOKUP(AF155,'2) หลักการคำนวน Table'!$D$1:$M$5,5,TRUE),0),
IF($C155="WS WH",VLOOKUP($B155,'2) หลักการคำนวน Table'!$D$63:$M$78,HLOOKUP(AF155,'2) หลักการคำนวน Table'!$D$1:$M$5,5,TRUE),0),
IF($C155="SF WH",VLOOKUP($B155,'2) หลักการคำนวน Table'!$D$93:$M$108,HLOOKUP(AF155,'2) หลักการคำนวน Table'!$D$1:$M$5,5,TRUE),0))))),0)</f>
        <v>157.5</v>
      </c>
      <c r="BE155" s="167">
        <f>IFERROR(IF($C155="Top WS",VLOOKUP($B155,'2) หลักการคำนวน Table'!$D$5:$M$20,HLOOKUP(AG155,'2) หลักการคำนวน Table'!$D$1:$M$5,5,TRUE),0),
IF($C155="WS SF",VLOOKUP($B155,'2) หลักการคำนวน Table'!$D$33:$M$48,HLOOKUP(AG155,'2) หลักการคำนวน Table'!$D$1:$M$5,5,TRUE),0),
IF($C155="WS WH",VLOOKUP($B155,'2) หลักการคำนวน Table'!$D$63:$M$78,HLOOKUP(AG155,'2) หลักการคำนวน Table'!$D$1:$M$5,5,TRUE),0),
IF($C155="SF WH",VLOOKUP($B155,'2) หลักการคำนวน Table'!$D$93:$M$108,HLOOKUP(AG155,'2) หลักการคำนวน Table'!$D$1:$M$5,5,TRUE),0))))),0)</f>
        <v>157.5</v>
      </c>
      <c r="BF155" s="167">
        <f>IFERROR(IF($C155="Top WS",VLOOKUP($B155,'2) หลักการคำนวน Table'!$D$5:$M$20,HLOOKUP(AH155,'2) หลักการคำนวน Table'!$D$1:$M$5,5,TRUE),0),
IF($C155="WS SF",VLOOKUP($B155,'2) หลักการคำนวน Table'!$D$33:$M$48,HLOOKUP(AH155,'2) หลักการคำนวน Table'!$D$1:$M$5,5,TRUE),0),
IF($C155="WS WH",VLOOKUP($B155,'2) หลักการคำนวน Table'!$D$63:$M$78,HLOOKUP(AH155,'2) หลักการคำนวน Table'!$D$1:$M$5,5,TRUE),0),
IF($C155="SF WH",VLOOKUP($B155,'2) หลักการคำนวน Table'!$D$93:$M$108,HLOOKUP(AH155,'2) หลักการคำนวน Table'!$D$1:$M$5,5,TRUE),0))))),0)</f>
        <v>157.5</v>
      </c>
      <c r="BG155" s="167">
        <f>IFERROR(IF($C155="Top WS",VLOOKUP($B155,'2) หลักการคำนวน Table'!$D$5:$M$20,HLOOKUP(AI155,'2) หลักการคำนวน Table'!$D$1:$M$5,5,TRUE),0),
IF($C155="WS SF",VLOOKUP($B155,'2) หลักการคำนวน Table'!$D$33:$M$48,HLOOKUP(AI155,'2) หลักการคำนวน Table'!$D$1:$M$5,5,TRUE),0),
IF($C155="WS WH",VLOOKUP($B155,'2) หลักการคำนวน Table'!$D$63:$M$78,HLOOKUP(AI155,'2) หลักการคำนวน Table'!$D$1:$M$5,5,TRUE),0),
IF($C155="SF WH",VLOOKUP($B155,'2) หลักการคำนวน Table'!$D$93:$M$108,HLOOKUP(AI155,'2) หลักการคำนวน Table'!$D$1:$M$5,5,TRUE),0))))),0)</f>
        <v>157.5</v>
      </c>
      <c r="BH155" s="167">
        <f>IFERROR(IF($C155="Top WS",VLOOKUP($B155,'2) หลักการคำนวน Table'!$D$5:$M$20,HLOOKUP(AP155,'2) หลักการคำนวน Table'!$D$1:$M$5,5,TRUE),0),
IF($C155="WS SF",VLOOKUP($B155,'2) หลักการคำนวน Table'!$D$33:$M$48,HLOOKUP(AP155,'2) หลักการคำนวน Table'!$D$1:$M$5,5,TRUE),0),
IF($C155="WS WH",VLOOKUP($B155,'2) หลักการคำนวน Table'!$D$63:$M$78,HLOOKUP(AP155,'2) หลักการคำนวน Table'!$D$1:$M$5,5,TRUE),0),
IF($C155="SF WH",VLOOKUP($B155,'2) หลักการคำนวน Table'!$D$93:$M$108,HLOOKUP(AP155,'2) หลักการคำนวน Table'!$D$1:$M$5,5,TRUE),0))))),0)</f>
        <v>157.5</v>
      </c>
      <c r="BI155" s="167">
        <f>IFERROR(IF($C155="Top WS",VLOOKUP($B155,'2) หลักการคำนวน Table'!$D$5:$M$20,HLOOKUP(AK155,'2) หลักการคำนวน Table'!$D$1:$M$5,5,TRUE),0),
IF($C155="WS SF",VLOOKUP($B155,'2) หลักการคำนวน Table'!$D$33:$M$48,HLOOKUP(AK155,'2) หลักการคำนวน Table'!$D$1:$M$5,5,TRUE),0),
IF($C155="WS WH",VLOOKUP($B155,'2) หลักการคำนวน Table'!$D$63:$M$78,HLOOKUP(AK155,'2) หลักการคำนวน Table'!$D$1:$M$5,5,TRUE),0),
IF($C155="SF WH",VLOOKUP($B155,'2) หลักการคำนวน Table'!$D$93:$M$108,HLOOKUP(AK155,'2) หลักการคำนวน Table'!$D$1:$M$5,5,TRUE),0))))),0)</f>
        <v>157.5</v>
      </c>
      <c r="BJ155" s="167">
        <f>IFERROR(IF($C155="Top WS",VLOOKUP($B155,'2) หลักการคำนวน Table'!$D$5:$M$20,HLOOKUP(AL155,'2) หลักการคำนวน Table'!$D$1:$M$5,5,TRUE),0),
IF($C155="WS SF",VLOOKUP($B155,'2) หลักการคำนวน Table'!$D$33:$M$48,HLOOKUP(AL155,'2) หลักการคำนวน Table'!$D$1:$M$5,5,TRUE),0),
IF($C155="WS WH",VLOOKUP($B155,'2) หลักการคำนวน Table'!$D$63:$M$78,HLOOKUP(AL155,'2) หลักการคำนวน Table'!$D$1:$M$5,5,TRUE),0),
IF($C155="SF WH",VLOOKUP($B155,'2) หลักการคำนวน Table'!$D$93:$M$108,HLOOKUP(AL155,'2) หลักการคำนวน Table'!$D$1:$M$5,5,TRUE),0))))),0)</f>
        <v>157.5</v>
      </c>
      <c r="BK155" s="167">
        <f>IFERROR(IF($C155="Top WS",VLOOKUP($B155,'2) หลักการคำนวน Table'!$D$5:$M$20,HLOOKUP(AM155,'2) หลักการคำนวน Table'!$D$1:$M$5,5,TRUE),0),
IF($C155="WS SF",VLOOKUP($B155,'2) หลักการคำนวน Table'!$D$33:$M$48,HLOOKUP(AM155,'2) หลักการคำนวน Table'!$D$1:$M$5,5,TRUE),0),
IF($C155="WS WH",VLOOKUP($B155,'2) หลักการคำนวน Table'!$D$63:$M$78,HLOOKUP(AM155,'2) หลักการคำนวน Table'!$D$1:$M$5,5,TRUE),0),
IF($C155="SF WH",VLOOKUP($B155,'2) หลักการคำนวน Table'!$D$93:$M$108,HLOOKUP(AM155,'2) หลักการคำนวน Table'!$D$1:$M$5,5,TRUE),0))))),0)</f>
        <v>157.5</v>
      </c>
      <c r="BM155" s="119">
        <f>VLOOKUP(VLOOKUP(A155,ASTBase!E:S,13,FALSE),ASTBase!F:P,11,FALSE)</f>
        <v>130000</v>
      </c>
      <c r="BN155" s="196" cm="1">
        <f t="array" ref="BN155">INDEX(AN155:AY155,,Period!$D$2)</f>
        <v>0.9</v>
      </c>
    </row>
    <row r="156" spans="1:66" x14ac:dyDescent="0.25">
      <c r="A156" s="117">
        <v>130003</v>
      </c>
      <c r="B156" s="117" t="s">
        <v>393</v>
      </c>
      <c r="C156" s="117" t="s">
        <v>180</v>
      </c>
      <c r="D156" s="118">
        <v>100</v>
      </c>
      <c r="E156" s="118">
        <v>71</v>
      </c>
      <c r="F156" s="118">
        <v>76</v>
      </c>
      <c r="G156" s="118">
        <v>77</v>
      </c>
      <c r="H156" s="118">
        <v>63</v>
      </c>
      <c r="I156" s="118">
        <v>74</v>
      </c>
      <c r="J156" s="118">
        <v>94</v>
      </c>
      <c r="K156" s="118">
        <v>97</v>
      </c>
      <c r="L156" s="118">
        <v>93</v>
      </c>
      <c r="M156" s="118">
        <v>96</v>
      </c>
      <c r="N156" s="118">
        <v>74</v>
      </c>
      <c r="O156" s="118">
        <v>75</v>
      </c>
      <c r="P156" s="117">
        <f>SUMIFS(Actual!C:C,Actual!$A:$A,'3)Target &amp; Cal'!$A156,Actual!$B:$B,'3)Target &amp; Cal'!$B156)</f>
        <v>0</v>
      </c>
      <c r="Q156" s="117">
        <f>SUMIFS(Actual!D:D,Actual!$A:$A,'3)Target &amp; Cal'!$A156,Actual!$B:$B,'3)Target &amp; Cal'!$B156)</f>
        <v>0</v>
      </c>
      <c r="R156" s="117">
        <f>SUMIFS(Actual!E:E,Actual!$A:$A,'3)Target &amp; Cal'!$A156,Actual!$B:$B,'3)Target &amp; Cal'!$B156)</f>
        <v>0</v>
      </c>
      <c r="S156" s="117">
        <f>SUMIFS(Actual!F:F,Actual!$A:$A,'3)Target &amp; Cal'!$A156,Actual!$B:$B,'3)Target &amp; Cal'!$B156)</f>
        <v>0</v>
      </c>
      <c r="T156" s="117">
        <f>SUMIFS(Actual!G:G,Actual!$A:$A,'3)Target &amp; Cal'!$A156,Actual!$B:$B,'3)Target &amp; Cal'!$B156)</f>
        <v>0</v>
      </c>
      <c r="U156" s="117">
        <f>SUMIFS(Actual!H:H,Actual!$A:$A,'3)Target &amp; Cal'!$A156,Actual!$B:$B,'3)Target &amp; Cal'!$B156)</f>
        <v>0</v>
      </c>
      <c r="V156" s="117">
        <f>SUMIFS(Actual!I:I,Actual!$A:$A,'3)Target &amp; Cal'!$A156,Actual!$B:$B,'3)Target &amp; Cal'!$B156)</f>
        <v>0</v>
      </c>
      <c r="W156" s="117">
        <f>SUMIFS(Actual!J:J,Actual!$A:$A,'3)Target &amp; Cal'!$A156,Actual!$B:$B,'3)Target &amp; Cal'!$B156)</f>
        <v>0</v>
      </c>
      <c r="X156" s="117">
        <f>SUMIFS(Actual!K:K,Actual!$A:$A,'3)Target &amp; Cal'!$A156,Actual!$B:$B,'3)Target &amp; Cal'!$B156)</f>
        <v>0</v>
      </c>
      <c r="Y156" s="117">
        <f>SUMIFS(Actual!L:L,Actual!$A:$A,'3)Target &amp; Cal'!$A156,Actual!$B:$B,'3)Target &amp; Cal'!$B156)</f>
        <v>0</v>
      </c>
      <c r="Z156" s="117">
        <f>SUMIFS(Actual!M:M,Actual!$A:$A,'3)Target &amp; Cal'!$A156,Actual!$B:$B,'3)Target &amp; Cal'!$B156)</f>
        <v>0</v>
      </c>
      <c r="AA156" s="117">
        <f>SUMIFS(Actual!N:N,Actual!$A:$A,'3)Target &amp; Cal'!$A156,Actual!$B:$B,'3)Target &amp; Cal'!$B156)</f>
        <v>0</v>
      </c>
      <c r="AB156" s="123">
        <f>IFERROR(IF(VLOOKUP($B156,Shortage!$A:$M,AB$2,FALSE)="Shortage",1,IFERROR(ROUND(P156/D156,4),0)),IFERROR(ROUND(P156/D156,4),0))</f>
        <v>0</v>
      </c>
      <c r="AC156" s="123">
        <f>IFERROR(IF(VLOOKUP($B156,Shortage!$A:$M,AC$2,FALSE)="Shortage",1,IFERROR(ROUND(Q156/E156,4),0)),IFERROR(ROUND(Q156/E156,4),0))</f>
        <v>0</v>
      </c>
      <c r="AD156" s="123">
        <f>IFERROR(IF(VLOOKUP($B156,Shortage!$A:$M,AD$2,FALSE)="Shortage",1,IFERROR(ROUND(R156/F156,4),0)),IFERROR(ROUND(R156/F156,4),0))</f>
        <v>0</v>
      </c>
      <c r="AE156" s="123">
        <f>IFERROR(IF(VLOOKUP($B156,Shortage!$A:$M,AE$2,FALSE)="Shortage",1,IFERROR(ROUND(S156/G156,4),0)),IFERROR(ROUND(S156/G156,4),0))</f>
        <v>0</v>
      </c>
      <c r="AF156" s="123">
        <f>IFERROR(IF(VLOOKUP($B156,Shortage!$A:$M,AF$2,FALSE)="Shortage",1,IFERROR(ROUND(T156/H156,4),0)),IFERROR(ROUND(T156/H156,4),0))</f>
        <v>0</v>
      </c>
      <c r="AG156" s="123">
        <f>IFERROR(IF(VLOOKUP($B156,Shortage!$A:$M,AG$2,FALSE)="Shortage",1,IFERROR(ROUND(U156/I156,4),0)),IFERROR(ROUND(U156/I156,4),0))</f>
        <v>0</v>
      </c>
      <c r="AH156" s="123">
        <f>IFERROR(IF(VLOOKUP($B156,Shortage!$A:$M,AH$2,FALSE)="Shortage",1,IFERROR(ROUND(V156/J156,4),0)),IFERROR(ROUND(V156/J156,4),0))</f>
        <v>0</v>
      </c>
      <c r="AI156" s="123">
        <f>IFERROR(IF(VLOOKUP($B156,Shortage!$A:$M,AI$2,FALSE)="Shortage",1,IFERROR(ROUND(W156/K156,4),0)),IFERROR(ROUND(W156/K156,4),0))</f>
        <v>0</v>
      </c>
      <c r="AJ156" s="123">
        <f>IFERROR(IF(VLOOKUP($B156,Shortage!$A:$M,AP$2,FALSE)="Shortage",1,IFERROR(ROUND(X156/L156,4),0)),IFERROR(ROUND(X156/L156,4),0))</f>
        <v>0</v>
      </c>
      <c r="AK156" s="123">
        <f>IFERROR(IF(VLOOKUP($B156,Shortage!$A:$M,AK$2,FALSE)="Shortage",1,IFERROR(ROUND(Y156/M156,4),0)),IFERROR(ROUND(Y156/M156,4),0))</f>
        <v>0</v>
      </c>
      <c r="AL156" s="123">
        <f>IFERROR(IF(VLOOKUP($B156,Shortage!$A:$M,AL$2,FALSE)="Shortage",1,IFERROR(ROUND(Z156/N156,4),0)),IFERROR(ROUND(Z156/N156,4),0))</f>
        <v>0</v>
      </c>
      <c r="AM156" s="123">
        <f>IFERROR(IF(VLOOKUP($B156,Shortage!$A:$M,AM$2,FALSE)="Shortage",1,IFERROR(ROUND(AA156/O156,4),0)),IFERROR(ROUND(AA156/O156,4),0))</f>
        <v>0</v>
      </c>
      <c r="AN156" s="232">
        <f>IFERROR(IF($C156="Top WS",VLOOKUP("GOAL",'2) หลักการคำนวน Table'!$D$4:$M$4,HLOOKUP(AB156,'2) หลักการคำนวน Table'!$D$1:$M$5,5,TRUE),0),
IF($C156="WS SF",VLOOKUP("GOAL",'2) หลักการคำนวน Table'!$D$32:$M$32,HLOOKUP(AB156,'2) หลักการคำนวน Table'!$D$1:$M$5,5,TRUE),0),
IF($C156="WS WH",VLOOKUP("GOAL",'2) หลักการคำนวน Table'!$D$62:$M$62,HLOOKUP(AB156,'2) หลักการคำนวน Table'!$D$1:$M$5,5,TRUE),0),
IF($C156="SF WH",VLOOKUP("GOAL",'2) หลักการคำนวน Table'!$D$92:$M$92,HLOOKUP(AB156,'2) หลักการคำนวน Table'!$D$1:$M$5,5,TRUE),0))))),0)</f>
        <v>0.9</v>
      </c>
      <c r="AO156" s="232">
        <f>IFERROR(IF($C156="Top WS",VLOOKUP("GOAL",'2) หลักการคำนวน Table'!$D$4:$M$4,HLOOKUP(AC156,'2) หลักการคำนวน Table'!$D$1:$M$5,5,TRUE),0),
IF($C156="WS SF",VLOOKUP("GOAL",'2) หลักการคำนวน Table'!$D$32:$M$32,HLOOKUP(AC156,'2) หลักการคำนวน Table'!$D$1:$M$5,5,TRUE),0),
IF($C156="WS WH",VLOOKUP("GOAL",'2) หลักการคำนวน Table'!$D$62:$M$62,HLOOKUP(AC156,'2) หลักการคำนวน Table'!$D$1:$M$5,5,TRUE),0),
IF($C156="SF WH",VLOOKUP("GOAL",'2) หลักการคำนวน Table'!$D$92:$M$92,HLOOKUP(AC156,'2) หลักการคำนวน Table'!$D$1:$M$5,5,TRUE),0))))),0)</f>
        <v>0.9</v>
      </c>
      <c r="AP156" s="232">
        <f>IFERROR(IF($C156="Top WS",VLOOKUP("GOAL",'2) หลักการคำนวน Table'!$D$4:$M$4,HLOOKUP(AD156,'2) หลักการคำนวน Table'!$D$1:$M$5,5,TRUE),0),
IF($C156="WS SF",VLOOKUP("GOAL",'2) หลักการคำนวน Table'!$D$32:$M$32,HLOOKUP(AD156,'2) หลักการคำนวน Table'!$D$1:$M$5,5,TRUE),0),
IF($C156="WS WH",VLOOKUP("GOAL",'2) หลักการคำนวน Table'!$D$62:$M$62,HLOOKUP(AD156,'2) หลักการคำนวน Table'!$D$1:$M$5,5,TRUE),0),
IF($C156="SF WH",VLOOKUP("GOAL",'2) หลักการคำนวน Table'!$D$92:$M$92,HLOOKUP(AD156,'2) หลักการคำนวน Table'!$D$1:$M$5,5,TRUE),0))))),0)</f>
        <v>0.9</v>
      </c>
      <c r="AQ156" s="232">
        <f>IFERROR(IF($C156="Top WS",VLOOKUP("GOAL",'2) หลักการคำนวน Table'!$D$4:$M$4,HLOOKUP(AE156,'2) หลักการคำนวน Table'!$D$1:$M$5,5,TRUE),0),
IF($C156="WS SF",VLOOKUP("GOAL",'2) หลักการคำนวน Table'!$D$32:$M$32,HLOOKUP(AE156,'2) หลักการคำนวน Table'!$D$1:$M$5,5,TRUE),0),
IF($C156="WS WH",VLOOKUP("GOAL",'2) หลักการคำนวน Table'!$D$62:$M$62,HLOOKUP(AE156,'2) หลักการคำนวน Table'!$D$1:$M$5,5,TRUE),0),
IF($C156="SF WH",VLOOKUP("GOAL",'2) หลักการคำนวน Table'!$D$92:$M$92,HLOOKUP(AE156,'2) หลักการคำนวน Table'!$D$1:$M$5,5,TRUE),0))))),0)</f>
        <v>0.9</v>
      </c>
      <c r="AR156" s="232">
        <f>IFERROR(IF($C156="Top WS",VLOOKUP("GOAL",'2) หลักการคำนวน Table'!$D$4:$M$4,HLOOKUP(AF156,'2) หลักการคำนวน Table'!$D$1:$M$5,5,TRUE),0),
IF($C156="WS SF",VLOOKUP("GOAL",'2) หลักการคำนวน Table'!$D$32:$M$32,HLOOKUP(AF156,'2) หลักการคำนวน Table'!$D$1:$M$5,5,TRUE),0),
IF($C156="WS WH",VLOOKUP("GOAL",'2) หลักการคำนวน Table'!$D$62:$M$62,HLOOKUP(AF156,'2) หลักการคำนวน Table'!$D$1:$M$5,5,TRUE),0),
IF($C156="SF WH",VLOOKUP("GOAL",'2) หลักการคำนวน Table'!$D$92:$M$92,HLOOKUP(AF156,'2) หลักการคำนวน Table'!$D$1:$M$5,5,TRUE),0))))),0)</f>
        <v>0.9</v>
      </c>
      <c r="AS156" s="232">
        <f>IFERROR(IF($C156="Top WS",VLOOKUP("GOAL",'2) หลักการคำนวน Table'!$D$4:$M$4,HLOOKUP(AG156,'2) หลักการคำนวน Table'!$D$1:$M$5,5,TRUE),0),
IF($C156="WS SF",VLOOKUP("GOAL",'2) หลักการคำนวน Table'!$D$32:$M$32,HLOOKUP(AG156,'2) หลักการคำนวน Table'!$D$1:$M$5,5,TRUE),0),
IF($C156="WS WH",VLOOKUP("GOAL",'2) หลักการคำนวน Table'!$D$62:$M$62,HLOOKUP(AG156,'2) หลักการคำนวน Table'!$D$1:$M$5,5,TRUE),0),
IF($C156="SF WH",VLOOKUP("GOAL",'2) หลักการคำนวน Table'!$D$92:$M$92,HLOOKUP(AG156,'2) หลักการคำนวน Table'!$D$1:$M$5,5,TRUE),0))))),0)</f>
        <v>0.9</v>
      </c>
      <c r="AT156" s="232">
        <f>IFERROR(IF($C156="Top WS",VLOOKUP("GOAL",'2) หลักการคำนวน Table'!$D$4:$M$4,HLOOKUP(AH156,'2) หลักการคำนวน Table'!$D$1:$M$5,5,TRUE),0),
IF($C156="WS SF",VLOOKUP("GOAL",'2) หลักการคำนวน Table'!$D$32:$M$32,HLOOKUP(AH156,'2) หลักการคำนวน Table'!$D$1:$M$5,5,TRUE),0),
IF($C156="WS WH",VLOOKUP("GOAL",'2) หลักการคำนวน Table'!$D$62:$M$62,HLOOKUP(AH156,'2) หลักการคำนวน Table'!$D$1:$M$5,5,TRUE),0),
IF($C156="SF WH",VLOOKUP("GOAL",'2) หลักการคำนวน Table'!$D$92:$M$92,HLOOKUP(AH156,'2) หลักการคำนวน Table'!$D$1:$M$5,5,TRUE),0))))),0)</f>
        <v>0.9</v>
      </c>
      <c r="AU156" s="232">
        <f>IFERROR(IF($C156="Top WS",VLOOKUP("GOAL",'2) หลักการคำนวน Table'!$D$4:$M$4,HLOOKUP(AI156,'2) หลักการคำนวน Table'!$D$1:$M$5,5,TRUE),0),
IF($C156="WS SF",VLOOKUP("GOAL",'2) หลักการคำนวน Table'!$D$32:$M$32,HLOOKUP(AI156,'2) หลักการคำนวน Table'!$D$1:$M$5,5,TRUE),0),
IF($C156="WS WH",VLOOKUP("GOAL",'2) หลักการคำนวน Table'!$D$62:$M$62,HLOOKUP(AI156,'2) หลักการคำนวน Table'!$D$1:$M$5,5,TRUE),0),
IF($C156="SF WH",VLOOKUP("GOAL",'2) หลักการคำนวน Table'!$D$92:$M$92,HLOOKUP(AI156,'2) หลักการคำนวน Table'!$D$1:$M$5,5,TRUE),0))))),0)</f>
        <v>0.9</v>
      </c>
      <c r="AV156" s="232">
        <f>IFERROR(IF($C156="Top WS",VLOOKUP("GOAL",'2) หลักการคำนวน Table'!$D$4:$M$4,HLOOKUP(AP156,'2) หลักการคำนวน Table'!$D$1:$M$5,5,TRUE),0),
IF($C156="WS SF",VLOOKUP("GOAL",'2) หลักการคำนวน Table'!$D$32:$M$32,HLOOKUP(AP156,'2) หลักการคำนวน Table'!$D$1:$M$5,5,TRUE),0),
IF($C156="WS WH",VLOOKUP("GOAL",'2) หลักการคำนวน Table'!$D$62:$M$62,HLOOKUP(AP156,'2) หลักการคำนวน Table'!$D$1:$M$5,5,TRUE),0),
IF($C156="SF WH",VLOOKUP("GOAL",'2) หลักการคำนวน Table'!$D$92:$M$92,HLOOKUP(AP156,'2) หลักการคำนวน Table'!$D$1:$M$5,5,TRUE),0))))),0)</f>
        <v>0.9</v>
      </c>
      <c r="AW156" s="232">
        <f>IFERROR(IF($C156="Top WS",VLOOKUP("GOAL",'2) หลักการคำนวน Table'!$D$4:$M$4,HLOOKUP(AK156,'2) หลักการคำนวน Table'!$D$1:$M$5,5,TRUE),0),
IF($C156="WS SF",VLOOKUP("GOAL",'2) หลักการคำนวน Table'!$D$32:$M$32,HLOOKUP(AK156,'2) หลักการคำนวน Table'!$D$1:$M$5,5,TRUE),0),
IF($C156="WS WH",VLOOKUP("GOAL",'2) หลักการคำนวน Table'!$D$62:$M$62,HLOOKUP(AK156,'2) หลักการคำนวน Table'!$D$1:$M$5,5,TRUE),0),
IF($C156="SF WH",VLOOKUP("GOAL",'2) หลักการคำนวน Table'!$D$92:$M$92,HLOOKUP(AK156,'2) หลักการคำนวน Table'!$D$1:$M$5,5,TRUE),0))))),0)</f>
        <v>0.9</v>
      </c>
      <c r="AX156" s="232">
        <f>IFERROR(IF($C156="Top WS",VLOOKUP("GOAL",'2) หลักการคำนวน Table'!$D$4:$M$4,HLOOKUP(AL156,'2) หลักการคำนวน Table'!$D$1:$M$5,5,TRUE),0),
IF($C156="WS SF",VLOOKUP("GOAL",'2) หลักการคำนวน Table'!$D$32:$M$32,HLOOKUP(AL156,'2) หลักการคำนวน Table'!$D$1:$M$5,5,TRUE),0),
IF($C156="WS WH",VLOOKUP("GOAL",'2) หลักการคำนวน Table'!$D$62:$M$62,HLOOKUP(AL156,'2) หลักการคำนวน Table'!$D$1:$M$5,5,TRUE),0),
IF($C156="SF WH",VLOOKUP("GOAL",'2) หลักการคำนวน Table'!$D$92:$M$92,HLOOKUP(AL156,'2) หลักการคำนวน Table'!$D$1:$M$5,5,TRUE),0))))),0)</f>
        <v>0.9</v>
      </c>
      <c r="AY156" s="232">
        <f>IFERROR(IF($C156="Top WS",VLOOKUP("GOAL",'2) หลักการคำนวน Table'!$D$4:$M$4,HLOOKUP(AM156,'2) หลักการคำนวน Table'!$D$1:$M$5,5,TRUE),0),
IF($C156="WS SF",VLOOKUP("GOAL",'2) หลักการคำนวน Table'!$D$32:$M$32,HLOOKUP(AM156,'2) หลักการคำนวน Table'!$D$1:$M$5,5,TRUE),0),
IF($C156="WS WH",VLOOKUP("GOAL",'2) หลักการคำนวน Table'!$D$62:$M$62,HLOOKUP(AM156,'2) หลักการคำนวน Table'!$D$1:$M$5,5,TRUE),0),
IF($C156="SF WH",VLOOKUP("GOAL",'2) หลักการคำนวน Table'!$D$92:$M$92,HLOOKUP(AM156,'2) หลักการคำนวน Table'!$D$1:$M$5,5,TRUE),0))))),0)</f>
        <v>0.9</v>
      </c>
      <c r="AZ156" s="167">
        <f>IFERROR(IF($C156="Top WS",VLOOKUP($B156,'2) หลักการคำนวน Table'!$D$5:$M$20,HLOOKUP(AB156,'2) หลักการคำนวน Table'!$D$1:$M$5,5,TRUE),0),
IF($C156="WS SF",VLOOKUP($B156,'2) หลักการคำนวน Table'!$D$33:$M$48,HLOOKUP(AB156,'2) หลักการคำนวน Table'!$D$1:$M$5,5,TRUE),0),
IF($C156="WS WH",VLOOKUP($B156,'2) หลักการคำนวน Table'!$D$63:$M$78,HLOOKUP(AB156,'2) หลักการคำนวน Table'!$D$1:$M$5,5,TRUE),0),
IF($C156="SF WH",VLOOKUP($B156,'2) หลักการคำนวน Table'!$D$93:$M$108,HLOOKUP(AB156,'2) หลักการคำนวน Table'!$D$1:$M$5,5,TRUE),0))))),0)</f>
        <v>157.5</v>
      </c>
      <c r="BA156" s="167">
        <f>IFERROR(IF($C156="Top WS",VLOOKUP($B156,'2) หลักการคำนวน Table'!$D$5:$M$20,HLOOKUP(AC156,'2) หลักการคำนวน Table'!$D$1:$M$5,5,TRUE),0),
IF($C156="WS SF",VLOOKUP($B156,'2) หลักการคำนวน Table'!$D$33:$M$48,HLOOKUP(AC156,'2) หลักการคำนวน Table'!$D$1:$M$5,5,TRUE),0),
IF($C156="WS WH",VLOOKUP($B156,'2) หลักการคำนวน Table'!$D$63:$M$78,HLOOKUP(AC156,'2) หลักการคำนวน Table'!$D$1:$M$5,5,TRUE),0),
IF($C156="SF WH",VLOOKUP($B156,'2) หลักการคำนวน Table'!$D$93:$M$108,HLOOKUP(AC156,'2) หลักการคำนวน Table'!$D$1:$M$5,5,TRUE),0))))),0)</f>
        <v>157.5</v>
      </c>
      <c r="BB156" s="167">
        <f>IFERROR(IF($C156="Top WS",VLOOKUP($B156,'2) หลักการคำนวน Table'!$D$5:$M$20,HLOOKUP(AD156,'2) หลักการคำนวน Table'!$D$1:$M$5,5,TRUE),0),
IF($C156="WS SF",VLOOKUP($B156,'2) หลักการคำนวน Table'!$D$33:$M$48,HLOOKUP(AD156,'2) หลักการคำนวน Table'!$D$1:$M$5,5,TRUE),0),
IF($C156="WS WH",VLOOKUP($B156,'2) หลักการคำนวน Table'!$D$63:$M$78,HLOOKUP(AD156,'2) หลักการคำนวน Table'!$D$1:$M$5,5,TRUE),0),
IF($C156="SF WH",VLOOKUP($B156,'2) หลักการคำนวน Table'!$D$93:$M$108,HLOOKUP(AD156,'2) หลักการคำนวน Table'!$D$1:$M$5,5,TRUE),0))))),0)</f>
        <v>157.5</v>
      </c>
      <c r="BC156" s="167">
        <f>IFERROR(IF($C156="Top WS",VLOOKUP($B156,'2) หลักการคำนวน Table'!$D$5:$M$20,HLOOKUP(AE156,'2) หลักการคำนวน Table'!$D$1:$M$5,5,TRUE),0),
IF($C156="WS SF",VLOOKUP($B156,'2) หลักการคำนวน Table'!$D$33:$M$48,HLOOKUP(AE156,'2) หลักการคำนวน Table'!$D$1:$M$5,5,TRUE),0),
IF($C156="WS WH",VLOOKUP($B156,'2) หลักการคำนวน Table'!$D$63:$M$78,HLOOKUP(AE156,'2) หลักการคำนวน Table'!$D$1:$M$5,5,TRUE),0),
IF($C156="SF WH",VLOOKUP($B156,'2) หลักการคำนวน Table'!$D$93:$M$108,HLOOKUP(AE156,'2) หลักการคำนวน Table'!$D$1:$M$5,5,TRUE),0))))),0)</f>
        <v>157.5</v>
      </c>
      <c r="BD156" s="167">
        <f>IFERROR(IF($C156="Top WS",VLOOKUP($B156,'2) หลักการคำนวน Table'!$D$5:$M$20,HLOOKUP(AF156,'2) หลักการคำนวน Table'!$D$1:$M$5,5,TRUE),0),
IF($C156="WS SF",VLOOKUP($B156,'2) หลักการคำนวน Table'!$D$33:$M$48,HLOOKUP(AF156,'2) หลักการคำนวน Table'!$D$1:$M$5,5,TRUE),0),
IF($C156="WS WH",VLOOKUP($B156,'2) หลักการคำนวน Table'!$D$63:$M$78,HLOOKUP(AF156,'2) หลักการคำนวน Table'!$D$1:$M$5,5,TRUE),0),
IF($C156="SF WH",VLOOKUP($B156,'2) หลักการคำนวน Table'!$D$93:$M$108,HLOOKUP(AF156,'2) หลักการคำนวน Table'!$D$1:$M$5,5,TRUE),0))))),0)</f>
        <v>157.5</v>
      </c>
      <c r="BE156" s="167">
        <f>IFERROR(IF($C156="Top WS",VLOOKUP($B156,'2) หลักการคำนวน Table'!$D$5:$M$20,HLOOKUP(AG156,'2) หลักการคำนวน Table'!$D$1:$M$5,5,TRUE),0),
IF($C156="WS SF",VLOOKUP($B156,'2) หลักการคำนวน Table'!$D$33:$M$48,HLOOKUP(AG156,'2) หลักการคำนวน Table'!$D$1:$M$5,5,TRUE),0),
IF($C156="WS WH",VLOOKUP($B156,'2) หลักการคำนวน Table'!$D$63:$M$78,HLOOKUP(AG156,'2) หลักการคำนวน Table'!$D$1:$M$5,5,TRUE),0),
IF($C156="SF WH",VLOOKUP($B156,'2) หลักการคำนวน Table'!$D$93:$M$108,HLOOKUP(AG156,'2) หลักการคำนวน Table'!$D$1:$M$5,5,TRUE),0))))),0)</f>
        <v>157.5</v>
      </c>
      <c r="BF156" s="167">
        <f>IFERROR(IF($C156="Top WS",VLOOKUP($B156,'2) หลักการคำนวน Table'!$D$5:$M$20,HLOOKUP(AH156,'2) หลักการคำนวน Table'!$D$1:$M$5,5,TRUE),0),
IF($C156="WS SF",VLOOKUP($B156,'2) หลักการคำนวน Table'!$D$33:$M$48,HLOOKUP(AH156,'2) หลักการคำนวน Table'!$D$1:$M$5,5,TRUE),0),
IF($C156="WS WH",VLOOKUP($B156,'2) หลักการคำนวน Table'!$D$63:$M$78,HLOOKUP(AH156,'2) หลักการคำนวน Table'!$D$1:$M$5,5,TRUE),0),
IF($C156="SF WH",VLOOKUP($B156,'2) หลักการคำนวน Table'!$D$93:$M$108,HLOOKUP(AH156,'2) หลักการคำนวน Table'!$D$1:$M$5,5,TRUE),0))))),0)</f>
        <v>157.5</v>
      </c>
      <c r="BG156" s="167">
        <f>IFERROR(IF($C156="Top WS",VLOOKUP($B156,'2) หลักการคำนวน Table'!$D$5:$M$20,HLOOKUP(AI156,'2) หลักการคำนวน Table'!$D$1:$M$5,5,TRUE),0),
IF($C156="WS SF",VLOOKUP($B156,'2) หลักการคำนวน Table'!$D$33:$M$48,HLOOKUP(AI156,'2) หลักการคำนวน Table'!$D$1:$M$5,5,TRUE),0),
IF($C156="WS WH",VLOOKUP($B156,'2) หลักการคำนวน Table'!$D$63:$M$78,HLOOKUP(AI156,'2) หลักการคำนวน Table'!$D$1:$M$5,5,TRUE),0),
IF($C156="SF WH",VLOOKUP($B156,'2) หลักการคำนวน Table'!$D$93:$M$108,HLOOKUP(AI156,'2) หลักการคำนวน Table'!$D$1:$M$5,5,TRUE),0))))),0)</f>
        <v>157.5</v>
      </c>
      <c r="BH156" s="167">
        <f>IFERROR(IF($C156="Top WS",VLOOKUP($B156,'2) หลักการคำนวน Table'!$D$5:$M$20,HLOOKUP(AP156,'2) หลักการคำนวน Table'!$D$1:$M$5,5,TRUE),0),
IF($C156="WS SF",VLOOKUP($B156,'2) หลักการคำนวน Table'!$D$33:$M$48,HLOOKUP(AP156,'2) หลักการคำนวน Table'!$D$1:$M$5,5,TRUE),0),
IF($C156="WS WH",VLOOKUP($B156,'2) หลักการคำนวน Table'!$D$63:$M$78,HLOOKUP(AP156,'2) หลักการคำนวน Table'!$D$1:$M$5,5,TRUE),0),
IF($C156="SF WH",VLOOKUP($B156,'2) หลักการคำนวน Table'!$D$93:$M$108,HLOOKUP(AP156,'2) หลักการคำนวน Table'!$D$1:$M$5,5,TRUE),0))))),0)</f>
        <v>157.5</v>
      </c>
      <c r="BI156" s="167">
        <f>IFERROR(IF($C156="Top WS",VLOOKUP($B156,'2) หลักการคำนวน Table'!$D$5:$M$20,HLOOKUP(AK156,'2) หลักการคำนวน Table'!$D$1:$M$5,5,TRUE),0),
IF($C156="WS SF",VLOOKUP($B156,'2) หลักการคำนวน Table'!$D$33:$M$48,HLOOKUP(AK156,'2) หลักการคำนวน Table'!$D$1:$M$5,5,TRUE),0),
IF($C156="WS WH",VLOOKUP($B156,'2) หลักการคำนวน Table'!$D$63:$M$78,HLOOKUP(AK156,'2) หลักการคำนวน Table'!$D$1:$M$5,5,TRUE),0),
IF($C156="SF WH",VLOOKUP($B156,'2) หลักการคำนวน Table'!$D$93:$M$108,HLOOKUP(AK156,'2) หลักการคำนวน Table'!$D$1:$M$5,5,TRUE),0))))),0)</f>
        <v>157.5</v>
      </c>
      <c r="BJ156" s="167">
        <f>IFERROR(IF($C156="Top WS",VLOOKUP($B156,'2) หลักการคำนวน Table'!$D$5:$M$20,HLOOKUP(AL156,'2) หลักการคำนวน Table'!$D$1:$M$5,5,TRUE),0),
IF($C156="WS SF",VLOOKUP($B156,'2) หลักการคำนวน Table'!$D$33:$M$48,HLOOKUP(AL156,'2) หลักการคำนวน Table'!$D$1:$M$5,5,TRUE),0),
IF($C156="WS WH",VLOOKUP($B156,'2) หลักการคำนวน Table'!$D$63:$M$78,HLOOKUP(AL156,'2) หลักการคำนวน Table'!$D$1:$M$5,5,TRUE),0),
IF($C156="SF WH",VLOOKUP($B156,'2) หลักการคำนวน Table'!$D$93:$M$108,HLOOKUP(AL156,'2) หลักการคำนวน Table'!$D$1:$M$5,5,TRUE),0))))),0)</f>
        <v>157.5</v>
      </c>
      <c r="BK156" s="167">
        <f>IFERROR(IF($C156="Top WS",VLOOKUP($B156,'2) หลักการคำนวน Table'!$D$5:$M$20,HLOOKUP(AM156,'2) หลักการคำนวน Table'!$D$1:$M$5,5,TRUE),0),
IF($C156="WS SF",VLOOKUP($B156,'2) หลักการคำนวน Table'!$D$33:$M$48,HLOOKUP(AM156,'2) หลักการคำนวน Table'!$D$1:$M$5,5,TRUE),0),
IF($C156="WS WH",VLOOKUP($B156,'2) หลักการคำนวน Table'!$D$63:$M$78,HLOOKUP(AM156,'2) หลักการคำนวน Table'!$D$1:$M$5,5,TRUE),0),
IF($C156="SF WH",VLOOKUP($B156,'2) หลักการคำนวน Table'!$D$93:$M$108,HLOOKUP(AM156,'2) หลักการคำนวน Table'!$D$1:$M$5,5,TRUE),0))))),0)</f>
        <v>157.5</v>
      </c>
      <c r="BM156" s="119">
        <f>VLOOKUP(VLOOKUP(A156,ASTBase!E:S,13,FALSE),ASTBase!F:P,11,FALSE)</f>
        <v>130000</v>
      </c>
      <c r="BN156" s="196" cm="1">
        <f t="array" ref="BN156">INDEX(AN156:AY156,,Period!$D$2)</f>
        <v>0.9</v>
      </c>
    </row>
    <row r="158" spans="1:66" x14ac:dyDescent="0.25">
      <c r="P158" s="255"/>
    </row>
  </sheetData>
  <autoFilter ref="A3:BN3" xr:uid="{A1CD279D-F71F-423D-AE12-843149B1119C}"/>
  <mergeCells count="5">
    <mergeCell ref="D1:O1"/>
    <mergeCell ref="P1:AA1"/>
    <mergeCell ref="AB1:AM1"/>
    <mergeCell ref="AZ1:BK1"/>
    <mergeCell ref="AN1:AY1"/>
  </mergeCells>
  <dataValidations count="1">
    <dataValidation type="list" allowBlank="1" showInputMessage="1" showErrorMessage="1" sqref="C4:C156" xr:uid="{A16195E0-76B3-4209-8C57-01F861E8D91D}">
      <formula1>"Top WS,WS SF,WS WH,SF WH"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587700-DF4C-404A-B794-DA5C49FFAD2D}">
          <x14:formula1>
            <xm:f>Product!$A$2:$A$12</xm:f>
          </x14:formula1>
          <xm:sqref>B4:B156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1420-264F-406B-9600-A8F14231ADD7}">
  <sheetPr>
    <tabColor rgb="FFFF0000"/>
  </sheetPr>
  <dimension ref="A1:X23"/>
  <sheetViews>
    <sheetView tabSelected="1" zoomScale="130" zoomScaleNormal="130" workbookViewId="0">
      <selection activeCell="H1" sqref="H1:J1048576"/>
    </sheetView>
  </sheetViews>
  <sheetFormatPr defaultColWidth="9.09765625" defaultRowHeight="10.8" x14ac:dyDescent="0.25"/>
  <cols>
    <col min="1" max="1" width="10.5" style="139" customWidth="1"/>
    <col min="2" max="2" width="6.5" style="139" customWidth="1"/>
    <col min="3" max="3" width="19.09765625" style="139" hidden="1" customWidth="1"/>
    <col min="4" max="4" width="10.3984375" style="139" hidden="1" customWidth="1"/>
    <col min="5" max="5" width="21" style="139" hidden="1" customWidth="1"/>
    <col min="6" max="6" width="14.09765625" style="139" customWidth="1"/>
    <col min="7" max="7" width="25.3984375" style="242" customWidth="1"/>
    <col min="8" max="10" width="2.19921875" style="139" customWidth="1"/>
    <col min="11" max="11" width="14.69921875" style="202" customWidth="1"/>
    <col min="12" max="12" width="10.59765625" style="139" customWidth="1"/>
    <col min="13" max="13" width="12" style="139" customWidth="1"/>
    <col min="14" max="14" width="11.8984375" style="200" customWidth="1"/>
    <col min="15" max="15" width="11.8984375" style="250" customWidth="1"/>
    <col min="16" max="16" width="12.8984375" style="208" customWidth="1"/>
    <col min="17" max="17" width="12.3984375" style="207" customWidth="1"/>
    <col min="18" max="18" width="10.59765625" style="206" customWidth="1"/>
    <col min="19" max="19" width="10.59765625" style="209" customWidth="1"/>
    <col min="20" max="20" width="9" style="207" customWidth="1"/>
    <col min="21" max="21" width="10.59765625" style="207" customWidth="1"/>
    <col min="22" max="22" width="9.59765625" style="209" customWidth="1"/>
    <col min="23" max="23" width="8" style="207" customWidth="1"/>
    <col min="24" max="24" width="10.5" style="208" bestFit="1" customWidth="1"/>
    <col min="25" max="16384" width="9.09765625" style="139"/>
  </cols>
  <sheetData>
    <row r="1" spans="1:24" s="364" customFormat="1" ht="36" customHeight="1" x14ac:dyDescent="0.25">
      <c r="A1" s="365" t="s">
        <v>191</v>
      </c>
      <c r="B1" s="366" t="s">
        <v>126</v>
      </c>
      <c r="C1" s="365" t="s">
        <v>192</v>
      </c>
      <c r="D1" s="365" t="s">
        <v>202</v>
      </c>
      <c r="E1" s="365" t="s">
        <v>200</v>
      </c>
      <c r="F1" s="367" t="s">
        <v>201</v>
      </c>
      <c r="G1" s="371" t="s">
        <v>190</v>
      </c>
      <c r="H1" s="367" t="s">
        <v>196</v>
      </c>
      <c r="I1" s="367" t="s">
        <v>197</v>
      </c>
      <c r="J1" s="367" t="s">
        <v>198</v>
      </c>
      <c r="K1" s="368" t="s">
        <v>189</v>
      </c>
      <c r="L1" s="369" t="s">
        <v>188</v>
      </c>
      <c r="M1" s="369" t="s">
        <v>187</v>
      </c>
      <c r="N1" s="370" t="s">
        <v>186</v>
      </c>
      <c r="O1" s="360" t="s">
        <v>256</v>
      </c>
      <c r="P1" s="361" t="s">
        <v>41</v>
      </c>
      <c r="Q1" s="361" t="s">
        <v>235</v>
      </c>
      <c r="R1" s="362" t="s">
        <v>234</v>
      </c>
      <c r="S1" s="363" t="s">
        <v>240</v>
      </c>
      <c r="T1" s="361" t="s">
        <v>237</v>
      </c>
      <c r="U1" s="361" t="s">
        <v>242</v>
      </c>
      <c r="V1" s="363" t="s">
        <v>241</v>
      </c>
      <c r="W1" s="361" t="s">
        <v>239</v>
      </c>
      <c r="X1" s="363" t="s">
        <v>238</v>
      </c>
    </row>
    <row r="2" spans="1:24" ht="11.4" x14ac:dyDescent="0.25">
      <c r="A2" s="172" t="s">
        <v>299</v>
      </c>
      <c r="B2" s="210" t="str">
        <f>IF(IF(VLOOKUP(A2,ASTBase!F:P,11,FALSE)="","",VLOOKUP(A2,ASTBase!F:P,11,FALSE))=0,"",IF(VLOOKUP(A2,ASTBase!F:P,11,FALSE)="","",VLOOKUP(A2,ASTBase!F:P,11,FALSE)))</f>
        <v/>
      </c>
      <c r="C2" s="173" t="str">
        <f>IF(IFERROR(_xlfn.IFNA(VLOOKUP($A2,'HR Rep'!$A:$X,MATCH('1) For HR'!C$1,'HR Rep'!$A$1:$X$1,0),0),""),"")="","",IFERROR(_xlfn.IFNA(VLOOKUP($A2,'HR Rep'!$A:$X,MATCH('1) For HR'!C$1,'HR Rep'!$A$1:$X$1,0),0),""),""))</f>
        <v/>
      </c>
      <c r="D2" s="173" t="str">
        <f>IF(IFERROR(_xlfn.IFNA(VLOOKUP($A2,'HR Rep'!$A:$X,MATCH('1) For HR'!D$1,'HR Rep'!$A$1:$X$1,0),0),""),"")="","",IFERROR(_xlfn.IFNA(VLOOKUP($A2,'HR Rep'!$A:$X,MATCH('1) For HR'!D$1,'HR Rep'!$A$1:$X$1,0),0),""),""))</f>
        <v/>
      </c>
      <c r="E2" s="173" t="str">
        <f>IF(IFERROR(_xlfn.IFNA(VLOOKUP($A2,'HR Rep'!$A:$X,MATCH('1) For HR'!E$1,'HR Rep'!$A$1:$X$1,0),0),""),"")="","",IFERROR(_xlfn.IFNA(VLOOKUP($A2,'HR Rep'!$A:$X,MATCH('1) For HR'!E$1,'HR Rep'!$A$1:$X$1,0),0),""),""))</f>
        <v/>
      </c>
      <c r="F2" s="173" t="str">
        <f>IF(IFERROR(_xlfn.IFNA(VLOOKUP($A2,'HR Rep'!$A:$X,MATCH('1) For HR'!F$1,'HR Rep'!$A$1:$X$1,0),0),""),"")="","",IFERROR(_xlfn.IFNA(VLOOKUP($A2,'HR Rep'!$A:$X,MATCH('1) For HR'!F$1,'HR Rep'!$A$1:$X$1,0),0),""),""))</f>
        <v>Division Manager</v>
      </c>
      <c r="G2" s="240" t="s">
        <v>258</v>
      </c>
      <c r="H2" s="173" t="str">
        <f>IF(IFERROR(_xlfn.IFNA(VLOOKUP($A2,'HR Rep'!$A:$X,MATCH('1) For HR'!H$1,'HR Rep'!$A$1:$X$1,0),0),""),"")="","",IFERROR(_xlfn.IFNA(VLOOKUP($A2,'HR Rep'!$A:$X,MATCH('1) For HR'!H$1,'HR Rep'!$A$1:$X$1,0),0),""),""))</f>
        <v>Traditional Trade</v>
      </c>
      <c r="I2" s="173" t="str">
        <f>IF(IFERROR(_xlfn.IFNA(VLOOKUP($A2,'HR Rep'!$A:$X,MATCH('1) For HR'!I$1,'HR Rep'!$A$1:$X$1,0),0),""),"")="","",IFERROR(_xlfn.IFNA(VLOOKUP($A2,'HR Rep'!$A:$X,MATCH('1) For HR'!I$1,'HR Rep'!$A$1:$X$1,0),0),""),""))</f>
        <v/>
      </c>
      <c r="J2" s="173" t="str">
        <f>IF(IFERROR(_xlfn.IFNA(VLOOKUP($A2,'HR Rep'!$A:$X,MATCH('1) For HR'!J$1,'HR Rep'!$A$1:$X$1,0),0),""),"")="","",IFERROR(_xlfn.IFNA(VLOOKUP($A2,'HR Rep'!$A:$X,MATCH('1) For HR'!J$1,'HR Rep'!$A$1:$X$1,0),0),""),""))</f>
        <v/>
      </c>
      <c r="K2" s="201">
        <f>IF(ROUND(P2+R2+U2+X2,2)&lt;O2,O2,ROUND(P2+R2+U2+X2,2))</f>
        <v>5145.93</v>
      </c>
      <c r="L2" s="215" t="str">
        <f>Period!$A$2</f>
        <v>May-26</v>
      </c>
      <c r="M2" s="216" t="str">
        <f>Period!$B$2</f>
        <v>Jul-26</v>
      </c>
      <c r="N2" s="238" t="s">
        <v>182</v>
      </c>
      <c r="P2" s="206">
        <f>IF(SUMIF('3)Target &amp; Cal'!$A$3:$A$308,B2,INDEX('3)Target &amp; Cal'!$AZ$3:$BK$308,0,MATCH(MID(L2,1,3)&amp;"_I",'3)Target &amp; Cal'!$AZ$3:$BK$3,0)))&gt;0,SUMIF('3)Target &amp; Cal'!$A$3:$A$308,B2,INDEX('3)Target &amp; Cal'!$AZ$3:$BK$308,0,MATCH(MID(L2,1,3)&amp;"_I",'3)Target &amp; Cal'!$AZ$3:$BK$3,0))),0)</f>
        <v>0</v>
      </c>
      <c r="Q2" s="207" t="str">
        <f>IF(AND(IFERROR(AVERAGEIFS('3)Target &amp; Cal'!BN:BN,'3)Target &amp; Cal'!BM:BM,B2),"")&gt;0,IFERROR(AVERAGEIFS('3)Target &amp; Cal'!BN:BN,'3)Target &amp; Cal'!BM:BM,B2),"")&lt;1),1,IFERROR(AVERAGEIFS('3)Target &amp; Cal'!BN:BN,'3)Target &amp; Cal'!BM:BM,B2),""))</f>
        <v/>
      </c>
      <c r="R2" s="206">
        <f>IF(F2="Section Manager",IF(Q2&gt;0,Q2*T_SectAbove!$B$4,0),0)</f>
        <v>0</v>
      </c>
      <c r="S2" s="209" t="str">
        <f>IF(F2="Section Manager",VLOOKUP(A2,ASTBase!F:S,13,FALSE),"")</f>
        <v/>
      </c>
      <c r="T2" s="207" t="str">
        <f>IF(AND(IFERROR(AVERAGEIFS(Q:Q,S:S,A2),"")&gt;0,IFERROR(AVERAGEIFS(Q:Q,S:S,A2),"")&lt;1),1,IFERROR(AVERAGEIFS(Q:Q,S:S,A2),""))</f>
        <v/>
      </c>
      <c r="U2" s="206">
        <f>IF(F2="Department Manager",IFERROR(AVERAGEIFS(Q:Q,S:S,A2)*VLOOKUP('1) For HR'!F2,T_SectAbove!A:B,2,FALSE),""),0)</f>
        <v>0</v>
      </c>
      <c r="V2" s="209" t="str">
        <f>IF(F2="Department Manager",VLOOKUP(A2,ASTBase!F:S,14,FALSE),"")</f>
        <v/>
      </c>
      <c r="W2" s="398">
        <f>IFERROR(AVERAGEIFS(T:T,V:V,A2),"")</f>
        <v>1.0291856060606062</v>
      </c>
      <c r="X2" s="397">
        <f>IF(F2="Division Manager",IFERROR(AVERAGEIFS(T:T,V:V,A2)*VLOOKUP('1) For HR'!F2,T_SectAbove!A:B,2,FALSE),""),0)</f>
        <v>5145.9280303030309</v>
      </c>
    </row>
    <row r="3" spans="1:24" ht="11.4" x14ac:dyDescent="0.25">
      <c r="A3" s="172" t="s">
        <v>300</v>
      </c>
      <c r="B3" s="210" t="str">
        <f>IF(IF(VLOOKUP(A3,ASTBase!F:P,11,FALSE)="","",VLOOKUP(A3,ASTBase!F:P,11,FALSE))=0,"",IF(VLOOKUP(A3,ASTBase!F:P,11,FALSE)="","",VLOOKUP(A3,ASTBase!F:P,11,FALSE)))</f>
        <v/>
      </c>
      <c r="C3" s="173" t="str">
        <f>IF(IFERROR(_xlfn.IFNA(VLOOKUP($A3,'HR Rep'!$A:$X,MATCH('1) For HR'!C$1,'HR Rep'!$A$1:$X$1,0),0),""),"")="","",IFERROR(_xlfn.IFNA(VLOOKUP($A3,'HR Rep'!$A:$X,MATCH('1) For HR'!C$1,'HR Rep'!$A$1:$X$1,0),0),""),""))</f>
        <v/>
      </c>
      <c r="D3" s="173" t="str">
        <f>IF(IFERROR(_xlfn.IFNA(VLOOKUP($A3,'HR Rep'!$A:$X,MATCH('1) For HR'!D$1,'HR Rep'!$A$1:$X$1,0),0),""),"")="","",IFERROR(_xlfn.IFNA(VLOOKUP($A3,'HR Rep'!$A:$X,MATCH('1) For HR'!D$1,'HR Rep'!$A$1:$X$1,0),0),""),""))</f>
        <v/>
      </c>
      <c r="E3" s="173" t="str">
        <f>IF(IFERROR(_xlfn.IFNA(VLOOKUP($A3,'HR Rep'!$A:$X,MATCH('1) For HR'!E$1,'HR Rep'!$A$1:$X$1,0),0),""),"")="","",IFERROR(_xlfn.IFNA(VLOOKUP($A3,'HR Rep'!$A:$X,MATCH('1) For HR'!E$1,'HR Rep'!$A$1:$X$1,0),0),""),""))</f>
        <v/>
      </c>
      <c r="F3" s="173" t="str">
        <f>IF(IFERROR(_xlfn.IFNA(VLOOKUP($A3,'HR Rep'!$A:$X,MATCH('1) For HR'!F$1,'HR Rep'!$A$1:$X$1,0),0),""),"")="","",IFERROR(_xlfn.IFNA(VLOOKUP($A3,'HR Rep'!$A:$X,MATCH('1) For HR'!F$1,'HR Rep'!$A$1:$X$1,0),0),""),""))</f>
        <v>Department Manager</v>
      </c>
      <c r="G3" s="240" t="s">
        <v>259</v>
      </c>
      <c r="H3" s="173" t="str">
        <f>IF(IFERROR(_xlfn.IFNA(VLOOKUP($A3,'HR Rep'!$A:$X,MATCH('1) For HR'!H$1,'HR Rep'!$A$1:$X$1,0),0),""),"")="","",IFERROR(_xlfn.IFNA(VLOOKUP($A3,'HR Rep'!$A:$X,MATCH('1) For HR'!H$1,'HR Rep'!$A$1:$X$1,0),0),""),""))</f>
        <v>Traditional Trade</v>
      </c>
      <c r="I3" s="173" t="str">
        <f>IF(IFERROR(_xlfn.IFNA(VLOOKUP($A3,'HR Rep'!$A:$X,MATCH('1) For HR'!I$1,'HR Rep'!$A$1:$X$1,0),0),""),"")="","",IFERROR(_xlfn.IFNA(VLOOKUP($A3,'HR Rep'!$A:$X,MATCH('1) For HR'!I$1,'HR Rep'!$A$1:$X$1,0),0),""),""))</f>
        <v>Sales Bangkok</v>
      </c>
      <c r="J3" s="173" t="str">
        <f>IF(IFERROR(_xlfn.IFNA(VLOOKUP($A3,'HR Rep'!$A:$X,MATCH('1) For HR'!J$1,'HR Rep'!$A$1:$X$1,0),0),""),"")="","",IFERROR(_xlfn.IFNA(VLOOKUP($A3,'HR Rep'!$A:$X,MATCH('1) For HR'!J$1,'HR Rep'!$A$1:$X$1,0),0),""),""))</f>
        <v/>
      </c>
      <c r="K3" s="201">
        <f t="shared" ref="K3:K20" si="0">IF(ROUND(P3+R3+U3+X3,2)&lt;O3,O3,ROUND(P3+R3+U3+X3,2))</f>
        <v>5145.93</v>
      </c>
      <c r="L3" s="215" t="str">
        <f>Period!$A$2</f>
        <v>May-26</v>
      </c>
      <c r="M3" s="216" t="str">
        <f>Period!$B$2</f>
        <v>Jul-26</v>
      </c>
      <c r="N3" s="238" t="s">
        <v>182</v>
      </c>
      <c r="P3" s="206">
        <f>IF(SUMIF('3)Target &amp; Cal'!$A$3:$A$308,B3,INDEX('3)Target &amp; Cal'!$AZ$3:$BK$308,0,MATCH(MID(L3,1,3)&amp;"_I",'3)Target &amp; Cal'!$AZ$3:$BK$3,0)))&gt;0,SUMIF('3)Target &amp; Cal'!$A$3:$A$308,B3,INDEX('3)Target &amp; Cal'!$AZ$3:$BK$308,0,MATCH(MID(L3,1,3)&amp;"_I",'3)Target &amp; Cal'!$AZ$3:$BK$3,0))),0)</f>
        <v>0</v>
      </c>
      <c r="Q3" s="207" t="str">
        <f>IF(AND(IFERROR(AVERAGEIFS('3)Target &amp; Cal'!BN:BN,'3)Target &amp; Cal'!BM:BM,B3),"")&gt;0,IFERROR(AVERAGEIFS('3)Target &amp; Cal'!BN:BN,'3)Target &amp; Cal'!BM:BM,B3),"")&lt;1),1,IFERROR(AVERAGEIFS('3)Target &amp; Cal'!BN:BN,'3)Target &amp; Cal'!BM:BM,B3),""))</f>
        <v/>
      </c>
      <c r="R3" s="206">
        <f>IF(F3="Section Manager",IF(Q3&gt;0,Q3*T_SectAbove!$B$4,0),0)</f>
        <v>0</v>
      </c>
      <c r="S3" s="209" t="str">
        <f>IF(F3="Section Manager",VLOOKUP(A3,ASTBase!F:S,13,FALSE),"")</f>
        <v/>
      </c>
      <c r="T3" s="398">
        <f>IFERROR(AVERAGEIFS(Q:Q,S:S,A3),"")</f>
        <v>1.0291856060606062</v>
      </c>
      <c r="U3" s="397">
        <f>IF(F3="Department Manager",IFERROR(AVERAGEIFS(Q:Q,S:S,A3)*VLOOKUP('1) For HR'!F3,T_SectAbove!A:B,2,FALSE),""),0)</f>
        <v>5145.9280303030309</v>
      </c>
      <c r="V3" s="399" t="str">
        <f>IF(F3="Department Manager",VLOOKUP(A3,ASTBase!F:S,14,FALSE),"")</f>
        <v>000002</v>
      </c>
      <c r="W3" s="207" t="str">
        <f t="shared" ref="W3:W23" si="1">IF(AND(IFERROR(AVERAGEIFS(T:T,V:V,A3),"")&gt;0,IFERROR(AVERAGEIFS(T:T,V:V,A3),"")&lt;1),1,IFERROR(AVERAGEIFS(T:T,V:V,A3),""))</f>
        <v/>
      </c>
      <c r="X3" s="206">
        <f>IF(F3="Division Manager",IFERROR(AVERAGEIFS(T:T,V:V,A3)*VLOOKUP('1) For HR'!F3,T_SectAbove!A:B,2,FALSE),""),0)</f>
        <v>0</v>
      </c>
    </row>
    <row r="4" spans="1:24" ht="11.4" x14ac:dyDescent="0.25">
      <c r="A4" s="389" t="s">
        <v>301</v>
      </c>
      <c r="B4" s="390">
        <f>IF(IF(VLOOKUP(A4,ASTBase!F:P,11,FALSE)="","",VLOOKUP(A4,ASTBase!F:P,11,FALSE))=0,"",IF(VLOOKUP(A4,ASTBase!F:P,11,FALSE)="","",VLOOKUP(A4,ASTBase!F:P,11,FALSE)))</f>
        <v>110000</v>
      </c>
      <c r="C4" s="391" t="str">
        <f>IF(IFERROR(_xlfn.IFNA(VLOOKUP($A4,'HR Rep'!$A:$X,MATCH('1) For HR'!C$1,'HR Rep'!$A$1:$X$1,0),0),""),"")="","",IFERROR(_xlfn.IFNA(VLOOKUP($A4,'HR Rep'!$A:$X,MATCH('1) For HR'!C$1,'HR Rep'!$A$1:$X$1,0),0),""),""))</f>
        <v/>
      </c>
      <c r="D4" s="391" t="str">
        <f>IF(IFERROR(_xlfn.IFNA(VLOOKUP($A4,'HR Rep'!$A:$X,MATCH('1) For HR'!D$1,'HR Rep'!$A$1:$X$1,0),0),""),"")="","",IFERROR(_xlfn.IFNA(VLOOKUP($A4,'HR Rep'!$A:$X,MATCH('1) For HR'!D$1,'HR Rep'!$A$1:$X$1,0),0),""),""))</f>
        <v/>
      </c>
      <c r="E4" s="391" t="str">
        <f>IF(IFERROR(_xlfn.IFNA(VLOOKUP($A4,'HR Rep'!$A:$X,MATCH('1) For HR'!E$1,'HR Rep'!$A$1:$X$1,0),0),""),"")="","",IFERROR(_xlfn.IFNA(VLOOKUP($A4,'HR Rep'!$A:$X,MATCH('1) For HR'!E$1,'HR Rep'!$A$1:$X$1,0),0),""),""))</f>
        <v/>
      </c>
      <c r="F4" s="391" t="str">
        <f>IF(IFERROR(_xlfn.IFNA(VLOOKUP($A4,'HR Rep'!$A:$X,MATCH('1) For HR'!F$1,'HR Rep'!$A$1:$X$1,0),0),""),"")="","",IFERROR(_xlfn.IFNA(VLOOKUP($A4,'HR Rep'!$A:$X,MATCH('1) For HR'!F$1,'HR Rep'!$A$1:$X$1,0),0),""),""))</f>
        <v>Section Manager</v>
      </c>
      <c r="G4" s="392" t="s">
        <v>260</v>
      </c>
      <c r="H4" s="391" t="str">
        <f>IF(IFERROR(_xlfn.IFNA(VLOOKUP($A4,'HR Rep'!$A:$X,MATCH('1) For HR'!H$1,'HR Rep'!$A$1:$X$1,0),0),""),"")="","",IFERROR(_xlfn.IFNA(VLOOKUP($A4,'HR Rep'!$A:$X,MATCH('1) For HR'!H$1,'HR Rep'!$A$1:$X$1,0),0),""),""))</f>
        <v>Traditional Trade</v>
      </c>
      <c r="I4" s="391" t="str">
        <f>IF(IFERROR(_xlfn.IFNA(VLOOKUP($A4,'HR Rep'!$A:$X,MATCH('1) For HR'!I$1,'HR Rep'!$A$1:$X$1,0),0),""),"")="","",IFERROR(_xlfn.IFNA(VLOOKUP($A4,'HR Rep'!$A:$X,MATCH('1) For HR'!I$1,'HR Rep'!$A$1:$X$1,0),0),""),""))</f>
        <v>Sales Bangkok</v>
      </c>
      <c r="J4" s="391" t="str">
        <f>IF(IFERROR(_xlfn.IFNA(VLOOKUP($A4,'HR Rep'!$A:$X,MATCH('1) For HR'!J$1,'HR Rep'!$A$1:$X$1,0),0),""),"")="","",IFERROR(_xlfn.IFNA(VLOOKUP($A4,'HR Rep'!$A:$X,MATCH('1) For HR'!J$1,'HR Rep'!$A$1:$X$1,0),0),""),""))</f>
        <v>Bangpoo</v>
      </c>
      <c r="K4" s="393">
        <f>IF(ROUND(P4+R4+U4+X4,2)&lt;O4,O4,ROUND(P4+R4+U4+X4,2))</f>
        <v>4336.97</v>
      </c>
      <c r="L4" s="234" t="str">
        <f>Period!$A$2</f>
        <v>May-26</v>
      </c>
      <c r="M4" s="394" t="str">
        <f>Period!$B$2</f>
        <v>Jul-26</v>
      </c>
      <c r="N4" s="395" t="s">
        <v>182</v>
      </c>
      <c r="O4" s="396"/>
      <c r="P4" s="397">
        <f>IF(SUMIF('3)Target &amp; Cal'!$A$3:$A$308,B4,INDEX('3)Target &amp; Cal'!$AZ$3:$BK$308,0,MATCH(MID(L4,1,3)&amp;"_I",'3)Target &amp; Cal'!$AZ$3:$BK$3,0)))&gt;0,SUMIF('3)Target &amp; Cal'!$A$3:$A$308,B4,INDEX('3)Target &amp; Cal'!$AZ$3:$BK$308,0,MATCH(MID(L4,1,3)&amp;"_I",'3)Target &amp; Cal'!$AZ$3:$BK$3,0))),0)</f>
        <v>0</v>
      </c>
      <c r="Q4" s="398">
        <f>IFERROR(AVERAGEIFS('3)Target &amp; Cal'!BN:BN,'3)Target &amp; Cal'!BM:BM,B4),"")</f>
        <v>1.0842424242424242</v>
      </c>
      <c r="R4" s="397">
        <f>IF(F4="Section Manager",IF(Q4&gt;0,Q4*T_SectAbove!$B$4,0),0)</f>
        <v>4336.969696969697</v>
      </c>
      <c r="S4" s="399" t="str">
        <f>IF(F4="Section Manager",VLOOKUP(A4,ASTBase!F:S,13,FALSE),"")</f>
        <v>000003</v>
      </c>
      <c r="T4" s="207" t="str">
        <f t="shared" ref="T4:T23" si="2">IF(AND(IFERROR(AVERAGEIFS(Q:Q,S:S,A4),"")&gt;0,IFERROR(AVERAGEIFS(Q:Q,S:S,A4),"")&lt;1),1,IFERROR(AVERAGEIFS(Q:Q,S:S,A4),""))</f>
        <v/>
      </c>
      <c r="U4" s="206">
        <f>IF(F4="Department Manager",IFERROR(AVERAGEIFS(Q:Q,S:S,A4)*VLOOKUP('1) For HR'!F4,T_SectAbove!A:B,2,FALSE),""),0)</f>
        <v>0</v>
      </c>
      <c r="V4" s="209" t="str">
        <f>IF(F4="Department Manager",VLOOKUP(A4,ASTBase!F:S,14,FALSE),"")</f>
        <v/>
      </c>
      <c r="W4" s="207" t="str">
        <f t="shared" si="1"/>
        <v/>
      </c>
      <c r="X4" s="206">
        <f>IF(F4="Division Manager",IFERROR(AVERAGEIFS(T:T,V:V,A4)*VLOOKUP('1) For HR'!F4,T_SectAbove!A:B,2,FALSE),""),0)</f>
        <v>0</v>
      </c>
    </row>
    <row r="5" spans="1:24" ht="11.4" x14ac:dyDescent="0.25">
      <c r="A5" s="389" t="s">
        <v>302</v>
      </c>
      <c r="B5" s="390">
        <f>IF(IF(VLOOKUP(A5,ASTBase!F:P,11,FALSE)="","",VLOOKUP(A5,ASTBase!F:P,11,FALSE))=0,"",IF(VLOOKUP(A5,ASTBase!F:P,11,FALSE)="","",VLOOKUP(A5,ASTBase!F:P,11,FALSE)))</f>
        <v>110001</v>
      </c>
      <c r="C5" s="391" t="str">
        <f>IF(IFERROR(_xlfn.IFNA(VLOOKUP($A5,'HR Rep'!$A:$X,MATCH('1) For HR'!C$1,'HR Rep'!$A$1:$X$1,0),0),""),"")="","",IFERROR(_xlfn.IFNA(VLOOKUP($A5,'HR Rep'!$A:$X,MATCH('1) For HR'!C$1,'HR Rep'!$A$1:$X$1,0),0),""),""))</f>
        <v/>
      </c>
      <c r="D5" s="391" t="str">
        <f>IF(IFERROR(_xlfn.IFNA(VLOOKUP($A5,'HR Rep'!$A:$X,MATCH('1) For HR'!D$1,'HR Rep'!$A$1:$X$1,0),0),""),"")="","",IFERROR(_xlfn.IFNA(VLOOKUP($A5,'HR Rep'!$A:$X,MATCH('1) For HR'!D$1,'HR Rep'!$A$1:$X$1,0),0),""),""))</f>
        <v/>
      </c>
      <c r="E5" s="391" t="str">
        <f>IF(IFERROR(_xlfn.IFNA(VLOOKUP($A5,'HR Rep'!$A:$X,MATCH('1) For HR'!E$1,'HR Rep'!$A$1:$X$1,0),0),""),"")="","",IFERROR(_xlfn.IFNA(VLOOKUP($A5,'HR Rep'!$A:$X,MATCH('1) For HR'!E$1,'HR Rep'!$A$1:$X$1,0),0),""),""))</f>
        <v/>
      </c>
      <c r="F5" s="391" t="str">
        <f>IF(IFERROR(_xlfn.IFNA(VLOOKUP($A5,'HR Rep'!$A:$X,MATCH('1) For HR'!F$1,'HR Rep'!$A$1:$X$1,0),0),""),"")="","",IFERROR(_xlfn.IFNA(VLOOKUP($A5,'HR Rep'!$A:$X,MATCH('1) For HR'!F$1,'HR Rep'!$A$1:$X$1,0),0),""),""))</f>
        <v>Supervisor</v>
      </c>
      <c r="G5" s="392" t="s">
        <v>292</v>
      </c>
      <c r="H5" s="391" t="str">
        <f>IF(IFERROR(_xlfn.IFNA(VLOOKUP($A5,'HR Rep'!$A:$X,MATCH('1) For HR'!H$1,'HR Rep'!$A$1:$X$1,0),0),""),"")="","",IFERROR(_xlfn.IFNA(VLOOKUP($A5,'HR Rep'!$A:$X,MATCH('1) For HR'!H$1,'HR Rep'!$A$1:$X$1,0),0),""),""))</f>
        <v>Traditional Trade</v>
      </c>
      <c r="I5" s="391" t="str">
        <f>IF(IFERROR(_xlfn.IFNA(VLOOKUP($A5,'HR Rep'!$A:$X,MATCH('1) For HR'!I$1,'HR Rep'!$A$1:$X$1,0),0),""),"")="","",IFERROR(_xlfn.IFNA(VLOOKUP($A5,'HR Rep'!$A:$X,MATCH('1) For HR'!I$1,'HR Rep'!$A$1:$X$1,0),0),""),""))</f>
        <v>Sales Bangkok</v>
      </c>
      <c r="J5" s="391" t="str">
        <f>IF(IFERROR(_xlfn.IFNA(VLOOKUP($A5,'HR Rep'!$A:$X,MATCH('1) For HR'!J$1,'HR Rep'!$A$1:$X$1,0),0),""),"")="","",IFERROR(_xlfn.IFNA(VLOOKUP($A5,'HR Rep'!$A:$X,MATCH('1) For HR'!J$1,'HR Rep'!$A$1:$X$1,0),0),""),""))</f>
        <v>Bangpoo</v>
      </c>
      <c r="K5" s="393">
        <f>IF(ROUND(P5+R5+U5+X5,2)&lt;O5,O5,ROUND(P5+R5+U5+X5,2))</f>
        <v>4290</v>
      </c>
      <c r="L5" s="234" t="str">
        <f>Period!$A$2</f>
        <v>May-26</v>
      </c>
      <c r="M5" s="394" t="str">
        <f>Period!$B$2</f>
        <v>Jul-26</v>
      </c>
      <c r="N5" s="395" t="s">
        <v>182</v>
      </c>
      <c r="O5" s="396"/>
      <c r="P5" s="397">
        <f>IF(SUMIF('3)Target &amp; Cal'!$A$3:$A$308,B5,INDEX('3)Target &amp; Cal'!$AZ$3:$BK$308,0,MATCH(MID(L5,1,3)&amp;"_I",'3)Target &amp; Cal'!$AZ$3:$BK$3,0)))&gt;0,SUMIF('3)Target &amp; Cal'!$A$3:$A$308,B5,INDEX('3)Target &amp; Cal'!$AZ$3:$BK$308,0,MATCH(MID(L5,1,3)&amp;"_I",'3)Target &amp; Cal'!$AZ$3:$BK$3,0))),0)</f>
        <v>4290</v>
      </c>
      <c r="Q5" s="207" t="str">
        <f>IF(AND(IFERROR(AVERAGEIFS('3)Target &amp; Cal'!BN:BN,'3)Target &amp; Cal'!BM:BM,B5),"")&gt;0,IFERROR(AVERAGEIFS('3)Target &amp; Cal'!BN:BN,'3)Target &amp; Cal'!BM:BM,B5),"")&lt;1),1,IFERROR(AVERAGEIFS('3)Target &amp; Cal'!BN:BN,'3)Target &amp; Cal'!BM:BM,B5),""))</f>
        <v/>
      </c>
      <c r="R5" s="206">
        <f>IF(F5="Section Manager",IF(Q5&gt;0,Q5*T_SectAbove!$B$4,0),0)</f>
        <v>0</v>
      </c>
      <c r="S5" s="209" t="str">
        <f>IF(F5="Section Manager",VLOOKUP(A5,ASTBase!F:S,13,FALSE),"")</f>
        <v/>
      </c>
      <c r="T5" s="207" t="str">
        <f t="shared" si="2"/>
        <v/>
      </c>
      <c r="U5" s="206">
        <f>IF(F5="Department Manager",IFERROR(AVERAGEIFS(Q:Q,S:S,A5)*VLOOKUP('1) For HR'!F5,T_SectAbove!A:B,2,FALSE),""),0)</f>
        <v>0</v>
      </c>
      <c r="V5" s="209" t="str">
        <f>IF(F5="Department Manager",VLOOKUP(A5,ASTBase!F:S,14,FALSE),"")</f>
        <v/>
      </c>
      <c r="W5" s="207" t="str">
        <f t="shared" si="1"/>
        <v/>
      </c>
      <c r="X5" s="206">
        <f>IF(F5="Division Manager",IFERROR(AVERAGEIFS(T:T,V:V,A5)*VLOOKUP('1) For HR'!F5,T_SectAbove!A:B,2,FALSE),""),0)</f>
        <v>0</v>
      </c>
    </row>
    <row r="6" spans="1:24" ht="11.4" x14ac:dyDescent="0.25">
      <c r="A6" s="389" t="s">
        <v>303</v>
      </c>
      <c r="B6" s="390">
        <f>IF(IF(VLOOKUP(A6,ASTBase!F:P,11,FALSE)="","",VLOOKUP(A6,ASTBase!F:P,11,FALSE))=0,"",IF(VLOOKUP(A6,ASTBase!F:P,11,FALSE)="","",VLOOKUP(A6,ASTBase!F:P,11,FALSE)))</f>
        <v>110002</v>
      </c>
      <c r="C6" s="391" t="str">
        <f>IF(IFERROR(_xlfn.IFNA(VLOOKUP($A6,'HR Rep'!$A:$X,MATCH('1) For HR'!C$1,'HR Rep'!$A$1:$X$1,0),0),""),"")="","",IFERROR(_xlfn.IFNA(VLOOKUP($A6,'HR Rep'!$A:$X,MATCH('1) For HR'!C$1,'HR Rep'!$A$1:$X$1,0),0),""),""))</f>
        <v/>
      </c>
      <c r="D6" s="391" t="str">
        <f>IF(IFERROR(_xlfn.IFNA(VLOOKUP($A6,'HR Rep'!$A:$X,MATCH('1) For HR'!D$1,'HR Rep'!$A$1:$X$1,0),0),""),"")="","",IFERROR(_xlfn.IFNA(VLOOKUP($A6,'HR Rep'!$A:$X,MATCH('1) For HR'!D$1,'HR Rep'!$A$1:$X$1,0),0),""),""))</f>
        <v/>
      </c>
      <c r="E6" s="391" t="str">
        <f>IF(IFERROR(_xlfn.IFNA(VLOOKUP($A6,'HR Rep'!$A:$X,MATCH('1) For HR'!E$1,'HR Rep'!$A$1:$X$1,0),0),""),"")="","",IFERROR(_xlfn.IFNA(VLOOKUP($A6,'HR Rep'!$A:$X,MATCH('1) For HR'!E$1,'HR Rep'!$A$1:$X$1,0),0),""),""))</f>
        <v/>
      </c>
      <c r="F6" s="391" t="str">
        <f>IF(IFERROR(_xlfn.IFNA(VLOOKUP($A6,'HR Rep'!$A:$X,MATCH('1) For HR'!F$1,'HR Rep'!$A$1:$X$1,0),0),""),"")="","",IFERROR(_xlfn.IFNA(VLOOKUP($A6,'HR Rep'!$A:$X,MATCH('1) For HR'!F$1,'HR Rep'!$A$1:$X$1,0),0),""),""))</f>
        <v>Staff</v>
      </c>
      <c r="G6" s="392" t="s">
        <v>293</v>
      </c>
      <c r="H6" s="391" t="str">
        <f>IF(IFERROR(_xlfn.IFNA(VLOOKUP($A6,'HR Rep'!$A:$X,MATCH('1) For HR'!H$1,'HR Rep'!$A$1:$X$1,0),0),""),"")="","",IFERROR(_xlfn.IFNA(VLOOKUP($A6,'HR Rep'!$A:$X,MATCH('1) For HR'!H$1,'HR Rep'!$A$1:$X$1,0),0),""),""))</f>
        <v>Traditional Trade</v>
      </c>
      <c r="I6" s="391" t="str">
        <f>IF(IFERROR(_xlfn.IFNA(VLOOKUP($A6,'HR Rep'!$A:$X,MATCH('1) For HR'!I$1,'HR Rep'!$A$1:$X$1,0),0),""),"")="","",IFERROR(_xlfn.IFNA(VLOOKUP($A6,'HR Rep'!$A:$X,MATCH('1) For HR'!I$1,'HR Rep'!$A$1:$X$1,0),0),""),""))</f>
        <v>Sales Bangkok</v>
      </c>
      <c r="J6" s="391" t="str">
        <f>IF(IFERROR(_xlfn.IFNA(VLOOKUP($A6,'HR Rep'!$A:$X,MATCH('1) For HR'!J$1,'HR Rep'!$A$1:$X$1,0),0),""),"")="","",IFERROR(_xlfn.IFNA(VLOOKUP($A6,'HR Rep'!$A:$X,MATCH('1) For HR'!J$1,'HR Rep'!$A$1:$X$1,0),0),""),""))</f>
        <v>Bangpoo</v>
      </c>
      <c r="K6" s="393">
        <f t="shared" si="0"/>
        <v>3960.25</v>
      </c>
      <c r="L6" s="234" t="str">
        <f>Period!$A$2</f>
        <v>May-26</v>
      </c>
      <c r="M6" s="394" t="str">
        <f>Period!$B$2</f>
        <v>Jul-26</v>
      </c>
      <c r="N6" s="395" t="s">
        <v>182</v>
      </c>
      <c r="O6" s="396"/>
      <c r="P6" s="397">
        <f>IF(SUMIF('3)Target &amp; Cal'!$A$3:$A$308,B6,INDEX('3)Target &amp; Cal'!$AZ$3:$BK$308,0,MATCH(MID(L6,1,3)&amp;"_I",'3)Target &amp; Cal'!$AZ$3:$BK$3,0)))&gt;0,SUMIF('3)Target &amp; Cal'!$A$3:$A$308,B6,INDEX('3)Target &amp; Cal'!$AZ$3:$BK$308,0,MATCH(MID(L6,1,3)&amp;"_I",'3)Target &amp; Cal'!$AZ$3:$BK$3,0))),0)</f>
        <v>3960.25</v>
      </c>
      <c r="Q6" s="207" t="str">
        <f>IF(AND(IFERROR(AVERAGEIFS('3)Target &amp; Cal'!BN:BN,'3)Target &amp; Cal'!BM:BM,B6),"")&gt;0,IFERROR(AVERAGEIFS('3)Target &amp; Cal'!BN:BN,'3)Target &amp; Cal'!BM:BM,B6),"")&lt;1),1,IFERROR(AVERAGEIFS('3)Target &amp; Cal'!BN:BN,'3)Target &amp; Cal'!BM:BM,B6),""))</f>
        <v/>
      </c>
      <c r="R6" s="206">
        <f>IF(F6="Section Manager",IF(Q6&gt;0,Q6*T_SectAbove!$B$4,0),0)</f>
        <v>0</v>
      </c>
      <c r="S6" s="209" t="str">
        <f>IF(F6="Section Manager",VLOOKUP(A6,ASTBase!F:S,13,FALSE),"")</f>
        <v/>
      </c>
      <c r="T6" s="207" t="str">
        <f t="shared" si="2"/>
        <v/>
      </c>
      <c r="U6" s="206">
        <f>IF(F6="Department Manager",IFERROR(AVERAGEIFS(Q:Q,S:S,A6)*VLOOKUP('1) For HR'!F6,T_SectAbove!A:B,2,FALSE),""),0)</f>
        <v>0</v>
      </c>
      <c r="V6" s="209" t="str">
        <f>IF(F6="Department Manager",VLOOKUP(A6,ASTBase!F:S,14,FALSE),"")</f>
        <v/>
      </c>
      <c r="W6" s="207" t="str">
        <f t="shared" si="1"/>
        <v/>
      </c>
      <c r="X6" s="206">
        <f>IF(F6="Division Manager",IFERROR(AVERAGEIFS(T:T,V:V,A6)*VLOOKUP('1) For HR'!F6,T_SectAbove!A:B,2,FALSE),""),0)</f>
        <v>0</v>
      </c>
    </row>
    <row r="7" spans="1:24" ht="11.4" x14ac:dyDescent="0.25">
      <c r="A7" s="389" t="s">
        <v>304</v>
      </c>
      <c r="B7" s="390">
        <f>IF(IF(VLOOKUP(A7,ASTBase!F:P,11,FALSE)="","",VLOOKUP(A7,ASTBase!F:P,11,FALSE))=0,"",IF(VLOOKUP(A7,ASTBase!F:P,11,FALSE)="","",VLOOKUP(A7,ASTBase!F:P,11,FALSE)))</f>
        <v>110003</v>
      </c>
      <c r="C7" s="391" t="str">
        <f>IF(IFERROR(_xlfn.IFNA(VLOOKUP($A7,'HR Rep'!$A:$X,MATCH('1) For HR'!C$1,'HR Rep'!$A$1:$X$1,0),0),""),"")="","",IFERROR(_xlfn.IFNA(VLOOKUP($A7,'HR Rep'!$A:$X,MATCH('1) For HR'!C$1,'HR Rep'!$A$1:$X$1,0),0),""),""))</f>
        <v/>
      </c>
      <c r="D7" s="391" t="str">
        <f>IF(IFERROR(_xlfn.IFNA(VLOOKUP($A7,'HR Rep'!$A:$X,MATCH('1) For HR'!D$1,'HR Rep'!$A$1:$X$1,0),0),""),"")="","",IFERROR(_xlfn.IFNA(VLOOKUP($A7,'HR Rep'!$A:$X,MATCH('1) For HR'!D$1,'HR Rep'!$A$1:$X$1,0),0),""),""))</f>
        <v/>
      </c>
      <c r="E7" s="391" t="str">
        <f>IF(IFERROR(_xlfn.IFNA(VLOOKUP($A7,'HR Rep'!$A:$X,MATCH('1) For HR'!E$1,'HR Rep'!$A$1:$X$1,0),0),""),"")="","",IFERROR(_xlfn.IFNA(VLOOKUP($A7,'HR Rep'!$A:$X,MATCH('1) For HR'!E$1,'HR Rep'!$A$1:$X$1,0),0),""),""))</f>
        <v/>
      </c>
      <c r="F7" s="391" t="str">
        <f>IF(IFERROR(_xlfn.IFNA(VLOOKUP($A7,'HR Rep'!$A:$X,MATCH('1) For HR'!F$1,'HR Rep'!$A$1:$X$1,0),0),""),"")="","",IFERROR(_xlfn.IFNA(VLOOKUP($A7,'HR Rep'!$A:$X,MATCH('1) For HR'!F$1,'HR Rep'!$A$1:$X$1,0),0),""),""))</f>
        <v>Staff</v>
      </c>
      <c r="G7" s="392" t="s">
        <v>294</v>
      </c>
      <c r="H7" s="391" t="str">
        <f>IF(IFERROR(_xlfn.IFNA(VLOOKUP($A7,'HR Rep'!$A:$X,MATCH('1) For HR'!H$1,'HR Rep'!$A$1:$X$1,0),0),""),"")="","",IFERROR(_xlfn.IFNA(VLOOKUP($A7,'HR Rep'!$A:$X,MATCH('1) For HR'!H$1,'HR Rep'!$A$1:$X$1,0),0),""),""))</f>
        <v>Traditional Trade</v>
      </c>
      <c r="I7" s="391" t="str">
        <f>IF(IFERROR(_xlfn.IFNA(VLOOKUP($A7,'HR Rep'!$A:$X,MATCH('1) For HR'!I$1,'HR Rep'!$A$1:$X$1,0),0),""),"")="","",IFERROR(_xlfn.IFNA(VLOOKUP($A7,'HR Rep'!$A:$X,MATCH('1) For HR'!I$1,'HR Rep'!$A$1:$X$1,0),0),""),""))</f>
        <v>Sales Bangkok</v>
      </c>
      <c r="J7" s="391" t="str">
        <f>IF(IFERROR(_xlfn.IFNA(VLOOKUP($A7,'HR Rep'!$A:$X,MATCH('1) For HR'!J$1,'HR Rep'!$A$1:$X$1,0),0),""),"")="","",IFERROR(_xlfn.IFNA(VLOOKUP($A7,'HR Rep'!$A:$X,MATCH('1) For HR'!J$1,'HR Rep'!$A$1:$X$1,0),0),""),""))</f>
        <v>Bangpoo</v>
      </c>
      <c r="K7" s="393">
        <f t="shared" si="0"/>
        <v>3657.5</v>
      </c>
      <c r="L7" s="234" t="str">
        <f>Period!$A$2</f>
        <v>May-26</v>
      </c>
      <c r="M7" s="394" t="str">
        <f>Period!$B$2</f>
        <v>Jul-26</v>
      </c>
      <c r="N7" s="395" t="s">
        <v>182</v>
      </c>
      <c r="O7" s="396"/>
      <c r="P7" s="397">
        <f>IF(SUMIF('3)Target &amp; Cal'!$A$3:$A$308,B7,INDEX('3)Target &amp; Cal'!$AZ$3:$BK$308,0,MATCH(MID(L7,1,3)&amp;"_I",'3)Target &amp; Cal'!$AZ$3:$BK$3,0)))&gt;0,SUMIF('3)Target &amp; Cal'!$A$3:$A$308,B7,INDEX('3)Target &amp; Cal'!$AZ$3:$BK$308,0,MATCH(MID(L7,1,3)&amp;"_I",'3)Target &amp; Cal'!$AZ$3:$BK$3,0))),0)</f>
        <v>3657.5</v>
      </c>
      <c r="Q7" s="207" t="str">
        <f>IF(AND(IFERROR(AVERAGEIFS('3)Target &amp; Cal'!BN:BN,'3)Target &amp; Cal'!BM:BM,B7),"")&gt;0,IFERROR(AVERAGEIFS('3)Target &amp; Cal'!BN:BN,'3)Target &amp; Cal'!BM:BM,B7),"")&lt;1),1,IFERROR(AVERAGEIFS('3)Target &amp; Cal'!BN:BN,'3)Target &amp; Cal'!BM:BM,B7),""))</f>
        <v/>
      </c>
      <c r="R7" s="206">
        <f>IF(F7="Section Manager",IF(Q7&gt;0,Q7*T_SectAbove!$B$4,0),0)</f>
        <v>0</v>
      </c>
      <c r="S7" s="209" t="str">
        <f>IF(F7="Section Manager",VLOOKUP(A7,ASTBase!F:S,13,FALSE),"")</f>
        <v/>
      </c>
      <c r="T7" s="207" t="str">
        <f t="shared" si="2"/>
        <v/>
      </c>
      <c r="U7" s="206">
        <f>IF(F7="Department Manager",IFERROR(AVERAGEIFS(Q:Q,S:S,A7)*VLOOKUP('1) For HR'!F7,T_SectAbove!A:B,2,FALSE),""),0)</f>
        <v>0</v>
      </c>
      <c r="V7" s="209" t="str">
        <f>IF(F7="Department Manager",VLOOKUP(A7,ASTBase!F:S,14,FALSE),"")</f>
        <v/>
      </c>
      <c r="W7" s="207" t="str">
        <f t="shared" si="1"/>
        <v/>
      </c>
      <c r="X7" s="206">
        <f>IF(F7="Division Manager",IFERROR(AVERAGEIFS(T:T,V:V,A7)*VLOOKUP('1) For HR'!F7,T_SectAbove!A:B,2,FALSE),""),0)</f>
        <v>0</v>
      </c>
    </row>
    <row r="8" spans="1:24" ht="11.4" x14ac:dyDescent="0.25">
      <c r="A8" s="172" t="s">
        <v>305</v>
      </c>
      <c r="B8" s="210">
        <f>IF(IF(VLOOKUP(A8,ASTBase!F:P,11,FALSE)="","",VLOOKUP(A8,ASTBase!F:P,11,FALSE))=0,"",IF(VLOOKUP(A8,ASTBase!F:P,11,FALSE)="","",VLOOKUP(A8,ASTBase!F:P,11,FALSE)))</f>
        <v>120000</v>
      </c>
      <c r="C8" s="173" t="str">
        <f>IF(IFERROR(_xlfn.IFNA(VLOOKUP($A8,'HR Rep'!$A:$X,MATCH('1) For HR'!C$1,'HR Rep'!$A$1:$X$1,0),0),""),"")="","",IFERROR(_xlfn.IFNA(VLOOKUP($A8,'HR Rep'!$A:$X,MATCH('1) For HR'!C$1,'HR Rep'!$A$1:$X$1,0),0),""),""))</f>
        <v/>
      </c>
      <c r="D8" s="173" t="str">
        <f>IF(IFERROR(_xlfn.IFNA(VLOOKUP($A8,'HR Rep'!$A:$X,MATCH('1) For HR'!D$1,'HR Rep'!$A$1:$X$1,0),0),""),"")="","",IFERROR(_xlfn.IFNA(VLOOKUP($A8,'HR Rep'!$A:$X,MATCH('1) For HR'!D$1,'HR Rep'!$A$1:$X$1,0),0),""),""))</f>
        <v/>
      </c>
      <c r="E8" s="173" t="str">
        <f>IF(IFERROR(_xlfn.IFNA(VLOOKUP($A8,'HR Rep'!$A:$X,MATCH('1) For HR'!E$1,'HR Rep'!$A$1:$X$1,0),0),""),"")="","",IFERROR(_xlfn.IFNA(VLOOKUP($A8,'HR Rep'!$A:$X,MATCH('1) For HR'!E$1,'HR Rep'!$A$1:$X$1,0),0),""),""))</f>
        <v/>
      </c>
      <c r="F8" s="173" t="str">
        <f>IF(IFERROR(_xlfn.IFNA(VLOOKUP($A8,'HR Rep'!$A:$X,MATCH('1) For HR'!F$1,'HR Rep'!$A$1:$X$1,0),0),""),"")="","",IFERROR(_xlfn.IFNA(VLOOKUP($A8,'HR Rep'!$A:$X,MATCH('1) For HR'!F$1,'HR Rep'!$A$1:$X$1,0),0),""),""))</f>
        <v>Section Manager</v>
      </c>
      <c r="G8" s="240" t="s">
        <v>260</v>
      </c>
      <c r="H8" s="173" t="str">
        <f>IF(IFERROR(_xlfn.IFNA(VLOOKUP($A8,'HR Rep'!$A:$X,MATCH('1) For HR'!H$1,'HR Rep'!$A$1:$X$1,0),0),""),"")="","",IFERROR(_xlfn.IFNA(VLOOKUP($A8,'HR Rep'!$A:$X,MATCH('1) For HR'!H$1,'HR Rep'!$A$1:$X$1,0),0),""),""))</f>
        <v>Traditional Trade</v>
      </c>
      <c r="I8" s="173" t="str">
        <f>IF(IFERROR(_xlfn.IFNA(VLOOKUP($A8,'HR Rep'!$A:$X,MATCH('1) For HR'!I$1,'HR Rep'!$A$1:$X$1,0),0),""),"")="","",IFERROR(_xlfn.IFNA(VLOOKUP($A8,'HR Rep'!$A:$X,MATCH('1) For HR'!I$1,'HR Rep'!$A$1:$X$1,0),0),""),""))</f>
        <v>Sales Bangkok</v>
      </c>
      <c r="J8" s="173" t="str">
        <f>IF(IFERROR(_xlfn.IFNA(VLOOKUP($A8,'HR Rep'!$A:$X,MATCH('1) For HR'!J$1,'HR Rep'!$A$1:$X$1,0),0),""),"")="","",IFERROR(_xlfn.IFNA(VLOOKUP($A8,'HR Rep'!$A:$X,MATCH('1) For HR'!J$1,'HR Rep'!$A$1:$X$1,0),0),""),""))</f>
        <v>Nonthaburi</v>
      </c>
      <c r="K8" s="201">
        <f>IF(ROUND(P8+R8+U8+X8,2)&lt;O8,O8,ROUND(P8+R8+U8+X8,2))</f>
        <v>4118.18</v>
      </c>
      <c r="L8" s="215" t="str">
        <f>Period!$A$2</f>
        <v>May-26</v>
      </c>
      <c r="M8" s="216" t="str">
        <f>Period!$B$2</f>
        <v>Jul-26</v>
      </c>
      <c r="N8" s="238" t="s">
        <v>182</v>
      </c>
      <c r="P8" s="206">
        <f>IF(SUMIF('3)Target &amp; Cal'!$A$3:$A$308,B8,INDEX('3)Target &amp; Cal'!$AZ$3:$BK$308,0,MATCH(MID(L8,1,3)&amp;"_I",'3)Target &amp; Cal'!$AZ$3:$BK$3,0)))&gt;0,SUMIF('3)Target &amp; Cal'!$A$3:$A$308,B8,INDEX('3)Target &amp; Cal'!$AZ$3:$BK$308,0,MATCH(MID(L8,1,3)&amp;"_I",'3)Target &amp; Cal'!$AZ$3:$BK$3,0))),0)</f>
        <v>0</v>
      </c>
      <c r="Q8" s="207">
        <f>IFERROR(AVERAGEIFS('3)Target &amp; Cal'!BN:BN,'3)Target &amp; Cal'!BM:BM,B8),"")</f>
        <v>1.0295454545454545</v>
      </c>
      <c r="R8" s="206">
        <f>IF(F8="Section Manager",IF(Q8&gt;0,Q8*T_SectAbove!$B$4,0),0)</f>
        <v>4118.181818181818</v>
      </c>
      <c r="S8" s="209" t="str">
        <f>IF(F8="Section Manager",VLOOKUP(A8,ASTBase!F:S,13,FALSE),"")</f>
        <v>000003</v>
      </c>
      <c r="T8" s="207" t="str">
        <f t="shared" si="2"/>
        <v/>
      </c>
      <c r="U8" s="206">
        <f>IF(F8="Department Manager",IFERROR(AVERAGEIFS(Q:Q,S:S,A8)*VLOOKUP('1) For HR'!F8,T_SectAbove!A:B,2,FALSE),""),0)</f>
        <v>0</v>
      </c>
      <c r="V8" s="209" t="str">
        <f>IF(F8="Department Manager",VLOOKUP(A8,ASTBase!F:S,14,FALSE),"")</f>
        <v/>
      </c>
      <c r="W8" s="207" t="str">
        <f t="shared" si="1"/>
        <v/>
      </c>
      <c r="X8" s="206">
        <f>IF(F8="Division Manager",IFERROR(AVERAGEIFS(T:T,V:V,A8)*VLOOKUP('1) For HR'!F8,T_SectAbove!A:B,2,FALSE),""),0)</f>
        <v>0</v>
      </c>
    </row>
    <row r="9" spans="1:24" ht="11.4" x14ac:dyDescent="0.25">
      <c r="A9" s="172" t="s">
        <v>306</v>
      </c>
      <c r="B9" s="210">
        <f>IF(IF(VLOOKUP(A9,ASTBase!F:P,11,FALSE)="","",VLOOKUP(A9,ASTBase!F:P,11,FALSE))=0,"",IF(VLOOKUP(A9,ASTBase!F:P,11,FALSE)="","",VLOOKUP(A9,ASTBase!F:P,11,FALSE)))</f>
        <v>120001</v>
      </c>
      <c r="C9" s="173" t="str">
        <f>IF(IFERROR(_xlfn.IFNA(VLOOKUP($A9,'HR Rep'!$A:$X,MATCH('1) For HR'!C$1,'HR Rep'!$A$1:$X$1,0),0),""),"")="","",IFERROR(_xlfn.IFNA(VLOOKUP($A9,'HR Rep'!$A:$X,MATCH('1) For HR'!C$1,'HR Rep'!$A$1:$X$1,0),0),""),""))</f>
        <v/>
      </c>
      <c r="D9" s="173" t="str">
        <f>IF(IFERROR(_xlfn.IFNA(VLOOKUP($A9,'HR Rep'!$A:$X,MATCH('1) For HR'!D$1,'HR Rep'!$A$1:$X$1,0),0),""),"")="","",IFERROR(_xlfn.IFNA(VLOOKUP($A9,'HR Rep'!$A:$X,MATCH('1) For HR'!D$1,'HR Rep'!$A$1:$X$1,0),0),""),""))</f>
        <v/>
      </c>
      <c r="E9" s="173" t="str">
        <f>IF(IFERROR(_xlfn.IFNA(VLOOKUP($A9,'HR Rep'!$A:$X,MATCH('1) For HR'!E$1,'HR Rep'!$A$1:$X$1,0),0),""),"")="","",IFERROR(_xlfn.IFNA(VLOOKUP($A9,'HR Rep'!$A:$X,MATCH('1) For HR'!E$1,'HR Rep'!$A$1:$X$1,0),0),""),""))</f>
        <v/>
      </c>
      <c r="F9" s="173" t="str">
        <f>IF(IFERROR(_xlfn.IFNA(VLOOKUP($A9,'HR Rep'!$A:$X,MATCH('1) For HR'!F$1,'HR Rep'!$A$1:$X$1,0),0),""),"")="","",IFERROR(_xlfn.IFNA(VLOOKUP($A9,'HR Rep'!$A:$X,MATCH('1) For HR'!F$1,'HR Rep'!$A$1:$X$1,0),0),""),""))</f>
        <v>Supervisor</v>
      </c>
      <c r="G9" s="240" t="s">
        <v>295</v>
      </c>
      <c r="H9" s="173" t="str">
        <f>IF(IFERROR(_xlfn.IFNA(VLOOKUP($A9,'HR Rep'!$A:$X,MATCH('1) For HR'!H$1,'HR Rep'!$A$1:$X$1,0),0),""),"")="","",IFERROR(_xlfn.IFNA(VLOOKUP($A9,'HR Rep'!$A:$X,MATCH('1) For HR'!H$1,'HR Rep'!$A$1:$X$1,0),0),""),""))</f>
        <v>Traditional Trade</v>
      </c>
      <c r="I9" s="173" t="str">
        <f>IF(IFERROR(_xlfn.IFNA(VLOOKUP($A9,'HR Rep'!$A:$X,MATCH('1) For HR'!I$1,'HR Rep'!$A$1:$X$1,0),0),""),"")="","",IFERROR(_xlfn.IFNA(VLOOKUP($A9,'HR Rep'!$A:$X,MATCH('1) For HR'!I$1,'HR Rep'!$A$1:$X$1,0),0),""),""))</f>
        <v>Sales Bangkok</v>
      </c>
      <c r="J9" s="173" t="str">
        <f>IF(IFERROR(_xlfn.IFNA(VLOOKUP($A9,'HR Rep'!$A:$X,MATCH('1) For HR'!J$1,'HR Rep'!$A$1:$X$1,0),0),""),"")="","",IFERROR(_xlfn.IFNA(VLOOKUP($A9,'HR Rep'!$A:$X,MATCH('1) For HR'!J$1,'HR Rep'!$A$1:$X$1,0),0),""),""))</f>
        <v>Nonthaburi</v>
      </c>
      <c r="K9" s="201">
        <f t="shared" si="0"/>
        <v>4120</v>
      </c>
      <c r="L9" s="215" t="str">
        <f>Period!$A$2</f>
        <v>May-26</v>
      </c>
      <c r="M9" s="216" t="str">
        <f>Period!$B$2</f>
        <v>Jul-26</v>
      </c>
      <c r="N9" s="238" t="s">
        <v>182</v>
      </c>
      <c r="P9" s="206">
        <f>IF(SUMIF('3)Target &amp; Cal'!$A$3:$A$308,B9,INDEX('3)Target &amp; Cal'!$AZ$3:$BK$308,0,MATCH(MID(L9,1,3)&amp;"_I",'3)Target &amp; Cal'!$AZ$3:$BK$3,0)))&gt;0,SUMIF('3)Target &amp; Cal'!$A$3:$A$308,B9,INDEX('3)Target &amp; Cal'!$AZ$3:$BK$308,0,MATCH(MID(L9,1,3)&amp;"_I",'3)Target &amp; Cal'!$AZ$3:$BK$3,0))),0)</f>
        <v>4120</v>
      </c>
      <c r="Q9" s="207" t="str">
        <f>IFERROR(AVERAGEIFS('3)Target &amp; Cal'!BN:BN,'3)Target &amp; Cal'!BM:BM,B9),"")</f>
        <v/>
      </c>
      <c r="R9" s="206">
        <f>IF(F9="Section Manager",IF(Q9&gt;0,Q9*T_SectAbove!$B$4,0),0)</f>
        <v>0</v>
      </c>
      <c r="S9" s="209" t="str">
        <f>IF(F9="Section Manager",VLOOKUP(A9,ASTBase!F:S,13,FALSE),"")</f>
        <v/>
      </c>
      <c r="T9" s="207" t="str">
        <f t="shared" si="2"/>
        <v/>
      </c>
      <c r="U9" s="206">
        <f>IF(F9="Department Manager",IFERROR(AVERAGEIFS(Q:Q,S:S,A9)*VLOOKUP('1) For HR'!F9,T_SectAbove!A:B,2,FALSE),""),0)</f>
        <v>0</v>
      </c>
      <c r="V9" s="209" t="str">
        <f>IF(F9="Department Manager",VLOOKUP(A9,ASTBase!F:S,14,FALSE),"")</f>
        <v/>
      </c>
      <c r="W9" s="207" t="str">
        <f t="shared" si="1"/>
        <v/>
      </c>
      <c r="X9" s="206">
        <f>IF(F9="Division Manager",IFERROR(AVERAGEIFS(T:T,V:V,A9)*VLOOKUP('1) For HR'!F9,T_SectAbove!A:B,2,FALSE),""),0)</f>
        <v>0</v>
      </c>
    </row>
    <row r="10" spans="1:24" ht="11.4" x14ac:dyDescent="0.25">
      <c r="A10" s="172" t="s">
        <v>307</v>
      </c>
      <c r="B10" s="210">
        <f>IF(IF(VLOOKUP(A10,ASTBase!F:P,11,FALSE)="","",VLOOKUP(A10,ASTBase!F:P,11,FALSE))=0,"",IF(VLOOKUP(A10,ASTBase!F:P,11,FALSE)="","",VLOOKUP(A10,ASTBase!F:P,11,FALSE)))</f>
        <v>120002</v>
      </c>
      <c r="C10" s="173" t="str">
        <f>IF(IFERROR(_xlfn.IFNA(VLOOKUP($A10,'HR Rep'!$A:$X,MATCH('1) For HR'!C$1,'HR Rep'!$A$1:$X$1,0),0),""),"")="","",IFERROR(_xlfn.IFNA(VLOOKUP($A10,'HR Rep'!$A:$X,MATCH('1) For HR'!C$1,'HR Rep'!$A$1:$X$1,0),0),""),""))</f>
        <v/>
      </c>
      <c r="D10" s="173" t="str">
        <f>IF(IFERROR(_xlfn.IFNA(VLOOKUP($A10,'HR Rep'!$A:$X,MATCH('1) For HR'!D$1,'HR Rep'!$A$1:$X$1,0),0),""),"")="","",IFERROR(_xlfn.IFNA(VLOOKUP($A10,'HR Rep'!$A:$X,MATCH('1) For HR'!D$1,'HR Rep'!$A$1:$X$1,0),0),""),""))</f>
        <v/>
      </c>
      <c r="E10" s="173" t="str">
        <f>IF(IFERROR(_xlfn.IFNA(VLOOKUP($A10,'HR Rep'!$A:$X,MATCH('1) For HR'!E$1,'HR Rep'!$A$1:$X$1,0),0),""),"")="","",IFERROR(_xlfn.IFNA(VLOOKUP($A10,'HR Rep'!$A:$X,MATCH('1) For HR'!E$1,'HR Rep'!$A$1:$X$1,0),0),""),""))</f>
        <v/>
      </c>
      <c r="F10" s="173" t="str">
        <f>IF(IFERROR(_xlfn.IFNA(VLOOKUP($A10,'HR Rep'!$A:$X,MATCH('1) For HR'!F$1,'HR Rep'!$A$1:$X$1,0),0),""),"")="","",IFERROR(_xlfn.IFNA(VLOOKUP($A10,'HR Rep'!$A:$X,MATCH('1) For HR'!F$1,'HR Rep'!$A$1:$X$1,0),0),""),""))</f>
        <v>Staff</v>
      </c>
      <c r="G10" s="240" t="s">
        <v>295</v>
      </c>
      <c r="H10" s="173" t="str">
        <f>IF(IFERROR(_xlfn.IFNA(VLOOKUP($A10,'HR Rep'!$A:$X,MATCH('1) For HR'!H$1,'HR Rep'!$A$1:$X$1,0),0),""),"")="","",IFERROR(_xlfn.IFNA(VLOOKUP($A10,'HR Rep'!$A:$X,MATCH('1) For HR'!H$1,'HR Rep'!$A$1:$X$1,0),0),""),""))</f>
        <v>Traditional Trade</v>
      </c>
      <c r="I10" s="173" t="str">
        <f>IF(IFERROR(_xlfn.IFNA(VLOOKUP($A10,'HR Rep'!$A:$X,MATCH('1) For HR'!I$1,'HR Rep'!$A$1:$X$1,0),0),""),"")="","",IFERROR(_xlfn.IFNA(VLOOKUP($A10,'HR Rep'!$A:$X,MATCH('1) For HR'!I$1,'HR Rep'!$A$1:$X$1,0),0),""),""))</f>
        <v>Sales Bangkok</v>
      </c>
      <c r="J10" s="173" t="str">
        <f>IF(IFERROR(_xlfn.IFNA(VLOOKUP($A10,'HR Rep'!$A:$X,MATCH('1) For HR'!J$1,'HR Rep'!$A$1:$X$1,0),0),""),"")="","",IFERROR(_xlfn.IFNA(VLOOKUP($A10,'HR Rep'!$A:$X,MATCH('1) For HR'!J$1,'HR Rep'!$A$1:$X$1,0),0),""),""))</f>
        <v>Nonthaburi</v>
      </c>
      <c r="K10" s="201">
        <f t="shared" si="0"/>
        <v>4210</v>
      </c>
      <c r="L10" s="215" t="str">
        <f>Period!$A$2</f>
        <v>May-26</v>
      </c>
      <c r="M10" s="216" t="str">
        <f>Period!$B$2</f>
        <v>Jul-26</v>
      </c>
      <c r="N10" s="238" t="s">
        <v>182</v>
      </c>
      <c r="P10" s="206">
        <f>IF(SUMIF('3)Target &amp; Cal'!$A$3:$A$308,B10,INDEX('3)Target &amp; Cal'!$AZ$3:$BK$308,0,MATCH(MID(L10,1,3)&amp;"_I",'3)Target &amp; Cal'!$AZ$3:$BK$3,0)))&gt;0,SUMIF('3)Target &amp; Cal'!$A$3:$A$308,B10,INDEX('3)Target &amp; Cal'!$AZ$3:$BK$308,0,MATCH(MID(L10,1,3)&amp;"_I",'3)Target &amp; Cal'!$AZ$3:$BK$3,0))),0)</f>
        <v>4210</v>
      </c>
      <c r="Q10" s="207" t="str">
        <f>IFERROR(AVERAGEIFS('3)Target &amp; Cal'!BN:BN,'3)Target &amp; Cal'!BM:BM,B10),"")</f>
        <v/>
      </c>
      <c r="R10" s="206">
        <f>IF(F10="Section Manager",IF(Q10&gt;0,Q10*T_SectAbove!$B$4,0),0)</f>
        <v>0</v>
      </c>
      <c r="S10" s="209" t="str">
        <f>IF(F10="Section Manager",VLOOKUP(A10,ASTBase!F:S,13,FALSE),"")</f>
        <v/>
      </c>
      <c r="T10" s="207" t="str">
        <f t="shared" si="2"/>
        <v/>
      </c>
      <c r="U10" s="206">
        <f>IF(F10="Department Manager",IFERROR(AVERAGEIFS(Q:Q,S:S,A10)*VLOOKUP('1) For HR'!F10,T_SectAbove!A:B,2,FALSE),""),0)</f>
        <v>0</v>
      </c>
      <c r="V10" s="209" t="str">
        <f>IF(F10="Department Manager",VLOOKUP(A10,ASTBase!F:S,14,FALSE),"")</f>
        <v/>
      </c>
      <c r="W10" s="207" t="str">
        <f t="shared" si="1"/>
        <v/>
      </c>
      <c r="X10" s="206">
        <f>IF(F10="Division Manager",IFERROR(AVERAGEIFS(T:T,V:V,A10)*VLOOKUP('1) For HR'!F10,T_SectAbove!A:B,2,FALSE),""),0)</f>
        <v>0</v>
      </c>
    </row>
    <row r="11" spans="1:24" ht="11.4" x14ac:dyDescent="0.25">
      <c r="A11" s="172" t="s">
        <v>308</v>
      </c>
      <c r="B11" s="210">
        <f>IF(IF(VLOOKUP(A11,ASTBase!F:P,11,FALSE)="","",VLOOKUP(A11,ASTBase!F:P,11,FALSE))=0,"",IF(VLOOKUP(A11,ASTBase!F:P,11,FALSE)="","",VLOOKUP(A11,ASTBase!F:P,11,FALSE)))</f>
        <v>130000</v>
      </c>
      <c r="C11" s="173" t="str">
        <f>IF(IFERROR(_xlfn.IFNA(VLOOKUP($A11,'HR Rep'!$A:$X,MATCH('1) For HR'!C$1,'HR Rep'!$A$1:$X$1,0),0),""),"")="","",IFERROR(_xlfn.IFNA(VLOOKUP($A11,'HR Rep'!$A:$X,MATCH('1) For HR'!C$1,'HR Rep'!$A$1:$X$1,0),0),""),""))</f>
        <v/>
      </c>
      <c r="D11" s="173" t="str">
        <f>IF(IFERROR(_xlfn.IFNA(VLOOKUP($A11,'HR Rep'!$A:$X,MATCH('1) For HR'!D$1,'HR Rep'!$A$1:$X$1,0),0),""),"")="","",IFERROR(_xlfn.IFNA(VLOOKUP($A11,'HR Rep'!$A:$X,MATCH('1) For HR'!D$1,'HR Rep'!$A$1:$X$1,0),0),""),""))</f>
        <v/>
      </c>
      <c r="E11" s="173" t="str">
        <f>IF(IFERROR(_xlfn.IFNA(VLOOKUP($A11,'HR Rep'!$A:$X,MATCH('1) For HR'!E$1,'HR Rep'!$A$1:$X$1,0),0),""),"")="","",IFERROR(_xlfn.IFNA(VLOOKUP($A11,'HR Rep'!$A:$X,MATCH('1) For HR'!E$1,'HR Rep'!$A$1:$X$1,0),0),""),""))</f>
        <v/>
      </c>
      <c r="F11" s="173" t="str">
        <f>IF(IFERROR(_xlfn.IFNA(VLOOKUP($A11,'HR Rep'!$A:$X,MATCH('1) For HR'!F$1,'HR Rep'!$A$1:$X$1,0),0),""),"")="","",IFERROR(_xlfn.IFNA(VLOOKUP($A11,'HR Rep'!$A:$X,MATCH('1) For HR'!F$1,'HR Rep'!$A$1:$X$1,0),0),""),""))</f>
        <v>Section Manager</v>
      </c>
      <c r="G11" s="240" t="s">
        <v>260</v>
      </c>
      <c r="H11" s="173" t="str">
        <f>IF(IFERROR(_xlfn.IFNA(VLOOKUP($A11,'HR Rep'!$A:$X,MATCH('1) For HR'!H$1,'HR Rep'!$A$1:$X$1,0),0),""),"")="","",IFERROR(_xlfn.IFNA(VLOOKUP($A11,'HR Rep'!$A:$X,MATCH('1) For HR'!H$1,'HR Rep'!$A$1:$X$1,0),0),""),""))</f>
        <v>Traditional Trade</v>
      </c>
      <c r="I11" s="173" t="str">
        <f>IF(IFERROR(_xlfn.IFNA(VLOOKUP($A11,'HR Rep'!$A:$X,MATCH('1) For HR'!I$1,'HR Rep'!$A$1:$X$1,0),0),""),"")="","",IFERROR(_xlfn.IFNA(VLOOKUP($A11,'HR Rep'!$A:$X,MATCH('1) For HR'!I$1,'HR Rep'!$A$1:$X$1,0),0),""),""))</f>
        <v>Sales Bangkok</v>
      </c>
      <c r="J11" s="173" t="str">
        <f>IF(IFERROR(_xlfn.IFNA(VLOOKUP($A11,'HR Rep'!$A:$X,MATCH('1) For HR'!J$1,'HR Rep'!$A$1:$X$1,0),0),""),"")="","",IFERROR(_xlfn.IFNA(VLOOKUP($A11,'HR Rep'!$A:$X,MATCH('1) For HR'!J$1,'HR Rep'!$A$1:$X$1,0),0),""),""))</f>
        <v>Pathum Thani</v>
      </c>
      <c r="K11" s="201">
        <f t="shared" si="0"/>
        <v>4059.39</v>
      </c>
      <c r="L11" s="215" t="str">
        <f>Period!$A$2</f>
        <v>May-26</v>
      </c>
      <c r="M11" s="216" t="str">
        <f>Period!$B$2</f>
        <v>Jul-26</v>
      </c>
      <c r="N11" s="238" t="s">
        <v>182</v>
      </c>
      <c r="P11" s="206">
        <f>IF(SUMIF('3)Target &amp; Cal'!$A$3:$A$308,B11,INDEX('3)Target &amp; Cal'!$AZ$3:$BK$308,0,MATCH(MID(L11,1,3)&amp;"_I",'3)Target &amp; Cal'!$AZ$3:$BK$3,0)))&gt;0,SUMIF('3)Target &amp; Cal'!$A$3:$A$308,B11,INDEX('3)Target &amp; Cal'!$AZ$3:$BK$308,0,MATCH(MID(L11,1,3)&amp;"_I",'3)Target &amp; Cal'!$AZ$3:$BK$3,0))),0)</f>
        <v>0</v>
      </c>
      <c r="Q11" s="207">
        <f>IFERROR(AVERAGEIFS('3)Target &amp; Cal'!BN:BN,'3)Target &amp; Cal'!BM:BM,B11),"")</f>
        <v>1.0148484848484847</v>
      </c>
      <c r="R11" s="206">
        <f>IF(F11="Section Manager",IF(Q11&gt;0,Q11*T_SectAbove!$B$4,0),0)</f>
        <v>4059.3939393939386</v>
      </c>
      <c r="S11" s="209" t="str">
        <f>IF(F11="Section Manager",VLOOKUP(A11,ASTBase!F:S,13,FALSE),"")</f>
        <v>000003</v>
      </c>
      <c r="T11" s="207" t="str">
        <f t="shared" si="2"/>
        <v/>
      </c>
      <c r="U11" s="206">
        <f>IF(F11="Department Manager",IFERROR(AVERAGEIFS(Q:Q,S:S,A11)*VLOOKUP('1) For HR'!F11,T_SectAbove!A:B,2,FALSE),""),0)</f>
        <v>0</v>
      </c>
      <c r="V11" s="209" t="str">
        <f>IF(F11="Department Manager",VLOOKUP(A11,ASTBase!F:S,14,FALSE),"")</f>
        <v/>
      </c>
      <c r="W11" s="207" t="str">
        <f t="shared" si="1"/>
        <v/>
      </c>
      <c r="X11" s="206">
        <f>IF(F11="Division Manager",IFERROR(AVERAGEIFS(T:T,V:V,A11)*VLOOKUP('1) For HR'!F11,T_SectAbove!A:B,2,FALSE),""),0)</f>
        <v>0</v>
      </c>
    </row>
    <row r="12" spans="1:24" ht="11.4" x14ac:dyDescent="0.25">
      <c r="A12" s="172" t="s">
        <v>309</v>
      </c>
      <c r="B12" s="210">
        <f>IF(IF(VLOOKUP(A12,ASTBase!F:P,11,FALSE)="","",VLOOKUP(A12,ASTBase!F:P,11,FALSE))=0,"",IF(VLOOKUP(A12,ASTBase!F:P,11,FALSE)="","",VLOOKUP(A12,ASTBase!F:P,11,FALSE)))</f>
        <v>130001</v>
      </c>
      <c r="C12" s="173" t="str">
        <f>IF(IFERROR(_xlfn.IFNA(VLOOKUP($A12,'HR Rep'!$A:$X,MATCH('1) For HR'!C$1,'HR Rep'!$A$1:$X$1,0),0),""),"")="","",IFERROR(_xlfn.IFNA(VLOOKUP($A12,'HR Rep'!$A:$X,MATCH('1) For HR'!C$1,'HR Rep'!$A$1:$X$1,0),0),""),""))</f>
        <v/>
      </c>
      <c r="D12" s="173" t="str">
        <f>IF(IFERROR(_xlfn.IFNA(VLOOKUP($A12,'HR Rep'!$A:$X,MATCH('1) For HR'!D$1,'HR Rep'!$A$1:$X$1,0),0),""),"")="","",IFERROR(_xlfn.IFNA(VLOOKUP($A12,'HR Rep'!$A:$X,MATCH('1) For HR'!D$1,'HR Rep'!$A$1:$X$1,0),0),""),""))</f>
        <v/>
      </c>
      <c r="E12" s="173" t="str">
        <f>IF(IFERROR(_xlfn.IFNA(VLOOKUP($A12,'HR Rep'!$A:$X,MATCH('1) For HR'!E$1,'HR Rep'!$A$1:$X$1,0),0),""),"")="","",IFERROR(_xlfn.IFNA(VLOOKUP($A12,'HR Rep'!$A:$X,MATCH('1) For HR'!E$1,'HR Rep'!$A$1:$X$1,0),0),""),""))</f>
        <v/>
      </c>
      <c r="F12" s="173" t="str">
        <f>IF(IFERROR(_xlfn.IFNA(VLOOKUP($A12,'HR Rep'!$A:$X,MATCH('1) For HR'!F$1,'HR Rep'!$A$1:$X$1,0),0),""),"")="","",IFERROR(_xlfn.IFNA(VLOOKUP($A12,'HR Rep'!$A:$X,MATCH('1) For HR'!F$1,'HR Rep'!$A$1:$X$1,0),0),""),""))</f>
        <v>Supervisor</v>
      </c>
      <c r="G12" s="240" t="s">
        <v>292</v>
      </c>
      <c r="H12" s="173" t="str">
        <f>IF(IFERROR(_xlfn.IFNA(VLOOKUP($A12,'HR Rep'!$A:$X,MATCH('1) For HR'!H$1,'HR Rep'!$A$1:$X$1,0),0),""),"")="","",IFERROR(_xlfn.IFNA(VLOOKUP($A12,'HR Rep'!$A:$X,MATCH('1) For HR'!H$1,'HR Rep'!$A$1:$X$1,0),0),""),""))</f>
        <v>Traditional Trade</v>
      </c>
      <c r="I12" s="173" t="str">
        <f>IF(IFERROR(_xlfn.IFNA(VLOOKUP($A12,'HR Rep'!$A:$X,MATCH('1) For HR'!I$1,'HR Rep'!$A$1:$X$1,0),0),""),"")="","",IFERROR(_xlfn.IFNA(VLOOKUP($A12,'HR Rep'!$A:$X,MATCH('1) For HR'!I$1,'HR Rep'!$A$1:$X$1,0),0),""),""))</f>
        <v>Sales Bangkok</v>
      </c>
      <c r="J12" s="173" t="str">
        <f>IF(IFERROR(_xlfn.IFNA(VLOOKUP($A12,'HR Rep'!$A:$X,MATCH('1) For HR'!J$1,'HR Rep'!$A$1:$X$1,0),0),""),"")="","",IFERROR(_xlfn.IFNA(VLOOKUP($A12,'HR Rep'!$A:$X,MATCH('1) For HR'!J$1,'HR Rep'!$A$1:$X$1,0),0),""),""))</f>
        <v>Pathum Thani</v>
      </c>
      <c r="K12" s="201">
        <f t="shared" si="0"/>
        <v>4340</v>
      </c>
      <c r="L12" s="215" t="str">
        <f>Period!$A$2</f>
        <v>May-26</v>
      </c>
      <c r="M12" s="216" t="str">
        <f>Period!$B$2</f>
        <v>Jul-26</v>
      </c>
      <c r="N12" s="238" t="s">
        <v>182</v>
      </c>
      <c r="P12" s="206">
        <f>IF(SUMIF('3)Target &amp; Cal'!$A$3:$A$308,B12,INDEX('3)Target &amp; Cal'!$AZ$3:$BK$308,0,MATCH(MID(L12,1,3)&amp;"_I",'3)Target &amp; Cal'!$AZ$3:$BK$3,0)))&gt;0,SUMIF('3)Target &amp; Cal'!$A$3:$A$308,B12,INDEX('3)Target &amp; Cal'!$AZ$3:$BK$308,0,MATCH(MID(L12,1,3)&amp;"_I",'3)Target &amp; Cal'!$AZ$3:$BK$3,0))),0)</f>
        <v>4340</v>
      </c>
      <c r="Q12" s="207" t="str">
        <f>IFERROR(AVERAGEIFS('3)Target &amp; Cal'!BN:BN,'3)Target &amp; Cal'!BM:BM,B12),"")</f>
        <v/>
      </c>
      <c r="R12" s="206">
        <f>IF(F12="Section Manager",IF(Q12&gt;0,Q12*T_SectAbove!$B$4,0),0)</f>
        <v>0</v>
      </c>
      <c r="S12" s="209" t="str">
        <f>IF(F12="Section Manager",VLOOKUP(A12,ASTBase!F:S,13,FALSE),"")</f>
        <v/>
      </c>
      <c r="T12" s="207" t="str">
        <f t="shared" si="2"/>
        <v/>
      </c>
      <c r="U12" s="206">
        <f>IF(F12="Department Manager",IFERROR(AVERAGEIFS(Q:Q,S:S,A12)*VLOOKUP('1) For HR'!F12,T_SectAbove!A:B,2,FALSE),""),0)</f>
        <v>0</v>
      </c>
      <c r="V12" s="209" t="str">
        <f>IF(F12="Department Manager",VLOOKUP(A12,ASTBase!F:S,14,FALSE),"")</f>
        <v/>
      </c>
      <c r="W12" s="207" t="str">
        <f t="shared" si="1"/>
        <v/>
      </c>
      <c r="X12" s="206">
        <f>IF(F12="Division Manager",IFERROR(AVERAGEIFS(T:T,V:V,A12)*VLOOKUP('1) For HR'!F12,T_SectAbove!A:B,2,FALSE),""),0)</f>
        <v>0</v>
      </c>
    </row>
    <row r="13" spans="1:24" ht="11.4" x14ac:dyDescent="0.25">
      <c r="A13" s="172" t="s">
        <v>310</v>
      </c>
      <c r="B13" s="210">
        <f>IF(IF(VLOOKUP(A13,ASTBase!F:P,11,FALSE)="","",VLOOKUP(A13,ASTBase!F:P,11,FALSE))=0,"",IF(VLOOKUP(A13,ASTBase!F:P,11,FALSE)="","",VLOOKUP(A13,ASTBase!F:P,11,FALSE)))</f>
        <v>130002</v>
      </c>
      <c r="C13" s="173" t="str">
        <f>IF(IFERROR(_xlfn.IFNA(VLOOKUP($A13,'HR Rep'!$A:$X,MATCH('1) For HR'!C$1,'HR Rep'!$A$1:$X$1,0),0),""),"")="","",IFERROR(_xlfn.IFNA(VLOOKUP($A13,'HR Rep'!$A:$X,MATCH('1) For HR'!C$1,'HR Rep'!$A$1:$X$1,0),0),""),""))</f>
        <v/>
      </c>
      <c r="D13" s="173" t="str">
        <f>IF(IFERROR(_xlfn.IFNA(VLOOKUP($A13,'HR Rep'!$A:$X,MATCH('1) For HR'!D$1,'HR Rep'!$A$1:$X$1,0),0),""),"")="","",IFERROR(_xlfn.IFNA(VLOOKUP($A13,'HR Rep'!$A:$X,MATCH('1) For HR'!D$1,'HR Rep'!$A$1:$X$1,0),0),""),""))</f>
        <v/>
      </c>
      <c r="E13" s="173" t="str">
        <f>IF(IFERROR(_xlfn.IFNA(VLOOKUP($A13,'HR Rep'!$A:$X,MATCH('1) For HR'!E$1,'HR Rep'!$A$1:$X$1,0),0),""),"")="","",IFERROR(_xlfn.IFNA(VLOOKUP($A13,'HR Rep'!$A:$X,MATCH('1) For HR'!E$1,'HR Rep'!$A$1:$X$1,0),0),""),""))</f>
        <v/>
      </c>
      <c r="F13" s="173" t="str">
        <f>IF(IFERROR(_xlfn.IFNA(VLOOKUP($A13,'HR Rep'!$A:$X,MATCH('1) For HR'!F$1,'HR Rep'!$A$1:$X$1,0),0),""),"")="","",IFERROR(_xlfn.IFNA(VLOOKUP($A13,'HR Rep'!$A:$X,MATCH('1) For HR'!F$1,'HR Rep'!$A$1:$X$1,0),0),""),""))</f>
        <v>Staff</v>
      </c>
      <c r="G13" s="240" t="s">
        <v>293</v>
      </c>
      <c r="H13" s="173" t="str">
        <f>IF(IFERROR(_xlfn.IFNA(VLOOKUP($A13,'HR Rep'!$A:$X,MATCH('1) For HR'!H$1,'HR Rep'!$A$1:$X$1,0),0),""),"")="","",IFERROR(_xlfn.IFNA(VLOOKUP($A13,'HR Rep'!$A:$X,MATCH('1) For HR'!H$1,'HR Rep'!$A$1:$X$1,0),0),""),""))</f>
        <v>Traditional Trade</v>
      </c>
      <c r="I13" s="173" t="str">
        <f>IF(IFERROR(_xlfn.IFNA(VLOOKUP($A13,'HR Rep'!$A:$X,MATCH('1) For HR'!I$1,'HR Rep'!$A$1:$X$1,0),0),""),"")="","",IFERROR(_xlfn.IFNA(VLOOKUP($A13,'HR Rep'!$A:$X,MATCH('1) For HR'!I$1,'HR Rep'!$A$1:$X$1,0),0),""),""))</f>
        <v>Sales Bangkok</v>
      </c>
      <c r="J13" s="173" t="str">
        <f>IF(IFERROR(_xlfn.IFNA(VLOOKUP($A13,'HR Rep'!$A:$X,MATCH('1) For HR'!J$1,'HR Rep'!$A$1:$X$1,0),0),""),"")="","",IFERROR(_xlfn.IFNA(VLOOKUP($A13,'HR Rep'!$A:$X,MATCH('1) For HR'!J$1,'HR Rep'!$A$1:$X$1,0),0),""),""))</f>
        <v>Pathum Thani</v>
      </c>
      <c r="K13" s="201">
        <f t="shared" si="0"/>
        <v>3673.25</v>
      </c>
      <c r="L13" s="215" t="str">
        <f>Period!$A$2</f>
        <v>May-26</v>
      </c>
      <c r="M13" s="216" t="str">
        <f>Period!$B$2</f>
        <v>Jul-26</v>
      </c>
      <c r="N13" s="238" t="s">
        <v>182</v>
      </c>
      <c r="P13" s="206">
        <f>IF(SUMIF('3)Target &amp; Cal'!$A$3:$A$308,B13,INDEX('3)Target &amp; Cal'!$AZ$3:$BK$308,0,MATCH(MID(L13,1,3)&amp;"_I",'3)Target &amp; Cal'!$AZ$3:$BK$3,0)))&gt;0,SUMIF('3)Target &amp; Cal'!$A$3:$A$308,B13,INDEX('3)Target &amp; Cal'!$AZ$3:$BK$308,0,MATCH(MID(L13,1,3)&amp;"_I",'3)Target &amp; Cal'!$AZ$3:$BK$3,0))),0)</f>
        <v>3673.25</v>
      </c>
      <c r="Q13" s="207" t="str">
        <f>IFERROR(AVERAGEIFS('3)Target &amp; Cal'!BN:BN,'3)Target &amp; Cal'!BM:BM,B13),"")</f>
        <v/>
      </c>
      <c r="R13" s="206">
        <f>IF(F13="Section Manager",IF(Q13&gt;0,Q13*T_SectAbove!$B$4,0),0)</f>
        <v>0</v>
      </c>
      <c r="S13" s="209" t="str">
        <f>IF(F13="Section Manager",VLOOKUP(A13,ASTBase!F:S,13,FALSE),"")</f>
        <v/>
      </c>
      <c r="T13" s="207" t="str">
        <f t="shared" si="2"/>
        <v/>
      </c>
      <c r="U13" s="206">
        <f>IF(F13="Department Manager",IFERROR(AVERAGEIFS(Q:Q,S:S,A13)*VLOOKUP('1) For HR'!F13,T_SectAbove!A:B,2,FALSE),""),0)</f>
        <v>0</v>
      </c>
      <c r="V13" s="209" t="str">
        <f>IF(F13="Department Manager",VLOOKUP(A13,ASTBase!F:S,14,FALSE),"")</f>
        <v/>
      </c>
      <c r="W13" s="207" t="str">
        <f t="shared" si="1"/>
        <v/>
      </c>
      <c r="X13" s="206">
        <f>IF(F13="Division Manager",IFERROR(AVERAGEIFS(T:T,V:V,A13)*VLOOKUP('1) For HR'!F13,T_SectAbove!A:B,2,FALSE),""),0)</f>
        <v>0</v>
      </c>
    </row>
    <row r="14" spans="1:24" ht="11.4" x14ac:dyDescent="0.25">
      <c r="A14" s="172" t="s">
        <v>311</v>
      </c>
      <c r="B14" s="210">
        <f>IF(IF(VLOOKUP(A14,ASTBase!F:P,11,FALSE)="","",VLOOKUP(A14,ASTBase!F:P,11,FALSE))=0,"",IF(VLOOKUP(A14,ASTBase!F:P,11,FALSE)="","",VLOOKUP(A14,ASTBase!F:P,11,FALSE)))</f>
        <v>130003</v>
      </c>
      <c r="C14" s="173" t="str">
        <f>IF(IFERROR(_xlfn.IFNA(VLOOKUP($A14,'HR Rep'!$A:$X,MATCH('1) For HR'!C$1,'HR Rep'!$A$1:$X$1,0),0),""),"")="","",IFERROR(_xlfn.IFNA(VLOOKUP($A14,'HR Rep'!$A:$X,MATCH('1) For HR'!C$1,'HR Rep'!$A$1:$X$1,0),0),""),""))</f>
        <v/>
      </c>
      <c r="D14" s="173" t="str">
        <f>IF(IFERROR(_xlfn.IFNA(VLOOKUP($A14,'HR Rep'!$A:$X,MATCH('1) For HR'!D$1,'HR Rep'!$A$1:$X$1,0),0),""),"")="","",IFERROR(_xlfn.IFNA(VLOOKUP($A14,'HR Rep'!$A:$X,MATCH('1) For HR'!D$1,'HR Rep'!$A$1:$X$1,0),0),""),""))</f>
        <v/>
      </c>
      <c r="E14" s="173" t="str">
        <f>IF(IFERROR(_xlfn.IFNA(VLOOKUP($A14,'HR Rep'!$A:$X,MATCH('1) For HR'!E$1,'HR Rep'!$A$1:$X$1,0),0),""),"")="","",IFERROR(_xlfn.IFNA(VLOOKUP($A14,'HR Rep'!$A:$X,MATCH('1) For HR'!E$1,'HR Rep'!$A$1:$X$1,0),0),""),""))</f>
        <v/>
      </c>
      <c r="F14" s="173" t="str">
        <f>IF(IFERROR(_xlfn.IFNA(VLOOKUP($A14,'HR Rep'!$A:$X,MATCH('1) For HR'!F$1,'HR Rep'!$A$1:$X$1,0),0),""),"")="","",IFERROR(_xlfn.IFNA(VLOOKUP($A14,'HR Rep'!$A:$X,MATCH('1) For HR'!F$1,'HR Rep'!$A$1:$X$1,0),0),""),""))</f>
        <v>Staff</v>
      </c>
      <c r="G14" s="240" t="s">
        <v>294</v>
      </c>
      <c r="H14" s="173" t="str">
        <f>IF(IFERROR(_xlfn.IFNA(VLOOKUP($A14,'HR Rep'!$A:$X,MATCH('1) For HR'!H$1,'HR Rep'!$A$1:$X$1,0),0),""),"")="","",IFERROR(_xlfn.IFNA(VLOOKUP($A14,'HR Rep'!$A:$X,MATCH('1) For HR'!H$1,'HR Rep'!$A$1:$X$1,0),0),""),""))</f>
        <v>Traditional Trade</v>
      </c>
      <c r="I14" s="173" t="str">
        <f>IF(IFERROR(_xlfn.IFNA(VLOOKUP($A14,'HR Rep'!$A:$X,MATCH('1) For HR'!I$1,'HR Rep'!$A$1:$X$1,0),0),""),"")="","",IFERROR(_xlfn.IFNA(VLOOKUP($A14,'HR Rep'!$A:$X,MATCH('1) For HR'!I$1,'HR Rep'!$A$1:$X$1,0),0),""),""))</f>
        <v>Sales Bangkok</v>
      </c>
      <c r="J14" s="173" t="str">
        <f>IF(IFERROR(_xlfn.IFNA(VLOOKUP($A14,'HR Rep'!$A:$X,MATCH('1) For HR'!J$1,'HR Rep'!$A$1:$X$1,0),0),""),"")="","",IFERROR(_xlfn.IFNA(VLOOKUP($A14,'HR Rep'!$A:$X,MATCH('1) For HR'!J$1,'HR Rep'!$A$1:$X$1,0),0),""),""))</f>
        <v>Pathum Thani</v>
      </c>
      <c r="K14" s="201">
        <f t="shared" si="0"/>
        <v>3260.25</v>
      </c>
      <c r="L14" s="215" t="str">
        <f>Period!$A$2</f>
        <v>May-26</v>
      </c>
      <c r="M14" s="216" t="str">
        <f>Period!$B$2</f>
        <v>Jul-26</v>
      </c>
      <c r="N14" s="238" t="s">
        <v>182</v>
      </c>
      <c r="P14" s="206">
        <f>IF(SUMIF('3)Target &amp; Cal'!$A$3:$A$308,B14,INDEX('3)Target &amp; Cal'!$AZ$3:$BK$308,0,MATCH(MID(L14,1,3)&amp;"_I",'3)Target &amp; Cal'!$AZ$3:$BK$3,0)))&gt;0,SUMIF('3)Target &amp; Cal'!$A$3:$A$308,B14,INDEX('3)Target &amp; Cal'!$AZ$3:$BK$308,0,MATCH(MID(L14,1,3)&amp;"_I",'3)Target &amp; Cal'!$AZ$3:$BK$3,0))),0)</f>
        <v>3260.25</v>
      </c>
      <c r="Q14" s="207" t="str">
        <f>IFERROR(AVERAGEIFS('3)Target &amp; Cal'!BN:BN,'3)Target &amp; Cal'!BM:BM,B14),"")</f>
        <v/>
      </c>
      <c r="R14" s="206">
        <f>IF(F14="Section Manager",IF(Q14&gt;0,Q14*T_SectAbove!$B$4,0),0)</f>
        <v>0</v>
      </c>
      <c r="S14" s="209" t="str">
        <f>IF(F14="Section Manager",VLOOKUP(A14,ASTBase!F:S,13,FALSE),"")</f>
        <v/>
      </c>
      <c r="T14" s="207" t="str">
        <f t="shared" si="2"/>
        <v/>
      </c>
      <c r="U14" s="206">
        <f>IF(F14="Department Manager",IFERROR(AVERAGEIFS(Q:Q,S:S,A14)*VLOOKUP('1) For HR'!F14,T_SectAbove!A:B,2,FALSE),""),0)</f>
        <v>0</v>
      </c>
      <c r="V14" s="209" t="str">
        <f>IF(F14="Department Manager",VLOOKUP(A14,ASTBase!F:S,14,FALSE),"")</f>
        <v/>
      </c>
      <c r="W14" s="207" t="str">
        <f t="shared" si="1"/>
        <v/>
      </c>
      <c r="X14" s="206">
        <f>IF(F14="Division Manager",IFERROR(AVERAGEIFS(T:T,V:V,A14)*VLOOKUP('1) For HR'!F14,T_SectAbove!A:B,2,FALSE),""),0)</f>
        <v>0</v>
      </c>
    </row>
    <row r="15" spans="1:24" ht="11.4" x14ac:dyDescent="0.25">
      <c r="A15" s="172" t="s">
        <v>312</v>
      </c>
      <c r="B15" s="210">
        <f>IF(IF(VLOOKUP(A15,ASTBase!F:P,11,FALSE)="","",VLOOKUP(A15,ASTBase!F:P,11,FALSE))=0,"",IF(VLOOKUP(A15,ASTBase!F:P,11,FALSE)="","",VLOOKUP(A15,ASTBase!F:P,11,FALSE)))</f>
        <v>140000</v>
      </c>
      <c r="C15" s="173" t="str">
        <f>IF(IFERROR(_xlfn.IFNA(VLOOKUP($A15,'HR Rep'!$A:$X,MATCH('1) For HR'!C$1,'HR Rep'!$A$1:$X$1,0),0),""),"")="","",IFERROR(_xlfn.IFNA(VLOOKUP($A15,'HR Rep'!$A:$X,MATCH('1) For HR'!C$1,'HR Rep'!$A$1:$X$1,0),0),""),""))</f>
        <v/>
      </c>
      <c r="D15" s="173" t="str">
        <f>IF(IFERROR(_xlfn.IFNA(VLOOKUP($A15,'HR Rep'!$A:$X,MATCH('1) For HR'!D$1,'HR Rep'!$A$1:$X$1,0),0),""),"")="","",IFERROR(_xlfn.IFNA(VLOOKUP($A15,'HR Rep'!$A:$X,MATCH('1) For HR'!D$1,'HR Rep'!$A$1:$X$1,0),0),""),""))</f>
        <v/>
      </c>
      <c r="E15" s="173" t="str">
        <f>IF(IFERROR(_xlfn.IFNA(VLOOKUP($A15,'HR Rep'!$A:$X,MATCH('1) For HR'!E$1,'HR Rep'!$A$1:$X$1,0),0),""),"")="","",IFERROR(_xlfn.IFNA(VLOOKUP($A15,'HR Rep'!$A:$X,MATCH('1) For HR'!E$1,'HR Rep'!$A$1:$X$1,0),0),""),""))</f>
        <v/>
      </c>
      <c r="F15" s="173" t="str">
        <f>IF(IFERROR(_xlfn.IFNA(VLOOKUP($A15,'HR Rep'!$A:$X,MATCH('1) For HR'!F$1,'HR Rep'!$A$1:$X$1,0),0),""),"")="","",IFERROR(_xlfn.IFNA(VLOOKUP($A15,'HR Rep'!$A:$X,MATCH('1) For HR'!F$1,'HR Rep'!$A$1:$X$1,0),0),""),""))</f>
        <v>Section Manager</v>
      </c>
      <c r="G15" s="240" t="s">
        <v>260</v>
      </c>
      <c r="H15" s="173" t="str">
        <f>IF(IFERROR(_xlfn.IFNA(VLOOKUP($A15,'HR Rep'!$A:$X,MATCH('1) For HR'!H$1,'HR Rep'!$A$1:$X$1,0),0),""),"")="","",IFERROR(_xlfn.IFNA(VLOOKUP($A15,'HR Rep'!$A:$X,MATCH('1) For HR'!H$1,'HR Rep'!$A$1:$X$1,0),0),""),""))</f>
        <v>Traditional Trade</v>
      </c>
      <c r="I15" s="173" t="str">
        <f>IF(IFERROR(_xlfn.IFNA(VLOOKUP($A15,'HR Rep'!$A:$X,MATCH('1) For HR'!I$1,'HR Rep'!$A$1:$X$1,0),0),""),"")="","",IFERROR(_xlfn.IFNA(VLOOKUP($A15,'HR Rep'!$A:$X,MATCH('1) For HR'!I$1,'HR Rep'!$A$1:$X$1,0),0),""),""))</f>
        <v>Sales Bangkok</v>
      </c>
      <c r="J15" s="173" t="str">
        <f>IF(IFERROR(_xlfn.IFNA(VLOOKUP($A15,'HR Rep'!$A:$X,MATCH('1) For HR'!J$1,'HR Rep'!$A$1:$X$1,0),0),""),"")="","",IFERROR(_xlfn.IFNA(VLOOKUP($A15,'HR Rep'!$A:$X,MATCH('1) For HR'!J$1,'HR Rep'!$A$1:$X$1,0),0),""),""))</f>
        <v>Pattanakan</v>
      </c>
      <c r="K15" s="201">
        <f t="shared" si="0"/>
        <v>4095</v>
      </c>
      <c r="L15" s="215" t="str">
        <f>Period!$A$2</f>
        <v>May-26</v>
      </c>
      <c r="M15" s="216" t="str">
        <f>Period!$B$2</f>
        <v>Jul-26</v>
      </c>
      <c r="N15" s="238" t="s">
        <v>182</v>
      </c>
      <c r="P15" s="206">
        <f>IF(SUMIF('3)Target &amp; Cal'!$A$3:$A$308,B15,INDEX('3)Target &amp; Cal'!$AZ$3:$BK$308,0,MATCH(MID(L15,1,3)&amp;"_I",'3)Target &amp; Cal'!$AZ$3:$BK$3,0)))&gt;0,SUMIF('3)Target &amp; Cal'!$A$3:$A$308,B15,INDEX('3)Target &amp; Cal'!$AZ$3:$BK$308,0,MATCH(MID(L15,1,3)&amp;"_I",'3)Target &amp; Cal'!$AZ$3:$BK$3,0))),0)</f>
        <v>0</v>
      </c>
      <c r="Q15" s="207">
        <f>IFERROR(AVERAGEIFS('3)Target &amp; Cal'!BN:BN,'3)Target &amp; Cal'!BM:BM,B15),"")</f>
        <v>1.0237499999999997</v>
      </c>
      <c r="R15" s="206">
        <f>IF(F15="Section Manager",IF(Q15&gt;0,Q15*T_SectAbove!$B$4,0),0)</f>
        <v>4094.9999999999991</v>
      </c>
      <c r="S15" s="209" t="str">
        <f>IF(F15="Section Manager",VLOOKUP(A15,ASTBase!F:S,13,FALSE),"")</f>
        <v>000003</v>
      </c>
      <c r="T15" s="207" t="str">
        <f t="shared" si="2"/>
        <v/>
      </c>
      <c r="U15" s="206">
        <f>IF(F15="Department Manager",IFERROR(AVERAGEIFS(Q:Q,S:S,A15)*VLOOKUP('1) For HR'!F15,T_SectAbove!A:B,2,FALSE),""),0)</f>
        <v>0</v>
      </c>
      <c r="V15" s="209" t="str">
        <f>IF(F15="Department Manager",VLOOKUP(A15,ASTBase!F:S,14,FALSE),"")</f>
        <v/>
      </c>
      <c r="W15" s="207" t="str">
        <f t="shared" si="1"/>
        <v/>
      </c>
      <c r="X15" s="206">
        <f>IF(F15="Division Manager",IFERROR(AVERAGEIFS(T:T,V:V,A15)*VLOOKUP('1) For HR'!F15,T_SectAbove!A:B,2,FALSE),""),0)</f>
        <v>0</v>
      </c>
    </row>
    <row r="16" spans="1:24" ht="11.4" x14ac:dyDescent="0.25">
      <c r="A16" s="172" t="s">
        <v>313</v>
      </c>
      <c r="B16" s="210">
        <f>IF(IF(VLOOKUP(A16,ASTBase!F:P,11,FALSE)="","",VLOOKUP(A16,ASTBase!F:P,11,FALSE))=0,"",IF(VLOOKUP(A16,ASTBase!F:P,11,FALSE)="","",VLOOKUP(A16,ASTBase!F:P,11,FALSE)))</f>
        <v>140001</v>
      </c>
      <c r="C16" s="173" t="str">
        <f>IF(IFERROR(_xlfn.IFNA(VLOOKUP($A16,'HR Rep'!$A:$X,MATCH('1) For HR'!C$1,'HR Rep'!$A$1:$X$1,0),0),""),"")="","",IFERROR(_xlfn.IFNA(VLOOKUP($A16,'HR Rep'!$A:$X,MATCH('1) For HR'!C$1,'HR Rep'!$A$1:$X$1,0),0),""),""))</f>
        <v/>
      </c>
      <c r="D16" s="173" t="str">
        <f>IF(IFERROR(_xlfn.IFNA(VLOOKUP($A16,'HR Rep'!$A:$X,MATCH('1) For HR'!D$1,'HR Rep'!$A$1:$X$1,0),0),""),"")="","",IFERROR(_xlfn.IFNA(VLOOKUP($A16,'HR Rep'!$A:$X,MATCH('1) For HR'!D$1,'HR Rep'!$A$1:$X$1,0),0),""),""))</f>
        <v/>
      </c>
      <c r="E16" s="173" t="str">
        <f>IF(IFERROR(_xlfn.IFNA(VLOOKUP($A16,'HR Rep'!$A:$X,MATCH('1) For HR'!E$1,'HR Rep'!$A$1:$X$1,0),0),""),"")="","",IFERROR(_xlfn.IFNA(VLOOKUP($A16,'HR Rep'!$A:$X,MATCH('1) For HR'!E$1,'HR Rep'!$A$1:$X$1,0),0),""),""))</f>
        <v/>
      </c>
      <c r="F16" s="173" t="str">
        <f>IF(IFERROR(_xlfn.IFNA(VLOOKUP($A16,'HR Rep'!$A:$X,MATCH('1) For HR'!F$1,'HR Rep'!$A$1:$X$1,0),0),""),"")="","",IFERROR(_xlfn.IFNA(VLOOKUP($A16,'HR Rep'!$A:$X,MATCH('1) For HR'!F$1,'HR Rep'!$A$1:$X$1,0),0),""),""))</f>
        <v>Supervisor</v>
      </c>
      <c r="G16" s="240" t="s">
        <v>292</v>
      </c>
      <c r="H16" s="173" t="str">
        <f>IF(IFERROR(_xlfn.IFNA(VLOOKUP($A16,'HR Rep'!$A:$X,MATCH('1) For HR'!H$1,'HR Rep'!$A$1:$X$1,0),0),""),"")="","",IFERROR(_xlfn.IFNA(VLOOKUP($A16,'HR Rep'!$A:$X,MATCH('1) For HR'!H$1,'HR Rep'!$A$1:$X$1,0),0),""),""))</f>
        <v>Traditional Trade</v>
      </c>
      <c r="I16" s="173" t="str">
        <f>IF(IFERROR(_xlfn.IFNA(VLOOKUP($A16,'HR Rep'!$A:$X,MATCH('1) For HR'!I$1,'HR Rep'!$A$1:$X$1,0),0),""),"")="","",IFERROR(_xlfn.IFNA(VLOOKUP($A16,'HR Rep'!$A:$X,MATCH('1) For HR'!I$1,'HR Rep'!$A$1:$X$1,0),0),""),""))</f>
        <v>Sales Bangkok</v>
      </c>
      <c r="J16" s="173" t="str">
        <f>IF(IFERROR(_xlfn.IFNA(VLOOKUP($A16,'HR Rep'!$A:$X,MATCH('1) For HR'!J$1,'HR Rep'!$A$1:$X$1,0),0),""),"")="","",IFERROR(_xlfn.IFNA(VLOOKUP($A16,'HR Rep'!$A:$X,MATCH('1) For HR'!J$1,'HR Rep'!$A$1:$X$1,0),0),""),""))</f>
        <v>Pattanakan</v>
      </c>
      <c r="K16" s="201">
        <f t="shared" si="0"/>
        <v>4120</v>
      </c>
      <c r="L16" s="215" t="str">
        <f>Period!$A$2</f>
        <v>May-26</v>
      </c>
      <c r="M16" s="216" t="str">
        <f>Period!$B$2</f>
        <v>Jul-26</v>
      </c>
      <c r="N16" s="238" t="s">
        <v>182</v>
      </c>
      <c r="P16" s="206">
        <f>IF(SUMIF('3)Target &amp; Cal'!$A$3:$A$308,B16,INDEX('3)Target &amp; Cal'!$AZ$3:$BK$308,0,MATCH(MID(L16,1,3)&amp;"_I",'3)Target &amp; Cal'!$AZ$3:$BK$3,0)))&gt;0,SUMIF('3)Target &amp; Cal'!$A$3:$A$308,B16,INDEX('3)Target &amp; Cal'!$AZ$3:$BK$308,0,MATCH(MID(L16,1,3)&amp;"_I",'3)Target &amp; Cal'!$AZ$3:$BK$3,0))),0)</f>
        <v>4120</v>
      </c>
      <c r="Q16" s="207" t="str">
        <f>IFERROR(AVERAGEIFS('3)Target &amp; Cal'!BN:BN,'3)Target &amp; Cal'!BM:BM,B16),"")</f>
        <v/>
      </c>
      <c r="R16" s="206">
        <f>IF(F16="Section Manager",IF(Q16&gt;0,Q16*T_SectAbove!$B$4,0),0)</f>
        <v>0</v>
      </c>
      <c r="S16" s="209" t="str">
        <f>IF(F16="Section Manager",VLOOKUP(A16,ASTBase!F:S,13,FALSE),"")</f>
        <v/>
      </c>
      <c r="T16" s="207" t="str">
        <f t="shared" si="2"/>
        <v/>
      </c>
      <c r="U16" s="206">
        <f>IF(F16="Department Manager",IFERROR(AVERAGEIFS(Q:Q,S:S,A16)*VLOOKUP('1) For HR'!F16,T_SectAbove!A:B,2,FALSE),""),0)</f>
        <v>0</v>
      </c>
      <c r="V16" s="209" t="str">
        <f>IF(F16="Department Manager",VLOOKUP(A16,ASTBase!F:S,14,FALSE),"")</f>
        <v/>
      </c>
      <c r="W16" s="207" t="str">
        <f t="shared" si="1"/>
        <v/>
      </c>
      <c r="X16" s="206">
        <f>IF(F16="Division Manager",IFERROR(AVERAGEIFS(T:T,V:V,A16)*VLOOKUP('1) For HR'!F16,T_SectAbove!A:B,2,FALSE),""),0)</f>
        <v>0</v>
      </c>
    </row>
    <row r="17" spans="1:24" ht="11.4" x14ac:dyDescent="0.25">
      <c r="A17" s="172" t="s">
        <v>314</v>
      </c>
      <c r="B17" s="210">
        <f>IF(IF(VLOOKUP(A17,ASTBase!F:P,11,FALSE)="","",VLOOKUP(A17,ASTBase!F:P,11,FALSE))=0,"",IF(VLOOKUP(A17,ASTBase!F:P,11,FALSE)="","",VLOOKUP(A17,ASTBase!F:P,11,FALSE)))</f>
        <v>140002</v>
      </c>
      <c r="C17" s="173" t="str">
        <f>IF(IFERROR(_xlfn.IFNA(VLOOKUP($A17,'HR Rep'!$A:$X,MATCH('1) For HR'!C$1,'HR Rep'!$A$1:$X$1,0),0),""),"")="","",IFERROR(_xlfn.IFNA(VLOOKUP($A17,'HR Rep'!$A:$X,MATCH('1) For HR'!C$1,'HR Rep'!$A$1:$X$1,0),0),""),""))</f>
        <v/>
      </c>
      <c r="D17" s="173" t="str">
        <f>IF(IFERROR(_xlfn.IFNA(VLOOKUP($A17,'HR Rep'!$A:$X,MATCH('1) For HR'!D$1,'HR Rep'!$A$1:$X$1,0),0),""),"")="","",IFERROR(_xlfn.IFNA(VLOOKUP($A17,'HR Rep'!$A:$X,MATCH('1) For HR'!D$1,'HR Rep'!$A$1:$X$1,0),0),""),""))</f>
        <v/>
      </c>
      <c r="E17" s="173" t="str">
        <f>IF(IFERROR(_xlfn.IFNA(VLOOKUP($A17,'HR Rep'!$A:$X,MATCH('1) For HR'!E$1,'HR Rep'!$A$1:$X$1,0),0),""),"")="","",IFERROR(_xlfn.IFNA(VLOOKUP($A17,'HR Rep'!$A:$X,MATCH('1) For HR'!E$1,'HR Rep'!$A$1:$X$1,0),0),""),""))</f>
        <v/>
      </c>
      <c r="F17" s="173" t="str">
        <f>IF(IFERROR(_xlfn.IFNA(VLOOKUP($A17,'HR Rep'!$A:$X,MATCH('1) For HR'!F$1,'HR Rep'!$A$1:$X$1,0),0),""),"")="","",IFERROR(_xlfn.IFNA(VLOOKUP($A17,'HR Rep'!$A:$X,MATCH('1) For HR'!F$1,'HR Rep'!$A$1:$X$1,0),0),""),""))</f>
        <v>Staff</v>
      </c>
      <c r="G17" s="240" t="s">
        <v>293</v>
      </c>
      <c r="H17" s="173" t="str">
        <f>IF(IFERROR(_xlfn.IFNA(VLOOKUP($A17,'HR Rep'!$A:$X,MATCH('1) For HR'!H$1,'HR Rep'!$A$1:$X$1,0),0),""),"")="","",IFERROR(_xlfn.IFNA(VLOOKUP($A17,'HR Rep'!$A:$X,MATCH('1) For HR'!H$1,'HR Rep'!$A$1:$X$1,0),0),""),""))</f>
        <v>Traditional Trade</v>
      </c>
      <c r="I17" s="173" t="str">
        <f>IF(IFERROR(_xlfn.IFNA(VLOOKUP($A17,'HR Rep'!$A:$X,MATCH('1) For HR'!I$1,'HR Rep'!$A$1:$X$1,0),0),""),"")="","",IFERROR(_xlfn.IFNA(VLOOKUP($A17,'HR Rep'!$A:$X,MATCH('1) For HR'!I$1,'HR Rep'!$A$1:$X$1,0),0),""),""))</f>
        <v>Sales Bangkok</v>
      </c>
      <c r="J17" s="173" t="str">
        <f>IF(IFERROR(_xlfn.IFNA(VLOOKUP($A17,'HR Rep'!$A:$X,MATCH('1) For HR'!J$1,'HR Rep'!$A$1:$X$1,0),0),""),"")="","",IFERROR(_xlfn.IFNA(VLOOKUP($A17,'HR Rep'!$A:$X,MATCH('1) For HR'!J$1,'HR Rep'!$A$1:$X$1,0),0),""),""))</f>
        <v>Pattanakan</v>
      </c>
      <c r="K17" s="201">
        <f t="shared" si="0"/>
        <v>3640</v>
      </c>
      <c r="L17" s="215" t="str">
        <f>Period!$A$2</f>
        <v>May-26</v>
      </c>
      <c r="M17" s="216" t="str">
        <f>Period!$B$2</f>
        <v>Jul-26</v>
      </c>
      <c r="N17" s="238" t="s">
        <v>182</v>
      </c>
      <c r="P17" s="206">
        <f>IF(SUMIF('3)Target &amp; Cal'!$A$3:$A$308,B17,INDEX('3)Target &amp; Cal'!$AZ$3:$BK$308,0,MATCH(MID(L17,1,3)&amp;"_I",'3)Target &amp; Cal'!$AZ$3:$BK$3,0)))&gt;0,SUMIF('3)Target &amp; Cal'!$A$3:$A$308,B17,INDEX('3)Target &amp; Cal'!$AZ$3:$BK$308,0,MATCH(MID(L17,1,3)&amp;"_I",'3)Target &amp; Cal'!$AZ$3:$BK$3,0))),0)</f>
        <v>3640</v>
      </c>
      <c r="Q17" s="207" t="str">
        <f>IFERROR(AVERAGEIFS('3)Target &amp; Cal'!BN:BN,'3)Target &amp; Cal'!BM:BM,B17),"")</f>
        <v/>
      </c>
      <c r="R17" s="206">
        <f>IF(F17="Section Manager",IF(Q17&gt;0,Q17*T_SectAbove!$B$4,0),0)</f>
        <v>0</v>
      </c>
      <c r="S17" s="209" t="str">
        <f>IF(F17="Section Manager",VLOOKUP(A17,ASTBase!F:S,13,FALSE),"")</f>
        <v/>
      </c>
      <c r="T17" s="207" t="str">
        <f t="shared" si="2"/>
        <v/>
      </c>
      <c r="U17" s="206">
        <f>IF(F17="Department Manager",IFERROR(AVERAGEIFS(Q:Q,S:S,A17)*VLOOKUP('1) For HR'!F17,T_SectAbove!A:B,2,FALSE),""),0)</f>
        <v>0</v>
      </c>
      <c r="V17" s="209" t="str">
        <f>IF(F17="Department Manager",VLOOKUP(A17,ASTBase!F:S,14,FALSE),"")</f>
        <v/>
      </c>
      <c r="W17" s="207" t="str">
        <f t="shared" si="1"/>
        <v/>
      </c>
      <c r="X17" s="206">
        <f>IF(F17="Division Manager",IFERROR(AVERAGEIFS(T:T,V:V,A17)*VLOOKUP('1) For HR'!F17,T_SectAbove!A:B,2,FALSE),""),0)</f>
        <v>0</v>
      </c>
    </row>
    <row r="18" spans="1:24" ht="11.4" x14ac:dyDescent="0.25">
      <c r="A18" s="172" t="s">
        <v>315</v>
      </c>
      <c r="B18" s="210">
        <f>IF(IF(VLOOKUP(A18,ASTBase!F:P,11,FALSE)="","",VLOOKUP(A18,ASTBase!F:P,11,FALSE))=0,"",IF(VLOOKUP(A18,ASTBase!F:P,11,FALSE)="","",VLOOKUP(A18,ASTBase!F:P,11,FALSE)))</f>
        <v>140003</v>
      </c>
      <c r="C18" s="173" t="str">
        <f>IF(IFERROR(_xlfn.IFNA(VLOOKUP($A18,'HR Rep'!$A:$X,MATCH('1) For HR'!C$1,'HR Rep'!$A$1:$X$1,0),0),""),"")="","",IFERROR(_xlfn.IFNA(VLOOKUP($A18,'HR Rep'!$A:$X,MATCH('1) For HR'!C$1,'HR Rep'!$A$1:$X$1,0),0),""),""))</f>
        <v/>
      </c>
      <c r="D18" s="173" t="str">
        <f>IF(IFERROR(_xlfn.IFNA(VLOOKUP($A18,'HR Rep'!$A:$X,MATCH('1) For HR'!D$1,'HR Rep'!$A$1:$X$1,0),0),""),"")="","",IFERROR(_xlfn.IFNA(VLOOKUP($A18,'HR Rep'!$A:$X,MATCH('1) For HR'!D$1,'HR Rep'!$A$1:$X$1,0),0),""),""))</f>
        <v/>
      </c>
      <c r="E18" s="173" t="str">
        <f>IF(IFERROR(_xlfn.IFNA(VLOOKUP($A18,'HR Rep'!$A:$X,MATCH('1) For HR'!E$1,'HR Rep'!$A$1:$X$1,0),0),""),"")="","",IFERROR(_xlfn.IFNA(VLOOKUP($A18,'HR Rep'!$A:$X,MATCH('1) For HR'!E$1,'HR Rep'!$A$1:$X$1,0),0),""),""))</f>
        <v/>
      </c>
      <c r="F18" s="173" t="str">
        <f>IF(IFERROR(_xlfn.IFNA(VLOOKUP($A18,'HR Rep'!$A:$X,MATCH('1) For HR'!F$1,'HR Rep'!$A$1:$X$1,0),0),""),"")="","",IFERROR(_xlfn.IFNA(VLOOKUP($A18,'HR Rep'!$A:$X,MATCH('1) For HR'!F$1,'HR Rep'!$A$1:$X$1,0),0),""),""))</f>
        <v>Supervisor</v>
      </c>
      <c r="G18" s="240" t="s">
        <v>294</v>
      </c>
      <c r="H18" s="173" t="str">
        <f>IF(IFERROR(_xlfn.IFNA(VLOOKUP($A18,'HR Rep'!$A:$X,MATCH('1) For HR'!H$1,'HR Rep'!$A$1:$X$1,0),0),""),"")="","",IFERROR(_xlfn.IFNA(VLOOKUP($A18,'HR Rep'!$A:$X,MATCH('1) For HR'!H$1,'HR Rep'!$A$1:$X$1,0),0),""),""))</f>
        <v>Traditional Trade</v>
      </c>
      <c r="I18" s="173" t="str">
        <f>IF(IFERROR(_xlfn.IFNA(VLOOKUP($A18,'HR Rep'!$A:$X,MATCH('1) For HR'!I$1,'HR Rep'!$A$1:$X$1,0),0),""),"")="","",IFERROR(_xlfn.IFNA(VLOOKUP($A18,'HR Rep'!$A:$X,MATCH('1) For HR'!I$1,'HR Rep'!$A$1:$X$1,0),0),""),""))</f>
        <v>Sales Bangkok</v>
      </c>
      <c r="J18" s="173" t="str">
        <f>IF(IFERROR(_xlfn.IFNA(VLOOKUP($A18,'HR Rep'!$A:$X,MATCH('1) For HR'!J$1,'HR Rep'!$A$1:$X$1,0),0),""),"")="","",IFERROR(_xlfn.IFNA(VLOOKUP($A18,'HR Rep'!$A:$X,MATCH('1) For HR'!J$1,'HR Rep'!$A$1:$X$1,0),0),""),""))</f>
        <v>Pattanakan</v>
      </c>
      <c r="K18" s="201">
        <f t="shared" si="0"/>
        <v>3321.5</v>
      </c>
      <c r="L18" s="215" t="str">
        <f>Period!$A$2</f>
        <v>May-26</v>
      </c>
      <c r="M18" s="216" t="str">
        <f>Period!$B$2</f>
        <v>Jul-26</v>
      </c>
      <c r="N18" s="238" t="s">
        <v>182</v>
      </c>
      <c r="P18" s="206">
        <f>IF(SUMIF('3)Target &amp; Cal'!$A$3:$A$308,B18,INDEX('3)Target &amp; Cal'!$AZ$3:$BK$308,0,MATCH(MID(L18,1,3)&amp;"_I",'3)Target &amp; Cal'!$AZ$3:$BK$3,0)))&gt;0,SUMIF('3)Target &amp; Cal'!$A$3:$A$308,B18,INDEX('3)Target &amp; Cal'!$AZ$3:$BK$308,0,MATCH(MID(L18,1,3)&amp;"_I",'3)Target &amp; Cal'!$AZ$3:$BK$3,0))),0)</f>
        <v>3321.5</v>
      </c>
      <c r="Q18" s="207" t="str">
        <f>IFERROR(AVERAGEIFS('3)Target &amp; Cal'!BN:BN,'3)Target &amp; Cal'!BM:BM,B18),"")</f>
        <v/>
      </c>
      <c r="R18" s="206">
        <f>IF(F18="Section Manager",IF(Q18&gt;0,Q18*T_SectAbove!$B$4,0),0)</f>
        <v>0</v>
      </c>
      <c r="S18" s="209" t="str">
        <f>IF(F18="Section Manager",VLOOKUP(A18,ASTBase!F:S,13,FALSE),"")</f>
        <v/>
      </c>
      <c r="T18" s="207" t="str">
        <f t="shared" si="2"/>
        <v/>
      </c>
      <c r="U18" s="206">
        <f>IF(F18="Department Manager",IFERROR(AVERAGEIFS(Q:Q,S:S,A18)*VLOOKUP('1) For HR'!F18,T_SectAbove!A:B,2,FALSE),""),0)</f>
        <v>0</v>
      </c>
      <c r="V18" s="209" t="str">
        <f>IF(F18="Department Manager",VLOOKUP(A18,ASTBase!F:S,14,FALSE),"")</f>
        <v/>
      </c>
      <c r="W18" s="207" t="str">
        <f t="shared" si="1"/>
        <v/>
      </c>
      <c r="X18" s="206">
        <f>IF(F18="Division Manager",IFERROR(AVERAGEIFS(T:T,V:V,A18)*VLOOKUP('1) For HR'!F18,T_SectAbove!A:B,2,FALSE),""),0)</f>
        <v>0</v>
      </c>
    </row>
    <row r="19" spans="1:24" ht="11.4" x14ac:dyDescent="0.25">
      <c r="A19" s="172" t="s">
        <v>316</v>
      </c>
      <c r="B19" s="210">
        <f>IF(IF(VLOOKUP(A19,ASTBase!F:P,11,FALSE)="","",VLOOKUP(A19,ASTBase!F:P,11,FALSE))=0,"",IF(VLOOKUP(A19,ASTBase!F:P,11,FALSE)="","",VLOOKUP(A19,ASTBase!F:P,11,FALSE)))</f>
        <v>150000</v>
      </c>
      <c r="C19" s="173" t="str">
        <f>IF(IFERROR(_xlfn.IFNA(VLOOKUP($A19,'HR Rep'!$A:$X,MATCH('1) For HR'!C$1,'HR Rep'!$A$1:$X$1,0),0),""),"")="","",IFERROR(_xlfn.IFNA(VLOOKUP($A19,'HR Rep'!$A:$X,MATCH('1) For HR'!C$1,'HR Rep'!$A$1:$X$1,0),0),""),""))</f>
        <v/>
      </c>
      <c r="D19" s="173" t="str">
        <f>IF(IFERROR(_xlfn.IFNA(VLOOKUP($A19,'HR Rep'!$A:$X,MATCH('1) For HR'!D$1,'HR Rep'!$A$1:$X$1,0),0),""),"")="","",IFERROR(_xlfn.IFNA(VLOOKUP($A19,'HR Rep'!$A:$X,MATCH('1) For HR'!D$1,'HR Rep'!$A$1:$X$1,0),0),""),""))</f>
        <v/>
      </c>
      <c r="E19" s="173" t="str">
        <f>IF(IFERROR(_xlfn.IFNA(VLOOKUP($A19,'HR Rep'!$A:$X,MATCH('1) For HR'!E$1,'HR Rep'!$A$1:$X$1,0),0),""),"")="","",IFERROR(_xlfn.IFNA(VLOOKUP($A19,'HR Rep'!$A:$X,MATCH('1) For HR'!E$1,'HR Rep'!$A$1:$X$1,0),0),""),""))</f>
        <v/>
      </c>
      <c r="F19" s="173" t="str">
        <f>IF(IFERROR(_xlfn.IFNA(VLOOKUP($A19,'HR Rep'!$A:$X,MATCH('1) For HR'!F$1,'HR Rep'!$A$1:$X$1,0),0),""),"")="","",IFERROR(_xlfn.IFNA(VLOOKUP($A19,'HR Rep'!$A:$X,MATCH('1) For HR'!F$1,'HR Rep'!$A$1:$X$1,0),0),""),""))</f>
        <v>Section Manager</v>
      </c>
      <c r="G19" s="240" t="s">
        <v>260</v>
      </c>
      <c r="H19" s="173" t="str">
        <f>IF(IFERROR(_xlfn.IFNA(VLOOKUP($A19,'HR Rep'!$A:$X,MATCH('1) For HR'!H$1,'HR Rep'!$A$1:$X$1,0),0),""),"")="","",IFERROR(_xlfn.IFNA(VLOOKUP($A19,'HR Rep'!$A:$X,MATCH('1) For HR'!H$1,'HR Rep'!$A$1:$X$1,0),0),""),""))</f>
        <v>Traditional Trade</v>
      </c>
      <c r="I19" s="173" t="str">
        <f>IF(IFERROR(_xlfn.IFNA(VLOOKUP($A19,'HR Rep'!$A:$X,MATCH('1) For HR'!I$1,'HR Rep'!$A$1:$X$1,0),0),""),"")="","",IFERROR(_xlfn.IFNA(VLOOKUP($A19,'HR Rep'!$A:$X,MATCH('1) For HR'!I$1,'HR Rep'!$A$1:$X$1,0),0),""),""))</f>
        <v>Sales Bangkok</v>
      </c>
      <c r="J19" s="173" t="str">
        <f>IF(IFERROR(_xlfn.IFNA(VLOOKUP($A19,'HR Rep'!$A:$X,MATCH('1) For HR'!J$1,'HR Rep'!$A$1:$X$1,0),0),""),"")="","",IFERROR(_xlfn.IFNA(VLOOKUP($A19,'HR Rep'!$A:$X,MATCH('1) For HR'!J$1,'HR Rep'!$A$1:$X$1,0),0),""),""))</f>
        <v>Ram Indra</v>
      </c>
      <c r="K19" s="201">
        <f t="shared" si="0"/>
        <v>4181.82</v>
      </c>
      <c r="L19" s="215" t="str">
        <f>Period!$A$2</f>
        <v>May-26</v>
      </c>
      <c r="M19" s="216" t="str">
        <f>Period!$B$2</f>
        <v>Jul-26</v>
      </c>
      <c r="N19" s="238" t="s">
        <v>182</v>
      </c>
      <c r="P19" s="206">
        <f>IF(SUMIF('3)Target &amp; Cal'!$A$3:$A$308,B19,INDEX('3)Target &amp; Cal'!$AZ$3:$BK$308,0,MATCH(MID(L19,1,3)&amp;"_I",'3)Target &amp; Cal'!$AZ$3:$BK$3,0)))&gt;0,SUMIF('3)Target &amp; Cal'!$A$3:$A$308,B19,INDEX('3)Target &amp; Cal'!$AZ$3:$BK$308,0,MATCH(MID(L19,1,3)&amp;"_I",'3)Target &amp; Cal'!$AZ$3:$BK$3,0))),0)</f>
        <v>0</v>
      </c>
      <c r="Q19" s="207">
        <f>IFERROR(AVERAGEIFS('3)Target &amp; Cal'!BN:BN,'3)Target &amp; Cal'!BM:BM,B19),"")</f>
        <v>1.0454545454545456</v>
      </c>
      <c r="R19" s="206">
        <f>IF(F19="Section Manager",IF(Q19&gt;0,Q19*T_SectAbove!$B$4,0),0)</f>
        <v>4181.8181818181829</v>
      </c>
      <c r="S19" s="209" t="str">
        <f>IF(F19="Section Manager",VLOOKUP(A19,ASTBase!F:S,13,FALSE),"")</f>
        <v>000003</v>
      </c>
      <c r="T19" s="207" t="str">
        <f t="shared" si="2"/>
        <v/>
      </c>
      <c r="U19" s="206">
        <f>IF(F19="Department Manager",IFERROR(AVERAGEIFS(Q:Q,S:S,A19)*VLOOKUP('1) For HR'!F19,T_SectAbove!A:B,2,FALSE),""),0)</f>
        <v>0</v>
      </c>
      <c r="V19" s="209" t="str">
        <f>IF(F19="Department Manager",VLOOKUP(A19,ASTBase!F:S,14,FALSE),"")</f>
        <v/>
      </c>
      <c r="W19" s="207" t="str">
        <f t="shared" si="1"/>
        <v/>
      </c>
      <c r="X19" s="206">
        <f>IF(F19="Division Manager",IFERROR(AVERAGEIFS(T:T,V:V,A19)*VLOOKUP('1) For HR'!F19,T_SectAbove!A:B,2,FALSE),""),0)</f>
        <v>0</v>
      </c>
    </row>
    <row r="20" spans="1:24" ht="11.4" x14ac:dyDescent="0.25">
      <c r="A20" s="172" t="s">
        <v>317</v>
      </c>
      <c r="B20" s="210">
        <f>IF(IF(VLOOKUP(A20,ASTBase!F:P,11,FALSE)="","",VLOOKUP(A20,ASTBase!F:P,11,FALSE))=0,"",IF(VLOOKUP(A20,ASTBase!F:P,11,FALSE)="","",VLOOKUP(A20,ASTBase!F:P,11,FALSE)))</f>
        <v>150001</v>
      </c>
      <c r="C20" s="173" t="str">
        <f>IF(IFERROR(_xlfn.IFNA(VLOOKUP($A20,'HR Rep'!$A:$X,MATCH('1) For HR'!C$1,'HR Rep'!$A$1:$X$1,0),0),""),"")="","",IFERROR(_xlfn.IFNA(VLOOKUP($A20,'HR Rep'!$A:$X,MATCH('1) For HR'!C$1,'HR Rep'!$A$1:$X$1,0),0),""),""))</f>
        <v/>
      </c>
      <c r="D20" s="173" t="str">
        <f>IF(IFERROR(_xlfn.IFNA(VLOOKUP($A20,'HR Rep'!$A:$X,MATCH('1) For HR'!D$1,'HR Rep'!$A$1:$X$1,0),0),""),"")="","",IFERROR(_xlfn.IFNA(VLOOKUP($A20,'HR Rep'!$A:$X,MATCH('1) For HR'!D$1,'HR Rep'!$A$1:$X$1,0),0),""),""))</f>
        <v/>
      </c>
      <c r="E20" s="173" t="str">
        <f>IF(IFERROR(_xlfn.IFNA(VLOOKUP($A20,'HR Rep'!$A:$X,MATCH('1) For HR'!E$1,'HR Rep'!$A$1:$X$1,0),0),""),"")="","",IFERROR(_xlfn.IFNA(VLOOKUP($A20,'HR Rep'!$A:$X,MATCH('1) For HR'!E$1,'HR Rep'!$A$1:$X$1,0),0),""),""))</f>
        <v/>
      </c>
      <c r="F20" s="173" t="str">
        <f>IF(IFERROR(_xlfn.IFNA(VLOOKUP($A20,'HR Rep'!$A:$X,MATCH('1) For HR'!F$1,'HR Rep'!$A$1:$X$1,0),0),""),"")="","",IFERROR(_xlfn.IFNA(VLOOKUP($A20,'HR Rep'!$A:$X,MATCH('1) For HR'!F$1,'HR Rep'!$A$1:$X$1,0),0),""),""))</f>
        <v>Supervisor</v>
      </c>
      <c r="G20" s="240" t="s">
        <v>295</v>
      </c>
      <c r="H20" s="173" t="str">
        <f>IF(IFERROR(_xlfn.IFNA(VLOOKUP($A20,'HR Rep'!$A:$X,MATCH('1) For HR'!H$1,'HR Rep'!$A$1:$X$1,0),0),""),"")="","",IFERROR(_xlfn.IFNA(VLOOKUP($A20,'HR Rep'!$A:$X,MATCH('1) For HR'!H$1,'HR Rep'!$A$1:$X$1,0),0),""),""))</f>
        <v>Traditional Trade</v>
      </c>
      <c r="I20" s="173" t="str">
        <f>IF(IFERROR(_xlfn.IFNA(VLOOKUP($A20,'HR Rep'!$A:$X,MATCH('1) For HR'!I$1,'HR Rep'!$A$1:$X$1,0),0),""),"")="","",IFERROR(_xlfn.IFNA(VLOOKUP($A20,'HR Rep'!$A:$X,MATCH('1) For HR'!I$1,'HR Rep'!$A$1:$X$1,0),0),""),""))</f>
        <v>Sales Bangkok</v>
      </c>
      <c r="J20" s="173" t="str">
        <f>IF(IFERROR(_xlfn.IFNA(VLOOKUP($A20,'HR Rep'!$A:$X,MATCH('1) For HR'!J$1,'HR Rep'!$A$1:$X$1,0),0),""),"")="","",IFERROR(_xlfn.IFNA(VLOOKUP($A20,'HR Rep'!$A:$X,MATCH('1) For HR'!J$1,'HR Rep'!$A$1:$X$1,0),0),""),""))</f>
        <v>Ram Indra</v>
      </c>
      <c r="K20" s="201">
        <f t="shared" si="0"/>
        <v>4100</v>
      </c>
      <c r="L20" s="215" t="str">
        <f>Period!$A$2</f>
        <v>May-26</v>
      </c>
      <c r="M20" s="216" t="str">
        <f>Period!$B$2</f>
        <v>Jul-26</v>
      </c>
      <c r="N20" s="238" t="s">
        <v>182</v>
      </c>
      <c r="P20" s="206">
        <f>IF(SUMIF('3)Target &amp; Cal'!$A$3:$A$308,B20,INDEX('3)Target &amp; Cal'!$AZ$3:$BK$308,0,MATCH(MID(L20,1,3)&amp;"_I",'3)Target &amp; Cal'!$AZ$3:$BK$3,0)))&gt;0,SUMIF('3)Target &amp; Cal'!$A$3:$A$308,B20,INDEX('3)Target &amp; Cal'!$AZ$3:$BK$308,0,MATCH(MID(L20,1,3)&amp;"_I",'3)Target &amp; Cal'!$AZ$3:$BK$3,0))),0)</f>
        <v>4100</v>
      </c>
      <c r="Q20" s="207" t="str">
        <f>IFERROR(AVERAGEIFS('3)Target &amp; Cal'!BN:BN,'3)Target &amp; Cal'!BM:BM,B20),"")</f>
        <v/>
      </c>
      <c r="R20" s="206">
        <f>IF(F20="Section Manager",IF(Q20&gt;0,Q20*T_SectAbove!$B$4,0),0)</f>
        <v>0</v>
      </c>
      <c r="S20" s="209" t="str">
        <f>IF(F20="Section Manager",VLOOKUP(A20,ASTBase!F:S,13,FALSE),"")</f>
        <v/>
      </c>
      <c r="T20" s="207" t="str">
        <f t="shared" si="2"/>
        <v/>
      </c>
      <c r="U20" s="206">
        <f>IF(F20="Department Manager",IFERROR(AVERAGEIFS(Q:Q,S:S,A20)*VLOOKUP('1) For HR'!F20,T_SectAbove!A:B,2,FALSE),""),0)</f>
        <v>0</v>
      </c>
      <c r="V20" s="209" t="str">
        <f>IF(F20="Department Manager",VLOOKUP(A20,ASTBase!F:S,14,FALSE),"")</f>
        <v/>
      </c>
      <c r="W20" s="207" t="str">
        <f t="shared" si="1"/>
        <v/>
      </c>
      <c r="X20" s="206">
        <f>IF(F20="Division Manager",IFERROR(AVERAGEIFS(T:T,V:V,A20)*VLOOKUP('1) For HR'!F20,T_SectAbove!A:B,2,FALSE),""),0)</f>
        <v>0</v>
      </c>
    </row>
    <row r="21" spans="1:24" ht="11.4" x14ac:dyDescent="0.25">
      <c r="A21" s="172" t="s">
        <v>318</v>
      </c>
      <c r="B21" s="210">
        <f>IF(IF(VLOOKUP(A21,ASTBase!F:P,11,FALSE)="","",VLOOKUP(A21,ASTBase!F:P,11,FALSE))=0,"",IF(VLOOKUP(A21,ASTBase!F:P,11,FALSE)="","",VLOOKUP(A21,ASTBase!F:P,11,FALSE)))</f>
        <v>160000</v>
      </c>
      <c r="C21" s="173" t="str">
        <f>IF(IFERROR(_xlfn.IFNA(VLOOKUP($A21,'HR Rep'!$A:$X,MATCH('1) For HR'!C$1,'HR Rep'!$A$1:$X$1,0),0),""),"")="","",IFERROR(_xlfn.IFNA(VLOOKUP($A21,'HR Rep'!$A:$X,MATCH('1) For HR'!C$1,'HR Rep'!$A$1:$X$1,0),0),""),""))</f>
        <v/>
      </c>
      <c r="D21" s="173" t="str">
        <f>IF(IFERROR(_xlfn.IFNA(VLOOKUP($A21,'HR Rep'!$A:$X,MATCH('1) For HR'!D$1,'HR Rep'!$A$1:$X$1,0),0),""),"")="","",IFERROR(_xlfn.IFNA(VLOOKUP($A21,'HR Rep'!$A:$X,MATCH('1) For HR'!D$1,'HR Rep'!$A$1:$X$1,0),0),""),""))</f>
        <v/>
      </c>
      <c r="E21" s="173" t="str">
        <f>IF(IFERROR(_xlfn.IFNA(VLOOKUP($A21,'HR Rep'!$A:$X,MATCH('1) For HR'!E$1,'HR Rep'!$A$1:$X$1,0),0),""),"")="","",IFERROR(_xlfn.IFNA(VLOOKUP($A21,'HR Rep'!$A:$X,MATCH('1) For HR'!E$1,'HR Rep'!$A$1:$X$1,0),0),""),""))</f>
        <v/>
      </c>
      <c r="F21" s="173" t="str">
        <f>IF(IFERROR(_xlfn.IFNA(VLOOKUP($A21,'HR Rep'!$A:$X,MATCH('1) For HR'!F$1,'HR Rep'!$A$1:$X$1,0),0),""),"")="","",IFERROR(_xlfn.IFNA(VLOOKUP($A21,'HR Rep'!$A:$X,MATCH('1) For HR'!F$1,'HR Rep'!$A$1:$X$1,0),0),""),""))</f>
        <v>Section Manager</v>
      </c>
      <c r="G21" s="240" t="s">
        <v>260</v>
      </c>
      <c r="H21" s="173" t="str">
        <f>IF(IFERROR(_xlfn.IFNA(VLOOKUP($A21,'HR Rep'!$A:$X,MATCH('1) For HR'!H$1,'HR Rep'!$A$1:$X$1,0),0),""),"")="","",IFERROR(_xlfn.IFNA(VLOOKUP($A21,'HR Rep'!$A:$X,MATCH('1) For HR'!H$1,'HR Rep'!$A$1:$X$1,0),0),""),""))</f>
        <v>Traditional Trade</v>
      </c>
      <c r="I21" s="173" t="str">
        <f>IF(IFERROR(_xlfn.IFNA(VLOOKUP($A21,'HR Rep'!$A:$X,MATCH('1) For HR'!I$1,'HR Rep'!$A$1:$X$1,0),0),""),"")="","",IFERROR(_xlfn.IFNA(VLOOKUP($A21,'HR Rep'!$A:$X,MATCH('1) For HR'!I$1,'HR Rep'!$A$1:$X$1,0),0),""),""))</f>
        <v>Sales Bangkok</v>
      </c>
      <c r="J21" s="173" t="str">
        <f>IF(IFERROR(_xlfn.IFNA(VLOOKUP($A21,'HR Rep'!$A:$X,MATCH('1) For HR'!J$1,'HR Rep'!$A$1:$X$1,0),0),""),"")="","",IFERROR(_xlfn.IFNA(VLOOKUP($A21,'HR Rep'!$A:$X,MATCH('1) For HR'!J$1,'HR Rep'!$A$1:$X$1,0),0),""),""))</f>
        <v>Thonburi</v>
      </c>
      <c r="K21" s="201">
        <f t="shared" ref="K21:K23" si="3">IF(ROUND(P21+R21+U21+X21,2)&lt;O21,O21,ROUND(P21+R21+U21+X21,2))</f>
        <v>3909.09</v>
      </c>
      <c r="L21" s="215" t="str">
        <f>Period!$A$2</f>
        <v>May-26</v>
      </c>
      <c r="M21" s="216" t="str">
        <f>Period!$B$2</f>
        <v>Jul-26</v>
      </c>
      <c r="N21" s="238" t="s">
        <v>182</v>
      </c>
      <c r="P21" s="206">
        <f>IF(SUMIF('3)Target &amp; Cal'!$A$3:$A$308,B21,INDEX('3)Target &amp; Cal'!$AZ$3:$BK$308,0,MATCH(MID(L21,1,3)&amp;"_I",'3)Target &amp; Cal'!$AZ$3:$BK$3,0)))&gt;0,SUMIF('3)Target &amp; Cal'!$A$3:$A$308,B21,INDEX('3)Target &amp; Cal'!$AZ$3:$BK$308,0,MATCH(MID(L21,1,3)&amp;"_I",'3)Target &amp; Cal'!$AZ$3:$BK$3,0))),0)</f>
        <v>0</v>
      </c>
      <c r="Q21" s="207">
        <f>IFERROR(AVERAGEIFS('3)Target &amp; Cal'!BN:BN,'3)Target &amp; Cal'!BM:BM,B21),"")</f>
        <v>0.97727272727272707</v>
      </c>
      <c r="R21" s="206">
        <f>IF(F21="Section Manager",IF(Q21&gt;0,Q21*T_SectAbove!$B$4,0),0)</f>
        <v>3909.0909090909081</v>
      </c>
      <c r="S21" s="209" t="str">
        <f>IF(F21="Section Manager",VLOOKUP(A21,ASTBase!F:S,13,FALSE),"")</f>
        <v>000003</v>
      </c>
      <c r="T21" s="207" t="str">
        <f t="shared" si="2"/>
        <v/>
      </c>
      <c r="U21" s="206">
        <f>IF(F21="Department Manager",IFERROR(AVERAGEIFS(Q:Q,S:S,A21)*VLOOKUP('1) For HR'!F21,T_SectAbove!A:B,2,FALSE),""),0)</f>
        <v>0</v>
      </c>
      <c r="V21" s="209" t="str">
        <f>IF(F21="Department Manager",VLOOKUP(A21,ASTBase!F:S,14,FALSE),"")</f>
        <v/>
      </c>
      <c r="W21" s="207" t="str">
        <f t="shared" si="1"/>
        <v/>
      </c>
      <c r="X21" s="206">
        <f>IF(F21="Division Manager",IFERROR(AVERAGEIFS(T:T,V:V,A21)*VLOOKUP('1) For HR'!F21,T_SectAbove!A:B,2,FALSE),""),0)</f>
        <v>0</v>
      </c>
    </row>
    <row r="22" spans="1:24" ht="11.4" x14ac:dyDescent="0.25">
      <c r="A22" s="172" t="s">
        <v>319</v>
      </c>
      <c r="B22" s="210">
        <f>IF(IF(VLOOKUP(A22,ASTBase!F:P,11,FALSE)="","",VLOOKUP(A22,ASTBase!F:P,11,FALSE))=0,"",IF(VLOOKUP(A22,ASTBase!F:P,11,FALSE)="","",VLOOKUP(A22,ASTBase!F:P,11,FALSE)))</f>
        <v>160001</v>
      </c>
      <c r="C22" s="173" t="str">
        <f>IF(IFERROR(_xlfn.IFNA(VLOOKUP($A22,'HR Rep'!$A:$X,MATCH('1) For HR'!C$1,'HR Rep'!$A$1:$X$1,0),0),""),"")="","",IFERROR(_xlfn.IFNA(VLOOKUP($A22,'HR Rep'!$A:$X,MATCH('1) For HR'!C$1,'HR Rep'!$A$1:$X$1,0),0),""),""))</f>
        <v/>
      </c>
      <c r="D22" s="173" t="str">
        <f>IF(IFERROR(_xlfn.IFNA(VLOOKUP($A22,'HR Rep'!$A:$X,MATCH('1) For HR'!D$1,'HR Rep'!$A$1:$X$1,0),0),""),"")="","",IFERROR(_xlfn.IFNA(VLOOKUP($A22,'HR Rep'!$A:$X,MATCH('1) For HR'!D$1,'HR Rep'!$A$1:$X$1,0),0),""),""))</f>
        <v/>
      </c>
      <c r="E22" s="173" t="str">
        <f>IF(IFERROR(_xlfn.IFNA(VLOOKUP($A22,'HR Rep'!$A:$X,MATCH('1) For HR'!E$1,'HR Rep'!$A$1:$X$1,0),0),""),"")="","",IFERROR(_xlfn.IFNA(VLOOKUP($A22,'HR Rep'!$A:$X,MATCH('1) For HR'!E$1,'HR Rep'!$A$1:$X$1,0),0),""),""))</f>
        <v/>
      </c>
      <c r="F22" s="173" t="str">
        <f>IF(IFERROR(_xlfn.IFNA(VLOOKUP($A22,'HR Rep'!$A:$X,MATCH('1) For HR'!F$1,'HR Rep'!$A$1:$X$1,0),0),""),"")="","",IFERROR(_xlfn.IFNA(VLOOKUP($A22,'HR Rep'!$A:$X,MATCH('1) For HR'!F$1,'HR Rep'!$A$1:$X$1,0),0),""),""))</f>
        <v>Supervisor</v>
      </c>
      <c r="G22" s="240" t="s">
        <v>295</v>
      </c>
      <c r="H22" s="173" t="str">
        <f>IF(IFERROR(_xlfn.IFNA(VLOOKUP($A22,'HR Rep'!$A:$X,MATCH('1) For HR'!H$1,'HR Rep'!$A$1:$X$1,0),0),""),"")="","",IFERROR(_xlfn.IFNA(VLOOKUP($A22,'HR Rep'!$A:$X,MATCH('1) For HR'!H$1,'HR Rep'!$A$1:$X$1,0),0),""),""))</f>
        <v>Traditional Trade</v>
      </c>
      <c r="I22" s="173" t="str">
        <f>IF(IFERROR(_xlfn.IFNA(VLOOKUP($A22,'HR Rep'!$A:$X,MATCH('1) For HR'!I$1,'HR Rep'!$A$1:$X$1,0),0),""),"")="","",IFERROR(_xlfn.IFNA(VLOOKUP($A22,'HR Rep'!$A:$X,MATCH('1) For HR'!I$1,'HR Rep'!$A$1:$X$1,0),0),""),""))</f>
        <v>Sales Bangkok</v>
      </c>
      <c r="J22" s="173" t="str">
        <f>IF(IFERROR(_xlfn.IFNA(VLOOKUP($A22,'HR Rep'!$A:$X,MATCH('1) For HR'!J$1,'HR Rep'!$A$1:$X$1,0),0),""),"")="","",IFERROR(_xlfn.IFNA(VLOOKUP($A22,'HR Rep'!$A:$X,MATCH('1) For HR'!J$1,'HR Rep'!$A$1:$X$1,0),0),""),""))</f>
        <v>Thonburi</v>
      </c>
      <c r="K22" s="201">
        <f t="shared" si="3"/>
        <v>4100</v>
      </c>
      <c r="L22" s="215" t="str">
        <f>Period!$A$2</f>
        <v>May-26</v>
      </c>
      <c r="M22" s="216" t="str">
        <f>Period!$B$2</f>
        <v>Jul-26</v>
      </c>
      <c r="N22" s="238" t="s">
        <v>182</v>
      </c>
      <c r="P22" s="206">
        <f>IF(SUMIF('3)Target &amp; Cal'!$A$3:$A$308,B22,INDEX('3)Target &amp; Cal'!$AZ$3:$BK$308,0,MATCH(MID(L22,1,3)&amp;"_I",'3)Target &amp; Cal'!$AZ$3:$BK$3,0)))&gt;0,SUMIF('3)Target &amp; Cal'!$A$3:$A$308,B22,INDEX('3)Target &amp; Cal'!$AZ$3:$BK$308,0,MATCH(MID(L22,1,3)&amp;"_I",'3)Target &amp; Cal'!$AZ$3:$BK$3,0))),0)</f>
        <v>4100</v>
      </c>
      <c r="Q22" s="207" t="str">
        <f>IFERROR(AVERAGEIFS('3)Target &amp; Cal'!BN:BN,'3)Target &amp; Cal'!BM:BM,B22),"")</f>
        <v/>
      </c>
      <c r="R22" s="206">
        <f>IF(F22="Section Manager",IF(Q22&gt;0,Q22*T_SectAbove!$B$4,0),0)</f>
        <v>0</v>
      </c>
      <c r="S22" s="209" t="str">
        <f>IF(F22="Section Manager",VLOOKUP(A22,ASTBase!F:S,13,FALSE),"")</f>
        <v/>
      </c>
      <c r="T22" s="207" t="str">
        <f t="shared" si="2"/>
        <v/>
      </c>
      <c r="U22" s="206">
        <f>IF(F22="Department Manager",IFERROR(AVERAGEIFS(Q:Q,S:S,A22)*VLOOKUP('1) For HR'!F22,T_SectAbove!A:B,2,FALSE),""),0)</f>
        <v>0</v>
      </c>
      <c r="V22" s="209" t="str">
        <f>IF(F22="Department Manager",VLOOKUP(A22,ASTBase!F:S,14,FALSE),"")</f>
        <v/>
      </c>
      <c r="W22" s="207" t="str">
        <f t="shared" si="1"/>
        <v/>
      </c>
      <c r="X22" s="206">
        <f>IF(F22="Division Manager",IFERROR(AVERAGEIFS(T:T,V:V,A22)*VLOOKUP('1) For HR'!F22,T_SectAbove!A:B,2,FALSE),""),0)</f>
        <v>0</v>
      </c>
    </row>
    <row r="23" spans="1:24" ht="11.4" x14ac:dyDescent="0.25">
      <c r="A23" s="172" t="s">
        <v>320</v>
      </c>
      <c r="B23" s="210">
        <f>IF(IF(VLOOKUP(A23,ASTBase!F:P,11,FALSE)="","",VLOOKUP(A23,ASTBase!F:P,11,FALSE))=0,"",IF(VLOOKUP(A23,ASTBase!F:P,11,FALSE)="","",VLOOKUP(A23,ASTBase!F:P,11,FALSE)))</f>
        <v>160002</v>
      </c>
      <c r="C23" s="173" t="str">
        <f>IF(IFERROR(_xlfn.IFNA(VLOOKUP($A23,'HR Rep'!$A:$X,MATCH('1) For HR'!C$1,'HR Rep'!$A$1:$X$1,0),0),""),"")="","",IFERROR(_xlfn.IFNA(VLOOKUP($A23,'HR Rep'!$A:$X,MATCH('1) For HR'!C$1,'HR Rep'!$A$1:$X$1,0),0),""),""))</f>
        <v/>
      </c>
      <c r="D23" s="173" t="str">
        <f>IF(IFERROR(_xlfn.IFNA(VLOOKUP($A23,'HR Rep'!$A:$X,MATCH('1) For HR'!D$1,'HR Rep'!$A$1:$X$1,0),0),""),"")="","",IFERROR(_xlfn.IFNA(VLOOKUP($A23,'HR Rep'!$A:$X,MATCH('1) For HR'!D$1,'HR Rep'!$A$1:$X$1,0),0),""),""))</f>
        <v/>
      </c>
      <c r="E23" s="173" t="str">
        <f>IF(IFERROR(_xlfn.IFNA(VLOOKUP($A23,'HR Rep'!$A:$X,MATCH('1) For HR'!E$1,'HR Rep'!$A$1:$X$1,0),0),""),"")="","",IFERROR(_xlfn.IFNA(VLOOKUP($A23,'HR Rep'!$A:$X,MATCH('1) For HR'!E$1,'HR Rep'!$A$1:$X$1,0),0),""),""))</f>
        <v/>
      </c>
      <c r="F23" s="173" t="str">
        <f>IF(IFERROR(_xlfn.IFNA(VLOOKUP($A23,'HR Rep'!$A:$X,MATCH('1) For HR'!F$1,'HR Rep'!$A$1:$X$1,0),0),""),"")="","",IFERROR(_xlfn.IFNA(VLOOKUP($A23,'HR Rep'!$A:$X,MATCH('1) For HR'!F$1,'HR Rep'!$A$1:$X$1,0),0),""),""))</f>
        <v>Supervisor</v>
      </c>
      <c r="G23" s="240" t="s">
        <v>295</v>
      </c>
      <c r="H23" s="173" t="str">
        <f>IF(IFERROR(_xlfn.IFNA(VLOOKUP($A23,'HR Rep'!$A:$X,MATCH('1) For HR'!H$1,'HR Rep'!$A$1:$X$1,0),0),""),"")="","",IFERROR(_xlfn.IFNA(VLOOKUP($A23,'HR Rep'!$A:$X,MATCH('1) For HR'!H$1,'HR Rep'!$A$1:$X$1,0),0),""),""))</f>
        <v>Traditional Trade</v>
      </c>
      <c r="I23" s="173" t="str">
        <f>IF(IFERROR(_xlfn.IFNA(VLOOKUP($A23,'HR Rep'!$A:$X,MATCH('1) For HR'!I$1,'HR Rep'!$A$1:$X$1,0),0),""),"")="","",IFERROR(_xlfn.IFNA(VLOOKUP($A23,'HR Rep'!$A:$X,MATCH('1) For HR'!I$1,'HR Rep'!$A$1:$X$1,0),0),""),""))</f>
        <v>Sales Bangkok</v>
      </c>
      <c r="J23" s="173" t="str">
        <f>IF(IFERROR(_xlfn.IFNA(VLOOKUP($A23,'HR Rep'!$A:$X,MATCH('1) For HR'!J$1,'HR Rep'!$A$1:$X$1,0),0),""),"")="","",IFERROR(_xlfn.IFNA(VLOOKUP($A23,'HR Rep'!$A:$X,MATCH('1) For HR'!J$1,'HR Rep'!$A$1:$X$1,0),0),""),""))</f>
        <v>Thonburi</v>
      </c>
      <c r="K23" s="201">
        <f t="shared" si="3"/>
        <v>4050</v>
      </c>
      <c r="L23" s="215" t="str">
        <f>Period!$A$2</f>
        <v>May-26</v>
      </c>
      <c r="M23" s="216" t="str">
        <f>Period!$B$2</f>
        <v>Jul-26</v>
      </c>
      <c r="N23" s="238" t="s">
        <v>182</v>
      </c>
      <c r="P23" s="206">
        <f>IF(SUMIF('3)Target &amp; Cal'!$A$3:$A$308,B23,INDEX('3)Target &amp; Cal'!$AZ$3:$BK$308,0,MATCH(MID(L23,1,3)&amp;"_I",'3)Target &amp; Cal'!$AZ$3:$BK$3,0)))&gt;0,SUMIF('3)Target &amp; Cal'!$A$3:$A$308,B23,INDEX('3)Target &amp; Cal'!$AZ$3:$BK$308,0,MATCH(MID(L23,1,3)&amp;"_I",'3)Target &amp; Cal'!$AZ$3:$BK$3,0))),0)</f>
        <v>4050</v>
      </c>
      <c r="Q23" s="207" t="str">
        <f>IFERROR(AVERAGEIFS('3)Target &amp; Cal'!BN:BN,'3)Target &amp; Cal'!BM:BM,B23),"")</f>
        <v/>
      </c>
      <c r="R23" s="206">
        <f>IF(F23="Section Manager",IF(Q23&gt;0,Q23*T_SectAbove!$B$4,0),0)</f>
        <v>0</v>
      </c>
      <c r="S23" s="209" t="str">
        <f>IF(F23="Section Manager",VLOOKUP(A23,ASTBase!F:S,13,FALSE),"")</f>
        <v/>
      </c>
      <c r="T23" s="207" t="str">
        <f t="shared" si="2"/>
        <v/>
      </c>
      <c r="U23" s="206">
        <f>IF(F23="Department Manager",IFERROR(AVERAGEIFS(Q:Q,S:S,A23)*VLOOKUP('1) For HR'!F23,T_SectAbove!A:B,2,FALSE),""),0)</f>
        <v>0</v>
      </c>
      <c r="V23" s="209" t="str">
        <f>IF(F23="Department Manager",VLOOKUP(A23,ASTBase!F:S,14,FALSE),"")</f>
        <v/>
      </c>
      <c r="W23" s="207" t="str">
        <f t="shared" si="1"/>
        <v/>
      </c>
      <c r="X23" s="206">
        <f>IF(F23="Division Manager",IFERROR(AVERAGEIFS(T:T,V:V,A23)*VLOOKUP('1) For HR'!F23,T_SectAbove!A:B,2,FALSE),""),0)</f>
        <v>0</v>
      </c>
    </row>
  </sheetData>
  <phoneticPr fontId="10" type="noConversion"/>
  <dataValidations count="1">
    <dataValidation type="list" allowBlank="1" showInputMessage="1" showErrorMessage="1" sqref="N2:N23" xr:uid="{BFD48E14-9F05-4CFD-BFB7-8BCE7647F9A7}">
      <formula1>"Fix,Variable"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8AD6-FD99-4CA5-8EB1-F4A92D3D5F7C}">
  <sheetPr>
    <tabColor theme="9" tint="0.79998168889431442"/>
  </sheetPr>
  <dimension ref="A1:AB9"/>
  <sheetViews>
    <sheetView zoomScale="120" zoomScaleNormal="120" workbookViewId="0">
      <selection activeCell="G29" sqref="G29"/>
    </sheetView>
  </sheetViews>
  <sheetFormatPr defaultColWidth="9.09765625" defaultRowHeight="10.8" x14ac:dyDescent="0.25"/>
  <cols>
    <col min="1" max="1" width="10.3984375" style="139" bestFit="1" customWidth="1"/>
    <col min="2" max="2" width="16.09765625" style="139" bestFit="1" customWidth="1"/>
    <col min="3" max="3" width="19.09765625" style="139" bestFit="1" customWidth="1"/>
    <col min="4" max="4" width="10.3984375" style="139" customWidth="1"/>
    <col min="5" max="5" width="21" style="139" customWidth="1"/>
    <col min="6" max="6" width="13.09765625" style="139" bestFit="1" customWidth="1"/>
    <col min="7" max="7" width="38.8984375" style="242" customWidth="1"/>
    <col min="8" max="8" width="11.8984375" style="139" customWidth="1"/>
    <col min="9" max="9" width="12.5" style="139" customWidth="1"/>
    <col min="10" max="10" width="17.8984375" style="139" customWidth="1"/>
    <col min="11" max="11" width="20.8984375" style="202" customWidth="1"/>
    <col min="12" max="12" width="21.09765625" style="139" customWidth="1"/>
    <col min="13" max="13" width="19.09765625" style="139" bestFit="1" customWidth="1"/>
    <col min="14" max="14" width="11.8984375" style="200" bestFit="1" customWidth="1"/>
    <col min="15" max="15" width="11.8984375" style="250" customWidth="1"/>
    <col min="16" max="16" width="12.8984375" style="208" customWidth="1"/>
    <col min="17" max="17" width="12.3984375" style="207" customWidth="1"/>
    <col min="18" max="18" width="10.59765625" style="206" customWidth="1"/>
    <col min="19" max="19" width="10.59765625" style="209" customWidth="1"/>
    <col min="20" max="20" width="9" style="207" customWidth="1"/>
    <col min="21" max="21" width="10.59765625" style="207" customWidth="1"/>
    <col min="22" max="22" width="9.59765625" style="209" customWidth="1"/>
    <col min="23" max="23" width="8" style="207" customWidth="1"/>
    <col min="24" max="24" width="10.5" style="208" bestFit="1" customWidth="1"/>
    <col min="25" max="25" width="9.09765625" style="139"/>
    <col min="26" max="26" width="9.3984375" style="139" bestFit="1" customWidth="1"/>
    <col min="27" max="16384" width="9.09765625" style="139"/>
  </cols>
  <sheetData>
    <row r="1" spans="1:28" x14ac:dyDescent="0.25">
      <c r="A1" s="211" t="s">
        <v>191</v>
      </c>
      <c r="B1" s="212" t="s">
        <v>126</v>
      </c>
      <c r="C1" s="211" t="s">
        <v>192</v>
      </c>
      <c r="D1" s="211" t="s">
        <v>202</v>
      </c>
      <c r="E1" s="211" t="s">
        <v>200</v>
      </c>
      <c r="F1" s="211" t="s">
        <v>201</v>
      </c>
      <c r="G1" s="239" t="s">
        <v>190</v>
      </c>
      <c r="H1" s="211" t="s">
        <v>196</v>
      </c>
      <c r="I1" s="211" t="s">
        <v>197</v>
      </c>
      <c r="J1" s="211" t="s">
        <v>198</v>
      </c>
      <c r="K1" s="213" t="s">
        <v>189</v>
      </c>
      <c r="L1" s="214" t="s">
        <v>188</v>
      </c>
      <c r="M1" s="214" t="s">
        <v>187</v>
      </c>
      <c r="N1" s="237" t="s">
        <v>186</v>
      </c>
      <c r="O1" s="249" t="s">
        <v>256</v>
      </c>
      <c r="P1" s="203" t="s">
        <v>41</v>
      </c>
      <c r="Q1" s="203" t="s">
        <v>235</v>
      </c>
      <c r="R1" s="204" t="s">
        <v>234</v>
      </c>
      <c r="S1" s="205" t="s">
        <v>240</v>
      </c>
      <c r="T1" s="203" t="s">
        <v>237</v>
      </c>
      <c r="U1" s="203" t="s">
        <v>242</v>
      </c>
      <c r="V1" s="205" t="s">
        <v>241</v>
      </c>
      <c r="W1" s="203" t="s">
        <v>239</v>
      </c>
      <c r="X1" s="205" t="s">
        <v>238</v>
      </c>
      <c r="Y1" s="203" t="s">
        <v>264</v>
      </c>
      <c r="Z1" s="205" t="s">
        <v>265</v>
      </c>
      <c r="AA1" s="256" t="s">
        <v>266</v>
      </c>
    </row>
    <row r="2" spans="1:28" ht="11.4" x14ac:dyDescent="0.25">
      <c r="A2" s="172" t="s">
        <v>298</v>
      </c>
      <c r="B2" s="210" t="e">
        <f>IF(IF(VLOOKUP(A2,ASTBase!F:P,11,FALSE)="","",VLOOKUP(A2,ASTBase!F:P,11,FALSE))=0,"",IF(VLOOKUP(A2,ASTBase!F:P,11,FALSE)="","",VLOOKUP(A2,ASTBase!F:P,11,FALSE)))</f>
        <v>#N/A</v>
      </c>
      <c r="C2" s="173" t="str">
        <f>IF(IFERROR(_xlfn.IFNA(VLOOKUP($A2,'HR Rep'!$A:$X,MATCH('1) For HR (AD)'!C$1,'HR Rep'!$A$1:$X$1,0),0),""),"")="","",IFERROR(_xlfn.IFNA(VLOOKUP($A2,'HR Rep'!$A:$X,MATCH('1) For HR (AD)'!C$1,'HR Rep'!$A$1:$X$1,0),0),""),""))</f>
        <v/>
      </c>
      <c r="D2" s="173" t="str">
        <f>IF(IFERROR(_xlfn.IFNA(VLOOKUP($A2,'HR Rep'!$A:$X,MATCH('1) For HR (AD)'!D$1,'HR Rep'!$A$1:$X$1,0),0),""),"")="","",IFERROR(_xlfn.IFNA(VLOOKUP($A2,'HR Rep'!$A:$X,MATCH('1) For HR (AD)'!D$1,'HR Rep'!$A$1:$X$1,0),0),""),""))</f>
        <v/>
      </c>
      <c r="E2" s="173" t="str">
        <f>IF(IFERROR(_xlfn.IFNA(VLOOKUP($A2,'HR Rep'!$A:$X,MATCH('1) For HR (AD)'!E$1,'HR Rep'!$A$1:$X$1,0),0),""),"")="","",IFERROR(_xlfn.IFNA(VLOOKUP($A2,'HR Rep'!$A:$X,MATCH('1) For HR (AD)'!E$1,'HR Rep'!$A$1:$X$1,0),0),""),""))</f>
        <v/>
      </c>
      <c r="F2" s="173" t="str">
        <f>IF(IFERROR(_xlfn.IFNA(VLOOKUP($A2,'HR Rep'!$A:$X,MATCH('1) For HR (AD)'!F$1,'HR Rep'!$A$1:$X$1,0),0),""),"")="","",IFERROR(_xlfn.IFNA(VLOOKUP($A2,'HR Rep'!$A:$X,MATCH('1) For HR (AD)'!F$1,'HR Rep'!$A$1:$X$1,0),0),""),""))</f>
        <v>Associate Director</v>
      </c>
      <c r="G2" s="240" t="s">
        <v>263</v>
      </c>
      <c r="H2" s="173" t="str">
        <f>IF(IFERROR(_xlfn.IFNA(VLOOKUP($A2,'HR Rep'!$A:$X,MATCH('1) For HR (AD)'!H$1,'HR Rep'!$A$1:$X$1,0),0),""),"")="","",IFERROR(_xlfn.IFNA(VLOOKUP($A2,'HR Rep'!$A:$X,MATCH('1) For HR (AD)'!H$1,'HR Rep'!$A$1:$X$1,0),0),""),""))</f>
        <v/>
      </c>
      <c r="I2" s="173" t="str">
        <f>IF(IFERROR(_xlfn.IFNA(VLOOKUP($A2,'HR Rep'!$A:$X,MATCH('1) For HR (AD)'!I$1,'HR Rep'!$A$1:$X$1,0),0),""),"")="","",IFERROR(_xlfn.IFNA(VLOOKUP($A2,'HR Rep'!$A:$X,MATCH('1) For HR (AD)'!I$1,'HR Rep'!$A$1:$X$1,0),0),""),""))</f>
        <v/>
      </c>
      <c r="J2" s="173" t="str">
        <f>IF(IFERROR(_xlfn.IFNA(VLOOKUP($A2,'HR Rep'!$A:$X,MATCH('1) For HR (AD)'!J$1,'HR Rep'!$A$1:$X$1,0),0),""),"")="","",IFERROR(_xlfn.IFNA(VLOOKUP($A2,'HR Rep'!$A:$X,MATCH('1) For HR (AD)'!J$1,'HR Rep'!$A$1:$X$1,0),0),""),""))</f>
        <v/>
      </c>
      <c r="K2" s="201">
        <f>IF(ROUND(P2+R2+U2+X2+Z2,2)&lt;O2,O2,ROUND(P2+R2+U2+X2+Z2,2))</f>
        <v>6447.56</v>
      </c>
      <c r="L2" s="215" t="str">
        <f>Period!$A$2</f>
        <v>May-26</v>
      </c>
      <c r="M2" s="216" t="str">
        <f>Period!$B$2</f>
        <v>Jul-26</v>
      </c>
      <c r="N2" s="238" t="s">
        <v>182</v>
      </c>
      <c r="P2" s="206">
        <f>IF(SUMIF('3)Target &amp; Cal'!$A$3:$A$308,B2,INDEX('3)Target &amp; Cal'!$AZ$3:$BK$308,0,MATCH(MID(L2,1,3)&amp;"_I",'3)Target &amp; Cal'!$AZ$3:$BK$3,0)))&gt;0,SUMIF('3)Target &amp; Cal'!$A$3:$A$308,B2,INDEX('3)Target &amp; Cal'!$AZ$3:$BK$308,0,MATCH(MID(L2,1,3)&amp;"_I",'3)Target &amp; Cal'!$AZ$3:$BK$3,0))),0)</f>
        <v>0</v>
      </c>
      <c r="Q2" s="207" t="str">
        <f>IF(AND(IFERROR(AVERAGEIFS('3)Target &amp; Cal'!BN:BN,'3)Target &amp; Cal'!BM:BM,B2),"")&gt;0,IFERROR(AVERAGEIFS('3)Target &amp; Cal'!BN:BN,'3)Target &amp; Cal'!BM:BM,B2),"")&lt;1),1,IFERROR(AVERAGEIFS('3)Target &amp; Cal'!BN:BN,'3)Target &amp; Cal'!BM:BM,B2),""))</f>
        <v/>
      </c>
      <c r="R2" s="206">
        <f>IF(F2="Section Manager",IF(Q2&gt;0,Q2*T_SectAbove!$B$4,0),0)</f>
        <v>0</v>
      </c>
      <c r="S2" s="209" t="str">
        <f>IF(F2="Section Manager",VLOOKUP(A2,ASTBase!F:S,13,FALSE),"")</f>
        <v/>
      </c>
      <c r="T2" s="207" t="str">
        <f>IF(AND(IFERROR(AVERAGEIFS(Q:Q,S:S,A2),"")&gt;0,IFERROR(AVERAGEIFS(Q:Q,S:S,A2),"")&lt;1),1,IFERROR(AVERAGEIFS(Q:Q,S:S,A2),""))</f>
        <v/>
      </c>
      <c r="U2" s="206">
        <f>IF(F2="Department Manager",IFERROR(AVERAGEIFS(Q:Q,S:S,A2)*VLOOKUP('1) For HR (AD)'!F2,T_SectAbove!A:B,2,FALSE),""),0)</f>
        <v>0</v>
      </c>
      <c r="V2" s="209" t="str">
        <f>IF(F2="Department Manager",VLOOKUP(A2,ASTBase!F:S,14,FALSE),"")</f>
        <v/>
      </c>
      <c r="W2" s="207" t="str">
        <f>IF(AND(IFERROR(AVERAGEIFS(T:T,V:V,A2),"")&gt;0,IFERROR(AVERAGEIFS(T:T,V:V,A2),"")&lt;1),1,IFERROR(AVERAGEIFS(T:T,V:V,A2),""))</f>
        <v/>
      </c>
      <c r="X2" s="206">
        <f>IF(F2="Division Manager",IFERROR(AVERAGEIFS(T:T,V:V,A2)*VLOOKUP('1) For HR (AD)'!F2,T_SectAbove!A:B,2,FALSE),""),0)</f>
        <v>0</v>
      </c>
      <c r="Y2" s="253">
        <f>('1) For HR'!W2+AA2 )/2</f>
        <v>1.0745928030303031</v>
      </c>
      <c r="Z2" s="254">
        <f>Y2*T_SectAbove!B5</f>
        <v>6447.5568181818189</v>
      </c>
      <c r="AA2" s="257">
        <v>1.1200000000000001</v>
      </c>
      <c r="AB2" s="258"/>
    </row>
    <row r="3" spans="1:28" x14ac:dyDescent="0.25">
      <c r="AB3" s="258"/>
    </row>
    <row r="7" spans="1:28" x14ac:dyDescent="0.25">
      <c r="G7" s="241"/>
    </row>
    <row r="8" spans="1:28" x14ac:dyDescent="0.25">
      <c r="G8" s="241"/>
    </row>
    <row r="9" spans="1:28" x14ac:dyDescent="0.25">
      <c r="G9" s="241"/>
    </row>
  </sheetData>
  <dataValidations disablePrompts="1" count="1">
    <dataValidation type="list" allowBlank="1" showInputMessage="1" showErrorMessage="1" sqref="N2" xr:uid="{C5A2D743-F02D-417F-8B25-E6F0AF80D1AB}">
      <formula1>"Fix,Variable"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EE18-5CB6-428F-90D3-3E15794731CA}">
  <sheetPr>
    <tabColor rgb="FFFF9900"/>
  </sheetPr>
  <dimension ref="A1:M4"/>
  <sheetViews>
    <sheetView workbookViewId="0">
      <selection activeCell="K34" sqref="K34"/>
    </sheetView>
  </sheetViews>
  <sheetFormatPr defaultColWidth="9.09765625" defaultRowHeight="10.8" x14ac:dyDescent="0.25"/>
  <cols>
    <col min="1" max="1" width="12.59765625" style="193" bestFit="1" customWidth="1"/>
    <col min="2" max="13" width="6.3984375" style="193" customWidth="1"/>
    <col min="14" max="16384" width="9.09765625" style="193"/>
  </cols>
  <sheetData>
    <row r="1" spans="1:13" x14ac:dyDescent="0.25">
      <c r="A1" s="236" t="s">
        <v>127</v>
      </c>
      <c r="B1" s="248" t="s">
        <v>244</v>
      </c>
      <c r="C1" s="248" t="s">
        <v>3</v>
      </c>
      <c r="D1" s="248" t="s">
        <v>245</v>
      </c>
      <c r="E1" s="248" t="s">
        <v>246</v>
      </c>
      <c r="F1" s="248" t="s">
        <v>247</v>
      </c>
      <c r="G1" s="248" t="s">
        <v>248</v>
      </c>
      <c r="H1" s="248" t="s">
        <v>249</v>
      </c>
      <c r="I1" s="248" t="s">
        <v>250</v>
      </c>
      <c r="J1" s="248" t="s">
        <v>251</v>
      </c>
      <c r="K1" s="248" t="s">
        <v>252</v>
      </c>
      <c r="L1" s="248" t="s">
        <v>253</v>
      </c>
      <c r="M1" s="248" t="s">
        <v>254</v>
      </c>
    </row>
    <row r="2" spans="1:13" x14ac:dyDescent="0.25">
      <c r="A2" s="193" t="s">
        <v>388</v>
      </c>
      <c r="B2" s="193" t="s">
        <v>255</v>
      </c>
    </row>
    <row r="3" spans="1:13" x14ac:dyDescent="0.25">
      <c r="A3" s="193" t="s">
        <v>389</v>
      </c>
      <c r="B3" s="193" t="s">
        <v>255</v>
      </c>
      <c r="C3" s="193" t="s">
        <v>255</v>
      </c>
    </row>
    <row r="4" spans="1:13" x14ac:dyDescent="0.25">
      <c r="A4" s="193" t="s">
        <v>391</v>
      </c>
      <c r="B4" s="193" t="s">
        <v>255</v>
      </c>
      <c r="C4" s="193" t="s">
        <v>255</v>
      </c>
    </row>
  </sheetData>
  <dataValidations count="1">
    <dataValidation type="list" allowBlank="1" showInputMessage="1" showErrorMessage="1" sqref="B2:M2 B3:C4" xr:uid="{B3E4A377-DAA7-40BA-9942-39307EDF7535}">
      <formula1>"Shortage"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BF3D-DAEE-464C-AD6B-5CA7FCE213B2}">
  <sheetPr>
    <tabColor rgb="FF00B0F0"/>
  </sheetPr>
  <dimension ref="A1:BP58"/>
  <sheetViews>
    <sheetView zoomScale="50" zoomScaleNormal="50" workbookViewId="0">
      <pane xSplit="4" ySplit="1" topLeftCell="E2" activePane="bottomRight" state="frozen"/>
      <selection activeCell="C11" sqref="C11"/>
      <selection pane="topRight" activeCell="C11" sqref="C11"/>
      <selection pane="bottomLeft" activeCell="C11" sqref="C11"/>
      <selection pane="bottomRight" activeCell="C11" sqref="C11"/>
    </sheetView>
  </sheetViews>
  <sheetFormatPr defaultRowHeight="16.8" x14ac:dyDescent="0.4"/>
  <cols>
    <col min="1" max="1" width="13.5" customWidth="1"/>
    <col min="2" max="2" width="7.59765625" customWidth="1"/>
    <col min="3" max="3" width="27.5" customWidth="1"/>
    <col min="4" max="4" width="15.59765625" customWidth="1"/>
    <col min="5" max="10" width="8.59765625" customWidth="1"/>
    <col min="23" max="23" width="9.3984375" customWidth="1"/>
    <col min="31" max="31" width="9.59765625" bestFit="1" customWidth="1"/>
  </cols>
  <sheetData>
    <row r="1" spans="1:68" x14ac:dyDescent="0.4">
      <c r="A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R1" t="s">
        <v>2</v>
      </c>
      <c r="AS1" t="s">
        <v>3</v>
      </c>
      <c r="AT1" t="s">
        <v>4</v>
      </c>
      <c r="AU1" t="s">
        <v>5</v>
      </c>
      <c r="AV1" t="s">
        <v>6</v>
      </c>
      <c r="AW1" t="s">
        <v>7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E1" t="s">
        <v>2</v>
      </c>
      <c r="BF1" t="s">
        <v>3</v>
      </c>
      <c r="BG1" t="s">
        <v>4</v>
      </c>
      <c r="BH1" t="s">
        <v>5</v>
      </c>
      <c r="BI1" t="s">
        <v>6</v>
      </c>
      <c r="BJ1" t="s">
        <v>7</v>
      </c>
      <c r="BK1" t="s">
        <v>116</v>
      </c>
      <c r="BL1" t="s">
        <v>117</v>
      </c>
      <c r="BM1" t="s">
        <v>118</v>
      </c>
      <c r="BN1" t="s">
        <v>119</v>
      </c>
      <c r="BO1" t="s">
        <v>120</v>
      </c>
      <c r="BP1" t="s">
        <v>121</v>
      </c>
    </row>
    <row r="2" spans="1:68" x14ac:dyDescent="0.4">
      <c r="A2">
        <v>1190011201</v>
      </c>
      <c r="B2">
        <f>VLOOKUP(A2,[1]Sheet2!$A$2:$C$409,2,0)</f>
        <v>76001</v>
      </c>
      <c r="C2" t="str">
        <f>VLOOKUP(A2,[1]Sheet2!$A$2:$C$409,3,0)</f>
        <v>นายวิโรจน์ แซ่ฉั่ว</v>
      </c>
      <c r="D2" t="s">
        <v>79</v>
      </c>
      <c r="E2" s="1">
        <v>15225.689283556538</v>
      </c>
      <c r="F2" s="1">
        <v>15484.091606751437</v>
      </c>
      <c r="G2" s="1">
        <v>15090.610033558611</v>
      </c>
      <c r="H2" s="1">
        <v>11820.563279213857</v>
      </c>
      <c r="I2" s="1">
        <v>10434.85259847138</v>
      </c>
      <c r="J2" s="1">
        <v>14552.083709503451</v>
      </c>
      <c r="K2" s="1">
        <v>11112.753199589726</v>
      </c>
      <c r="L2" s="1">
        <v>15501.103028148869</v>
      </c>
      <c r="M2" s="1">
        <v>9303.82015401223</v>
      </c>
      <c r="N2" s="1">
        <v>12834.51406442888</v>
      </c>
      <c r="O2" s="1">
        <v>14543.363896247103</v>
      </c>
      <c r="P2" s="1">
        <v>10966.255146517999</v>
      </c>
      <c r="R2" s="1" cm="1">
        <f t="array" ref="R2:W2">IFERROR(_xlfn.XLOOKUP(A2,'Actual_Aji Plus'!A:A,'Actual_Aji Plus'!C:H),0)</f>
        <v>10686.659999999994</v>
      </c>
      <c r="S2" s="1">
        <v>10938.919999999998</v>
      </c>
      <c r="T2" s="1">
        <v>12155.999999999991</v>
      </c>
      <c r="U2" s="1">
        <v>13346.339999999995</v>
      </c>
      <c r="V2" s="1">
        <v>11659.179999999997</v>
      </c>
      <c r="W2" s="1">
        <v>8412.4599999999973</v>
      </c>
      <c r="X2" s="102"/>
      <c r="Y2" s="102"/>
      <c r="Z2" s="102"/>
      <c r="AA2" s="102"/>
      <c r="AB2" s="102"/>
      <c r="AC2" s="102"/>
      <c r="AD2" s="1"/>
      <c r="AE2" s="100">
        <f>R2/E2</f>
        <v>0.70188349446624987</v>
      </c>
      <c r="AF2" s="88">
        <f t="shared" ref="AF2:AP2" si="0">S2/F2</f>
        <v>0.70646184986598537</v>
      </c>
      <c r="AG2" s="88">
        <f t="shared" si="0"/>
        <v>0.80553403560011083</v>
      </c>
      <c r="AH2" s="88">
        <f t="shared" si="0"/>
        <v>1.1290781737507531</v>
      </c>
      <c r="AI2" s="88">
        <f t="shared" si="0"/>
        <v>1.1173305890020881</v>
      </c>
      <c r="AJ2" s="88">
        <f t="shared" si="0"/>
        <v>0.57809315613722845</v>
      </c>
      <c r="AK2" s="90">
        <f t="shared" si="0"/>
        <v>0</v>
      </c>
      <c r="AL2" s="90">
        <f t="shared" si="0"/>
        <v>0</v>
      </c>
      <c r="AM2" s="90">
        <f t="shared" si="0"/>
        <v>0</v>
      </c>
      <c r="AN2" s="90">
        <f t="shared" si="0"/>
        <v>0</v>
      </c>
      <c r="AO2" s="90">
        <f t="shared" si="0"/>
        <v>0</v>
      </c>
      <c r="AP2" s="90">
        <f t="shared" si="0"/>
        <v>0</v>
      </c>
      <c r="AQ2" s="88"/>
      <c r="AR2" s="90">
        <f>ROUND(AE2,4)</f>
        <v>0.70189999999999997</v>
      </c>
      <c r="AS2" s="90">
        <f t="shared" ref="AS2:BA2" si="1">ROUND(AF2,4)</f>
        <v>0.70650000000000002</v>
      </c>
      <c r="AT2" s="90">
        <f t="shared" si="1"/>
        <v>0.80549999999999999</v>
      </c>
      <c r="AU2" s="90">
        <f t="shared" si="1"/>
        <v>1.1291</v>
      </c>
      <c r="AV2" s="90">
        <f t="shared" si="1"/>
        <v>1.1173</v>
      </c>
      <c r="AW2" s="90">
        <f t="shared" si="1"/>
        <v>0.57809999999999995</v>
      </c>
      <c r="AX2" s="90">
        <f t="shared" si="1"/>
        <v>0</v>
      </c>
      <c r="AY2" s="90">
        <f t="shared" si="1"/>
        <v>0</v>
      </c>
      <c r="AZ2" s="90">
        <f t="shared" si="1"/>
        <v>0</v>
      </c>
      <c r="BA2" s="90">
        <f t="shared" si="1"/>
        <v>0</v>
      </c>
      <c r="BB2" s="90">
        <f t="shared" ref="BB2" si="2">ROUND(AO2,4)</f>
        <v>0</v>
      </c>
      <c r="BC2" s="90">
        <f t="shared" ref="BC2" si="3">ROUND(AP2,4)</f>
        <v>0</v>
      </c>
      <c r="BD2" s="88"/>
      <c r="BE2" s="1">
        <f>IFERROR(VLOOKUP(AR2,'Top WS'!$A$19:$B$28,2),0)</f>
        <v>180</v>
      </c>
      <c r="BF2" s="1">
        <f>IFERROR(VLOOKUP(AS2,'Top WS'!$A$19:$B$28,2),0)</f>
        <v>180</v>
      </c>
      <c r="BG2" s="1">
        <f>IFERROR(VLOOKUP(AT2,'Top WS'!$A$19:$B$28,2),0)</f>
        <v>180</v>
      </c>
      <c r="BH2" s="1">
        <f>IFERROR(VLOOKUP(AU2,'Top WS'!$A$19:$B$28,2),0)</f>
        <v>230</v>
      </c>
      <c r="BI2" s="1">
        <f>IFERROR(VLOOKUP(AV2,'Top WS'!$A$19:$B$28,2),0)</f>
        <v>230</v>
      </c>
      <c r="BJ2" s="1">
        <f>IFERROR(VLOOKUP(AW2,'Top WS'!$A$19:$B$28,2),0)</f>
        <v>180</v>
      </c>
      <c r="BK2" s="89">
        <f>IFERROR(VLOOKUP(AX2,'Top WS'!$A$19:$B$28,2),0)</f>
        <v>180</v>
      </c>
      <c r="BL2" s="89">
        <f>IFERROR(VLOOKUP(AY2,'Top WS'!$A$19:$B$28,2),0)</f>
        <v>180</v>
      </c>
      <c r="BM2" s="89">
        <f>IFERROR(VLOOKUP(AZ2,'Top WS'!$A$19:$B$28,2),0)</f>
        <v>180</v>
      </c>
      <c r="BN2" s="89">
        <f>IFERROR(VLOOKUP(BA2,'Top WS'!$A$19:$B$28,2),0)</f>
        <v>180</v>
      </c>
      <c r="BO2" s="89">
        <f>IFERROR(VLOOKUP(BB2,'Top WS'!$A$19:$B$28,2),0)</f>
        <v>180</v>
      </c>
      <c r="BP2" s="89">
        <f>IFERROR(VLOOKUP(BC2,'Top WS'!$A$19:$B$28,2),0)</f>
        <v>180</v>
      </c>
    </row>
    <row r="3" spans="1:68" x14ac:dyDescent="0.4">
      <c r="A3">
        <v>1190011214</v>
      </c>
      <c r="B3">
        <f>VLOOKUP(A3,[1]Sheet2!$A$2:$C$409,2,0)</f>
        <v>71328</v>
      </c>
      <c r="C3" t="str">
        <f>VLOOKUP(A3,[1]Sheet2!$A$2:$C$409,3,0)</f>
        <v>นายประเสริฐ สุขีธรรม</v>
      </c>
      <c r="D3" t="s">
        <v>79</v>
      </c>
      <c r="E3" s="1">
        <v>11486.046301630371</v>
      </c>
      <c r="F3" s="1">
        <v>11680.981387549331</v>
      </c>
      <c r="G3" s="1">
        <v>11384.144411281057</v>
      </c>
      <c r="H3" s="1">
        <v>8917.2670351964189</v>
      </c>
      <c r="I3" s="1">
        <v>7871.9063462152526</v>
      </c>
      <c r="J3" s="1">
        <v>10977.887710678044</v>
      </c>
      <c r="K3" s="1">
        <v>8383.3050453045307</v>
      </c>
      <c r="L3" s="1">
        <v>11693.814565094763</v>
      </c>
      <c r="M3" s="1">
        <v>7018.6713442548407</v>
      </c>
      <c r="N3" s="1">
        <v>9682.1772766744198</v>
      </c>
      <c r="O3" s="1">
        <v>10971.309605940798</v>
      </c>
      <c r="P3" s="1">
        <v>8272.7889701802451</v>
      </c>
      <c r="R3" s="1" cm="1">
        <f t="array" ref="R3:W3">IFERROR(_xlfn.XLOOKUP(A3,'Actual_Aji Plus'!A:A,'Actual_Aji Plus'!C:H),0)</f>
        <v>4872.12</v>
      </c>
      <c r="S3" s="1">
        <v>5921.4</v>
      </c>
      <c r="T3" s="1">
        <v>8818.7999999999938</v>
      </c>
      <c r="U3" s="1">
        <v>12257.219999999992</v>
      </c>
      <c r="V3" s="1">
        <v>8300.2799999999988</v>
      </c>
      <c r="W3" s="1">
        <v>3425.5200000000023</v>
      </c>
      <c r="X3" s="102"/>
      <c r="Y3" s="102"/>
      <c r="Z3" s="102"/>
      <c r="AA3" s="102"/>
      <c r="AB3" s="102"/>
      <c r="AC3" s="102"/>
      <c r="AD3" s="1"/>
      <c r="AE3" s="88">
        <f t="shared" ref="AE3:AE58" si="4">R3/E3</f>
        <v>0.4241772906059445</v>
      </c>
      <c r="AF3" s="88">
        <f t="shared" ref="AF3:AF58" si="5">S3/F3</f>
        <v>0.50692658463710716</v>
      </c>
      <c r="AG3" s="88">
        <f t="shared" ref="AG3:AG58" si="6">T3/G3</f>
        <v>0.77465637130016118</v>
      </c>
      <c r="AH3" s="88">
        <f t="shared" ref="AH3:AH58" si="7">U3/H3</f>
        <v>1.3745489455032345</v>
      </c>
      <c r="AI3" s="88">
        <f t="shared" ref="AI3:AI58" si="8">V3/I3</f>
        <v>1.0544180322966754</v>
      </c>
      <c r="AJ3" s="88">
        <f t="shared" ref="AJ3:AJ58" si="9">W3/J3</f>
        <v>0.31203817075556756</v>
      </c>
      <c r="AK3" s="90">
        <f t="shared" ref="AK3:AK58" si="10">X3/K3</f>
        <v>0</v>
      </c>
      <c r="AL3" s="90">
        <f t="shared" ref="AL3:AL58" si="11">Y3/L3</f>
        <v>0</v>
      </c>
      <c r="AM3" s="90">
        <f t="shared" ref="AM3:AM58" si="12">Z3/M3</f>
        <v>0</v>
      </c>
      <c r="AN3" s="90">
        <f t="shared" ref="AN3:AN58" si="13">AA3/N3</f>
        <v>0</v>
      </c>
      <c r="AO3" s="90">
        <f t="shared" ref="AO3:AO58" si="14">AB3/O3</f>
        <v>0</v>
      </c>
      <c r="AP3" s="90">
        <f t="shared" ref="AP3:AP58" si="15">AC3/P3</f>
        <v>0</v>
      </c>
      <c r="AQ3" s="88"/>
      <c r="AR3" s="90">
        <f t="shared" ref="AR3:AR58" si="16">ROUND(AE3,4)</f>
        <v>0.42420000000000002</v>
      </c>
      <c r="AS3" s="90">
        <f t="shared" ref="AS3:AS58" si="17">ROUND(AF3,4)</f>
        <v>0.50690000000000002</v>
      </c>
      <c r="AT3" s="90">
        <f t="shared" ref="AT3:AT58" si="18">ROUND(AG3,4)</f>
        <v>0.77470000000000006</v>
      </c>
      <c r="AU3" s="90">
        <f t="shared" ref="AU3:AU58" si="19">ROUND(AH3,4)</f>
        <v>1.3745000000000001</v>
      </c>
      <c r="AV3" s="90">
        <f t="shared" ref="AV3:AV58" si="20">ROUND(AI3,4)</f>
        <v>1.0544</v>
      </c>
      <c r="AW3" s="90">
        <f t="shared" ref="AW3:AW58" si="21">ROUND(AJ3,4)</f>
        <v>0.312</v>
      </c>
      <c r="AX3" s="90">
        <f t="shared" ref="AX3:AX58" si="22">ROUND(AK3,4)</f>
        <v>0</v>
      </c>
      <c r="AY3" s="90">
        <f t="shared" ref="AY3:AY58" si="23">ROUND(AL3,4)</f>
        <v>0</v>
      </c>
      <c r="AZ3" s="90">
        <f t="shared" ref="AZ3:AZ58" si="24">ROUND(AM3,4)</f>
        <v>0</v>
      </c>
      <c r="BA3" s="90">
        <f t="shared" ref="BA3:BA58" si="25">ROUND(AN3,4)</f>
        <v>0</v>
      </c>
      <c r="BB3" s="90">
        <f t="shared" ref="BB3:BB58" si="26">ROUND(AO3,4)</f>
        <v>0</v>
      </c>
      <c r="BC3" s="90">
        <f t="shared" ref="BC3:BC58" si="27">ROUND(AP3,4)</f>
        <v>0</v>
      </c>
      <c r="BD3" s="88"/>
      <c r="BE3" s="1">
        <f>IFERROR(VLOOKUP(AR3,'Top WS'!$A$19:$B$28,2),0)</f>
        <v>180</v>
      </c>
      <c r="BF3" s="1">
        <f>IFERROR(VLOOKUP(AS3,'Top WS'!$A$19:$B$28,2),0)</f>
        <v>180</v>
      </c>
      <c r="BG3" s="1">
        <f>IFERROR(VLOOKUP(AT3,'Top WS'!$A$19:$B$28,2),0)</f>
        <v>180</v>
      </c>
      <c r="BH3" s="1">
        <f>IFERROR(VLOOKUP(AU3,'Top WS'!$A$19:$B$28,2),0)</f>
        <v>260</v>
      </c>
      <c r="BI3" s="1">
        <f>IFERROR(VLOOKUP(AV3,'Top WS'!$A$19:$B$28,2),0)</f>
        <v>216</v>
      </c>
      <c r="BJ3" s="1">
        <f>IFERROR(VLOOKUP(AW3,'Top WS'!$A$19:$B$28,2),0)</f>
        <v>180</v>
      </c>
      <c r="BK3" s="89">
        <f>IFERROR(VLOOKUP(AX3,'Top WS'!$A$19:$B$28,2),0)</f>
        <v>180</v>
      </c>
      <c r="BL3" s="89">
        <f>IFERROR(VLOOKUP(AY3,'Top WS'!$A$19:$B$28,2),0)</f>
        <v>180</v>
      </c>
      <c r="BM3" s="89">
        <f>IFERROR(VLOOKUP(AZ3,'Top WS'!$A$19:$B$28,2),0)</f>
        <v>180</v>
      </c>
      <c r="BN3" s="89">
        <f>IFERROR(VLOOKUP(BA3,'Top WS'!$A$19:$B$28,2),0)</f>
        <v>180</v>
      </c>
      <c r="BO3" s="89">
        <f>IFERROR(VLOOKUP(BB3,'Top WS'!$A$19:$B$28,2),0)</f>
        <v>180</v>
      </c>
      <c r="BP3" s="89">
        <f>IFERROR(VLOOKUP(BC3,'Top WS'!$A$19:$B$28,2),0)</f>
        <v>180</v>
      </c>
    </row>
    <row r="4" spans="1:68" x14ac:dyDescent="0.4">
      <c r="A4">
        <v>1190011401</v>
      </c>
      <c r="B4">
        <f>VLOOKUP(A4,[1]Sheet2!$A$2:$C$409,2,0)</f>
        <v>63723</v>
      </c>
      <c r="C4" t="str">
        <f>VLOOKUP(A4,[1]Sheet2!$A$2:$C$409,3,0)</f>
        <v>นายธนาพัทธ์ จงเทพสกุลชัย</v>
      </c>
      <c r="D4" t="s">
        <v>80</v>
      </c>
      <c r="E4" s="1">
        <v>8422.4610198061528</v>
      </c>
      <c r="F4" s="1">
        <v>8766.5402444163501</v>
      </c>
      <c r="G4" s="1">
        <v>8616.9405815423543</v>
      </c>
      <c r="H4" s="1">
        <v>8826.380109565951</v>
      </c>
      <c r="I4" s="1">
        <v>8975.9797724399505</v>
      </c>
      <c r="J4" s="1">
        <v>8871.2600084281512</v>
      </c>
      <c r="K4" s="1">
        <v>8990.9397387273511</v>
      </c>
      <c r="L4" s="1">
        <v>8975.9797724399505</v>
      </c>
      <c r="M4" s="1">
        <v>9125.5794353139481</v>
      </c>
      <c r="N4" s="1">
        <v>9125.5794353139481</v>
      </c>
      <c r="O4" s="1">
        <v>8826.380109565951</v>
      </c>
      <c r="P4" s="1">
        <v>8975.9797724399505</v>
      </c>
      <c r="R4" s="1" cm="1">
        <f t="array" ref="R4:W4">IFERROR(_xlfn.XLOOKUP(A4,'Actual_Aji Plus'!A:A,'Actual_Aji Plus'!C:H),0)</f>
        <v>5775.84</v>
      </c>
      <c r="S4" s="1">
        <v>8476.8000000000011</v>
      </c>
      <c r="T4" s="1">
        <v>6833.4400000000005</v>
      </c>
      <c r="U4" s="1">
        <v>10179.999999999996</v>
      </c>
      <c r="V4" s="1">
        <v>9112.3199999999924</v>
      </c>
      <c r="W4" s="1">
        <v>5843.8199999999979</v>
      </c>
      <c r="X4" s="102"/>
      <c r="Y4" s="102"/>
      <c r="Z4" s="102"/>
      <c r="AA4" s="102"/>
      <c r="AB4" s="102"/>
      <c r="AC4" s="102"/>
      <c r="AD4" s="1"/>
      <c r="AE4" s="88">
        <f t="shared" si="4"/>
        <v>0.68576630825807416</v>
      </c>
      <c r="AF4" s="88">
        <f t="shared" si="5"/>
        <v>0.9669493053886461</v>
      </c>
      <c r="AG4" s="88">
        <f t="shared" si="6"/>
        <v>0.79302392018779322</v>
      </c>
      <c r="AH4" s="88">
        <f t="shared" si="7"/>
        <v>1.1533607066125562</v>
      </c>
      <c r="AI4" s="88">
        <f t="shared" si="8"/>
        <v>1.0151894535211259</v>
      </c>
      <c r="AJ4" s="88">
        <f t="shared" si="9"/>
        <v>0.65873618792010036</v>
      </c>
      <c r="AK4" s="90">
        <f t="shared" si="10"/>
        <v>0</v>
      </c>
      <c r="AL4" s="90">
        <f t="shared" si="11"/>
        <v>0</v>
      </c>
      <c r="AM4" s="90">
        <f t="shared" si="12"/>
        <v>0</v>
      </c>
      <c r="AN4" s="90">
        <f t="shared" si="13"/>
        <v>0</v>
      </c>
      <c r="AO4" s="90">
        <f t="shared" si="14"/>
        <v>0</v>
      </c>
      <c r="AP4" s="90">
        <f t="shared" si="15"/>
        <v>0</v>
      </c>
      <c r="AQ4" s="88"/>
      <c r="AR4" s="90">
        <f t="shared" si="16"/>
        <v>0.68579999999999997</v>
      </c>
      <c r="AS4" s="90">
        <f t="shared" si="17"/>
        <v>0.96689999999999998</v>
      </c>
      <c r="AT4" s="90">
        <f t="shared" si="18"/>
        <v>0.79300000000000004</v>
      </c>
      <c r="AU4" s="90">
        <f t="shared" si="19"/>
        <v>1.1534</v>
      </c>
      <c r="AV4" s="90">
        <f t="shared" si="20"/>
        <v>1.0152000000000001</v>
      </c>
      <c r="AW4" s="90">
        <f t="shared" si="21"/>
        <v>0.65869999999999995</v>
      </c>
      <c r="AX4" s="90">
        <f t="shared" si="22"/>
        <v>0</v>
      </c>
      <c r="AY4" s="90">
        <f t="shared" si="23"/>
        <v>0</v>
      </c>
      <c r="AZ4" s="90">
        <f t="shared" si="24"/>
        <v>0</v>
      </c>
      <c r="BA4" s="90">
        <f t="shared" si="25"/>
        <v>0</v>
      </c>
      <c r="BB4" s="90">
        <f t="shared" si="26"/>
        <v>0</v>
      </c>
      <c r="BC4" s="90">
        <f t="shared" si="27"/>
        <v>0</v>
      </c>
      <c r="BD4" s="88"/>
      <c r="BE4" s="1">
        <f>IFERROR(VLOOKUP(AR4,'Top WS'!$A$19:$B$28,2),0)</f>
        <v>180</v>
      </c>
      <c r="BF4" s="1">
        <f>IFERROR(VLOOKUP(AS4,'Top WS'!$A$19:$B$28,2),0)</f>
        <v>200</v>
      </c>
      <c r="BG4" s="1">
        <f>IFERROR(VLOOKUP(AT4,'Top WS'!$A$19:$B$28,2),0)</f>
        <v>180</v>
      </c>
      <c r="BH4" s="1">
        <f>IFERROR(VLOOKUP(AU4,'Top WS'!$A$19:$B$28,2),0)</f>
        <v>240</v>
      </c>
      <c r="BI4" s="1">
        <f>IFERROR(VLOOKUP(AV4,'Top WS'!$A$19:$B$28,2),0)</f>
        <v>206</v>
      </c>
      <c r="BJ4" s="1">
        <f>IFERROR(VLOOKUP(AW4,'Top WS'!$A$19:$B$28,2),0)</f>
        <v>180</v>
      </c>
      <c r="BK4" s="89">
        <f>IFERROR(VLOOKUP(AX4,'Top WS'!$A$19:$B$28,2),0)</f>
        <v>180</v>
      </c>
      <c r="BL4" s="89">
        <f>IFERROR(VLOOKUP(AY4,'Top WS'!$A$19:$B$28,2),0)</f>
        <v>180</v>
      </c>
      <c r="BM4" s="89">
        <f>IFERROR(VLOOKUP(AZ4,'Top WS'!$A$19:$B$28,2),0)</f>
        <v>180</v>
      </c>
      <c r="BN4" s="89">
        <f>IFERROR(VLOOKUP(BA4,'Top WS'!$A$19:$B$28,2),0)</f>
        <v>180</v>
      </c>
      <c r="BO4" s="89">
        <f>IFERROR(VLOOKUP(BB4,'Top WS'!$A$19:$B$28,2),0)</f>
        <v>180</v>
      </c>
      <c r="BP4" s="89">
        <f>IFERROR(VLOOKUP(BC4,'Top WS'!$A$19:$B$28,2),0)</f>
        <v>180</v>
      </c>
    </row>
    <row r="5" spans="1:68" x14ac:dyDescent="0.4">
      <c r="A5">
        <v>1190011412</v>
      </c>
      <c r="B5">
        <f>VLOOKUP(A5,[1]Sheet2!$A$2:$C$409,2,0)</f>
        <v>71043</v>
      </c>
      <c r="C5" t="str">
        <f>VLOOKUP(A5,[1]Sheet2!$A$2:$C$409,3,0)</f>
        <v>นายเสริมโชค อยู่อุดมสุข</v>
      </c>
      <c r="D5" t="s">
        <v>80</v>
      </c>
      <c r="E5" s="1">
        <v>11046.472819216184</v>
      </c>
      <c r="F5" s="1">
        <v>11497.749683944374</v>
      </c>
      <c r="G5" s="1">
        <v>11301.542351453858</v>
      </c>
      <c r="H5" s="1">
        <v>11576.232616940582</v>
      </c>
      <c r="I5" s="1">
        <v>11772.4399494311</v>
      </c>
      <c r="J5" s="1">
        <v>11635.094816687739</v>
      </c>
      <c r="K5" s="1">
        <v>11792.060682680154</v>
      </c>
      <c r="L5" s="1">
        <v>11772.4399494311</v>
      </c>
      <c r="M5" s="1">
        <v>11968.647281921618</v>
      </c>
      <c r="N5" s="1">
        <v>11968.647281921618</v>
      </c>
      <c r="O5" s="1">
        <v>11576.232616940582</v>
      </c>
      <c r="P5" s="1">
        <v>11772.4399494311</v>
      </c>
      <c r="R5" s="1" cm="1">
        <f t="array" ref="R5:W5">IFERROR(_xlfn.XLOOKUP(A5,'Actual_Aji Plus'!A:A,'Actual_Aji Plus'!C:H),0)</f>
        <v>4843.3200000000015</v>
      </c>
      <c r="S5" s="1">
        <v>10705.38</v>
      </c>
      <c r="T5" s="1">
        <v>10573.439999999999</v>
      </c>
      <c r="U5" s="1">
        <v>10436.999999999995</v>
      </c>
      <c r="V5" s="1">
        <v>9570.3599999999988</v>
      </c>
      <c r="W5" s="1">
        <v>4474.8000000000011</v>
      </c>
      <c r="X5" s="102"/>
      <c r="Y5" s="102"/>
      <c r="Z5" s="102"/>
      <c r="AA5" s="102"/>
      <c r="AB5" s="102"/>
      <c r="AC5" s="102"/>
      <c r="AD5" s="1"/>
      <c r="AE5" s="88">
        <f t="shared" si="4"/>
        <v>0.43844945615352227</v>
      </c>
      <c r="AF5" s="88">
        <f t="shared" si="5"/>
        <v>0.93108480305056118</v>
      </c>
      <c r="AG5" s="88">
        <f t="shared" si="6"/>
        <v>0.93557495704467331</v>
      </c>
      <c r="AH5" s="88">
        <f t="shared" si="7"/>
        <v>0.90158865542547562</v>
      </c>
      <c r="AI5" s="88">
        <f t="shared" si="8"/>
        <v>0.81294617268041225</v>
      </c>
      <c r="AJ5" s="88">
        <f t="shared" si="9"/>
        <v>0.38459506093426754</v>
      </c>
      <c r="AK5" s="90">
        <f t="shared" si="10"/>
        <v>0</v>
      </c>
      <c r="AL5" s="90">
        <f t="shared" si="11"/>
        <v>0</v>
      </c>
      <c r="AM5" s="90">
        <f t="shared" si="12"/>
        <v>0</v>
      </c>
      <c r="AN5" s="90">
        <f t="shared" si="13"/>
        <v>0</v>
      </c>
      <c r="AO5" s="90">
        <f t="shared" si="14"/>
        <v>0</v>
      </c>
      <c r="AP5" s="90">
        <f t="shared" si="15"/>
        <v>0</v>
      </c>
      <c r="AQ5" s="88"/>
      <c r="AR5" s="90">
        <f t="shared" si="16"/>
        <v>0.43840000000000001</v>
      </c>
      <c r="AS5" s="90">
        <f t="shared" si="17"/>
        <v>0.93110000000000004</v>
      </c>
      <c r="AT5" s="90">
        <f t="shared" si="18"/>
        <v>0.93559999999999999</v>
      </c>
      <c r="AU5" s="90">
        <f t="shared" si="19"/>
        <v>0.90159999999999996</v>
      </c>
      <c r="AV5" s="90">
        <f t="shared" si="20"/>
        <v>0.81289999999999996</v>
      </c>
      <c r="AW5" s="90">
        <f t="shared" si="21"/>
        <v>0.3846</v>
      </c>
      <c r="AX5" s="90">
        <f t="shared" si="22"/>
        <v>0</v>
      </c>
      <c r="AY5" s="90">
        <f t="shared" si="23"/>
        <v>0</v>
      </c>
      <c r="AZ5" s="90">
        <f t="shared" si="24"/>
        <v>0</v>
      </c>
      <c r="BA5" s="90">
        <f t="shared" si="25"/>
        <v>0</v>
      </c>
      <c r="BB5" s="90">
        <f t="shared" si="26"/>
        <v>0</v>
      </c>
      <c r="BC5" s="90">
        <f t="shared" si="27"/>
        <v>0</v>
      </c>
      <c r="BD5" s="88"/>
      <c r="BE5" s="1">
        <f>IFERROR(VLOOKUP(AR5,'Top WS'!$A$19:$B$28,2),0)</f>
        <v>180</v>
      </c>
      <c r="BF5" s="1">
        <f>IFERROR(VLOOKUP(AS5,'Top WS'!$A$19:$B$28,2),0)</f>
        <v>190</v>
      </c>
      <c r="BG5" s="1">
        <f>IFERROR(VLOOKUP(AT5,'Top WS'!$A$19:$B$28,2),0)</f>
        <v>190</v>
      </c>
      <c r="BH5" s="1">
        <f>IFERROR(VLOOKUP(AU5,'Top WS'!$A$19:$B$28,2),0)</f>
        <v>190</v>
      </c>
      <c r="BI5" s="1">
        <f>IFERROR(VLOOKUP(AV5,'Top WS'!$A$19:$B$28,2),0)</f>
        <v>180</v>
      </c>
      <c r="BJ5" s="1">
        <f>IFERROR(VLOOKUP(AW5,'Top WS'!$A$19:$B$28,2),0)</f>
        <v>180</v>
      </c>
      <c r="BK5" s="89">
        <f>IFERROR(VLOOKUP(AX5,'Top WS'!$A$19:$B$28,2),0)</f>
        <v>180</v>
      </c>
      <c r="BL5" s="89">
        <f>IFERROR(VLOOKUP(AY5,'Top WS'!$A$19:$B$28,2),0)</f>
        <v>180</v>
      </c>
      <c r="BM5" s="89">
        <f>IFERROR(VLOOKUP(AZ5,'Top WS'!$A$19:$B$28,2),0)</f>
        <v>180</v>
      </c>
      <c r="BN5" s="89">
        <f>IFERROR(VLOOKUP(BA5,'Top WS'!$A$19:$B$28,2),0)</f>
        <v>180</v>
      </c>
      <c r="BO5" s="89">
        <f>IFERROR(VLOOKUP(BB5,'Top WS'!$A$19:$B$28,2),0)</f>
        <v>180</v>
      </c>
      <c r="BP5" s="89">
        <f>IFERROR(VLOOKUP(BC5,'Top WS'!$A$19:$B$28,2),0)</f>
        <v>180</v>
      </c>
    </row>
    <row r="6" spans="1:68" x14ac:dyDescent="0.4">
      <c r="A6">
        <v>1190011501</v>
      </c>
      <c r="B6">
        <f>VLOOKUP(A6,[1]Sheet2!$A$2:$C$409,2,0)</f>
        <v>71637</v>
      </c>
      <c r="C6" t="str">
        <f>VLOOKUP(A6,[1]Sheet2!$A$2:$C$409,3,0)</f>
        <v>นายพณิชพงศ์ แจ้งธีรภูสิทธิ์</v>
      </c>
      <c r="D6" t="s">
        <v>81</v>
      </c>
      <c r="E6" s="1">
        <v>29692.931591515677</v>
      </c>
      <c r="F6" s="1">
        <v>30905.96432083159</v>
      </c>
      <c r="G6" s="1">
        <v>30378.558786346421</v>
      </c>
      <c r="H6" s="1">
        <v>31116.926534625665</v>
      </c>
      <c r="I6" s="1">
        <v>31644.332069110846</v>
      </c>
      <c r="J6" s="1">
        <v>31275.148194971225</v>
      </c>
      <c r="K6" s="1">
        <v>31697.072622559368</v>
      </c>
      <c r="L6" s="1">
        <v>31644.332069110846</v>
      </c>
      <c r="M6" s="1">
        <v>32171.737603596022</v>
      </c>
      <c r="N6" s="1">
        <v>32171.737603596022</v>
      </c>
      <c r="O6" s="1">
        <v>31116.926534625665</v>
      </c>
      <c r="P6" s="1">
        <v>31644.332069110846</v>
      </c>
      <c r="R6" s="1" cm="1">
        <f t="array" ref="R6:W6">IFERROR(_xlfn.XLOOKUP(A6,'Actual_Aji Plus'!A:A,'Actual_Aji Plus'!C:H),0)</f>
        <v>31634.7</v>
      </c>
      <c r="S6" s="1">
        <v>28241.359999999997</v>
      </c>
      <c r="T6" s="1">
        <v>33036.840000000018</v>
      </c>
      <c r="U6" s="1">
        <v>37197.180000000022</v>
      </c>
      <c r="V6" s="1">
        <v>23767.460000000014</v>
      </c>
      <c r="W6" s="1">
        <v>29194.14000000001</v>
      </c>
      <c r="X6" s="102"/>
      <c r="Y6" s="102"/>
      <c r="Z6" s="102"/>
      <c r="AA6" s="102"/>
      <c r="AB6" s="102"/>
      <c r="AC6" s="102"/>
      <c r="AD6" s="1"/>
      <c r="AE6" s="88">
        <f t="shared" si="4"/>
        <v>1.0653949712745492</v>
      </c>
      <c r="AF6" s="88">
        <f t="shared" si="5"/>
        <v>0.91378349197680375</v>
      </c>
      <c r="AG6" s="88">
        <f t="shared" si="6"/>
        <v>1.0875051786475254</v>
      </c>
      <c r="AH6" s="88">
        <f t="shared" si="7"/>
        <v>1.1954001934801786</v>
      </c>
      <c r="AI6" s="88">
        <f t="shared" si="8"/>
        <v>0.75108110824055829</v>
      </c>
      <c r="AJ6" s="88">
        <f t="shared" si="9"/>
        <v>0.93346128427599828</v>
      </c>
      <c r="AK6" s="90">
        <f t="shared" si="10"/>
        <v>0</v>
      </c>
      <c r="AL6" s="90">
        <f t="shared" si="11"/>
        <v>0</v>
      </c>
      <c r="AM6" s="90">
        <f t="shared" si="12"/>
        <v>0</v>
      </c>
      <c r="AN6" s="90">
        <f t="shared" si="13"/>
        <v>0</v>
      </c>
      <c r="AO6" s="90">
        <f t="shared" si="14"/>
        <v>0</v>
      </c>
      <c r="AP6" s="90">
        <f t="shared" si="15"/>
        <v>0</v>
      </c>
      <c r="AQ6" s="88"/>
      <c r="AR6" s="90">
        <f t="shared" si="16"/>
        <v>1.0653999999999999</v>
      </c>
      <c r="AS6" s="90">
        <f t="shared" si="17"/>
        <v>0.91379999999999995</v>
      </c>
      <c r="AT6" s="90">
        <f t="shared" si="18"/>
        <v>1.0874999999999999</v>
      </c>
      <c r="AU6" s="90">
        <f t="shared" si="19"/>
        <v>1.1954</v>
      </c>
      <c r="AV6" s="90">
        <f t="shared" si="20"/>
        <v>0.75109999999999999</v>
      </c>
      <c r="AW6" s="90">
        <f t="shared" si="21"/>
        <v>0.9335</v>
      </c>
      <c r="AX6" s="90">
        <f t="shared" si="22"/>
        <v>0</v>
      </c>
      <c r="AY6" s="90">
        <f t="shared" si="23"/>
        <v>0</v>
      </c>
      <c r="AZ6" s="90">
        <f t="shared" si="24"/>
        <v>0</v>
      </c>
      <c r="BA6" s="90">
        <f t="shared" si="25"/>
        <v>0</v>
      </c>
      <c r="BB6" s="90">
        <f t="shared" si="26"/>
        <v>0</v>
      </c>
      <c r="BC6" s="90">
        <f t="shared" si="27"/>
        <v>0</v>
      </c>
      <c r="BD6" s="88"/>
      <c r="BE6" s="1">
        <f>IFERROR(VLOOKUP(AR6,'Top WS'!$A$19:$B$28,2),0)</f>
        <v>220</v>
      </c>
      <c r="BF6" s="1">
        <f>IFERROR(VLOOKUP(AS6,'Top WS'!$A$19:$B$28,2),0)</f>
        <v>190</v>
      </c>
      <c r="BG6" s="1">
        <f>IFERROR(VLOOKUP(AT6,'Top WS'!$A$19:$B$28,2),0)</f>
        <v>220</v>
      </c>
      <c r="BH6" s="1">
        <f>IFERROR(VLOOKUP(AU6,'Top WS'!$A$19:$B$28,2),0)</f>
        <v>240</v>
      </c>
      <c r="BI6" s="1">
        <f>IFERROR(VLOOKUP(AV6,'Top WS'!$A$19:$B$28,2),0)</f>
        <v>180</v>
      </c>
      <c r="BJ6" s="1">
        <f>IFERROR(VLOOKUP(AW6,'Top WS'!$A$19:$B$28,2),0)</f>
        <v>190</v>
      </c>
      <c r="BK6" s="89">
        <f>IFERROR(VLOOKUP(AX6,'Top WS'!$A$19:$B$28,2),0)</f>
        <v>180</v>
      </c>
      <c r="BL6" s="89">
        <f>IFERROR(VLOOKUP(AY6,'Top WS'!$A$19:$B$28,2),0)</f>
        <v>180</v>
      </c>
      <c r="BM6" s="89">
        <f>IFERROR(VLOOKUP(AZ6,'Top WS'!$A$19:$B$28,2),0)</f>
        <v>180</v>
      </c>
      <c r="BN6" s="89">
        <f>IFERROR(VLOOKUP(BA6,'Top WS'!$A$19:$B$28,2),0)</f>
        <v>180</v>
      </c>
      <c r="BO6" s="89">
        <f>IFERROR(VLOOKUP(BB6,'Top WS'!$A$19:$B$28,2),0)</f>
        <v>180</v>
      </c>
      <c r="BP6" s="89">
        <f>IFERROR(VLOOKUP(BC6,'Top WS'!$A$19:$B$28,2),0)</f>
        <v>180</v>
      </c>
    </row>
    <row r="7" spans="1:68" x14ac:dyDescent="0.4">
      <c r="A7">
        <v>1190011701</v>
      </c>
      <c r="B7">
        <f>VLOOKUP(A7,[1]Sheet2!$A$2:$C$409,2,0)</f>
        <v>29698</v>
      </c>
      <c r="C7" t="str">
        <f>VLOOKUP(A7,[1]Sheet2!$A$2:$C$409,3,0)</f>
        <v>นายพูลทวี เกษรบัว</v>
      </c>
      <c r="D7" t="s">
        <v>82</v>
      </c>
      <c r="E7" s="1">
        <v>21060</v>
      </c>
      <c r="F7" s="1">
        <v>20792</v>
      </c>
      <c r="G7" s="1">
        <v>20740</v>
      </c>
      <c r="H7" s="1">
        <v>24338</v>
      </c>
      <c r="I7" s="1">
        <v>20026</v>
      </c>
      <c r="J7" s="1">
        <v>21580</v>
      </c>
      <c r="K7" s="1">
        <v>22108</v>
      </c>
      <c r="L7" s="1">
        <v>23423</v>
      </c>
      <c r="M7" s="1">
        <v>21528</v>
      </c>
      <c r="N7" s="1">
        <v>20528</v>
      </c>
      <c r="O7" s="1">
        <v>21265</v>
      </c>
      <c r="P7" s="1">
        <v>25872</v>
      </c>
      <c r="R7" s="1" cm="1">
        <f t="array" ref="R7:W7">IFERROR(_xlfn.XLOOKUP(A7,'Actual_Aji Plus'!A:A,'Actual_Aji Plus'!C:H),0)</f>
        <v>18807.840000000007</v>
      </c>
      <c r="S7" s="1">
        <v>19533.839999999993</v>
      </c>
      <c r="T7" s="1">
        <v>21292.440000000006</v>
      </c>
      <c r="U7" s="1">
        <v>23776.560000000027</v>
      </c>
      <c r="V7" s="1">
        <v>22363.020000000008</v>
      </c>
      <c r="W7" s="1">
        <v>19757.46000000001</v>
      </c>
      <c r="X7" s="102"/>
      <c r="Y7" s="102"/>
      <c r="Z7" s="102"/>
      <c r="AA7" s="102"/>
      <c r="AB7" s="102"/>
      <c r="AC7" s="102"/>
      <c r="AD7" s="1"/>
      <c r="AE7" s="88">
        <f t="shared" si="4"/>
        <v>0.89305982905982939</v>
      </c>
      <c r="AF7" s="88">
        <f t="shared" si="5"/>
        <v>0.9394882647171986</v>
      </c>
      <c r="AG7" s="88">
        <f t="shared" si="6"/>
        <v>1.0266364513018325</v>
      </c>
      <c r="AH7" s="88">
        <f t="shared" si="7"/>
        <v>0.97693154737447718</v>
      </c>
      <c r="AI7" s="88">
        <f t="shared" si="8"/>
        <v>1.1166992909218021</v>
      </c>
      <c r="AJ7" s="88">
        <f t="shared" si="9"/>
        <v>0.91554494902687722</v>
      </c>
      <c r="AK7" s="90">
        <f t="shared" si="10"/>
        <v>0</v>
      </c>
      <c r="AL7" s="90">
        <f t="shared" si="11"/>
        <v>0</v>
      </c>
      <c r="AM7" s="90">
        <f t="shared" si="12"/>
        <v>0</v>
      </c>
      <c r="AN7" s="90">
        <f t="shared" si="13"/>
        <v>0</v>
      </c>
      <c r="AO7" s="90">
        <f t="shared" si="14"/>
        <v>0</v>
      </c>
      <c r="AP7" s="90">
        <f t="shared" si="15"/>
        <v>0</v>
      </c>
      <c r="AQ7" s="88"/>
      <c r="AR7" s="90">
        <f t="shared" si="16"/>
        <v>0.8931</v>
      </c>
      <c r="AS7" s="90">
        <f t="shared" si="17"/>
        <v>0.9395</v>
      </c>
      <c r="AT7" s="90">
        <f t="shared" si="18"/>
        <v>1.0266</v>
      </c>
      <c r="AU7" s="90">
        <f t="shared" si="19"/>
        <v>0.97689999999999999</v>
      </c>
      <c r="AV7" s="90">
        <f t="shared" si="20"/>
        <v>1.1167</v>
      </c>
      <c r="AW7" s="90">
        <f t="shared" si="21"/>
        <v>0.91549999999999998</v>
      </c>
      <c r="AX7" s="90">
        <f t="shared" si="22"/>
        <v>0</v>
      </c>
      <c r="AY7" s="90">
        <f t="shared" si="23"/>
        <v>0</v>
      </c>
      <c r="AZ7" s="90">
        <f t="shared" si="24"/>
        <v>0</v>
      </c>
      <c r="BA7" s="90">
        <f t="shared" si="25"/>
        <v>0</v>
      </c>
      <c r="BB7" s="90">
        <f t="shared" si="26"/>
        <v>0</v>
      </c>
      <c r="BC7" s="90">
        <f t="shared" si="27"/>
        <v>0</v>
      </c>
      <c r="BD7" s="88"/>
      <c r="BE7" s="1">
        <f>IFERROR(VLOOKUP(AR7,'Top WS'!$A$19:$B$28,2),0)</f>
        <v>180</v>
      </c>
      <c r="BF7" s="1">
        <f>IFERROR(VLOOKUP(AS7,'Top WS'!$A$19:$B$28,2),0)</f>
        <v>190</v>
      </c>
      <c r="BG7" s="1">
        <f>IFERROR(VLOOKUP(AT7,'Top WS'!$A$19:$B$28,2),0)</f>
        <v>206</v>
      </c>
      <c r="BH7" s="1">
        <f>IFERROR(VLOOKUP(AU7,'Top WS'!$A$19:$B$28,2),0)</f>
        <v>200</v>
      </c>
      <c r="BI7" s="1">
        <f>IFERROR(VLOOKUP(AV7,'Top WS'!$A$19:$B$28,2),0)</f>
        <v>230</v>
      </c>
      <c r="BJ7" s="1">
        <f>IFERROR(VLOOKUP(AW7,'Top WS'!$A$19:$B$28,2),0)</f>
        <v>190</v>
      </c>
      <c r="BK7" s="89">
        <f>IFERROR(VLOOKUP(AX7,'Top WS'!$A$19:$B$28,2),0)</f>
        <v>180</v>
      </c>
      <c r="BL7" s="89">
        <f>IFERROR(VLOOKUP(AY7,'Top WS'!$A$19:$B$28,2),0)</f>
        <v>180</v>
      </c>
      <c r="BM7" s="89">
        <f>IFERROR(VLOOKUP(AZ7,'Top WS'!$A$19:$B$28,2),0)</f>
        <v>180</v>
      </c>
      <c r="BN7" s="89">
        <f>IFERROR(VLOOKUP(BA7,'Top WS'!$A$19:$B$28,2),0)</f>
        <v>180</v>
      </c>
      <c r="BO7" s="89">
        <f>IFERROR(VLOOKUP(BB7,'Top WS'!$A$19:$B$28,2),0)</f>
        <v>180</v>
      </c>
      <c r="BP7" s="89">
        <f>IFERROR(VLOOKUP(BC7,'Top WS'!$A$19:$B$28,2),0)</f>
        <v>180</v>
      </c>
    </row>
    <row r="8" spans="1:68" x14ac:dyDescent="0.4">
      <c r="A8">
        <v>1190011801</v>
      </c>
      <c r="B8">
        <f>VLOOKUP(A8,[1]Sheet2!$A$2:$C$409,2,0)</f>
        <v>28236</v>
      </c>
      <c r="C8" t="str">
        <f>VLOOKUP(A8,[1]Sheet2!$A$2:$C$409,3,0)</f>
        <v>นายประวิทย์ ธารีบุญ</v>
      </c>
      <c r="D8" t="s">
        <v>83</v>
      </c>
      <c r="E8" s="1">
        <v>3536.0630618291743</v>
      </c>
      <c r="F8" s="1">
        <v>4756.8364862020808</v>
      </c>
      <c r="G8" s="1">
        <v>5608.0459117374712</v>
      </c>
      <c r="H8" s="1">
        <v>4333.9476945586557</v>
      </c>
      <c r="I8" s="1">
        <v>5010.2120545034722</v>
      </c>
      <c r="J8" s="1">
        <v>5037.9012015753615</v>
      </c>
      <c r="K8" s="1">
        <v>3343.7625978346819</v>
      </c>
      <c r="L8" s="1">
        <v>6389.8999856358569</v>
      </c>
      <c r="M8" s="1">
        <v>4531.6800008017044</v>
      </c>
      <c r="N8" s="1">
        <v>5549.5542445975698</v>
      </c>
      <c r="O8" s="1">
        <v>5569.4930801684741</v>
      </c>
      <c r="P8" s="1">
        <v>5822.6036805553013</v>
      </c>
      <c r="R8" s="1" cm="1">
        <f t="array" ref="R8:W8">IFERROR(_xlfn.XLOOKUP(A8,'Actual_Aji Plus'!A:A,'Actual_Aji Plus'!C:H),0)</f>
        <v>2748.54</v>
      </c>
      <c r="S8" s="1">
        <v>4218.1200000000008</v>
      </c>
      <c r="T8" s="1">
        <v>3963.5400000000004</v>
      </c>
      <c r="U8" s="1">
        <v>4472.4599999999982</v>
      </c>
      <c r="V8" s="1">
        <v>4387.1399999999967</v>
      </c>
      <c r="W8" s="1">
        <v>3008.280000000002</v>
      </c>
      <c r="X8" s="102"/>
      <c r="Y8" s="102"/>
      <c r="Z8" s="102"/>
      <c r="AA8" s="102"/>
      <c r="AB8" s="102"/>
      <c r="AC8" s="102"/>
      <c r="AD8" s="1"/>
      <c r="AE8" s="88">
        <f t="shared" si="4"/>
        <v>0.77728817386480786</v>
      </c>
      <c r="AF8" s="88">
        <f t="shared" si="5"/>
        <v>0.88674900056692973</v>
      </c>
      <c r="AG8" s="88">
        <f t="shared" si="6"/>
        <v>0.70675954911575001</v>
      </c>
      <c r="AH8" s="88">
        <f t="shared" si="7"/>
        <v>1.0319598470501263</v>
      </c>
      <c r="AI8" s="88">
        <f t="shared" si="8"/>
        <v>0.87563958416821464</v>
      </c>
      <c r="AJ8" s="88">
        <f t="shared" si="9"/>
        <v>0.59712961402643372</v>
      </c>
      <c r="AK8" s="90">
        <f t="shared" si="10"/>
        <v>0</v>
      </c>
      <c r="AL8" s="90">
        <f t="shared" si="11"/>
        <v>0</v>
      </c>
      <c r="AM8" s="90">
        <f t="shared" si="12"/>
        <v>0</v>
      </c>
      <c r="AN8" s="90">
        <f t="shared" si="13"/>
        <v>0</v>
      </c>
      <c r="AO8" s="90">
        <f t="shared" si="14"/>
        <v>0</v>
      </c>
      <c r="AP8" s="90">
        <f t="shared" si="15"/>
        <v>0</v>
      </c>
      <c r="AQ8" s="88"/>
      <c r="AR8" s="90">
        <f t="shared" si="16"/>
        <v>0.77729999999999999</v>
      </c>
      <c r="AS8" s="90">
        <f t="shared" si="17"/>
        <v>0.88670000000000004</v>
      </c>
      <c r="AT8" s="90">
        <f t="shared" si="18"/>
        <v>0.70679999999999998</v>
      </c>
      <c r="AU8" s="90">
        <f t="shared" si="19"/>
        <v>1.032</v>
      </c>
      <c r="AV8" s="90">
        <f t="shared" si="20"/>
        <v>0.87560000000000004</v>
      </c>
      <c r="AW8" s="90">
        <f t="shared" si="21"/>
        <v>0.59709999999999996</v>
      </c>
      <c r="AX8" s="90">
        <f t="shared" si="22"/>
        <v>0</v>
      </c>
      <c r="AY8" s="90">
        <f t="shared" si="23"/>
        <v>0</v>
      </c>
      <c r="AZ8" s="90">
        <f t="shared" si="24"/>
        <v>0</v>
      </c>
      <c r="BA8" s="90">
        <f t="shared" si="25"/>
        <v>0</v>
      </c>
      <c r="BB8" s="90">
        <f t="shared" si="26"/>
        <v>0</v>
      </c>
      <c r="BC8" s="90">
        <f t="shared" si="27"/>
        <v>0</v>
      </c>
      <c r="BD8" s="88"/>
      <c r="BE8" s="1">
        <f>IFERROR(VLOOKUP(AR8,'Top WS'!$A$19:$B$28,2),0)</f>
        <v>180</v>
      </c>
      <c r="BF8" s="1">
        <f>IFERROR(VLOOKUP(AS8,'Top WS'!$A$19:$B$28,2),0)</f>
        <v>180</v>
      </c>
      <c r="BG8" s="1">
        <f>IFERROR(VLOOKUP(AT8,'Top WS'!$A$19:$B$28,2),0)</f>
        <v>180</v>
      </c>
      <c r="BH8" s="1">
        <f>IFERROR(VLOOKUP(AU8,'Top WS'!$A$19:$B$28,2),0)</f>
        <v>216</v>
      </c>
      <c r="BI8" s="1">
        <f>IFERROR(VLOOKUP(AV8,'Top WS'!$A$19:$B$28,2),0)</f>
        <v>180</v>
      </c>
      <c r="BJ8" s="1">
        <f>IFERROR(VLOOKUP(AW8,'Top WS'!$A$19:$B$28,2),0)</f>
        <v>180</v>
      </c>
      <c r="BK8" s="89">
        <f>IFERROR(VLOOKUP(AX8,'Top WS'!$A$19:$B$28,2),0)</f>
        <v>180</v>
      </c>
      <c r="BL8" s="89">
        <f>IFERROR(VLOOKUP(AY8,'Top WS'!$A$19:$B$28,2),0)</f>
        <v>180</v>
      </c>
      <c r="BM8" s="89">
        <f>IFERROR(VLOOKUP(AZ8,'Top WS'!$A$19:$B$28,2),0)</f>
        <v>180</v>
      </c>
      <c r="BN8" s="89">
        <f>IFERROR(VLOOKUP(BA8,'Top WS'!$A$19:$B$28,2),0)</f>
        <v>180</v>
      </c>
      <c r="BO8" s="89">
        <f>IFERROR(VLOOKUP(BB8,'Top WS'!$A$19:$B$28,2),0)</f>
        <v>180</v>
      </c>
      <c r="BP8" s="89">
        <f>IFERROR(VLOOKUP(BC8,'Top WS'!$A$19:$B$28,2),0)</f>
        <v>180</v>
      </c>
    </row>
    <row r="9" spans="1:68" x14ac:dyDescent="0.4">
      <c r="A9">
        <v>1190017001</v>
      </c>
      <c r="B9">
        <f>VLOOKUP(A9,[1]Sheet2!$A$2:$C$409,2,0)</f>
        <v>77683</v>
      </c>
      <c r="C9" s="104" t="str">
        <f>VLOOKUP(A9,[1]Sheet2!$A$2:$C$409,3,0)</f>
        <v>นายสุพัชธณคุณ ชลมงคล</v>
      </c>
      <c r="D9" t="s">
        <v>84</v>
      </c>
      <c r="E9" s="1">
        <v>31852.700048842922</v>
      </c>
      <c r="F9" s="1">
        <v>25349.909892248212</v>
      </c>
      <c r="G9" s="1">
        <v>22469.424401074681</v>
      </c>
      <c r="H9" s="1">
        <v>35484.175105822163</v>
      </c>
      <c r="I9" s="1">
        <v>25389.539084338267</v>
      </c>
      <c r="J9" s="1">
        <v>30544.936709871257</v>
      </c>
      <c r="K9" s="1">
        <v>18762.621127725946</v>
      </c>
      <c r="L9" s="1">
        <v>36541.062732884922</v>
      </c>
      <c r="M9" s="1">
        <v>24354.267380233709</v>
      </c>
      <c r="N9" s="1">
        <v>27179.730522059082</v>
      </c>
      <c r="O9" s="1">
        <v>29943.621034851982</v>
      </c>
      <c r="P9" s="1">
        <v>12733.088678322321</v>
      </c>
      <c r="R9" s="1" cm="1">
        <f t="array" ref="R9:W9">IFERROR(_xlfn.XLOOKUP(A9,'Actual_Aji Plus'!A:A,'Actual_Aji Plus'!C:H),0)</f>
        <v>22183.260000000006</v>
      </c>
      <c r="S9" s="1">
        <v>22958.459999999985</v>
      </c>
      <c r="T9" s="1">
        <v>24229.500000000007</v>
      </c>
      <c r="U9" s="1">
        <v>26343</v>
      </c>
      <c r="V9" s="1">
        <v>22603.800000000014</v>
      </c>
      <c r="W9" s="1">
        <v>23135.7</v>
      </c>
      <c r="X9" s="102"/>
      <c r="Y9" s="102"/>
      <c r="Z9" s="102"/>
      <c r="AA9" s="102"/>
      <c r="AB9" s="102"/>
      <c r="AC9" s="102"/>
      <c r="AD9" s="1"/>
      <c r="AE9" s="88">
        <f t="shared" si="4"/>
        <v>0.69643264043500863</v>
      </c>
      <c r="AF9" s="88">
        <f t="shared" si="5"/>
        <v>0.90566239081664301</v>
      </c>
      <c r="AG9" s="88">
        <f t="shared" si="6"/>
        <v>1.0783320287831291</v>
      </c>
      <c r="AH9" s="88">
        <f t="shared" si="7"/>
        <v>0.74238727324050713</v>
      </c>
      <c r="AI9" s="88">
        <f t="shared" si="8"/>
        <v>0.89028004505774361</v>
      </c>
      <c r="AJ9" s="88">
        <f t="shared" si="9"/>
        <v>0.75743159070037291</v>
      </c>
      <c r="AK9" s="90">
        <f t="shared" si="10"/>
        <v>0</v>
      </c>
      <c r="AL9" s="90">
        <f t="shared" si="11"/>
        <v>0</v>
      </c>
      <c r="AM9" s="90">
        <f t="shared" si="12"/>
        <v>0</v>
      </c>
      <c r="AN9" s="90">
        <f t="shared" si="13"/>
        <v>0</v>
      </c>
      <c r="AO9" s="90">
        <f t="shared" si="14"/>
        <v>0</v>
      </c>
      <c r="AP9" s="90">
        <f t="shared" si="15"/>
        <v>0</v>
      </c>
      <c r="AQ9" s="88"/>
      <c r="AR9" s="90">
        <f t="shared" si="16"/>
        <v>0.69640000000000002</v>
      </c>
      <c r="AS9" s="90">
        <f t="shared" si="17"/>
        <v>0.90569999999999995</v>
      </c>
      <c r="AT9" s="90">
        <f t="shared" si="18"/>
        <v>1.0783</v>
      </c>
      <c r="AU9" s="90">
        <f t="shared" si="19"/>
        <v>0.74239999999999995</v>
      </c>
      <c r="AV9" s="90">
        <f t="shared" si="20"/>
        <v>0.89029999999999998</v>
      </c>
      <c r="AW9" s="90">
        <f t="shared" si="21"/>
        <v>0.75739999999999996</v>
      </c>
      <c r="AX9" s="90">
        <f t="shared" si="22"/>
        <v>0</v>
      </c>
      <c r="AY9" s="90">
        <f t="shared" si="23"/>
        <v>0</v>
      </c>
      <c r="AZ9" s="90">
        <f t="shared" si="24"/>
        <v>0</v>
      </c>
      <c r="BA9" s="90">
        <f t="shared" si="25"/>
        <v>0</v>
      </c>
      <c r="BB9" s="90">
        <f t="shared" si="26"/>
        <v>0</v>
      </c>
      <c r="BC9" s="90">
        <f t="shared" si="27"/>
        <v>0</v>
      </c>
      <c r="BD9" s="88"/>
      <c r="BE9" s="108">
        <f>IFERROR(VLOOKUP(AR9,'Top WS'!$A$19:$B$28,2),0)</f>
        <v>180</v>
      </c>
      <c r="BF9" s="108">
        <f>IFERROR(VLOOKUP(AS9,'Top WS'!$A$19:$B$28,2),0)</f>
        <v>190</v>
      </c>
      <c r="BG9" s="108">
        <f>IFERROR(VLOOKUP(AT9,'Top WS'!$A$19:$B$28,2),0)</f>
        <v>220</v>
      </c>
      <c r="BH9" s="108">
        <f>IFERROR(VLOOKUP(AU9,'Top WS'!$A$19:$B$28,2),0)</f>
        <v>180</v>
      </c>
      <c r="BI9" s="108">
        <f>IFERROR(VLOOKUP(AV9,'Top WS'!$A$19:$B$28,2),0)</f>
        <v>180</v>
      </c>
      <c r="BJ9" s="108">
        <f>IFERROR(VLOOKUP(AW9,'Top WS'!$A$19:$B$28,2),0)</f>
        <v>180</v>
      </c>
      <c r="BK9" s="108">
        <f>IFERROR(VLOOKUP(AX9,'Top WS'!$A$19:$B$28,2),0)</f>
        <v>180</v>
      </c>
      <c r="BL9" s="108">
        <f>IFERROR(VLOOKUP(AY9,'Top WS'!$A$19:$B$28,2),0)</f>
        <v>180</v>
      </c>
      <c r="BM9" s="108">
        <f>IFERROR(VLOOKUP(AZ9,'Top WS'!$A$19:$B$28,2),0)</f>
        <v>180</v>
      </c>
      <c r="BN9" s="108">
        <f>IFERROR(VLOOKUP(BA9,'Top WS'!$A$19:$B$28,2),0)</f>
        <v>180</v>
      </c>
      <c r="BO9" s="108">
        <f>IFERROR(VLOOKUP(BB9,'Top WS'!$A$19:$B$28,2),0)</f>
        <v>180</v>
      </c>
      <c r="BP9" s="108">
        <f>IFERROR(VLOOKUP(BC9,'Top WS'!$A$19:$B$28,2),0)</f>
        <v>180</v>
      </c>
    </row>
    <row r="10" spans="1:68" x14ac:dyDescent="0.4">
      <c r="A10">
        <v>1190017013</v>
      </c>
      <c r="B10">
        <f>VLOOKUP(A10,[1]Sheet2!$A$2:$C$409,2,0)</f>
        <v>76289</v>
      </c>
      <c r="C10" s="106" t="str">
        <f>VLOOKUP(A10,[1]Sheet2!$A$2:$C$409,3,0)</f>
        <v>นายเธียรกวิน ใจผ่อง</v>
      </c>
      <c r="D10" t="s">
        <v>84</v>
      </c>
      <c r="E10" s="1">
        <v>2598.7511106889815</v>
      </c>
      <c r="F10" s="1">
        <v>2068.2110586332765</v>
      </c>
      <c r="G10" s="1">
        <v>1833.2022569294277</v>
      </c>
      <c r="H10" s="1">
        <v>2895.0305414214781</v>
      </c>
      <c r="I10" s="1">
        <v>2071.4442667067465</v>
      </c>
      <c r="J10" s="1">
        <v>2492.0552442644835</v>
      </c>
      <c r="K10" s="1">
        <v>1530.777058784553</v>
      </c>
      <c r="L10" s="1">
        <v>2981.258330289962</v>
      </c>
      <c r="M10" s="1">
        <v>1986.9800458783361</v>
      </c>
      <c r="N10" s="1">
        <v>2217.4997652983607</v>
      </c>
      <c r="O10" s="1">
        <v>2442.995987876961</v>
      </c>
      <c r="P10" s="1">
        <v>1038.8484585153233</v>
      </c>
      <c r="R10" s="1" cm="1">
        <f t="array" ref="R10:W10">IFERROR(_xlfn.XLOOKUP(A10,'Actual_Aji Plus'!A:A,'Actual_Aji Plus'!C:H),0)</f>
        <v>2255.0999999999995</v>
      </c>
      <c r="S10" s="1">
        <v>2557.7400000000002</v>
      </c>
      <c r="T10" s="1">
        <v>3865.0800000000013</v>
      </c>
      <c r="U10" s="1">
        <v>4281.1799999999994</v>
      </c>
      <c r="V10" s="1">
        <v>5183.4599999999991</v>
      </c>
      <c r="W10" s="1">
        <v>5019.6000000000004</v>
      </c>
      <c r="X10" s="102"/>
      <c r="Y10" s="102"/>
      <c r="Z10" s="102"/>
      <c r="AA10" s="102"/>
      <c r="AB10" s="102"/>
      <c r="AC10" s="102"/>
      <c r="AD10" s="1"/>
      <c r="AE10" s="88">
        <f t="shared" si="4"/>
        <v>0.86776297688705051</v>
      </c>
      <c r="AF10" s="88">
        <f t="shared" si="5"/>
        <v>1.2366919659013023</v>
      </c>
      <c r="AG10" s="88">
        <f t="shared" si="6"/>
        <v>2.108376195474428</v>
      </c>
      <c r="AH10" s="88">
        <f t="shared" si="7"/>
        <v>1.4788030519007627</v>
      </c>
      <c r="AI10" s="88">
        <f t="shared" si="8"/>
        <v>2.5023410396847621</v>
      </c>
      <c r="AJ10" s="88">
        <f t="shared" si="9"/>
        <v>2.0142410612897579</v>
      </c>
      <c r="AK10" s="90">
        <f t="shared" si="10"/>
        <v>0</v>
      </c>
      <c r="AL10" s="90">
        <f t="shared" si="11"/>
        <v>0</v>
      </c>
      <c r="AM10" s="90">
        <f t="shared" si="12"/>
        <v>0</v>
      </c>
      <c r="AN10" s="90">
        <f t="shared" si="13"/>
        <v>0</v>
      </c>
      <c r="AO10" s="90">
        <f t="shared" si="14"/>
        <v>0</v>
      </c>
      <c r="AP10" s="90">
        <f t="shared" si="15"/>
        <v>0</v>
      </c>
      <c r="AQ10" s="88"/>
      <c r="AR10" s="90">
        <f t="shared" si="16"/>
        <v>0.86780000000000002</v>
      </c>
      <c r="AS10" s="90">
        <f t="shared" si="17"/>
        <v>1.2366999999999999</v>
      </c>
      <c r="AT10" s="90">
        <f t="shared" si="18"/>
        <v>2.1084000000000001</v>
      </c>
      <c r="AU10" s="90">
        <f t="shared" si="19"/>
        <v>1.4787999999999999</v>
      </c>
      <c r="AV10" s="90">
        <f t="shared" si="20"/>
        <v>2.5023</v>
      </c>
      <c r="AW10" s="90">
        <f t="shared" si="21"/>
        <v>2.0142000000000002</v>
      </c>
      <c r="AX10" s="90">
        <f t="shared" si="22"/>
        <v>0</v>
      </c>
      <c r="AY10" s="90">
        <f t="shared" si="23"/>
        <v>0</v>
      </c>
      <c r="AZ10" s="90">
        <f t="shared" si="24"/>
        <v>0</v>
      </c>
      <c r="BA10" s="90">
        <f t="shared" si="25"/>
        <v>0</v>
      </c>
      <c r="BB10" s="90">
        <f t="shared" si="26"/>
        <v>0</v>
      </c>
      <c r="BC10" s="90">
        <f t="shared" si="27"/>
        <v>0</v>
      </c>
      <c r="BD10" s="88"/>
      <c r="BE10" s="110">
        <f>IFERROR(VLOOKUP(AR10,' WS SF'!$A$19:$B$28,2),0)</f>
        <v>157.5</v>
      </c>
      <c r="BF10" s="110">
        <f>IFERROR(VLOOKUP(AS10,' WS SF'!$A$19:$B$28,2),0)</f>
        <v>227.5</v>
      </c>
      <c r="BG10" s="110">
        <f>IFERROR(VLOOKUP(AT10,' WS SF'!$A$19:$B$28,2),0)</f>
        <v>227.5</v>
      </c>
      <c r="BH10" s="110">
        <f>IFERROR(VLOOKUP(AU10,' WS SF'!$A$19:$B$28,2),0)</f>
        <v>227.5</v>
      </c>
      <c r="BI10" s="110">
        <f>IFERROR(VLOOKUP(AV10,' WS SF'!$A$19:$B$28,2),0)</f>
        <v>227.5</v>
      </c>
      <c r="BJ10" s="110">
        <f>IFERROR(VLOOKUP(AW10,' WS SF'!$A$19:$B$28,2),0)</f>
        <v>227.5</v>
      </c>
      <c r="BK10" s="110">
        <f>IFERROR(VLOOKUP(AX10,' WS SF'!$A$19:$B$28,2),0)</f>
        <v>157.5</v>
      </c>
      <c r="BL10" s="110">
        <f>IFERROR(VLOOKUP(AY10,' WS SF'!$A$19:$B$28,2),0)</f>
        <v>157.5</v>
      </c>
      <c r="BM10" s="110">
        <f>IFERROR(VLOOKUP(AZ10,' WS SF'!$A$19:$B$28,2),0)</f>
        <v>157.5</v>
      </c>
      <c r="BN10" s="110">
        <f>IFERROR(VLOOKUP(BA10,' WS SF'!$A$19:$B$28,2),0)</f>
        <v>157.5</v>
      </c>
      <c r="BO10" s="110">
        <f>IFERROR(VLOOKUP(BB10,' WS SF'!$A$19:$B$28,2),0)</f>
        <v>157.5</v>
      </c>
      <c r="BP10" s="110">
        <f>IFERROR(VLOOKUP(BC10,' WS SF'!$A$19:$B$28,2),0)</f>
        <v>157.5</v>
      </c>
    </row>
    <row r="11" spans="1:68" x14ac:dyDescent="0.4">
      <c r="A11">
        <v>1190017014</v>
      </c>
      <c r="B11">
        <f>VLOOKUP(A11,[1]Sheet2!$A$2:$C$409,2,0)</f>
        <v>63668</v>
      </c>
      <c r="C11" s="107" t="str">
        <f>VLOOKUP(A11,[1]Sheet2!$A$2:$C$409,3,0)</f>
        <v>นายมานพ สุขเจริญ</v>
      </c>
      <c r="D11" t="s">
        <v>84</v>
      </c>
      <c r="E11" s="1">
        <v>2356.4136281645287</v>
      </c>
      <c r="F11" s="1">
        <v>1875.3472406181911</v>
      </c>
      <c r="G11" s="1">
        <v>1662.2533661044645</v>
      </c>
      <c r="H11" s="1">
        <v>2625.0645526225421</v>
      </c>
      <c r="I11" s="1">
        <v>1878.2789471350941</v>
      </c>
      <c r="J11" s="1">
        <v>2259.6673131067346</v>
      </c>
      <c r="K11" s="1">
        <v>1388.02977636639</v>
      </c>
      <c r="L11" s="1">
        <v>2703.2514693997782</v>
      </c>
      <c r="M11" s="1">
        <v>1801.6911430034406</v>
      </c>
      <c r="N11" s="1">
        <v>2010.7145489647739</v>
      </c>
      <c r="O11" s="1">
        <v>2215.1829067841427</v>
      </c>
      <c r="P11" s="1">
        <v>941.97426416653582</v>
      </c>
      <c r="R11" s="1" cm="1">
        <f t="array" ref="R11:W11">IFERROR(_xlfn.XLOOKUP(A11,'Actual_Aji Plus'!A:A,'Actual_Aji Plus'!C:H),0)</f>
        <v>302.39999999999998</v>
      </c>
      <c r="S11" s="1">
        <v>302.39999999999998</v>
      </c>
      <c r="T11" s="1">
        <v>317.39999999999998</v>
      </c>
      <c r="U11" s="1">
        <v>403.2</v>
      </c>
      <c r="V11" s="1">
        <v>302.39999999999998</v>
      </c>
      <c r="W11" s="1">
        <v>100.8</v>
      </c>
      <c r="X11" s="102"/>
      <c r="Y11" s="102"/>
      <c r="Z11" s="102"/>
      <c r="AA11" s="102"/>
      <c r="AB11" s="102"/>
      <c r="AC11" s="102"/>
      <c r="AD11" s="1"/>
      <c r="AE11" s="88">
        <f t="shared" si="4"/>
        <v>0.12833061071521096</v>
      </c>
      <c r="AF11" s="88">
        <f t="shared" si="5"/>
        <v>0.16125013728141172</v>
      </c>
      <c r="AG11" s="88">
        <f t="shared" si="6"/>
        <v>0.19094562024791409</v>
      </c>
      <c r="AH11" s="88">
        <f t="shared" si="7"/>
        <v>0.15359622284228683</v>
      </c>
      <c r="AI11" s="88">
        <f t="shared" si="8"/>
        <v>0.1609984504491441</v>
      </c>
      <c r="AJ11" s="88">
        <f t="shared" si="9"/>
        <v>4.4608336552611247E-2</v>
      </c>
      <c r="AK11" s="90">
        <f t="shared" si="10"/>
        <v>0</v>
      </c>
      <c r="AL11" s="90">
        <f t="shared" si="11"/>
        <v>0</v>
      </c>
      <c r="AM11" s="90">
        <f t="shared" si="12"/>
        <v>0</v>
      </c>
      <c r="AN11" s="90">
        <f t="shared" si="13"/>
        <v>0</v>
      </c>
      <c r="AO11" s="90">
        <f t="shared" si="14"/>
        <v>0</v>
      </c>
      <c r="AP11" s="90">
        <f t="shared" si="15"/>
        <v>0</v>
      </c>
      <c r="AQ11" s="88"/>
      <c r="AR11" s="90">
        <f t="shared" si="16"/>
        <v>0.1283</v>
      </c>
      <c r="AS11" s="90">
        <f t="shared" si="17"/>
        <v>0.1613</v>
      </c>
      <c r="AT11" s="90">
        <f t="shared" si="18"/>
        <v>0.19089999999999999</v>
      </c>
      <c r="AU11" s="90">
        <f t="shared" si="19"/>
        <v>0.15359999999999999</v>
      </c>
      <c r="AV11" s="90">
        <f t="shared" si="20"/>
        <v>0.161</v>
      </c>
      <c r="AW11" s="90">
        <f t="shared" si="21"/>
        <v>4.4600000000000001E-2</v>
      </c>
      <c r="AX11" s="90">
        <f t="shared" si="22"/>
        <v>0</v>
      </c>
      <c r="AY11" s="90">
        <f t="shared" si="23"/>
        <v>0</v>
      </c>
      <c r="AZ11" s="90">
        <f t="shared" si="24"/>
        <v>0</v>
      </c>
      <c r="BA11" s="90">
        <f t="shared" si="25"/>
        <v>0</v>
      </c>
      <c r="BB11" s="90">
        <f t="shared" si="26"/>
        <v>0</v>
      </c>
      <c r="BC11" s="90">
        <f t="shared" si="27"/>
        <v>0</v>
      </c>
      <c r="BD11" s="88"/>
      <c r="BE11" s="111">
        <f>IFERROR(VLOOKUP(AR11,'WS WH'!$A$19:$B$28,2),0)</f>
        <v>157.5</v>
      </c>
      <c r="BF11" s="111">
        <f>IFERROR(VLOOKUP(AS11,'WS WH'!$A$19:$B$28,2),0)</f>
        <v>157.5</v>
      </c>
      <c r="BG11" s="111">
        <f>IFERROR(VLOOKUP(AT11,'WS WH'!$A$19:$B$28,2),0)</f>
        <v>157.5</v>
      </c>
      <c r="BH11" s="111">
        <f>IFERROR(VLOOKUP(AU11,'WS WH'!$A$19:$B$28,2),0)</f>
        <v>157.5</v>
      </c>
      <c r="BI11" s="111">
        <f>IFERROR(VLOOKUP(AV11,'WS WH'!$A$19:$B$28,2),0)</f>
        <v>157.5</v>
      </c>
      <c r="BJ11" s="111">
        <f>IFERROR(VLOOKUP(AW11,'WS WH'!$A$19:$B$28,2),0)</f>
        <v>157.5</v>
      </c>
      <c r="BK11" s="111">
        <f>IFERROR(VLOOKUP(AX11,'WS WH'!$A$19:$B$28,2),0)</f>
        <v>157.5</v>
      </c>
      <c r="BL11" s="111">
        <f>IFERROR(VLOOKUP(AY11,'WS WH'!$A$19:$B$28,2),0)</f>
        <v>157.5</v>
      </c>
      <c r="BM11" s="111">
        <f>IFERROR(VLOOKUP(AZ11,'WS WH'!$A$19:$B$28,2),0)</f>
        <v>157.5</v>
      </c>
      <c r="BN11" s="111">
        <f>IFERROR(VLOOKUP(BA11,'WS WH'!$A$19:$B$28,2),0)</f>
        <v>157.5</v>
      </c>
      <c r="BO11" s="111">
        <f>IFERROR(VLOOKUP(BB11,'WS WH'!$A$19:$B$28,2),0)</f>
        <v>157.5</v>
      </c>
      <c r="BP11" s="111">
        <f>IFERROR(VLOOKUP(BC11,'WS WH'!$A$19:$B$28,2),0)</f>
        <v>157.5</v>
      </c>
    </row>
    <row r="12" spans="1:68" x14ac:dyDescent="0.4">
      <c r="A12">
        <v>1190021901</v>
      </c>
      <c r="B12">
        <f>VLOOKUP(A12,[1]Sheet2!$A$2:$C$409,2,0)</f>
        <v>76043</v>
      </c>
      <c r="C12" t="str">
        <f>VLOOKUP(A12,[1]Sheet2!$A$2:$C$409,3,0)</f>
        <v>นายธนรัตน์ บัวสอด</v>
      </c>
      <c r="D12" t="s">
        <v>85</v>
      </c>
      <c r="E12" s="1">
        <v>5407.9953929690901</v>
      </c>
      <c r="F12" s="1">
        <v>4501.4980036930801</v>
      </c>
      <c r="G12" s="1">
        <v>4496.2859694568833</v>
      </c>
      <c r="H12" s="1">
        <v>4312.4767838118614</v>
      </c>
      <c r="I12" s="1">
        <v>2385.0438622476895</v>
      </c>
      <c r="J12" s="1">
        <v>4254.0396825658008</v>
      </c>
      <c r="K12" s="1">
        <v>3862.2590003872979</v>
      </c>
      <c r="L12" s="1">
        <v>5231.6926696751107</v>
      </c>
      <c r="M12" s="1">
        <v>2895.2283656615436</v>
      </c>
      <c r="N12" s="1">
        <v>4748.7297146361789</v>
      </c>
      <c r="O12" s="1">
        <v>4737.1159426968261</v>
      </c>
      <c r="P12" s="1">
        <v>4802.6346121985871</v>
      </c>
      <c r="R12" s="1" cm="1">
        <f t="array" ref="R12:W12">IFERROR(_xlfn.XLOOKUP(A12,'Actual_Aji Plus'!A:A,'Actual_Aji Plus'!C:H),0)</f>
        <v>4159.9800000000014</v>
      </c>
      <c r="S12" s="1">
        <v>4873.079999999999</v>
      </c>
      <c r="T12" s="1">
        <v>4888.8000000000011</v>
      </c>
      <c r="U12" s="1">
        <v>6105.6599999999989</v>
      </c>
      <c r="V12" s="1">
        <v>4719.5400000000009</v>
      </c>
      <c r="W12" s="1">
        <v>4298.5200000000013</v>
      </c>
      <c r="X12" s="102"/>
      <c r="Y12" s="102"/>
      <c r="Z12" s="102"/>
      <c r="AA12" s="102"/>
      <c r="AB12" s="102"/>
      <c r="AC12" s="102"/>
      <c r="AD12" s="1"/>
      <c r="AE12" s="88">
        <f t="shared" si="4"/>
        <v>0.7692277263047177</v>
      </c>
      <c r="AF12" s="88">
        <f t="shared" si="5"/>
        <v>1.0825462981438776</v>
      </c>
      <c r="AG12" s="88">
        <f t="shared" si="6"/>
        <v>1.0872973901592231</v>
      </c>
      <c r="AH12" s="88">
        <f t="shared" si="7"/>
        <v>1.4158128393686369</v>
      </c>
      <c r="AI12" s="88">
        <f t="shared" si="8"/>
        <v>1.9788063753059277</v>
      </c>
      <c r="AJ12" s="88">
        <f t="shared" si="9"/>
        <v>1.0104560184561731</v>
      </c>
      <c r="AK12" s="90">
        <f t="shared" si="10"/>
        <v>0</v>
      </c>
      <c r="AL12" s="90">
        <f t="shared" si="11"/>
        <v>0</v>
      </c>
      <c r="AM12" s="90">
        <f t="shared" si="12"/>
        <v>0</v>
      </c>
      <c r="AN12" s="90">
        <f t="shared" si="13"/>
        <v>0</v>
      </c>
      <c r="AO12" s="90">
        <f t="shared" si="14"/>
        <v>0</v>
      </c>
      <c r="AP12" s="90">
        <f t="shared" si="15"/>
        <v>0</v>
      </c>
      <c r="AQ12" s="88"/>
      <c r="AR12" s="90">
        <f t="shared" si="16"/>
        <v>0.76919999999999999</v>
      </c>
      <c r="AS12" s="90">
        <f t="shared" si="17"/>
        <v>1.0825</v>
      </c>
      <c r="AT12" s="90">
        <f t="shared" si="18"/>
        <v>1.0872999999999999</v>
      </c>
      <c r="AU12" s="90">
        <f t="shared" si="19"/>
        <v>1.4157999999999999</v>
      </c>
      <c r="AV12" s="90">
        <f t="shared" si="20"/>
        <v>1.9787999999999999</v>
      </c>
      <c r="AW12" s="90">
        <f t="shared" si="21"/>
        <v>1.0105</v>
      </c>
      <c r="AX12" s="90">
        <f t="shared" si="22"/>
        <v>0</v>
      </c>
      <c r="AY12" s="90">
        <f t="shared" si="23"/>
        <v>0</v>
      </c>
      <c r="AZ12" s="90">
        <f t="shared" si="24"/>
        <v>0</v>
      </c>
      <c r="BA12" s="90">
        <f t="shared" si="25"/>
        <v>0</v>
      </c>
      <c r="BB12" s="90">
        <f t="shared" si="26"/>
        <v>0</v>
      </c>
      <c r="BC12" s="90">
        <f t="shared" si="27"/>
        <v>0</v>
      </c>
      <c r="BD12" s="88"/>
      <c r="BE12" s="1">
        <f>IFERROR(VLOOKUP(AR12,'Top WS'!$A$19:$B$28,2),0)</f>
        <v>180</v>
      </c>
      <c r="BF12" s="1">
        <f>IFERROR(VLOOKUP(AS12,'Top WS'!$A$19:$B$28,2),0)</f>
        <v>220</v>
      </c>
      <c r="BG12" s="1">
        <f>IFERROR(VLOOKUP(AT12,'Top WS'!$A$19:$B$28,2),0)</f>
        <v>220</v>
      </c>
      <c r="BH12" s="1">
        <f>IFERROR(VLOOKUP(AU12,'Top WS'!$A$19:$B$28,2),0)</f>
        <v>260</v>
      </c>
      <c r="BI12" s="1">
        <f>IFERROR(VLOOKUP(AV12,'Top WS'!$A$19:$B$28,2),0)</f>
        <v>260</v>
      </c>
      <c r="BJ12" s="1">
        <f>IFERROR(VLOOKUP(AW12,'Top WS'!$A$19:$B$28,2),0)</f>
        <v>206</v>
      </c>
      <c r="BK12" s="89">
        <f>IFERROR(VLOOKUP(AX12,'Top WS'!$A$19:$B$28,2),0)</f>
        <v>180</v>
      </c>
      <c r="BL12" s="89">
        <f>IFERROR(VLOOKUP(AY12,'Top WS'!$A$19:$B$28,2),0)</f>
        <v>180</v>
      </c>
      <c r="BM12" s="89">
        <f>IFERROR(VLOOKUP(AZ12,'Top WS'!$A$19:$B$28,2),0)</f>
        <v>180</v>
      </c>
      <c r="BN12" s="89">
        <f>IFERROR(VLOOKUP(BA12,'Top WS'!$A$19:$B$28,2),0)</f>
        <v>180</v>
      </c>
      <c r="BO12" s="89">
        <f>IFERROR(VLOOKUP(BB12,'Top WS'!$A$19:$B$28,2),0)</f>
        <v>180</v>
      </c>
      <c r="BP12" s="89">
        <f>IFERROR(VLOOKUP(BC12,'Top WS'!$A$19:$B$28,2),0)</f>
        <v>180</v>
      </c>
    </row>
    <row r="13" spans="1:68" x14ac:dyDescent="0.4">
      <c r="A13">
        <v>1190021902</v>
      </c>
      <c r="B13">
        <f>VLOOKUP(A13,[1]Sheet2!$A$2:$C$409,2,0)</f>
        <v>75835</v>
      </c>
      <c r="C13" t="str">
        <f>VLOOKUP(A13,[1]Sheet2!$A$2:$C$409,3,0)</f>
        <v>นายอนุวัฒน์ บุญจง</v>
      </c>
      <c r="D13" t="s">
        <v>85</v>
      </c>
      <c r="E13" s="1">
        <v>2304.6952381579322</v>
      </c>
      <c r="F13" s="1">
        <v>1918.3783009831748</v>
      </c>
      <c r="G13" s="1">
        <v>1916.157117418393</v>
      </c>
      <c r="H13" s="1">
        <v>1837.8241818104002</v>
      </c>
      <c r="I13" s="1">
        <v>1016.4208422341513</v>
      </c>
      <c r="J13" s="1">
        <v>1812.9203682552618</v>
      </c>
      <c r="K13" s="1">
        <v>1645.9573797525418</v>
      </c>
      <c r="L13" s="1">
        <v>2229.5612897492169</v>
      </c>
      <c r="M13" s="1">
        <v>1233.8433269368118</v>
      </c>
      <c r="N13" s="1">
        <v>2023.7396605126196</v>
      </c>
      <c r="O13" s="1">
        <v>2018.7902840910942</v>
      </c>
      <c r="P13" s="1">
        <v>2046.7120100983814</v>
      </c>
      <c r="R13" s="1" cm="1">
        <f t="array" ref="R13:W13">IFERROR(_xlfn.XLOOKUP(A13,'Actual_Aji Plus'!A:A,'Actual_Aji Plus'!C:H),0)</f>
        <v>1421.2800000000002</v>
      </c>
      <c r="S13" s="1">
        <v>151.19999999999999</v>
      </c>
      <c r="T13" s="1">
        <v>461.1</v>
      </c>
      <c r="U13" s="1">
        <v>259.5</v>
      </c>
      <c r="V13" s="1">
        <v>151.19999999999999</v>
      </c>
      <c r="W13" s="1">
        <v>639.95999999999992</v>
      </c>
      <c r="X13" s="102"/>
      <c r="Y13" s="102"/>
      <c r="Z13" s="102"/>
      <c r="AA13" s="102"/>
      <c r="AB13" s="102"/>
      <c r="AC13" s="102"/>
      <c r="AD13" s="1"/>
      <c r="AE13" s="88">
        <f t="shared" si="4"/>
        <v>0.61668891247242863</v>
      </c>
      <c r="AF13" s="88">
        <f t="shared" si="5"/>
        <v>7.8816571227119034E-2</v>
      </c>
      <c r="AG13" s="88">
        <f t="shared" si="6"/>
        <v>0.24063788705449815</v>
      </c>
      <c r="AH13" s="88">
        <f t="shared" si="7"/>
        <v>0.14119957859318852</v>
      </c>
      <c r="AI13" s="88">
        <f t="shared" si="8"/>
        <v>0.14875728017112844</v>
      </c>
      <c r="AJ13" s="88">
        <f t="shared" si="9"/>
        <v>0.35299950908262545</v>
      </c>
      <c r="AK13" s="90">
        <f t="shared" si="10"/>
        <v>0</v>
      </c>
      <c r="AL13" s="90">
        <f t="shared" si="11"/>
        <v>0</v>
      </c>
      <c r="AM13" s="90">
        <f t="shared" si="12"/>
        <v>0</v>
      </c>
      <c r="AN13" s="90">
        <f t="shared" si="13"/>
        <v>0</v>
      </c>
      <c r="AO13" s="90">
        <f t="shared" si="14"/>
        <v>0</v>
      </c>
      <c r="AP13" s="90">
        <f t="shared" si="15"/>
        <v>0</v>
      </c>
      <c r="AQ13" s="88"/>
      <c r="AR13" s="90">
        <f t="shared" si="16"/>
        <v>0.61670000000000003</v>
      </c>
      <c r="AS13" s="90">
        <f t="shared" si="17"/>
        <v>7.8799999999999995E-2</v>
      </c>
      <c r="AT13" s="90">
        <f t="shared" si="18"/>
        <v>0.24060000000000001</v>
      </c>
      <c r="AU13" s="90">
        <f t="shared" si="19"/>
        <v>0.14119999999999999</v>
      </c>
      <c r="AV13" s="90">
        <f t="shared" si="20"/>
        <v>0.14879999999999999</v>
      </c>
      <c r="AW13" s="90">
        <f t="shared" si="21"/>
        <v>0.35299999999999998</v>
      </c>
      <c r="AX13" s="90">
        <f t="shared" si="22"/>
        <v>0</v>
      </c>
      <c r="AY13" s="90">
        <f t="shared" si="23"/>
        <v>0</v>
      </c>
      <c r="AZ13" s="90">
        <f t="shared" si="24"/>
        <v>0</v>
      </c>
      <c r="BA13" s="90">
        <f t="shared" si="25"/>
        <v>0</v>
      </c>
      <c r="BB13" s="90">
        <f t="shared" si="26"/>
        <v>0</v>
      </c>
      <c r="BC13" s="90">
        <f t="shared" si="27"/>
        <v>0</v>
      </c>
      <c r="BD13" s="88"/>
      <c r="BE13" s="1">
        <f>IFERROR(VLOOKUP(AR13,'Top WS'!$A$19:$B$28,2),0)</f>
        <v>180</v>
      </c>
      <c r="BF13" s="1">
        <f>IFERROR(VLOOKUP(AS13,'Top WS'!$A$19:$B$28,2),0)</f>
        <v>180</v>
      </c>
      <c r="BG13" s="1">
        <f>IFERROR(VLOOKUP(AT13,'Top WS'!$A$19:$B$28,2),0)</f>
        <v>180</v>
      </c>
      <c r="BH13" s="1">
        <f>IFERROR(VLOOKUP(AU13,'Top WS'!$A$19:$B$28,2),0)</f>
        <v>180</v>
      </c>
      <c r="BI13" s="1">
        <f>IFERROR(VLOOKUP(AV13,'Top WS'!$A$19:$B$28,2),0)</f>
        <v>180</v>
      </c>
      <c r="BJ13" s="1">
        <f>IFERROR(VLOOKUP(AW13,'Top WS'!$A$19:$B$28,2),0)</f>
        <v>180</v>
      </c>
      <c r="BK13" s="89">
        <f>IFERROR(VLOOKUP(AX13,'Top WS'!$A$19:$B$28,2),0)</f>
        <v>180</v>
      </c>
      <c r="BL13" s="89">
        <f>IFERROR(VLOOKUP(AY13,'Top WS'!$A$19:$B$28,2),0)</f>
        <v>180</v>
      </c>
      <c r="BM13" s="89">
        <f>IFERROR(VLOOKUP(AZ13,'Top WS'!$A$19:$B$28,2),0)</f>
        <v>180</v>
      </c>
      <c r="BN13" s="89">
        <f>IFERROR(VLOOKUP(BA13,'Top WS'!$A$19:$B$28,2),0)</f>
        <v>180</v>
      </c>
      <c r="BO13" s="89">
        <f>IFERROR(VLOOKUP(BB13,'Top WS'!$A$19:$B$28,2),0)</f>
        <v>180</v>
      </c>
      <c r="BP13" s="89">
        <f>IFERROR(VLOOKUP(BC13,'Top WS'!$A$19:$B$28,2),0)</f>
        <v>180</v>
      </c>
    </row>
    <row r="14" spans="1:68" x14ac:dyDescent="0.4">
      <c r="A14">
        <v>1190022001</v>
      </c>
      <c r="B14">
        <f>VLOOKUP(A14,[1]Sheet2!$A$2:$C$409,2,0)</f>
        <v>100352</v>
      </c>
      <c r="C14" t="str">
        <f>VLOOKUP(A14,[1]Sheet2!$A$2:$C$409,3,0)</f>
        <v>นายชาตรี ขุนทอง</v>
      </c>
      <c r="D14" t="s">
        <v>86</v>
      </c>
      <c r="E14" s="1">
        <v>4031.2528841944472</v>
      </c>
      <c r="F14" s="1">
        <v>3355.5274167163097</v>
      </c>
      <c r="G14" s="1">
        <v>3351.6422381019743</v>
      </c>
      <c r="H14" s="1">
        <v>3214.6263466431401</v>
      </c>
      <c r="I14" s="1">
        <v>1777.8704029807993</v>
      </c>
      <c r="J14" s="1">
        <v>3171.0658929400147</v>
      </c>
      <c r="K14" s="1">
        <v>2879.0229287287129</v>
      </c>
      <c r="L14" s="1">
        <v>3899.8324945443014</v>
      </c>
      <c r="M14" s="1">
        <v>2158.1744900612534</v>
      </c>
      <c r="N14" s="1">
        <v>3539.8200196832868</v>
      </c>
      <c r="O14" s="1">
        <v>3531.1628282056904</v>
      </c>
      <c r="P14" s="1">
        <v>3580.0020572000317</v>
      </c>
      <c r="R14" s="1" cm="1">
        <f t="array" ref="R14:W14">IFERROR(_xlfn.XLOOKUP(A14,'Actual_Aji Plus'!A:A,'Actual_Aji Plus'!C:H),0)</f>
        <v>4966.7600000000011</v>
      </c>
      <c r="S14" s="1">
        <v>5569.0199999999995</v>
      </c>
      <c r="T14" s="1">
        <v>3174.0999999999995</v>
      </c>
      <c r="U14" s="1">
        <v>3941.56</v>
      </c>
      <c r="V14" s="1">
        <v>3601.6600000000008</v>
      </c>
      <c r="W14" s="1">
        <v>5840.5599999999986</v>
      </c>
      <c r="X14" s="102"/>
      <c r="Y14" s="102"/>
      <c r="Z14" s="102"/>
      <c r="AA14" s="102"/>
      <c r="AB14" s="102"/>
      <c r="AC14" s="102"/>
      <c r="AD14" s="1"/>
      <c r="AE14" s="88">
        <f t="shared" si="4"/>
        <v>1.2320636146329216</v>
      </c>
      <c r="AF14" s="88">
        <f t="shared" si="5"/>
        <v>1.6596556393062627</v>
      </c>
      <c r="AG14" s="88">
        <f t="shared" si="6"/>
        <v>0.94702828479613732</v>
      </c>
      <c r="AH14" s="88">
        <f t="shared" si="7"/>
        <v>1.2261331722475171</v>
      </c>
      <c r="AI14" s="88">
        <f t="shared" si="8"/>
        <v>2.0258282009540252</v>
      </c>
      <c r="AJ14" s="88">
        <f t="shared" si="9"/>
        <v>1.8418286460093061</v>
      </c>
      <c r="AK14" s="90">
        <f t="shared" si="10"/>
        <v>0</v>
      </c>
      <c r="AL14" s="90">
        <f t="shared" si="11"/>
        <v>0</v>
      </c>
      <c r="AM14" s="90">
        <f t="shared" si="12"/>
        <v>0</v>
      </c>
      <c r="AN14" s="90">
        <f t="shared" si="13"/>
        <v>0</v>
      </c>
      <c r="AO14" s="90">
        <f t="shared" si="14"/>
        <v>0</v>
      </c>
      <c r="AP14" s="90">
        <f t="shared" si="15"/>
        <v>0</v>
      </c>
      <c r="AQ14" s="88"/>
      <c r="AR14" s="90">
        <f t="shared" si="16"/>
        <v>1.2321</v>
      </c>
      <c r="AS14" s="90">
        <f t="shared" si="17"/>
        <v>1.6597</v>
      </c>
      <c r="AT14" s="90">
        <f t="shared" si="18"/>
        <v>0.94699999999999995</v>
      </c>
      <c r="AU14" s="90">
        <f t="shared" si="19"/>
        <v>1.2261</v>
      </c>
      <c r="AV14" s="90">
        <f t="shared" si="20"/>
        <v>2.0257999999999998</v>
      </c>
      <c r="AW14" s="90">
        <f t="shared" si="21"/>
        <v>1.8418000000000001</v>
      </c>
      <c r="AX14" s="90">
        <f t="shared" si="22"/>
        <v>0</v>
      </c>
      <c r="AY14" s="90">
        <f t="shared" si="23"/>
        <v>0</v>
      </c>
      <c r="AZ14" s="90">
        <f t="shared" si="24"/>
        <v>0</v>
      </c>
      <c r="BA14" s="90">
        <f t="shared" si="25"/>
        <v>0</v>
      </c>
      <c r="BB14" s="90">
        <f t="shared" si="26"/>
        <v>0</v>
      </c>
      <c r="BC14" s="90">
        <f t="shared" si="27"/>
        <v>0</v>
      </c>
      <c r="BD14" s="88"/>
      <c r="BE14" s="1">
        <f>IFERROR(VLOOKUP(AR14,'Top WS'!$A$19:$B$28,2),0)</f>
        <v>260</v>
      </c>
      <c r="BF14" s="1">
        <f>IFERROR(VLOOKUP(AS14,'Top WS'!$A$19:$B$28,2),0)</f>
        <v>260</v>
      </c>
      <c r="BG14" s="1">
        <f>IFERROR(VLOOKUP(AT14,'Top WS'!$A$19:$B$28,2),0)</f>
        <v>190</v>
      </c>
      <c r="BH14" s="1">
        <f>IFERROR(VLOOKUP(AU14,'Top WS'!$A$19:$B$28,2),0)</f>
        <v>260</v>
      </c>
      <c r="BI14" s="1">
        <f>IFERROR(VLOOKUP(AV14,'Top WS'!$A$19:$B$28,2),0)</f>
        <v>260</v>
      </c>
      <c r="BJ14" s="1">
        <f>IFERROR(VLOOKUP(AW14,'Top WS'!$A$19:$B$28,2),0)</f>
        <v>260</v>
      </c>
      <c r="BK14" s="89">
        <f>IFERROR(VLOOKUP(AX14,'Top WS'!$A$19:$B$28,2),0)</f>
        <v>180</v>
      </c>
      <c r="BL14" s="89">
        <f>IFERROR(VLOOKUP(AY14,'Top WS'!$A$19:$B$28,2),0)</f>
        <v>180</v>
      </c>
      <c r="BM14" s="89">
        <f>IFERROR(VLOOKUP(AZ14,'Top WS'!$A$19:$B$28,2),0)</f>
        <v>180</v>
      </c>
      <c r="BN14" s="89">
        <f>IFERROR(VLOOKUP(BA14,'Top WS'!$A$19:$B$28,2),0)</f>
        <v>180</v>
      </c>
      <c r="BO14" s="89">
        <f>IFERROR(VLOOKUP(BB14,'Top WS'!$A$19:$B$28,2),0)</f>
        <v>180</v>
      </c>
      <c r="BP14" s="89">
        <f>IFERROR(VLOOKUP(BC14,'Top WS'!$A$19:$B$28,2),0)</f>
        <v>180</v>
      </c>
    </row>
    <row r="15" spans="1:68" x14ac:dyDescent="0.4">
      <c r="A15">
        <v>1190022101</v>
      </c>
      <c r="B15">
        <f>VLOOKUP(A15,[1]Sheet2!$A$2:$C$409,2,0)</f>
        <v>61276</v>
      </c>
      <c r="C15" t="str">
        <f>VLOOKUP(A15,[1]Sheet2!$A$2:$C$409,3,0)</f>
        <v>นายพงษ์ศักดิ์ เวียงนาค</v>
      </c>
      <c r="D15" t="s">
        <v>87</v>
      </c>
      <c r="E15" s="1">
        <v>5160.2969499677947</v>
      </c>
      <c r="F15" s="1">
        <v>4295.3191951575109</v>
      </c>
      <c r="G15" s="1">
        <v>4290.3458838993056</v>
      </c>
      <c r="H15" s="1">
        <v>4114.955575450962</v>
      </c>
      <c r="I15" s="1">
        <v>2275.8034490741484</v>
      </c>
      <c r="J15" s="1">
        <v>4059.195025854885</v>
      </c>
      <c r="K15" s="1">
        <v>3685.3587866579292</v>
      </c>
      <c r="L15" s="1">
        <v>4992.0692908858855</v>
      </c>
      <c r="M15" s="1">
        <v>2762.6203462020771</v>
      </c>
      <c r="N15" s="1">
        <v>4531.2271335358673</v>
      </c>
      <c r="O15" s="1">
        <v>4520.1452986670402</v>
      </c>
      <c r="P15" s="1">
        <v>4582.6630646465464</v>
      </c>
      <c r="R15" s="1" cm="1">
        <f t="array" ref="R15:W15">IFERROR(_xlfn.XLOOKUP(A15,'Actual_Aji Plus'!A:A,'Actual_Aji Plus'!C:H),0)</f>
        <v>4833.1799999999967</v>
      </c>
      <c r="S15" s="1">
        <v>3659.6999999999985</v>
      </c>
      <c r="T15" s="1">
        <v>3928.56</v>
      </c>
      <c r="U15" s="1">
        <v>3633.6600000000021</v>
      </c>
      <c r="V15" s="1">
        <v>4533.3599999999997</v>
      </c>
      <c r="W15" s="1">
        <v>3332.2200000000016</v>
      </c>
      <c r="X15" s="102"/>
      <c r="Y15" s="102"/>
      <c r="Z15" s="102"/>
      <c r="AA15" s="102"/>
      <c r="AB15" s="102"/>
      <c r="AC15" s="102"/>
      <c r="AD15" s="1"/>
      <c r="AE15" s="88">
        <f t="shared" si="4"/>
        <v>0.93660889031398864</v>
      </c>
      <c r="AF15" s="88">
        <f t="shared" si="5"/>
        <v>0.85202049806354285</v>
      </c>
      <c r="AG15" s="88">
        <f t="shared" si="6"/>
        <v>0.91567442493226336</v>
      </c>
      <c r="AH15" s="88">
        <f t="shared" si="7"/>
        <v>0.88303747959703938</v>
      </c>
      <c r="AI15" s="88">
        <f t="shared" si="8"/>
        <v>1.9919822170250596</v>
      </c>
      <c r="AJ15" s="88">
        <f t="shared" si="9"/>
        <v>0.82090660310124441</v>
      </c>
      <c r="AK15" s="90">
        <f t="shared" si="10"/>
        <v>0</v>
      </c>
      <c r="AL15" s="90">
        <f t="shared" si="11"/>
        <v>0</v>
      </c>
      <c r="AM15" s="90">
        <f t="shared" si="12"/>
        <v>0</v>
      </c>
      <c r="AN15" s="90">
        <f t="shared" si="13"/>
        <v>0</v>
      </c>
      <c r="AO15" s="90">
        <f t="shared" si="14"/>
        <v>0</v>
      </c>
      <c r="AP15" s="90">
        <f t="shared" si="15"/>
        <v>0</v>
      </c>
      <c r="AQ15" s="88"/>
      <c r="AR15" s="90">
        <f t="shared" si="16"/>
        <v>0.93659999999999999</v>
      </c>
      <c r="AS15" s="90">
        <f t="shared" si="17"/>
        <v>0.85199999999999998</v>
      </c>
      <c r="AT15" s="90">
        <f t="shared" si="18"/>
        <v>0.91569999999999996</v>
      </c>
      <c r="AU15" s="90">
        <f t="shared" si="19"/>
        <v>0.88300000000000001</v>
      </c>
      <c r="AV15" s="90">
        <f t="shared" si="20"/>
        <v>1.992</v>
      </c>
      <c r="AW15" s="90">
        <f t="shared" si="21"/>
        <v>0.82089999999999996</v>
      </c>
      <c r="AX15" s="90">
        <f t="shared" si="22"/>
        <v>0</v>
      </c>
      <c r="AY15" s="90">
        <f t="shared" si="23"/>
        <v>0</v>
      </c>
      <c r="AZ15" s="90">
        <f t="shared" si="24"/>
        <v>0</v>
      </c>
      <c r="BA15" s="90">
        <f t="shared" si="25"/>
        <v>0</v>
      </c>
      <c r="BB15" s="90">
        <f t="shared" si="26"/>
        <v>0</v>
      </c>
      <c r="BC15" s="90">
        <f t="shared" si="27"/>
        <v>0</v>
      </c>
      <c r="BD15" s="88"/>
      <c r="BE15" s="1">
        <f>IFERROR(VLOOKUP(AR15,'Top WS'!$A$19:$B$28,2),0)</f>
        <v>190</v>
      </c>
      <c r="BF15" s="1">
        <f>IFERROR(VLOOKUP(AS15,'Top WS'!$A$19:$B$28,2),0)</f>
        <v>180</v>
      </c>
      <c r="BG15" s="1">
        <f>IFERROR(VLOOKUP(AT15,'Top WS'!$A$19:$B$28,2),0)</f>
        <v>190</v>
      </c>
      <c r="BH15" s="1">
        <f>IFERROR(VLOOKUP(AU15,'Top WS'!$A$19:$B$28,2),0)</f>
        <v>180</v>
      </c>
      <c r="BI15" s="1">
        <f>IFERROR(VLOOKUP(AV15,'Top WS'!$A$19:$B$28,2),0)</f>
        <v>260</v>
      </c>
      <c r="BJ15" s="1">
        <f>IFERROR(VLOOKUP(AW15,'Top WS'!$A$19:$B$28,2),0)</f>
        <v>180</v>
      </c>
      <c r="BK15" s="89">
        <f>IFERROR(VLOOKUP(AX15,'Top WS'!$A$19:$B$28,2),0)</f>
        <v>180</v>
      </c>
      <c r="BL15" s="89">
        <f>IFERROR(VLOOKUP(AY15,'Top WS'!$A$19:$B$28,2),0)</f>
        <v>180</v>
      </c>
      <c r="BM15" s="89">
        <f>IFERROR(VLOOKUP(AZ15,'Top WS'!$A$19:$B$28,2),0)</f>
        <v>180</v>
      </c>
      <c r="BN15" s="89">
        <f>IFERROR(VLOOKUP(BA15,'Top WS'!$A$19:$B$28,2),0)</f>
        <v>180</v>
      </c>
      <c r="BO15" s="89">
        <f>IFERROR(VLOOKUP(BB15,'Top WS'!$A$19:$B$28,2),0)</f>
        <v>180</v>
      </c>
      <c r="BP15" s="89">
        <f>IFERROR(VLOOKUP(BC15,'Top WS'!$A$19:$B$28,2),0)</f>
        <v>180</v>
      </c>
    </row>
    <row r="16" spans="1:68" x14ac:dyDescent="0.4">
      <c r="A16">
        <v>1190022201</v>
      </c>
      <c r="B16">
        <f>VLOOKUP(A16,[1]Sheet2!$A$2:$C$409,2,0)</f>
        <v>61616</v>
      </c>
      <c r="C16" t="str">
        <f>VLOOKUP(A16,[1]Sheet2!$A$2:$C$409,3,0)</f>
        <v>นายฐิติพงศ์ ก๋าเมืองลือ</v>
      </c>
      <c r="D16" t="s">
        <v>88</v>
      </c>
      <c r="E16" s="1">
        <v>1417.6552377408279</v>
      </c>
      <c r="F16" s="1">
        <v>1369.2038092660569</v>
      </c>
      <c r="G16" s="1">
        <v>2144.825183105263</v>
      </c>
      <c r="H16" s="1">
        <v>1469.1479896479984</v>
      </c>
      <c r="I16" s="1">
        <v>936.79054111199457</v>
      </c>
      <c r="J16" s="1">
        <v>771.4474196112925</v>
      </c>
      <c r="K16" s="1">
        <v>1413.5861567347215</v>
      </c>
      <c r="L16" s="1">
        <v>1489.7870396995893</v>
      </c>
      <c r="M16" s="1">
        <v>1963.0379404252446</v>
      </c>
      <c r="N16" s="1">
        <v>1901.4773592246149</v>
      </c>
      <c r="O16" s="1">
        <v>1715.2644665843475</v>
      </c>
      <c r="P16" s="1">
        <v>2007.7768568480533</v>
      </c>
      <c r="R16" s="1" cm="1">
        <f t="array" ref="R16:W16">IFERROR(_xlfn.XLOOKUP(A16,'Actual_Aji Plus'!A:A,'Actual_Aji Plus'!C:H),0)</f>
        <v>1649.5800000000006</v>
      </c>
      <c r="S16" s="1">
        <v>1236.7799999999997</v>
      </c>
      <c r="T16" s="1">
        <v>992.51999999999975</v>
      </c>
      <c r="U16" s="1">
        <v>1992.9600000000003</v>
      </c>
      <c r="V16" s="1">
        <v>1637.4000000000005</v>
      </c>
      <c r="W16" s="1">
        <v>1773.8600000000006</v>
      </c>
      <c r="X16" s="102"/>
      <c r="Y16" s="102"/>
      <c r="Z16" s="102"/>
      <c r="AA16" s="102"/>
      <c r="AB16" s="102"/>
      <c r="AC16" s="102"/>
      <c r="AD16" s="1"/>
      <c r="AE16" s="88">
        <f t="shared" si="4"/>
        <v>1.1635974361642167</v>
      </c>
      <c r="AF16" s="88">
        <f t="shared" si="5"/>
        <v>0.90328407767354879</v>
      </c>
      <c r="AG16" s="88">
        <f t="shared" si="6"/>
        <v>0.46275100078927467</v>
      </c>
      <c r="AH16" s="88">
        <f t="shared" si="7"/>
        <v>1.3565413518875691</v>
      </c>
      <c r="AI16" s="88">
        <f t="shared" si="8"/>
        <v>1.7478827209937073</v>
      </c>
      <c r="AJ16" s="88">
        <f t="shared" si="9"/>
        <v>2.2993919674963608</v>
      </c>
      <c r="AK16" s="90">
        <f t="shared" si="10"/>
        <v>0</v>
      </c>
      <c r="AL16" s="90">
        <f t="shared" si="11"/>
        <v>0</v>
      </c>
      <c r="AM16" s="90">
        <f t="shared" si="12"/>
        <v>0</v>
      </c>
      <c r="AN16" s="90">
        <f t="shared" si="13"/>
        <v>0</v>
      </c>
      <c r="AO16" s="90">
        <f t="shared" si="14"/>
        <v>0</v>
      </c>
      <c r="AP16" s="90">
        <f t="shared" si="15"/>
        <v>0</v>
      </c>
      <c r="AQ16" s="88"/>
      <c r="AR16" s="90">
        <f t="shared" si="16"/>
        <v>1.1636</v>
      </c>
      <c r="AS16" s="90">
        <f t="shared" si="17"/>
        <v>0.90329999999999999</v>
      </c>
      <c r="AT16" s="90">
        <f t="shared" si="18"/>
        <v>0.46279999999999999</v>
      </c>
      <c r="AU16" s="90">
        <f t="shared" si="19"/>
        <v>1.3565</v>
      </c>
      <c r="AV16" s="90">
        <f t="shared" si="20"/>
        <v>1.7479</v>
      </c>
      <c r="AW16" s="90">
        <f t="shared" si="21"/>
        <v>2.2993999999999999</v>
      </c>
      <c r="AX16" s="90">
        <f t="shared" si="22"/>
        <v>0</v>
      </c>
      <c r="AY16" s="90">
        <f t="shared" si="23"/>
        <v>0</v>
      </c>
      <c r="AZ16" s="90">
        <f t="shared" si="24"/>
        <v>0</v>
      </c>
      <c r="BA16" s="90">
        <f t="shared" si="25"/>
        <v>0</v>
      </c>
      <c r="BB16" s="90">
        <f t="shared" si="26"/>
        <v>0</v>
      </c>
      <c r="BC16" s="90">
        <f t="shared" si="27"/>
        <v>0</v>
      </c>
      <c r="BD16" s="88"/>
      <c r="BE16" s="1">
        <f>IFERROR(VLOOKUP(AR16,'Top WS'!$A$19:$B$28,2),0)</f>
        <v>240</v>
      </c>
      <c r="BF16" s="1">
        <f>IFERROR(VLOOKUP(AS16,'Top WS'!$A$19:$B$28,2),0)</f>
        <v>190</v>
      </c>
      <c r="BG16" s="1">
        <f>IFERROR(VLOOKUP(AT16,'Top WS'!$A$19:$B$28,2),0)</f>
        <v>180</v>
      </c>
      <c r="BH16" s="1">
        <f>IFERROR(VLOOKUP(AU16,'Top WS'!$A$19:$B$28,2),0)</f>
        <v>260</v>
      </c>
      <c r="BI16" s="1">
        <f>IFERROR(VLOOKUP(AV16,'Top WS'!$A$19:$B$28,2),0)</f>
        <v>260</v>
      </c>
      <c r="BJ16" s="1">
        <f>IFERROR(VLOOKUP(AW16,'Top WS'!$A$19:$B$28,2),0)</f>
        <v>260</v>
      </c>
      <c r="BK16" s="89">
        <f>IFERROR(VLOOKUP(AX16,'Top WS'!$A$19:$B$28,2),0)</f>
        <v>180</v>
      </c>
      <c r="BL16" s="89">
        <f>IFERROR(VLOOKUP(AY16,'Top WS'!$A$19:$B$28,2),0)</f>
        <v>180</v>
      </c>
      <c r="BM16" s="89">
        <f>IFERROR(VLOOKUP(AZ16,'Top WS'!$A$19:$B$28,2),0)</f>
        <v>180</v>
      </c>
      <c r="BN16" s="89">
        <f>IFERROR(VLOOKUP(BA16,'Top WS'!$A$19:$B$28,2),0)</f>
        <v>180</v>
      </c>
      <c r="BO16" s="89">
        <f>IFERROR(VLOOKUP(BB16,'Top WS'!$A$19:$B$28,2),0)</f>
        <v>180</v>
      </c>
      <c r="BP16" s="89">
        <f>IFERROR(VLOOKUP(BC16,'Top WS'!$A$19:$B$28,2),0)</f>
        <v>180</v>
      </c>
    </row>
    <row r="17" spans="1:68" x14ac:dyDescent="0.4">
      <c r="A17">
        <v>1190022301</v>
      </c>
      <c r="B17">
        <f>VLOOKUP(A17,[1]Sheet2!$A$2:$C$409,2,0)</f>
        <v>64151</v>
      </c>
      <c r="C17" t="str">
        <f>VLOOKUP(A17,[1]Sheet2!$A$2:$C$409,3,0)</f>
        <v>นายยุทธพร แผงไม้</v>
      </c>
      <c r="D17" t="s">
        <v>89</v>
      </c>
      <c r="E17" s="1">
        <v>2699</v>
      </c>
      <c r="F17" s="1">
        <v>2732</v>
      </c>
      <c r="G17" s="1">
        <v>2527</v>
      </c>
      <c r="H17" s="1">
        <v>2052</v>
      </c>
      <c r="I17" s="1">
        <v>2107</v>
      </c>
      <c r="J17" s="1">
        <v>2341</v>
      </c>
      <c r="K17" s="1">
        <v>2648</v>
      </c>
      <c r="L17" s="1">
        <v>2919</v>
      </c>
      <c r="M17" s="1">
        <v>3163</v>
      </c>
      <c r="N17" s="1">
        <v>3455</v>
      </c>
      <c r="O17" s="1">
        <v>2389</v>
      </c>
      <c r="P17" s="1">
        <v>1756</v>
      </c>
      <c r="R17" s="1" cm="1">
        <f t="array" ref="R17:W17">IFERROR(_xlfn.XLOOKUP(A17,'Actual_Aji Plus'!A:A,'Actual_Aji Plus'!C:H),0)</f>
        <v>1055.3400000000001</v>
      </c>
      <c r="S17" s="1">
        <v>2815.8</v>
      </c>
      <c r="T17" s="1">
        <v>1541.7600000000002</v>
      </c>
      <c r="U17" s="1">
        <v>1961.5800000000006</v>
      </c>
      <c r="V17" s="1">
        <v>2677.7400000000002</v>
      </c>
      <c r="W17" s="1">
        <v>1848.8400000000004</v>
      </c>
      <c r="X17" s="102"/>
      <c r="Y17" s="102"/>
      <c r="Z17" s="102"/>
      <c r="AA17" s="102"/>
      <c r="AB17" s="102"/>
      <c r="AC17" s="102"/>
      <c r="AD17" s="1"/>
      <c r="AE17" s="88">
        <f t="shared" si="4"/>
        <v>0.39101148573545763</v>
      </c>
      <c r="AF17" s="88">
        <f t="shared" si="5"/>
        <v>1.0306734992679356</v>
      </c>
      <c r="AG17" s="88">
        <f t="shared" si="6"/>
        <v>0.61011476058567482</v>
      </c>
      <c r="AH17" s="88">
        <f t="shared" si="7"/>
        <v>0.95593567251462019</v>
      </c>
      <c r="AI17" s="88">
        <f t="shared" si="8"/>
        <v>1.2708780256288563</v>
      </c>
      <c r="AJ17" s="88">
        <f t="shared" si="9"/>
        <v>0.78976505766766358</v>
      </c>
      <c r="AK17" s="90">
        <f t="shared" si="10"/>
        <v>0</v>
      </c>
      <c r="AL17" s="90">
        <f t="shared" si="11"/>
        <v>0</v>
      </c>
      <c r="AM17" s="90">
        <f t="shared" si="12"/>
        <v>0</v>
      </c>
      <c r="AN17" s="90">
        <f t="shared" si="13"/>
        <v>0</v>
      </c>
      <c r="AO17" s="90">
        <f t="shared" si="14"/>
        <v>0</v>
      </c>
      <c r="AP17" s="90">
        <f t="shared" si="15"/>
        <v>0</v>
      </c>
      <c r="AQ17" s="88"/>
      <c r="AR17" s="90">
        <f t="shared" si="16"/>
        <v>0.39100000000000001</v>
      </c>
      <c r="AS17" s="90">
        <f t="shared" si="17"/>
        <v>1.0306999999999999</v>
      </c>
      <c r="AT17" s="90">
        <f t="shared" si="18"/>
        <v>0.61009999999999998</v>
      </c>
      <c r="AU17" s="90">
        <f t="shared" si="19"/>
        <v>0.95589999999999997</v>
      </c>
      <c r="AV17" s="90">
        <f t="shared" si="20"/>
        <v>1.2708999999999999</v>
      </c>
      <c r="AW17" s="90">
        <f t="shared" si="21"/>
        <v>0.78979999999999995</v>
      </c>
      <c r="AX17" s="90">
        <f t="shared" si="22"/>
        <v>0</v>
      </c>
      <c r="AY17" s="90">
        <f t="shared" si="23"/>
        <v>0</v>
      </c>
      <c r="AZ17" s="90">
        <f t="shared" si="24"/>
        <v>0</v>
      </c>
      <c r="BA17" s="90">
        <f t="shared" si="25"/>
        <v>0</v>
      </c>
      <c r="BB17" s="90">
        <f t="shared" si="26"/>
        <v>0</v>
      </c>
      <c r="BC17" s="90">
        <f t="shared" si="27"/>
        <v>0</v>
      </c>
      <c r="BD17" s="88"/>
      <c r="BE17" s="1">
        <f>IFERROR(VLOOKUP(AR17,'Top WS'!$A$19:$B$28,2),0)</f>
        <v>180</v>
      </c>
      <c r="BF17" s="1">
        <f>IFERROR(VLOOKUP(AS17,'Top WS'!$A$19:$B$28,2),0)</f>
        <v>216</v>
      </c>
      <c r="BG17" s="1">
        <f>IFERROR(VLOOKUP(AT17,'Top WS'!$A$19:$B$28,2),0)</f>
        <v>180</v>
      </c>
      <c r="BH17" s="1">
        <f>IFERROR(VLOOKUP(AU17,'Top WS'!$A$19:$B$28,2),0)</f>
        <v>200</v>
      </c>
      <c r="BI17" s="1">
        <f>IFERROR(VLOOKUP(AV17,'Top WS'!$A$19:$B$28,2),0)</f>
        <v>260</v>
      </c>
      <c r="BJ17" s="1">
        <f>IFERROR(VLOOKUP(AW17,'Top WS'!$A$19:$B$28,2),0)</f>
        <v>180</v>
      </c>
      <c r="BK17" s="89">
        <f>IFERROR(VLOOKUP(AX17,'Top WS'!$A$19:$B$28,2),0)</f>
        <v>180</v>
      </c>
      <c r="BL17" s="89">
        <f>IFERROR(VLOOKUP(AY17,'Top WS'!$A$19:$B$28,2),0)</f>
        <v>180</v>
      </c>
      <c r="BM17" s="89">
        <f>IFERROR(VLOOKUP(AZ17,'Top WS'!$A$19:$B$28,2),0)</f>
        <v>180</v>
      </c>
      <c r="BN17" s="89">
        <f>IFERROR(VLOOKUP(BA17,'Top WS'!$A$19:$B$28,2),0)</f>
        <v>180</v>
      </c>
      <c r="BO17" s="89">
        <f>IFERROR(VLOOKUP(BB17,'Top WS'!$A$19:$B$28,2),0)</f>
        <v>180</v>
      </c>
      <c r="BP17" s="89">
        <f>IFERROR(VLOOKUP(BC17,'Top WS'!$A$19:$B$28,2),0)</f>
        <v>180</v>
      </c>
    </row>
    <row r="18" spans="1:68" x14ac:dyDescent="0.4">
      <c r="A18">
        <v>1190022302</v>
      </c>
      <c r="B18">
        <f>VLOOKUP(A18,[1]Sheet2!$A$2:$C$409,2,0)</f>
        <v>65589</v>
      </c>
      <c r="C18" t="str">
        <f>VLOOKUP(A18,[1]Sheet2!$A$2:$C$409,3,0)</f>
        <v>นายไกรสร อิ่มเพ็ง</v>
      </c>
      <c r="D18" t="s">
        <v>89</v>
      </c>
      <c r="E18" s="1">
        <v>2648</v>
      </c>
      <c r="F18" s="1">
        <v>2680</v>
      </c>
      <c r="G18" s="1">
        <v>2480</v>
      </c>
      <c r="H18" s="1">
        <v>2013</v>
      </c>
      <c r="I18" s="1">
        <v>2068</v>
      </c>
      <c r="J18" s="1">
        <v>2296</v>
      </c>
      <c r="K18" s="1">
        <v>2598</v>
      </c>
      <c r="L18" s="1">
        <v>2864</v>
      </c>
      <c r="M18" s="1">
        <v>3103</v>
      </c>
      <c r="N18" s="1">
        <v>3390</v>
      </c>
      <c r="O18" s="1">
        <v>2344</v>
      </c>
      <c r="P18" s="1">
        <v>1720</v>
      </c>
      <c r="R18" s="1" cm="1">
        <f t="array" ref="R18:W18">IFERROR(_xlfn.XLOOKUP(A18,'Actual_Aji Plus'!A:A,'Actual_Aji Plus'!C:H),0)</f>
        <v>1118.8800000000001</v>
      </c>
      <c r="S18" s="1">
        <v>2900.2200000000003</v>
      </c>
      <c r="T18" s="1">
        <v>3043.920000000001</v>
      </c>
      <c r="U18" s="1">
        <v>1078.08</v>
      </c>
      <c r="V18" s="1">
        <v>1189.44</v>
      </c>
      <c r="W18" s="1">
        <v>2325.9000000000019</v>
      </c>
      <c r="X18" s="102"/>
      <c r="Y18" s="102"/>
      <c r="Z18" s="102"/>
      <c r="AA18" s="102"/>
      <c r="AB18" s="102"/>
      <c r="AC18" s="102"/>
      <c r="AD18" s="1"/>
      <c r="AE18" s="88">
        <f t="shared" si="4"/>
        <v>0.4225377643504532</v>
      </c>
      <c r="AF18" s="88">
        <f t="shared" si="5"/>
        <v>1.082171641791045</v>
      </c>
      <c r="AG18" s="88">
        <f t="shared" si="6"/>
        <v>1.227387096774194</v>
      </c>
      <c r="AH18" s="88">
        <f t="shared" si="7"/>
        <v>0.53555886736214597</v>
      </c>
      <c r="AI18" s="88">
        <f t="shared" si="8"/>
        <v>0.5751644100580271</v>
      </c>
      <c r="AJ18" s="88">
        <f t="shared" si="9"/>
        <v>1.0130226480836246</v>
      </c>
      <c r="AK18" s="90">
        <f t="shared" si="10"/>
        <v>0</v>
      </c>
      <c r="AL18" s="90">
        <f t="shared" si="11"/>
        <v>0</v>
      </c>
      <c r="AM18" s="90">
        <f t="shared" si="12"/>
        <v>0</v>
      </c>
      <c r="AN18" s="90">
        <f t="shared" si="13"/>
        <v>0</v>
      </c>
      <c r="AO18" s="90">
        <f t="shared" si="14"/>
        <v>0</v>
      </c>
      <c r="AP18" s="90">
        <f t="shared" si="15"/>
        <v>0</v>
      </c>
      <c r="AQ18" s="88"/>
      <c r="AR18" s="90">
        <f t="shared" si="16"/>
        <v>0.42249999999999999</v>
      </c>
      <c r="AS18" s="90">
        <f t="shared" si="17"/>
        <v>1.0822000000000001</v>
      </c>
      <c r="AT18" s="90">
        <f t="shared" si="18"/>
        <v>1.2274</v>
      </c>
      <c r="AU18" s="90">
        <f t="shared" si="19"/>
        <v>0.53559999999999997</v>
      </c>
      <c r="AV18" s="90">
        <f t="shared" si="20"/>
        <v>0.57520000000000004</v>
      </c>
      <c r="AW18" s="90">
        <f t="shared" si="21"/>
        <v>1.0129999999999999</v>
      </c>
      <c r="AX18" s="90">
        <f t="shared" si="22"/>
        <v>0</v>
      </c>
      <c r="AY18" s="90">
        <f t="shared" si="23"/>
        <v>0</v>
      </c>
      <c r="AZ18" s="90">
        <f t="shared" si="24"/>
        <v>0</v>
      </c>
      <c r="BA18" s="90">
        <f t="shared" si="25"/>
        <v>0</v>
      </c>
      <c r="BB18" s="90">
        <f t="shared" si="26"/>
        <v>0</v>
      </c>
      <c r="BC18" s="90">
        <f t="shared" si="27"/>
        <v>0</v>
      </c>
      <c r="BD18" s="88"/>
      <c r="BE18" s="1">
        <f>IFERROR(VLOOKUP(AR18,'Top WS'!$A$19:$B$28,2),0)</f>
        <v>180</v>
      </c>
      <c r="BF18" s="1">
        <f>IFERROR(VLOOKUP(AS18,'Top WS'!$A$19:$B$28,2),0)</f>
        <v>220</v>
      </c>
      <c r="BG18" s="1">
        <f>IFERROR(VLOOKUP(AT18,'Top WS'!$A$19:$B$28,2),0)</f>
        <v>260</v>
      </c>
      <c r="BH18" s="1">
        <f>IFERROR(VLOOKUP(AU18,'Top WS'!$A$19:$B$28,2),0)</f>
        <v>180</v>
      </c>
      <c r="BI18" s="1">
        <f>IFERROR(VLOOKUP(AV18,'Top WS'!$A$19:$B$28,2),0)</f>
        <v>180</v>
      </c>
      <c r="BJ18" s="1">
        <f>IFERROR(VLOOKUP(AW18,'Top WS'!$A$19:$B$28,2),0)</f>
        <v>206</v>
      </c>
      <c r="BK18" s="89">
        <f>IFERROR(VLOOKUP(AX18,'Top WS'!$A$19:$B$28,2),0)</f>
        <v>180</v>
      </c>
      <c r="BL18" s="89">
        <f>IFERROR(VLOOKUP(AY18,'Top WS'!$A$19:$B$28,2),0)</f>
        <v>180</v>
      </c>
      <c r="BM18" s="89">
        <f>IFERROR(VLOOKUP(AZ18,'Top WS'!$A$19:$B$28,2),0)</f>
        <v>180</v>
      </c>
      <c r="BN18" s="89">
        <f>IFERROR(VLOOKUP(BA18,'Top WS'!$A$19:$B$28,2),0)</f>
        <v>180</v>
      </c>
      <c r="BO18" s="89">
        <f>IFERROR(VLOOKUP(BB18,'Top WS'!$A$19:$B$28,2),0)</f>
        <v>180</v>
      </c>
      <c r="BP18" s="89">
        <f>IFERROR(VLOOKUP(BC18,'Top WS'!$A$19:$B$28,2),0)</f>
        <v>180</v>
      </c>
    </row>
    <row r="19" spans="1:68" x14ac:dyDescent="0.4">
      <c r="A19">
        <v>1190022401</v>
      </c>
      <c r="B19">
        <f>VLOOKUP(A19,[1]Sheet2!$A$2:$C$409,2,0)</f>
        <v>75673</v>
      </c>
      <c r="C19" t="str">
        <f>VLOOKUP(A19,[1]Sheet2!$A$2:$C$409,3,0)</f>
        <v>นายพิเชษฐ เพชรสันทัด</v>
      </c>
      <c r="D19" t="s">
        <v>90</v>
      </c>
      <c r="E19" s="1">
        <v>3782.5909417285939</v>
      </c>
      <c r="F19" s="1">
        <v>3828.7560702921141</v>
      </c>
      <c r="G19" s="1">
        <v>3542.625418476613</v>
      </c>
      <c r="H19" s="1">
        <v>2875.6664152281382</v>
      </c>
      <c r="I19" s="1">
        <v>2953.7532068799214</v>
      </c>
      <c r="J19" s="1">
        <v>3280.6931337559859</v>
      </c>
      <c r="K19" s="1">
        <v>3711.5482617491716</v>
      </c>
      <c r="L19" s="1">
        <v>4091.0764603390408</v>
      </c>
      <c r="M19" s="1">
        <v>4432.8614159461185</v>
      </c>
      <c r="N19" s="1">
        <v>4843.3216090421829</v>
      </c>
      <c r="O19" s="1">
        <v>3348.6891869239439</v>
      </c>
      <c r="P19" s="1">
        <v>2741.6342407900484</v>
      </c>
      <c r="R19" s="1" cm="1">
        <f t="array" ref="R19:W19">IFERROR(_xlfn.XLOOKUP(A19,'Actual_Aji Plus'!A:A,'Actual_Aji Plus'!C:H),0)</f>
        <v>2386.1399999999994</v>
      </c>
      <c r="S19" s="1">
        <v>4933.32</v>
      </c>
      <c r="T19" s="1">
        <v>1947.5399999999997</v>
      </c>
      <c r="U19" s="1">
        <v>2993.28</v>
      </c>
      <c r="V19" s="1">
        <v>3842.1000000000004</v>
      </c>
      <c r="W19" s="1">
        <v>2690.64</v>
      </c>
      <c r="X19" s="102"/>
      <c r="Y19" s="102"/>
      <c r="Z19" s="102"/>
      <c r="AA19" s="102"/>
      <c r="AB19" s="102"/>
      <c r="AC19" s="102"/>
      <c r="AD19" s="1"/>
      <c r="AE19" s="88">
        <f t="shared" si="4"/>
        <v>0.63082158149238443</v>
      </c>
      <c r="AF19" s="88">
        <f t="shared" si="5"/>
        <v>1.2884915908533221</v>
      </c>
      <c r="AG19" s="88">
        <f t="shared" si="6"/>
        <v>0.54974482761925014</v>
      </c>
      <c r="AH19" s="88">
        <f t="shared" si="7"/>
        <v>1.0408995925775804</v>
      </c>
      <c r="AI19" s="88">
        <f t="shared" si="8"/>
        <v>1.3007518675056975</v>
      </c>
      <c r="AJ19" s="88">
        <f t="shared" si="9"/>
        <v>0.82014375935232675</v>
      </c>
      <c r="AK19" s="90">
        <f t="shared" si="10"/>
        <v>0</v>
      </c>
      <c r="AL19" s="90">
        <f t="shared" si="11"/>
        <v>0</v>
      </c>
      <c r="AM19" s="90">
        <f t="shared" si="12"/>
        <v>0</v>
      </c>
      <c r="AN19" s="90">
        <f t="shared" si="13"/>
        <v>0</v>
      </c>
      <c r="AO19" s="90">
        <f t="shared" si="14"/>
        <v>0</v>
      </c>
      <c r="AP19" s="90">
        <f t="shared" si="15"/>
        <v>0</v>
      </c>
      <c r="AQ19" s="88"/>
      <c r="AR19" s="90">
        <f t="shared" si="16"/>
        <v>0.63080000000000003</v>
      </c>
      <c r="AS19" s="90">
        <f t="shared" si="17"/>
        <v>1.2885</v>
      </c>
      <c r="AT19" s="90">
        <f t="shared" si="18"/>
        <v>0.54969999999999997</v>
      </c>
      <c r="AU19" s="90">
        <f t="shared" si="19"/>
        <v>1.0408999999999999</v>
      </c>
      <c r="AV19" s="90">
        <f t="shared" si="20"/>
        <v>1.3008</v>
      </c>
      <c r="AW19" s="90">
        <f t="shared" si="21"/>
        <v>0.82010000000000005</v>
      </c>
      <c r="AX19" s="90">
        <f t="shared" si="22"/>
        <v>0</v>
      </c>
      <c r="AY19" s="90">
        <f t="shared" si="23"/>
        <v>0</v>
      </c>
      <c r="AZ19" s="90">
        <f t="shared" si="24"/>
        <v>0</v>
      </c>
      <c r="BA19" s="90">
        <f t="shared" si="25"/>
        <v>0</v>
      </c>
      <c r="BB19" s="90">
        <f t="shared" si="26"/>
        <v>0</v>
      </c>
      <c r="BC19" s="90">
        <f t="shared" si="27"/>
        <v>0</v>
      </c>
      <c r="BD19" s="88"/>
      <c r="BE19" s="1">
        <f>IFERROR(VLOOKUP(AR19,'Top WS'!$A$19:$B$28,2),0)</f>
        <v>180</v>
      </c>
      <c r="BF19" s="1">
        <f>IFERROR(VLOOKUP(AS19,'Top WS'!$A$19:$B$28,2),0)</f>
        <v>260</v>
      </c>
      <c r="BG19" s="1">
        <f>IFERROR(VLOOKUP(AT19,'Top WS'!$A$19:$B$28,2),0)</f>
        <v>180</v>
      </c>
      <c r="BH19" s="1">
        <f>IFERROR(VLOOKUP(AU19,'Top WS'!$A$19:$B$28,2),0)</f>
        <v>216</v>
      </c>
      <c r="BI19" s="1">
        <f>IFERROR(VLOOKUP(AV19,'Top WS'!$A$19:$B$28,2),0)</f>
        <v>260</v>
      </c>
      <c r="BJ19" s="1">
        <f>IFERROR(VLOOKUP(AW19,'Top WS'!$A$19:$B$28,2),0)</f>
        <v>180</v>
      </c>
      <c r="BK19" s="89">
        <f>IFERROR(VLOOKUP(AX19,'Top WS'!$A$19:$B$28,2),0)</f>
        <v>180</v>
      </c>
      <c r="BL19" s="89">
        <f>IFERROR(VLOOKUP(AY19,'Top WS'!$A$19:$B$28,2),0)</f>
        <v>180</v>
      </c>
      <c r="BM19" s="89">
        <f>IFERROR(VLOOKUP(AZ19,'Top WS'!$A$19:$B$28,2),0)</f>
        <v>180</v>
      </c>
      <c r="BN19" s="89">
        <f>IFERROR(VLOOKUP(BA19,'Top WS'!$A$19:$B$28,2),0)</f>
        <v>180</v>
      </c>
      <c r="BO19" s="89">
        <f>IFERROR(VLOOKUP(BB19,'Top WS'!$A$19:$B$28,2),0)</f>
        <v>180</v>
      </c>
      <c r="BP19" s="89">
        <f>IFERROR(VLOOKUP(BC19,'Top WS'!$A$19:$B$28,2),0)</f>
        <v>180</v>
      </c>
    </row>
    <row r="20" spans="1:68" x14ac:dyDescent="0.4">
      <c r="A20">
        <v>1190022402</v>
      </c>
      <c r="B20">
        <f>VLOOKUP(A20,[1]Sheet2!$A$2:$C$409,2,0)</f>
        <v>63074</v>
      </c>
      <c r="C20" t="str">
        <f>VLOOKUP(A20,[1]Sheet2!$A$2:$C$409,3,0)</f>
        <v>นายวีรยุทธ ตันพงษ์</v>
      </c>
      <c r="D20" t="s">
        <v>90</v>
      </c>
      <c r="E20" s="1">
        <v>439.52347250630294</v>
      </c>
      <c r="F20" s="1">
        <v>444.88769452436384</v>
      </c>
      <c r="G20" s="1">
        <v>411.64034115895612</v>
      </c>
      <c r="H20" s="1">
        <v>334.14210208340086</v>
      </c>
      <c r="I20" s="1">
        <v>343.21550662340741</v>
      </c>
      <c r="J20" s="1">
        <v>381.20475107918162</v>
      </c>
      <c r="K20" s="1">
        <v>431.26856842554594</v>
      </c>
      <c r="L20" s="1">
        <v>475.36838104817394</v>
      </c>
      <c r="M20" s="1">
        <v>515.08256448831764</v>
      </c>
      <c r="N20" s="1">
        <v>562.77656370060004</v>
      </c>
      <c r="O20" s="1">
        <v>389.10564807425732</v>
      </c>
      <c r="P20" s="1">
        <v>318.56804513563094</v>
      </c>
      <c r="R20" s="1" cm="1">
        <f t="array" ref="R20:W20">IFERROR(_xlfn.XLOOKUP(A20,'Actual_Aji Plus'!A:A,'Actual_Aji Plus'!C:H),0)</f>
        <v>209.1</v>
      </c>
      <c r="S20" s="1">
        <v>408.11999999999995</v>
      </c>
      <c r="T20" s="1">
        <v>395.46</v>
      </c>
      <c r="U20" s="1">
        <v>282.24</v>
      </c>
      <c r="V20" s="1">
        <v>312.47999999999996</v>
      </c>
      <c r="W20" s="1">
        <v>100.8</v>
      </c>
      <c r="X20" s="102"/>
      <c r="Y20" s="102"/>
      <c r="Z20" s="102"/>
      <c r="AA20" s="102"/>
      <c r="AB20" s="102"/>
      <c r="AC20" s="102"/>
      <c r="AD20" s="1"/>
      <c r="AE20" s="88">
        <f t="shared" si="4"/>
        <v>0.47574250996800044</v>
      </c>
      <c r="AF20" s="88">
        <f t="shared" si="5"/>
        <v>0.91735511011678394</v>
      </c>
      <c r="AG20" s="88">
        <f t="shared" si="6"/>
        <v>0.96069301392229667</v>
      </c>
      <c r="AH20" s="88">
        <f t="shared" si="7"/>
        <v>0.8446705705153964</v>
      </c>
      <c r="AI20" s="88">
        <f t="shared" si="8"/>
        <v>0.91044837418394409</v>
      </c>
      <c r="AJ20" s="88">
        <f t="shared" si="9"/>
        <v>0.26442482606693013</v>
      </c>
      <c r="AK20" s="90">
        <f t="shared" si="10"/>
        <v>0</v>
      </c>
      <c r="AL20" s="90">
        <f t="shared" si="11"/>
        <v>0</v>
      </c>
      <c r="AM20" s="90">
        <f t="shared" si="12"/>
        <v>0</v>
      </c>
      <c r="AN20" s="90">
        <f t="shared" si="13"/>
        <v>0</v>
      </c>
      <c r="AO20" s="90">
        <f t="shared" si="14"/>
        <v>0</v>
      </c>
      <c r="AP20" s="90">
        <f t="shared" si="15"/>
        <v>0</v>
      </c>
      <c r="AQ20" s="88"/>
      <c r="AR20" s="90">
        <f t="shared" si="16"/>
        <v>0.47570000000000001</v>
      </c>
      <c r="AS20" s="90">
        <f t="shared" si="17"/>
        <v>0.91739999999999999</v>
      </c>
      <c r="AT20" s="90">
        <f t="shared" si="18"/>
        <v>0.9607</v>
      </c>
      <c r="AU20" s="90">
        <f t="shared" si="19"/>
        <v>0.84470000000000001</v>
      </c>
      <c r="AV20" s="90">
        <f t="shared" si="20"/>
        <v>0.91039999999999999</v>
      </c>
      <c r="AW20" s="90">
        <f t="shared" si="21"/>
        <v>0.26440000000000002</v>
      </c>
      <c r="AX20" s="90">
        <f t="shared" si="22"/>
        <v>0</v>
      </c>
      <c r="AY20" s="90">
        <f t="shared" si="23"/>
        <v>0</v>
      </c>
      <c r="AZ20" s="90">
        <f t="shared" si="24"/>
        <v>0</v>
      </c>
      <c r="BA20" s="90">
        <f t="shared" si="25"/>
        <v>0</v>
      </c>
      <c r="BB20" s="90">
        <f t="shared" si="26"/>
        <v>0</v>
      </c>
      <c r="BC20" s="90">
        <f t="shared" si="27"/>
        <v>0</v>
      </c>
      <c r="BD20" s="88"/>
      <c r="BE20" s="1">
        <f>IFERROR(VLOOKUP(AR20,'Top WS'!$A$19:$B$28,2),0)</f>
        <v>180</v>
      </c>
      <c r="BF20" s="1">
        <f>IFERROR(VLOOKUP(AS20,'Top WS'!$A$19:$B$28,2),0)</f>
        <v>190</v>
      </c>
      <c r="BG20" s="1">
        <f>IFERROR(VLOOKUP(AT20,'Top WS'!$A$19:$B$28,2),0)</f>
        <v>200</v>
      </c>
      <c r="BH20" s="1">
        <f>IFERROR(VLOOKUP(AU20,'Top WS'!$A$19:$B$28,2),0)</f>
        <v>180</v>
      </c>
      <c r="BI20" s="1">
        <f>IFERROR(VLOOKUP(AV20,'Top WS'!$A$19:$B$28,2),0)</f>
        <v>190</v>
      </c>
      <c r="BJ20" s="1">
        <f>IFERROR(VLOOKUP(AW20,'Top WS'!$A$19:$B$28,2),0)</f>
        <v>180</v>
      </c>
      <c r="BK20" s="89">
        <f>IFERROR(VLOOKUP(AX20,'Top WS'!$A$19:$B$28,2),0)</f>
        <v>180</v>
      </c>
      <c r="BL20" s="89">
        <f>IFERROR(VLOOKUP(AY20,'Top WS'!$A$19:$B$28,2),0)</f>
        <v>180</v>
      </c>
      <c r="BM20" s="89">
        <f>IFERROR(VLOOKUP(AZ20,'Top WS'!$A$19:$B$28,2),0)</f>
        <v>180</v>
      </c>
      <c r="BN20" s="89">
        <f>IFERROR(VLOOKUP(BA20,'Top WS'!$A$19:$B$28,2),0)</f>
        <v>180</v>
      </c>
      <c r="BO20" s="89">
        <f>IFERROR(VLOOKUP(BB20,'Top WS'!$A$19:$B$28,2),0)</f>
        <v>180</v>
      </c>
      <c r="BP20" s="89">
        <f>IFERROR(VLOOKUP(BC20,'Top WS'!$A$19:$B$28,2),0)</f>
        <v>180</v>
      </c>
    </row>
    <row r="21" spans="1:68" x14ac:dyDescent="0.4">
      <c r="A21">
        <v>1190022510</v>
      </c>
      <c r="B21">
        <f>VLOOKUP(A21,[1]Sheet2!$A$2:$C$409,2,0)</f>
        <v>60961</v>
      </c>
      <c r="C21" t="str">
        <f>VLOOKUP(A21,[1]Sheet2!$A$2:$C$409,3,0)</f>
        <v>นายสิงหา แสนโดด</v>
      </c>
      <c r="D21" t="s">
        <v>91</v>
      </c>
      <c r="E21" s="1">
        <v>2000</v>
      </c>
      <c r="F21" s="1">
        <v>2000</v>
      </c>
      <c r="G21" s="1">
        <v>2000</v>
      </c>
      <c r="H21" s="1">
        <v>2000</v>
      </c>
      <c r="I21" s="1">
        <v>2000</v>
      </c>
      <c r="J21" s="1">
        <v>2000</v>
      </c>
      <c r="K21" s="1">
        <v>2000</v>
      </c>
      <c r="L21" s="1">
        <v>2000</v>
      </c>
      <c r="M21" s="1">
        <v>2000</v>
      </c>
      <c r="N21" s="1">
        <v>2000</v>
      </c>
      <c r="O21" s="1">
        <v>2000</v>
      </c>
      <c r="P21" s="1">
        <v>2000</v>
      </c>
      <c r="R21" s="1" cm="1">
        <f t="array" ref="R21:W21">IFERROR(_xlfn.XLOOKUP(A21,'Actual_Aji Plus'!A:A,'Actual_Aji Plus'!C:H),0)</f>
        <v>962.27999999999986</v>
      </c>
      <c r="S21" s="1">
        <v>2307.3599999999997</v>
      </c>
      <c r="T21" s="1">
        <v>1541.7599999999998</v>
      </c>
      <c r="U21" s="1">
        <v>1894.3199999999997</v>
      </c>
      <c r="V21" s="1">
        <v>1919.4000000000005</v>
      </c>
      <c r="W21" s="1">
        <v>1417.74</v>
      </c>
      <c r="X21" s="102"/>
      <c r="Y21" s="102"/>
      <c r="Z21" s="102"/>
      <c r="AA21" s="102"/>
      <c r="AB21" s="102"/>
      <c r="AC21" s="102"/>
      <c r="AD21" s="1"/>
      <c r="AE21" s="88">
        <f t="shared" si="4"/>
        <v>0.48113999999999996</v>
      </c>
      <c r="AF21" s="88">
        <f t="shared" si="5"/>
        <v>1.1536799999999998</v>
      </c>
      <c r="AG21" s="88">
        <f t="shared" si="6"/>
        <v>0.7708799999999999</v>
      </c>
      <c r="AH21" s="88">
        <f t="shared" si="7"/>
        <v>0.94715999999999989</v>
      </c>
      <c r="AI21" s="88">
        <f t="shared" si="8"/>
        <v>0.95970000000000022</v>
      </c>
      <c r="AJ21" s="88">
        <f t="shared" si="9"/>
        <v>0.70887</v>
      </c>
      <c r="AK21" s="90">
        <f t="shared" si="10"/>
        <v>0</v>
      </c>
      <c r="AL21" s="90">
        <f t="shared" si="11"/>
        <v>0</v>
      </c>
      <c r="AM21" s="90">
        <f t="shared" si="12"/>
        <v>0</v>
      </c>
      <c r="AN21" s="90">
        <f t="shared" si="13"/>
        <v>0</v>
      </c>
      <c r="AO21" s="90">
        <f t="shared" si="14"/>
        <v>0</v>
      </c>
      <c r="AP21" s="90">
        <f t="shared" si="15"/>
        <v>0</v>
      </c>
      <c r="AQ21" s="88"/>
      <c r="AR21" s="90">
        <f t="shared" si="16"/>
        <v>0.48110000000000003</v>
      </c>
      <c r="AS21" s="90">
        <f t="shared" si="17"/>
        <v>1.1536999999999999</v>
      </c>
      <c r="AT21" s="90">
        <f t="shared" si="18"/>
        <v>0.77090000000000003</v>
      </c>
      <c r="AU21" s="90">
        <f t="shared" si="19"/>
        <v>0.94720000000000004</v>
      </c>
      <c r="AV21" s="90">
        <f t="shared" si="20"/>
        <v>0.9597</v>
      </c>
      <c r="AW21" s="90">
        <f t="shared" si="21"/>
        <v>0.70889999999999997</v>
      </c>
      <c r="AX21" s="90">
        <f t="shared" si="22"/>
        <v>0</v>
      </c>
      <c r="AY21" s="90">
        <f t="shared" si="23"/>
        <v>0</v>
      </c>
      <c r="AZ21" s="90">
        <f t="shared" si="24"/>
        <v>0</v>
      </c>
      <c r="BA21" s="90">
        <f t="shared" si="25"/>
        <v>0</v>
      </c>
      <c r="BB21" s="90">
        <f t="shared" si="26"/>
        <v>0</v>
      </c>
      <c r="BC21" s="90">
        <f t="shared" si="27"/>
        <v>0</v>
      </c>
      <c r="BD21" s="88"/>
      <c r="BE21" s="1">
        <f>IFERROR(VLOOKUP(AR21,'Top WS'!$A$19:$B$28,2),0)</f>
        <v>180</v>
      </c>
      <c r="BF21" s="1">
        <f>IFERROR(VLOOKUP(AS21,'Top WS'!$A$19:$B$28,2),0)</f>
        <v>240</v>
      </c>
      <c r="BG21" s="1">
        <f>IFERROR(VLOOKUP(AT21,'Top WS'!$A$19:$B$28,2),0)</f>
        <v>180</v>
      </c>
      <c r="BH21" s="1">
        <f>IFERROR(VLOOKUP(AU21,'Top WS'!$A$19:$B$28,2),0)</f>
        <v>190</v>
      </c>
      <c r="BI21" s="1">
        <f>IFERROR(VLOOKUP(AV21,'Top WS'!$A$19:$B$28,2),0)</f>
        <v>200</v>
      </c>
      <c r="BJ21" s="1">
        <f>IFERROR(VLOOKUP(AW21,'Top WS'!$A$19:$B$28,2),0)</f>
        <v>180</v>
      </c>
      <c r="BK21" s="89">
        <f>IFERROR(VLOOKUP(AX21,'Top WS'!$A$19:$B$28,2),0)</f>
        <v>180</v>
      </c>
      <c r="BL21" s="89">
        <f>IFERROR(VLOOKUP(AY21,'Top WS'!$A$19:$B$28,2),0)</f>
        <v>180</v>
      </c>
      <c r="BM21" s="89">
        <f>IFERROR(VLOOKUP(AZ21,'Top WS'!$A$19:$B$28,2),0)</f>
        <v>180</v>
      </c>
      <c r="BN21" s="89">
        <f>IFERROR(VLOOKUP(BA21,'Top WS'!$A$19:$B$28,2),0)</f>
        <v>180</v>
      </c>
      <c r="BO21" s="89">
        <f>IFERROR(VLOOKUP(BB21,'Top WS'!$A$19:$B$28,2),0)</f>
        <v>180</v>
      </c>
      <c r="BP21" s="89">
        <f>IFERROR(VLOOKUP(BC21,'Top WS'!$A$19:$B$28,2),0)</f>
        <v>180</v>
      </c>
    </row>
    <row r="22" spans="1:68" x14ac:dyDescent="0.4">
      <c r="A22">
        <v>1190027101</v>
      </c>
      <c r="B22">
        <f>VLOOKUP(A22,[1]Sheet2!$A$2:$C$409,2,0)</f>
        <v>70526</v>
      </c>
      <c r="C22" t="str">
        <f>VLOOKUP(A22,[1]Sheet2!$A$2:$C$409,3,0)</f>
        <v>นายสมฤกษ นิลสนธิ์</v>
      </c>
      <c r="D22" t="s">
        <v>92</v>
      </c>
      <c r="E22" s="1">
        <v>1445</v>
      </c>
      <c r="F22" s="1">
        <v>1462</v>
      </c>
      <c r="G22" s="1">
        <v>1353</v>
      </c>
      <c r="H22" s="1">
        <v>1098</v>
      </c>
      <c r="I22" s="1">
        <v>1128</v>
      </c>
      <c r="J22" s="1">
        <v>1253</v>
      </c>
      <c r="K22" s="1">
        <v>1418</v>
      </c>
      <c r="L22" s="1">
        <v>1563</v>
      </c>
      <c r="M22" s="1">
        <v>1693</v>
      </c>
      <c r="N22" s="1">
        <v>1850</v>
      </c>
      <c r="O22" s="1">
        <v>1279</v>
      </c>
      <c r="P22" s="1">
        <v>1048</v>
      </c>
      <c r="R22" s="1" cm="1">
        <f t="array" ref="R22:W22">IFERROR(_xlfn.XLOOKUP(A22,'Actual_Aji Plus'!A:A,'Actual_Aji Plus'!C:H),0)</f>
        <v>1952.46</v>
      </c>
      <c r="S22" s="1">
        <v>1169.2800000000002</v>
      </c>
      <c r="T22" s="1">
        <v>778.5</v>
      </c>
      <c r="U22" s="1">
        <v>1577.4</v>
      </c>
      <c r="V22" s="1">
        <v>234.18</v>
      </c>
      <c r="W22" s="1">
        <v>903.9</v>
      </c>
      <c r="X22" s="102"/>
      <c r="Y22" s="102"/>
      <c r="Z22" s="102"/>
      <c r="AA22" s="102"/>
      <c r="AB22" s="102"/>
      <c r="AC22" s="102"/>
      <c r="AD22" s="1"/>
      <c r="AE22" s="88">
        <f t="shared" si="4"/>
        <v>1.3511833910034603</v>
      </c>
      <c r="AF22" s="88">
        <f t="shared" si="5"/>
        <v>0.79978112175102611</v>
      </c>
      <c r="AG22" s="88">
        <f t="shared" si="6"/>
        <v>0.57538802660753885</v>
      </c>
      <c r="AH22" s="88">
        <f t="shared" si="7"/>
        <v>1.4366120218579235</v>
      </c>
      <c r="AI22" s="88">
        <f t="shared" si="8"/>
        <v>0.20760638297872341</v>
      </c>
      <c r="AJ22" s="88">
        <f t="shared" si="9"/>
        <v>0.72138866719872308</v>
      </c>
      <c r="AK22" s="90">
        <f t="shared" si="10"/>
        <v>0</v>
      </c>
      <c r="AL22" s="90">
        <f t="shared" si="11"/>
        <v>0</v>
      </c>
      <c r="AM22" s="90">
        <f t="shared" si="12"/>
        <v>0</v>
      </c>
      <c r="AN22" s="90">
        <f t="shared" si="13"/>
        <v>0</v>
      </c>
      <c r="AO22" s="90">
        <f t="shared" si="14"/>
        <v>0</v>
      </c>
      <c r="AP22" s="90">
        <f t="shared" si="15"/>
        <v>0</v>
      </c>
      <c r="AQ22" s="88"/>
      <c r="AR22" s="90">
        <f t="shared" si="16"/>
        <v>1.3512</v>
      </c>
      <c r="AS22" s="90">
        <f t="shared" si="17"/>
        <v>0.79979999999999996</v>
      </c>
      <c r="AT22" s="90">
        <f t="shared" si="18"/>
        <v>0.57540000000000002</v>
      </c>
      <c r="AU22" s="90">
        <f t="shared" si="19"/>
        <v>1.4366000000000001</v>
      </c>
      <c r="AV22" s="90">
        <f t="shared" si="20"/>
        <v>0.20760000000000001</v>
      </c>
      <c r="AW22" s="90">
        <f t="shared" si="21"/>
        <v>0.72140000000000004</v>
      </c>
      <c r="AX22" s="90">
        <f t="shared" si="22"/>
        <v>0</v>
      </c>
      <c r="AY22" s="90">
        <f t="shared" si="23"/>
        <v>0</v>
      </c>
      <c r="AZ22" s="90">
        <f t="shared" si="24"/>
        <v>0</v>
      </c>
      <c r="BA22" s="90">
        <f t="shared" si="25"/>
        <v>0</v>
      </c>
      <c r="BB22" s="90">
        <f t="shared" si="26"/>
        <v>0</v>
      </c>
      <c r="BC22" s="90">
        <f t="shared" si="27"/>
        <v>0</v>
      </c>
      <c r="BD22" s="88"/>
      <c r="BE22" s="1">
        <f>IFERROR(VLOOKUP(AR22,'Top WS'!$A$19:$B$28,2),0)</f>
        <v>260</v>
      </c>
      <c r="BF22" s="1">
        <f>IFERROR(VLOOKUP(AS22,'Top WS'!$A$19:$B$28,2),0)</f>
        <v>180</v>
      </c>
      <c r="BG22" s="1">
        <f>IFERROR(VLOOKUP(AT22,'Top WS'!$A$19:$B$28,2),0)</f>
        <v>180</v>
      </c>
      <c r="BH22" s="1">
        <f>IFERROR(VLOOKUP(AU22,'Top WS'!$A$19:$B$28,2),0)</f>
        <v>260</v>
      </c>
      <c r="BI22" s="1">
        <f>IFERROR(VLOOKUP(AV22,'Top WS'!$A$19:$B$28,2),0)</f>
        <v>180</v>
      </c>
      <c r="BJ22" s="1">
        <f>IFERROR(VLOOKUP(AW22,'Top WS'!$A$19:$B$28,2),0)</f>
        <v>180</v>
      </c>
      <c r="BK22" s="89">
        <f>IFERROR(VLOOKUP(AX22,'Top WS'!$A$19:$B$28,2),0)</f>
        <v>180</v>
      </c>
      <c r="BL22" s="89">
        <f>IFERROR(VLOOKUP(AY22,'Top WS'!$A$19:$B$28,2),0)</f>
        <v>180</v>
      </c>
      <c r="BM22" s="89">
        <f>IFERROR(VLOOKUP(AZ22,'Top WS'!$A$19:$B$28,2),0)</f>
        <v>180</v>
      </c>
      <c r="BN22" s="89">
        <f>IFERROR(VLOOKUP(BA22,'Top WS'!$A$19:$B$28,2),0)</f>
        <v>180</v>
      </c>
      <c r="BO22" s="89">
        <f>IFERROR(VLOOKUP(BB22,'Top WS'!$A$19:$B$28,2),0)</f>
        <v>180</v>
      </c>
      <c r="BP22" s="89">
        <f>IFERROR(VLOOKUP(BC22,'Top WS'!$A$19:$B$28,2),0)</f>
        <v>180</v>
      </c>
    </row>
    <row r="23" spans="1:68" x14ac:dyDescent="0.4">
      <c r="A23">
        <v>1190032602</v>
      </c>
      <c r="B23">
        <f>VLOOKUP(A23,[1]Sheet2!$A$2:$C$409,2,0)</f>
        <v>66632</v>
      </c>
      <c r="C23" t="str">
        <f>VLOOKUP(A23,[1]Sheet2!$A$2:$C$409,3,0)</f>
        <v>นายสิทธิชัย ใจเย็น</v>
      </c>
      <c r="D23" t="s">
        <v>93</v>
      </c>
      <c r="E23" s="1">
        <v>29000</v>
      </c>
      <c r="F23" s="1">
        <v>30300</v>
      </c>
      <c r="G23" s="1">
        <v>24900</v>
      </c>
      <c r="H23" s="1">
        <v>40500</v>
      </c>
      <c r="I23" s="1">
        <v>29800</v>
      </c>
      <c r="J23" s="1">
        <v>33650</v>
      </c>
      <c r="K23" s="1">
        <v>27000</v>
      </c>
      <c r="L23" s="1">
        <v>34850</v>
      </c>
      <c r="M23" s="1">
        <v>26400</v>
      </c>
      <c r="N23" s="1">
        <v>33600</v>
      </c>
      <c r="O23" s="1">
        <v>29200</v>
      </c>
      <c r="P23" s="1">
        <v>27800</v>
      </c>
      <c r="R23" s="1" cm="1">
        <f t="array" ref="R23:W23">IFERROR(_xlfn.XLOOKUP(A23,'Actual_Aji Plus'!A:A,'Actual_Aji Plus'!C:H),0)</f>
        <v>27554.340000000018</v>
      </c>
      <c r="S23" s="1">
        <v>27829.559999999994</v>
      </c>
      <c r="T23" s="1">
        <v>26126.340000000011</v>
      </c>
      <c r="U23" s="1">
        <v>24269.759999999984</v>
      </c>
      <c r="V23" s="1">
        <v>33572.040000000037</v>
      </c>
      <c r="W23" s="1">
        <v>31694.16</v>
      </c>
      <c r="X23" s="102"/>
      <c r="Y23" s="102"/>
      <c r="Z23" s="102"/>
      <c r="AA23" s="102"/>
      <c r="AB23" s="102"/>
      <c r="AC23" s="102"/>
      <c r="AD23" s="1"/>
      <c r="AE23" s="88">
        <f t="shared" si="4"/>
        <v>0.95014965517241445</v>
      </c>
      <c r="AF23" s="88">
        <f t="shared" si="5"/>
        <v>0.91846732673267306</v>
      </c>
      <c r="AG23" s="88">
        <f t="shared" si="6"/>
        <v>1.0492506024096391</v>
      </c>
      <c r="AH23" s="88">
        <f t="shared" si="7"/>
        <v>0.59925333333333297</v>
      </c>
      <c r="AI23" s="88">
        <f t="shared" si="8"/>
        <v>1.1265785234899341</v>
      </c>
      <c r="AJ23" s="88">
        <f t="shared" si="9"/>
        <v>0.9418769687964339</v>
      </c>
      <c r="AK23" s="90">
        <f t="shared" si="10"/>
        <v>0</v>
      </c>
      <c r="AL23" s="90">
        <f t="shared" si="11"/>
        <v>0</v>
      </c>
      <c r="AM23" s="90">
        <f t="shared" si="12"/>
        <v>0</v>
      </c>
      <c r="AN23" s="90">
        <f t="shared" si="13"/>
        <v>0</v>
      </c>
      <c r="AO23" s="90">
        <f t="shared" si="14"/>
        <v>0</v>
      </c>
      <c r="AP23" s="90">
        <f t="shared" si="15"/>
        <v>0</v>
      </c>
      <c r="AQ23" s="88"/>
      <c r="AR23" s="90">
        <f t="shared" si="16"/>
        <v>0.95009999999999994</v>
      </c>
      <c r="AS23" s="90">
        <f t="shared" si="17"/>
        <v>0.91849999999999998</v>
      </c>
      <c r="AT23" s="90">
        <f t="shared" si="18"/>
        <v>1.0492999999999999</v>
      </c>
      <c r="AU23" s="90">
        <f t="shared" si="19"/>
        <v>0.59930000000000005</v>
      </c>
      <c r="AV23" s="90">
        <f t="shared" si="20"/>
        <v>1.1266</v>
      </c>
      <c r="AW23" s="90">
        <f t="shared" si="21"/>
        <v>0.94189999999999996</v>
      </c>
      <c r="AX23" s="90">
        <f t="shared" si="22"/>
        <v>0</v>
      </c>
      <c r="AY23" s="90">
        <f t="shared" si="23"/>
        <v>0</v>
      </c>
      <c r="AZ23" s="90">
        <f t="shared" si="24"/>
        <v>0</v>
      </c>
      <c r="BA23" s="90">
        <f t="shared" si="25"/>
        <v>0</v>
      </c>
      <c r="BB23" s="90">
        <f t="shared" si="26"/>
        <v>0</v>
      </c>
      <c r="BC23" s="90">
        <f t="shared" si="27"/>
        <v>0</v>
      </c>
      <c r="BD23" s="88"/>
      <c r="BE23" s="1">
        <f>IFERROR(VLOOKUP(AR23,'Top WS'!$A$19:$B$28,2),0)</f>
        <v>200</v>
      </c>
      <c r="BF23" s="1">
        <f>IFERROR(VLOOKUP(AS23,'Top WS'!$A$19:$B$28,2),0)</f>
        <v>190</v>
      </c>
      <c r="BG23" s="1">
        <f>IFERROR(VLOOKUP(AT23,'Top WS'!$A$19:$B$28,2),0)</f>
        <v>216</v>
      </c>
      <c r="BH23" s="1">
        <f>IFERROR(VLOOKUP(AU23,'Top WS'!$A$19:$B$28,2),0)</f>
        <v>180</v>
      </c>
      <c r="BI23" s="1">
        <f>IFERROR(VLOOKUP(AV23,'Top WS'!$A$19:$B$28,2),0)</f>
        <v>230</v>
      </c>
      <c r="BJ23" s="1">
        <f>IFERROR(VLOOKUP(AW23,'Top WS'!$A$19:$B$28,2),0)</f>
        <v>190</v>
      </c>
      <c r="BK23" s="89">
        <f>IFERROR(VLOOKUP(AX23,'Top WS'!$A$19:$B$28,2),0)</f>
        <v>180</v>
      </c>
      <c r="BL23" s="89">
        <f>IFERROR(VLOOKUP(AY23,'Top WS'!$A$19:$B$28,2),0)</f>
        <v>180</v>
      </c>
      <c r="BM23" s="89">
        <f>IFERROR(VLOOKUP(AZ23,'Top WS'!$A$19:$B$28,2),0)</f>
        <v>180</v>
      </c>
      <c r="BN23" s="89">
        <f>IFERROR(VLOOKUP(BA23,'Top WS'!$A$19:$B$28,2),0)</f>
        <v>180</v>
      </c>
      <c r="BO23" s="89">
        <f>IFERROR(VLOOKUP(BB23,'Top WS'!$A$19:$B$28,2),0)</f>
        <v>180</v>
      </c>
      <c r="BP23" s="89">
        <f>IFERROR(VLOOKUP(BC23,'Top WS'!$A$19:$B$28,2),0)</f>
        <v>180</v>
      </c>
    </row>
    <row r="24" spans="1:68" x14ac:dyDescent="0.4">
      <c r="A24">
        <v>1190032701</v>
      </c>
      <c r="B24">
        <f>VLOOKUP(A24,[1]Sheet2!$A$2:$C$409,2,0)</f>
        <v>70330</v>
      </c>
      <c r="C24" t="str">
        <f>VLOOKUP(A24,[1]Sheet2!$A$2:$C$409,3,0)</f>
        <v>นายสุรวรรณ ทวีสิน</v>
      </c>
      <c r="D24" t="s">
        <v>94</v>
      </c>
      <c r="E24" s="1">
        <v>6178</v>
      </c>
      <c r="F24" s="1">
        <v>6521</v>
      </c>
      <c r="G24" s="1">
        <v>4665</v>
      </c>
      <c r="H24" s="1">
        <v>5274</v>
      </c>
      <c r="I24" s="1">
        <v>4130</v>
      </c>
      <c r="J24" s="1">
        <v>6498</v>
      </c>
      <c r="K24" s="1">
        <v>4725</v>
      </c>
      <c r="L24" s="1">
        <v>6842</v>
      </c>
      <c r="M24" s="1">
        <v>5606</v>
      </c>
      <c r="N24" s="1">
        <v>6109</v>
      </c>
      <c r="O24" s="1">
        <v>5595</v>
      </c>
      <c r="P24" s="1">
        <v>5503</v>
      </c>
      <c r="R24" s="1" cm="1">
        <f t="array" ref="R24:W24">IFERROR(_xlfn.XLOOKUP(A24,'Actual_Aji Plus'!A:A,'Actual_Aji Plus'!C:H),0)</f>
        <v>5130.7199999999984</v>
      </c>
      <c r="S24" s="1">
        <v>3245.7599999999993</v>
      </c>
      <c r="T24" s="1">
        <v>5201.2800000000007</v>
      </c>
      <c r="U24" s="1">
        <v>5433.119999999999</v>
      </c>
      <c r="V24" s="1">
        <v>4455.3599999999988</v>
      </c>
      <c r="W24" s="1">
        <v>5019.8399999999983</v>
      </c>
      <c r="X24" s="102"/>
      <c r="Y24" s="102"/>
      <c r="Z24" s="102"/>
      <c r="AA24" s="102"/>
      <c r="AB24" s="102"/>
      <c r="AC24" s="102"/>
      <c r="AD24" s="1"/>
      <c r="AE24" s="88">
        <f t="shared" si="4"/>
        <v>0.8304823567497569</v>
      </c>
      <c r="AF24" s="88">
        <f t="shared" si="5"/>
        <v>0.49773961048918869</v>
      </c>
      <c r="AG24" s="88">
        <f t="shared" si="6"/>
        <v>1.1149581993569133</v>
      </c>
      <c r="AH24" s="88">
        <f t="shared" si="7"/>
        <v>1.0301706484641637</v>
      </c>
      <c r="AI24" s="88">
        <f t="shared" si="8"/>
        <v>1.0787796610169489</v>
      </c>
      <c r="AJ24" s="88">
        <f t="shared" si="9"/>
        <v>0.77252077562326849</v>
      </c>
      <c r="AK24" s="90">
        <f t="shared" si="10"/>
        <v>0</v>
      </c>
      <c r="AL24" s="90">
        <f t="shared" si="11"/>
        <v>0</v>
      </c>
      <c r="AM24" s="90">
        <f t="shared" si="12"/>
        <v>0</v>
      </c>
      <c r="AN24" s="90">
        <f t="shared" si="13"/>
        <v>0</v>
      </c>
      <c r="AO24" s="90">
        <f t="shared" si="14"/>
        <v>0</v>
      </c>
      <c r="AP24" s="90">
        <f t="shared" si="15"/>
        <v>0</v>
      </c>
      <c r="AQ24" s="88"/>
      <c r="AR24" s="90">
        <f t="shared" si="16"/>
        <v>0.83050000000000002</v>
      </c>
      <c r="AS24" s="90">
        <f t="shared" si="17"/>
        <v>0.49769999999999998</v>
      </c>
      <c r="AT24" s="90">
        <f t="shared" si="18"/>
        <v>1.115</v>
      </c>
      <c r="AU24" s="90">
        <f t="shared" si="19"/>
        <v>1.0302</v>
      </c>
      <c r="AV24" s="90">
        <f t="shared" si="20"/>
        <v>1.0788</v>
      </c>
      <c r="AW24" s="90">
        <f t="shared" si="21"/>
        <v>0.77249999999999996</v>
      </c>
      <c r="AX24" s="90">
        <f t="shared" si="22"/>
        <v>0</v>
      </c>
      <c r="AY24" s="90">
        <f t="shared" si="23"/>
        <v>0</v>
      </c>
      <c r="AZ24" s="90">
        <f t="shared" si="24"/>
        <v>0</v>
      </c>
      <c r="BA24" s="90">
        <f t="shared" si="25"/>
        <v>0</v>
      </c>
      <c r="BB24" s="90">
        <f t="shared" si="26"/>
        <v>0</v>
      </c>
      <c r="BC24" s="90">
        <f t="shared" si="27"/>
        <v>0</v>
      </c>
      <c r="BD24" s="88"/>
      <c r="BE24" s="1">
        <f>IFERROR(VLOOKUP(AR24,'Top WS'!$A$19:$B$28,2),0)</f>
        <v>180</v>
      </c>
      <c r="BF24" s="1">
        <f>IFERROR(VLOOKUP(AS24,'Top WS'!$A$19:$B$28,2),0)</f>
        <v>180</v>
      </c>
      <c r="BG24" s="1">
        <f>IFERROR(VLOOKUP(AT24,'Top WS'!$A$19:$B$28,2),0)</f>
        <v>230</v>
      </c>
      <c r="BH24" s="1">
        <f>IFERROR(VLOOKUP(AU24,'Top WS'!$A$19:$B$28,2),0)</f>
        <v>216</v>
      </c>
      <c r="BI24" s="1">
        <f>IFERROR(VLOOKUP(AV24,'Top WS'!$A$19:$B$28,2),0)</f>
        <v>220</v>
      </c>
      <c r="BJ24" s="1">
        <f>IFERROR(VLOOKUP(AW24,'Top WS'!$A$19:$B$28,2),0)</f>
        <v>180</v>
      </c>
      <c r="BK24" s="89">
        <f>IFERROR(VLOOKUP(AX24,'Top WS'!$A$19:$B$28,2),0)</f>
        <v>180</v>
      </c>
      <c r="BL24" s="89">
        <f>IFERROR(VLOOKUP(AY24,'Top WS'!$A$19:$B$28,2),0)</f>
        <v>180</v>
      </c>
      <c r="BM24" s="89">
        <f>IFERROR(VLOOKUP(AZ24,'Top WS'!$A$19:$B$28,2),0)</f>
        <v>180</v>
      </c>
      <c r="BN24" s="89">
        <f>IFERROR(VLOOKUP(BA24,'Top WS'!$A$19:$B$28,2),0)</f>
        <v>180</v>
      </c>
      <c r="BO24" s="89">
        <f>IFERROR(VLOOKUP(BB24,'Top WS'!$A$19:$B$28,2),0)</f>
        <v>180</v>
      </c>
      <c r="BP24" s="89">
        <f>IFERROR(VLOOKUP(BC24,'Top WS'!$A$19:$B$28,2),0)</f>
        <v>180</v>
      </c>
    </row>
    <row r="25" spans="1:68" x14ac:dyDescent="0.4">
      <c r="A25">
        <v>1190032801</v>
      </c>
      <c r="B25">
        <f>VLOOKUP(A25,[1]Sheet2!$A$2:$C$409,2,0)</f>
        <v>71360</v>
      </c>
      <c r="C25" t="str">
        <f>VLOOKUP(A25,[1]Sheet2!$A$2:$C$409,3,0)</f>
        <v>นายทนงศักดิ์ เวชมณีศรี</v>
      </c>
      <c r="D25" t="s">
        <v>95</v>
      </c>
      <c r="E25" s="1">
        <v>3410.3224260000006</v>
      </c>
      <c r="F25" s="1">
        <v>6267.1273139999994</v>
      </c>
      <c r="G25" s="1">
        <v>5601.1223660000005</v>
      </c>
      <c r="H25" s="1">
        <v>3588.9776020000008</v>
      </c>
      <c r="I25" s="1">
        <v>2610</v>
      </c>
      <c r="J25" s="1">
        <v>4347.599760000001</v>
      </c>
      <c r="K25" s="1">
        <v>3328.7883720000013</v>
      </c>
      <c r="L25" s="1">
        <v>4332.5646419999994</v>
      </c>
      <c r="M25" s="1">
        <v>4379.3920800000014</v>
      </c>
      <c r="N25" s="1">
        <v>4727.1868140000015</v>
      </c>
      <c r="O25" s="1">
        <v>3190.0943760000009</v>
      </c>
      <c r="P25" s="1">
        <v>4546.8316320000004</v>
      </c>
      <c r="R25" s="1" cm="1">
        <f t="array" ref="R25:W25">IFERROR(_xlfn.XLOOKUP(A25,'Actual_Aji Plus'!A:A,'Actual_Aji Plus'!C:H),0)</f>
        <v>3469.0800000000013</v>
      </c>
      <c r="S25" s="1">
        <v>4433.9399999999996</v>
      </c>
      <c r="T25" s="1">
        <v>4046.4600000000005</v>
      </c>
      <c r="U25" s="1">
        <v>4325.16</v>
      </c>
      <c r="V25" s="1">
        <v>3069.1800000000007</v>
      </c>
      <c r="W25" s="1">
        <v>3514.0800000000004</v>
      </c>
      <c r="X25" s="102"/>
      <c r="Y25" s="102"/>
      <c r="Z25" s="102"/>
      <c r="AA25" s="102"/>
      <c r="AB25" s="102"/>
      <c r="AC25" s="102"/>
      <c r="AD25" s="1"/>
      <c r="AE25" s="88">
        <f t="shared" si="4"/>
        <v>1.017229331031001</v>
      </c>
      <c r="AF25" s="88">
        <f t="shared" si="5"/>
        <v>0.70749161104404523</v>
      </c>
      <c r="AG25" s="88">
        <f t="shared" si="6"/>
        <v>0.72243735015733102</v>
      </c>
      <c r="AH25" s="88">
        <f t="shared" si="7"/>
        <v>1.2051231519499459</v>
      </c>
      <c r="AI25" s="88">
        <f t="shared" si="8"/>
        <v>1.1759310344827589</v>
      </c>
      <c r="AJ25" s="88">
        <f t="shared" si="9"/>
        <v>0.80828047520179258</v>
      </c>
      <c r="AK25" s="90">
        <f t="shared" si="10"/>
        <v>0</v>
      </c>
      <c r="AL25" s="90">
        <f t="shared" si="11"/>
        <v>0</v>
      </c>
      <c r="AM25" s="90">
        <f t="shared" si="12"/>
        <v>0</v>
      </c>
      <c r="AN25" s="90">
        <f t="shared" si="13"/>
        <v>0</v>
      </c>
      <c r="AO25" s="90">
        <f t="shared" si="14"/>
        <v>0</v>
      </c>
      <c r="AP25" s="90">
        <f t="shared" si="15"/>
        <v>0</v>
      </c>
      <c r="AQ25" s="88"/>
      <c r="AR25" s="90">
        <f t="shared" si="16"/>
        <v>1.0172000000000001</v>
      </c>
      <c r="AS25" s="90">
        <f t="shared" si="17"/>
        <v>0.70750000000000002</v>
      </c>
      <c r="AT25" s="90">
        <f t="shared" si="18"/>
        <v>0.72240000000000004</v>
      </c>
      <c r="AU25" s="90">
        <f t="shared" si="19"/>
        <v>1.2051000000000001</v>
      </c>
      <c r="AV25" s="90">
        <f t="shared" si="20"/>
        <v>1.1758999999999999</v>
      </c>
      <c r="AW25" s="90">
        <f t="shared" si="21"/>
        <v>0.80830000000000002</v>
      </c>
      <c r="AX25" s="90">
        <f t="shared" si="22"/>
        <v>0</v>
      </c>
      <c r="AY25" s="90">
        <f t="shared" si="23"/>
        <v>0</v>
      </c>
      <c r="AZ25" s="90">
        <f t="shared" si="24"/>
        <v>0</v>
      </c>
      <c r="BA25" s="90">
        <f t="shared" si="25"/>
        <v>0</v>
      </c>
      <c r="BB25" s="90">
        <f t="shared" si="26"/>
        <v>0</v>
      </c>
      <c r="BC25" s="90">
        <f t="shared" si="27"/>
        <v>0</v>
      </c>
      <c r="BD25" s="88"/>
      <c r="BE25" s="1">
        <f>IFERROR(VLOOKUP(AR25,'Top WS'!$A$19:$B$28,2),0)</f>
        <v>206</v>
      </c>
      <c r="BF25" s="1">
        <f>IFERROR(VLOOKUP(AS25,'Top WS'!$A$19:$B$28,2),0)</f>
        <v>180</v>
      </c>
      <c r="BG25" s="1">
        <f>IFERROR(VLOOKUP(AT25,'Top WS'!$A$19:$B$28,2),0)</f>
        <v>180</v>
      </c>
      <c r="BH25" s="1">
        <f>IFERROR(VLOOKUP(AU25,'Top WS'!$A$19:$B$28,2),0)</f>
        <v>260</v>
      </c>
      <c r="BI25" s="1">
        <f>IFERROR(VLOOKUP(AV25,'Top WS'!$A$19:$B$28,2),0)</f>
        <v>240</v>
      </c>
      <c r="BJ25" s="1">
        <f>IFERROR(VLOOKUP(AW25,'Top WS'!$A$19:$B$28,2),0)</f>
        <v>180</v>
      </c>
      <c r="BK25" s="89">
        <f>IFERROR(VLOOKUP(AX25,'Top WS'!$A$19:$B$28,2),0)</f>
        <v>180</v>
      </c>
      <c r="BL25" s="89">
        <f>IFERROR(VLOOKUP(AY25,'Top WS'!$A$19:$B$28,2),0)</f>
        <v>180</v>
      </c>
      <c r="BM25" s="89">
        <f>IFERROR(VLOOKUP(AZ25,'Top WS'!$A$19:$B$28,2),0)</f>
        <v>180</v>
      </c>
      <c r="BN25" s="89">
        <f>IFERROR(VLOOKUP(BA25,'Top WS'!$A$19:$B$28,2),0)</f>
        <v>180</v>
      </c>
      <c r="BO25" s="89">
        <f>IFERROR(VLOOKUP(BB25,'Top WS'!$A$19:$B$28,2),0)</f>
        <v>180</v>
      </c>
      <c r="BP25" s="89">
        <f>IFERROR(VLOOKUP(BC25,'Top WS'!$A$19:$B$28,2),0)</f>
        <v>180</v>
      </c>
    </row>
    <row r="26" spans="1:68" x14ac:dyDescent="0.4">
      <c r="A26">
        <v>1190032901</v>
      </c>
      <c r="B26">
        <f>VLOOKUP(A26,[1]Sheet2!$A$2:$C$409,2,0)</f>
        <v>70259</v>
      </c>
      <c r="C26" t="str">
        <f>VLOOKUP(A26,[1]Sheet2!$A$2:$C$409,3,0)</f>
        <v>นายจิรศักดิ์ งามสม</v>
      </c>
      <c r="D26" t="s">
        <v>96</v>
      </c>
      <c r="E26" s="1">
        <v>2753.4506776599001</v>
      </c>
      <c r="F26" s="1">
        <v>3060.4055681959871</v>
      </c>
      <c r="G26" s="1">
        <v>3400.5377107304457</v>
      </c>
      <c r="H26" s="1">
        <v>3315.3087464432983</v>
      </c>
      <c r="I26" s="1">
        <v>2169.6485996807282</v>
      </c>
      <c r="J26" s="1">
        <v>4409.1131095706232</v>
      </c>
      <c r="K26" s="1">
        <v>2675.5363831046748</v>
      </c>
      <c r="L26" s="1">
        <v>3290.1427993894176</v>
      </c>
      <c r="M26" s="1">
        <v>2327.8283326335813</v>
      </c>
      <c r="N26" s="1">
        <v>3800.8852594509208</v>
      </c>
      <c r="O26" s="1">
        <v>3221.5024611014537</v>
      </c>
      <c r="P26" s="1">
        <v>2405.8297065903762</v>
      </c>
      <c r="R26" s="1" cm="1">
        <f t="array" ref="R26:W26">IFERROR(_xlfn.XLOOKUP(A26,'Actual_Aji Plus'!A:A,'Actual_Aji Plus'!C:H),0)</f>
        <v>1215.9000000000001</v>
      </c>
      <c r="S26" s="1">
        <v>2899.9799999999991</v>
      </c>
      <c r="T26" s="1">
        <v>2392.920000000001</v>
      </c>
      <c r="U26" s="1">
        <v>2680.0800000000004</v>
      </c>
      <c r="V26" s="1">
        <v>3277.3799999999992</v>
      </c>
      <c r="W26" s="1">
        <v>2353.0800000000008</v>
      </c>
      <c r="X26" s="102"/>
      <c r="Y26" s="102"/>
      <c r="Z26" s="102"/>
      <c r="AA26" s="102"/>
      <c r="AB26" s="102"/>
      <c r="AC26" s="102"/>
      <c r="AD26" s="1"/>
      <c r="AE26" s="88">
        <f t="shared" si="4"/>
        <v>0.4415913493076869</v>
      </c>
      <c r="AF26" s="88">
        <f t="shared" si="5"/>
        <v>0.94758029136296673</v>
      </c>
      <c r="AG26" s="88">
        <f t="shared" si="6"/>
        <v>0.7036887114791015</v>
      </c>
      <c r="AH26" s="88">
        <f t="shared" si="7"/>
        <v>0.80839529738375693</v>
      </c>
      <c r="AI26" s="88">
        <f t="shared" si="8"/>
        <v>1.5105579772145028</v>
      </c>
      <c r="AJ26" s="88">
        <f t="shared" si="9"/>
        <v>0.53368556023030966</v>
      </c>
      <c r="AK26" s="90">
        <f t="shared" si="10"/>
        <v>0</v>
      </c>
      <c r="AL26" s="90">
        <f t="shared" si="11"/>
        <v>0</v>
      </c>
      <c r="AM26" s="90">
        <f t="shared" si="12"/>
        <v>0</v>
      </c>
      <c r="AN26" s="90">
        <f t="shared" si="13"/>
        <v>0</v>
      </c>
      <c r="AO26" s="90">
        <f t="shared" si="14"/>
        <v>0</v>
      </c>
      <c r="AP26" s="90">
        <f t="shared" si="15"/>
        <v>0</v>
      </c>
      <c r="AQ26" s="88"/>
      <c r="AR26" s="90">
        <f t="shared" si="16"/>
        <v>0.44159999999999999</v>
      </c>
      <c r="AS26" s="90">
        <f t="shared" si="17"/>
        <v>0.9476</v>
      </c>
      <c r="AT26" s="90">
        <f t="shared" si="18"/>
        <v>0.70369999999999999</v>
      </c>
      <c r="AU26" s="90">
        <f t="shared" si="19"/>
        <v>0.80840000000000001</v>
      </c>
      <c r="AV26" s="90">
        <f t="shared" si="20"/>
        <v>1.5105999999999999</v>
      </c>
      <c r="AW26" s="90">
        <f t="shared" si="21"/>
        <v>0.53369999999999995</v>
      </c>
      <c r="AX26" s="90">
        <f t="shared" si="22"/>
        <v>0</v>
      </c>
      <c r="AY26" s="90">
        <f t="shared" si="23"/>
        <v>0</v>
      </c>
      <c r="AZ26" s="90">
        <f t="shared" si="24"/>
        <v>0</v>
      </c>
      <c r="BA26" s="90">
        <f t="shared" si="25"/>
        <v>0</v>
      </c>
      <c r="BB26" s="90">
        <f t="shared" si="26"/>
        <v>0</v>
      </c>
      <c r="BC26" s="90">
        <f t="shared" si="27"/>
        <v>0</v>
      </c>
      <c r="BD26" s="88"/>
      <c r="BE26" s="1">
        <f>IFERROR(VLOOKUP(AR26,'Top WS'!$A$19:$B$28,2),0)</f>
        <v>180</v>
      </c>
      <c r="BF26" s="1">
        <f>IFERROR(VLOOKUP(AS26,'Top WS'!$A$19:$B$28,2),0)</f>
        <v>190</v>
      </c>
      <c r="BG26" s="1">
        <f>IFERROR(VLOOKUP(AT26,'Top WS'!$A$19:$B$28,2),0)</f>
        <v>180</v>
      </c>
      <c r="BH26" s="1">
        <f>IFERROR(VLOOKUP(AU26,'Top WS'!$A$19:$B$28,2),0)</f>
        <v>180</v>
      </c>
      <c r="BI26" s="1">
        <f>IFERROR(VLOOKUP(AV26,'Top WS'!$A$19:$B$28,2),0)</f>
        <v>260</v>
      </c>
      <c r="BJ26" s="1">
        <f>IFERROR(VLOOKUP(AW26,'Top WS'!$A$19:$B$28,2),0)</f>
        <v>180</v>
      </c>
      <c r="BK26" s="89">
        <f>IFERROR(VLOOKUP(AX26,'Top WS'!$A$19:$B$28,2),0)</f>
        <v>180</v>
      </c>
      <c r="BL26" s="89">
        <f>IFERROR(VLOOKUP(AY26,'Top WS'!$A$19:$B$28,2),0)</f>
        <v>180</v>
      </c>
      <c r="BM26" s="89">
        <f>IFERROR(VLOOKUP(AZ26,'Top WS'!$A$19:$B$28,2),0)</f>
        <v>180</v>
      </c>
      <c r="BN26" s="89">
        <f>IFERROR(VLOOKUP(BA26,'Top WS'!$A$19:$B$28,2),0)</f>
        <v>180</v>
      </c>
      <c r="BO26" s="89">
        <f>IFERROR(VLOOKUP(BB26,'Top WS'!$A$19:$B$28,2),0)</f>
        <v>180</v>
      </c>
      <c r="BP26" s="89">
        <f>IFERROR(VLOOKUP(BC26,'Top WS'!$A$19:$B$28,2),0)</f>
        <v>180</v>
      </c>
    </row>
    <row r="27" spans="1:68" x14ac:dyDescent="0.4">
      <c r="A27">
        <v>1190032902</v>
      </c>
      <c r="B27">
        <f>VLOOKUP(A27,[1]Sheet2!$A$2:$C$409,2,0)</f>
        <v>71996</v>
      </c>
      <c r="C27" t="str">
        <f>VLOOKUP(A27,[1]Sheet2!$A$2:$C$409,3,0)</f>
        <v>นายสุนทร ม่วงกุน</v>
      </c>
      <c r="D27" t="s">
        <v>96</v>
      </c>
      <c r="E27" s="1">
        <v>5785.7162914463152</v>
      </c>
      <c r="F27" s="1">
        <v>6430.7083827602974</v>
      </c>
      <c r="G27" s="1">
        <v>7145.4145128801374</v>
      </c>
      <c r="H27" s="1">
        <v>6966.3262832706168</v>
      </c>
      <c r="I27" s="1">
        <v>4558.9962267110523</v>
      </c>
      <c r="J27" s="1">
        <v>9264.6938461060745</v>
      </c>
      <c r="K27" s="1">
        <v>5621.9980861404447</v>
      </c>
      <c r="L27" s="1">
        <v>6913.446080606861</v>
      </c>
      <c r="M27" s="1">
        <v>4891.3730022775371</v>
      </c>
      <c r="N27" s="1">
        <v>7986.6488787854023</v>
      </c>
      <c r="O27" s="1">
        <v>6769.2148704002648</v>
      </c>
      <c r="P27" s="1">
        <v>5055.2741840632116</v>
      </c>
      <c r="R27" s="1" cm="1">
        <f t="array" ref="R27:W27">IFERROR(_xlfn.XLOOKUP(A27,'Actual_Aji Plus'!A:A,'Actual_Aji Plus'!C:H),0)</f>
        <v>4472.46</v>
      </c>
      <c r="S27" s="1">
        <v>6888.8399999999983</v>
      </c>
      <c r="T27" s="1">
        <v>7100.7599999999993</v>
      </c>
      <c r="U27" s="1">
        <v>6750.0599999999977</v>
      </c>
      <c r="V27" s="1">
        <v>7229.2199999999984</v>
      </c>
      <c r="W27" s="1">
        <v>4386.8999999999987</v>
      </c>
      <c r="X27" s="102"/>
      <c r="Y27" s="102"/>
      <c r="Z27" s="102"/>
      <c r="AA27" s="102"/>
      <c r="AB27" s="102"/>
      <c r="AC27" s="102"/>
      <c r="AD27" s="1"/>
      <c r="AE27" s="88">
        <f t="shared" si="4"/>
        <v>0.7730175097960037</v>
      </c>
      <c r="AF27" s="88">
        <f t="shared" si="5"/>
        <v>1.0712412365747883</v>
      </c>
      <c r="AG27" s="88">
        <f t="shared" si="6"/>
        <v>0.99375060567869855</v>
      </c>
      <c r="AH27" s="88">
        <f t="shared" si="7"/>
        <v>0.96895547603189724</v>
      </c>
      <c r="AI27" s="88">
        <f t="shared" si="8"/>
        <v>1.585704317464482</v>
      </c>
      <c r="AJ27" s="88">
        <f t="shared" si="9"/>
        <v>0.47350728182386737</v>
      </c>
      <c r="AK27" s="90">
        <f t="shared" si="10"/>
        <v>0</v>
      </c>
      <c r="AL27" s="90">
        <f t="shared" si="11"/>
        <v>0</v>
      </c>
      <c r="AM27" s="90">
        <f t="shared" si="12"/>
        <v>0</v>
      </c>
      <c r="AN27" s="90">
        <f t="shared" si="13"/>
        <v>0</v>
      </c>
      <c r="AO27" s="90">
        <f t="shared" si="14"/>
        <v>0</v>
      </c>
      <c r="AP27" s="90">
        <f t="shared" si="15"/>
        <v>0</v>
      </c>
      <c r="AQ27" s="88"/>
      <c r="AR27" s="90">
        <f t="shared" si="16"/>
        <v>0.77300000000000002</v>
      </c>
      <c r="AS27" s="90">
        <f t="shared" si="17"/>
        <v>1.0711999999999999</v>
      </c>
      <c r="AT27" s="90">
        <f t="shared" si="18"/>
        <v>0.99380000000000002</v>
      </c>
      <c r="AU27" s="90">
        <f t="shared" si="19"/>
        <v>0.96899999999999997</v>
      </c>
      <c r="AV27" s="90">
        <f t="shared" si="20"/>
        <v>1.5857000000000001</v>
      </c>
      <c r="AW27" s="90">
        <f t="shared" si="21"/>
        <v>0.47349999999999998</v>
      </c>
      <c r="AX27" s="90">
        <f t="shared" si="22"/>
        <v>0</v>
      </c>
      <c r="AY27" s="90">
        <f t="shared" si="23"/>
        <v>0</v>
      </c>
      <c r="AZ27" s="90">
        <f t="shared" si="24"/>
        <v>0</v>
      </c>
      <c r="BA27" s="90">
        <f t="shared" si="25"/>
        <v>0</v>
      </c>
      <c r="BB27" s="90">
        <f t="shared" si="26"/>
        <v>0</v>
      </c>
      <c r="BC27" s="90">
        <f t="shared" si="27"/>
        <v>0</v>
      </c>
      <c r="BD27" s="88"/>
      <c r="BE27" s="1">
        <f>IFERROR(VLOOKUP(AR27,'Top WS'!$A$19:$B$28,2),0)</f>
        <v>180</v>
      </c>
      <c r="BF27" s="1">
        <f>IFERROR(VLOOKUP(AS27,'Top WS'!$A$19:$B$28,2),0)</f>
        <v>220</v>
      </c>
      <c r="BG27" s="1">
        <f>IFERROR(VLOOKUP(AT27,'Top WS'!$A$19:$B$28,2),0)</f>
        <v>200</v>
      </c>
      <c r="BH27" s="1">
        <f>IFERROR(VLOOKUP(AU27,'Top WS'!$A$19:$B$28,2),0)</f>
        <v>200</v>
      </c>
      <c r="BI27" s="1">
        <f>IFERROR(VLOOKUP(AV27,'Top WS'!$A$19:$B$28,2),0)</f>
        <v>260</v>
      </c>
      <c r="BJ27" s="1">
        <f>IFERROR(VLOOKUP(AW27,'Top WS'!$A$19:$B$28,2),0)</f>
        <v>180</v>
      </c>
      <c r="BK27" s="89">
        <f>IFERROR(VLOOKUP(AX27,'Top WS'!$A$19:$B$28,2),0)</f>
        <v>180</v>
      </c>
      <c r="BL27" s="89">
        <f>IFERROR(VLOOKUP(AY27,'Top WS'!$A$19:$B$28,2),0)</f>
        <v>180</v>
      </c>
      <c r="BM27" s="89">
        <f>IFERROR(VLOOKUP(AZ27,'Top WS'!$A$19:$B$28,2),0)</f>
        <v>180</v>
      </c>
      <c r="BN27" s="89">
        <f>IFERROR(VLOOKUP(BA27,'Top WS'!$A$19:$B$28,2),0)</f>
        <v>180</v>
      </c>
      <c r="BO27" s="89">
        <f>IFERROR(VLOOKUP(BB27,'Top WS'!$A$19:$B$28,2),0)</f>
        <v>180</v>
      </c>
      <c r="BP27" s="89">
        <f>IFERROR(VLOOKUP(BC27,'Top WS'!$A$19:$B$28,2),0)</f>
        <v>180</v>
      </c>
    </row>
    <row r="28" spans="1:68" x14ac:dyDescent="0.4">
      <c r="A28">
        <v>1190033001</v>
      </c>
      <c r="B28">
        <f>VLOOKUP(A28,[1]Sheet2!$A$2:$C$409,2,0)</f>
        <v>75518</v>
      </c>
      <c r="C28" t="str">
        <f>VLOOKUP(A28,[1]Sheet2!$A$2:$C$409,3,0)</f>
        <v>นายธนพันธ์ นิยมทัศน์</v>
      </c>
      <c r="D28" t="s">
        <v>97</v>
      </c>
      <c r="E28" s="1">
        <v>1776.9401721351535</v>
      </c>
      <c r="F28" s="1">
        <v>1714.1473904728889</v>
      </c>
      <c r="G28" s="1">
        <v>1830.031064785223</v>
      </c>
      <c r="H28" s="1">
        <v>2914.0946632994214</v>
      </c>
      <c r="I28" s="1">
        <v>3091.0806386128043</v>
      </c>
      <c r="J28" s="1">
        <v>2497.1339332525686</v>
      </c>
      <c r="K28" s="1">
        <v>1664.8539543806241</v>
      </c>
      <c r="L28" s="1">
        <v>2624.5733087031658</v>
      </c>
      <c r="M28" s="1">
        <v>2362.3609750301266</v>
      </c>
      <c r="N28" s="1">
        <v>2490.1515131301558</v>
      </c>
      <c r="O28" s="1">
        <v>1962.060054398155</v>
      </c>
      <c r="P28" s="1">
        <v>2462.2953317996848</v>
      </c>
      <c r="R28" s="1" cm="1">
        <f t="array" ref="R28:W28">IFERROR(_xlfn.XLOOKUP(A28,'Actual_Aji Plus'!A:A,'Actual_Aji Plus'!C:H),0)</f>
        <v>2589.7600000000002</v>
      </c>
      <c r="S28" s="1">
        <v>1895.04</v>
      </c>
      <c r="T28" s="1">
        <v>2367.2000000000003</v>
      </c>
      <c r="U28" s="1">
        <v>2812.32</v>
      </c>
      <c r="V28" s="1">
        <v>2548.6400000000008</v>
      </c>
      <c r="W28" s="1">
        <v>1925.2800000000004</v>
      </c>
      <c r="X28" s="102"/>
      <c r="Y28" s="102"/>
      <c r="Z28" s="102"/>
      <c r="AA28" s="102"/>
      <c r="AB28" s="102"/>
      <c r="AC28" s="102"/>
      <c r="AD28" s="1"/>
      <c r="AE28" s="88">
        <f t="shared" si="4"/>
        <v>1.4574266712019746</v>
      </c>
      <c r="AF28" s="88">
        <f t="shared" si="5"/>
        <v>1.105529203925228</v>
      </c>
      <c r="AG28" s="88">
        <f t="shared" si="6"/>
        <v>1.2935299545190075</v>
      </c>
      <c r="AH28" s="88">
        <f t="shared" si="7"/>
        <v>0.96507503185082222</v>
      </c>
      <c r="AI28" s="88">
        <f t="shared" si="8"/>
        <v>0.8245142388597676</v>
      </c>
      <c r="AJ28" s="88">
        <f t="shared" si="9"/>
        <v>0.77099589027340776</v>
      </c>
      <c r="AK28" s="90">
        <f t="shared" si="10"/>
        <v>0</v>
      </c>
      <c r="AL28" s="90">
        <f t="shared" si="11"/>
        <v>0</v>
      </c>
      <c r="AM28" s="90">
        <f t="shared" si="12"/>
        <v>0</v>
      </c>
      <c r="AN28" s="90">
        <f t="shared" si="13"/>
        <v>0</v>
      </c>
      <c r="AO28" s="90">
        <f t="shared" si="14"/>
        <v>0</v>
      </c>
      <c r="AP28" s="90">
        <f t="shared" si="15"/>
        <v>0</v>
      </c>
      <c r="AQ28" s="88"/>
      <c r="AR28" s="90">
        <f t="shared" si="16"/>
        <v>1.4574</v>
      </c>
      <c r="AS28" s="90">
        <f t="shared" si="17"/>
        <v>1.1054999999999999</v>
      </c>
      <c r="AT28" s="90">
        <f t="shared" si="18"/>
        <v>1.2935000000000001</v>
      </c>
      <c r="AU28" s="90">
        <f t="shared" si="19"/>
        <v>0.96509999999999996</v>
      </c>
      <c r="AV28" s="90">
        <f t="shared" si="20"/>
        <v>0.82450000000000001</v>
      </c>
      <c r="AW28" s="90">
        <f t="shared" si="21"/>
        <v>0.77100000000000002</v>
      </c>
      <c r="AX28" s="90">
        <f t="shared" si="22"/>
        <v>0</v>
      </c>
      <c r="AY28" s="90">
        <f t="shared" si="23"/>
        <v>0</v>
      </c>
      <c r="AZ28" s="90">
        <f t="shared" si="24"/>
        <v>0</v>
      </c>
      <c r="BA28" s="90">
        <f t="shared" si="25"/>
        <v>0</v>
      </c>
      <c r="BB28" s="90">
        <f t="shared" si="26"/>
        <v>0</v>
      </c>
      <c r="BC28" s="90">
        <f t="shared" si="27"/>
        <v>0</v>
      </c>
      <c r="BD28" s="88"/>
      <c r="BE28" s="1">
        <f>IFERROR(VLOOKUP(AR28,'Top WS'!$A$19:$B$28,2),0)</f>
        <v>260</v>
      </c>
      <c r="BF28" s="1">
        <f>IFERROR(VLOOKUP(AS28,'Top WS'!$A$19:$B$28,2),0)</f>
        <v>230</v>
      </c>
      <c r="BG28" s="1">
        <f>IFERROR(VLOOKUP(AT28,'Top WS'!$A$19:$B$28,2),0)</f>
        <v>260</v>
      </c>
      <c r="BH28" s="1">
        <f>IFERROR(VLOOKUP(AU28,'Top WS'!$A$19:$B$28,2),0)</f>
        <v>200</v>
      </c>
      <c r="BI28" s="1">
        <f>IFERROR(VLOOKUP(AV28,'Top WS'!$A$19:$B$28,2),0)</f>
        <v>180</v>
      </c>
      <c r="BJ28" s="1">
        <f>IFERROR(VLOOKUP(AW28,'Top WS'!$A$19:$B$28,2),0)</f>
        <v>180</v>
      </c>
      <c r="BK28" s="89">
        <f>IFERROR(VLOOKUP(AX28,'Top WS'!$A$19:$B$28,2),0)</f>
        <v>180</v>
      </c>
      <c r="BL28" s="89">
        <f>IFERROR(VLOOKUP(AY28,'Top WS'!$A$19:$B$28,2),0)</f>
        <v>180</v>
      </c>
      <c r="BM28" s="89">
        <f>IFERROR(VLOOKUP(AZ28,'Top WS'!$A$19:$B$28,2),0)</f>
        <v>180</v>
      </c>
      <c r="BN28" s="89">
        <f>IFERROR(VLOOKUP(BA28,'Top WS'!$A$19:$B$28,2),0)</f>
        <v>180</v>
      </c>
      <c r="BO28" s="89">
        <f>IFERROR(VLOOKUP(BB28,'Top WS'!$A$19:$B$28,2),0)</f>
        <v>180</v>
      </c>
      <c r="BP28" s="89">
        <f>IFERROR(VLOOKUP(BC28,'Top WS'!$A$19:$B$28,2),0)</f>
        <v>180</v>
      </c>
    </row>
    <row r="29" spans="1:68" x14ac:dyDescent="0.4">
      <c r="A29">
        <v>1190033002</v>
      </c>
      <c r="B29">
        <f>VLOOKUP(A29,[1]Sheet2!$A$2:$C$409,2,0)</f>
        <v>27905</v>
      </c>
      <c r="C29" t="str">
        <f>VLOOKUP(A29,[1]Sheet2!$A$2:$C$409,3,0)</f>
        <v>นายปัญญา ธนาโภคาสิน</v>
      </c>
      <c r="D29" t="s">
        <v>97</v>
      </c>
      <c r="E29" s="1">
        <v>2990.809149397322</v>
      </c>
      <c r="F29" s="1">
        <v>2885.1211645925496</v>
      </c>
      <c r="G29" s="1">
        <v>3080.1676601550048</v>
      </c>
      <c r="H29" s="1">
        <v>4904.7802046893676</v>
      </c>
      <c r="I29" s="1">
        <v>5202.6693979120264</v>
      </c>
      <c r="J29" s="1">
        <v>4202.9839450746886</v>
      </c>
      <c r="K29" s="1">
        <v>2802.1542408987539</v>
      </c>
      <c r="L29" s="1">
        <v>4417.4801087992919</v>
      </c>
      <c r="M29" s="1">
        <v>3976.1444583750967</v>
      </c>
      <c r="N29" s="1">
        <v>4191.2316720862536</v>
      </c>
      <c r="O29" s="1">
        <v>3302.3887097503693</v>
      </c>
      <c r="P29" s="1">
        <v>4144.3462882692302</v>
      </c>
      <c r="R29" s="1" cm="1">
        <f t="array" ref="R29:W29">IFERROR(_xlfn.XLOOKUP(A29,'Actual_Aji Plus'!A:A,'Actual_Aji Plus'!C:H),0)</f>
        <v>3189.96</v>
      </c>
      <c r="S29" s="1">
        <v>2945.7000000000003</v>
      </c>
      <c r="T29" s="1">
        <v>2302.92</v>
      </c>
      <c r="U29" s="1">
        <v>3736.8600000000006</v>
      </c>
      <c r="V29" s="1">
        <v>4316.34</v>
      </c>
      <c r="W29" s="1">
        <v>2978.0400000000009</v>
      </c>
      <c r="X29" s="102"/>
      <c r="Y29" s="102"/>
      <c r="Z29" s="102"/>
      <c r="AA29" s="102"/>
      <c r="AB29" s="102"/>
      <c r="AC29" s="102"/>
      <c r="AD29" s="1"/>
      <c r="AE29" s="88">
        <f t="shared" si="4"/>
        <v>1.066587615810527</v>
      </c>
      <c r="AF29" s="88">
        <f t="shared" si="5"/>
        <v>1.0209969813922897</v>
      </c>
      <c r="AG29" s="88">
        <f t="shared" si="6"/>
        <v>0.74766059971037713</v>
      </c>
      <c r="AH29" s="88">
        <f t="shared" si="7"/>
        <v>0.76188123505050431</v>
      </c>
      <c r="AI29" s="88">
        <f t="shared" si="8"/>
        <v>0.82963949270585313</v>
      </c>
      <c r="AJ29" s="88">
        <f t="shared" si="9"/>
        <v>0.70855374156017148</v>
      </c>
      <c r="AK29" s="90">
        <f t="shared" si="10"/>
        <v>0</v>
      </c>
      <c r="AL29" s="90">
        <f t="shared" si="11"/>
        <v>0</v>
      </c>
      <c r="AM29" s="90">
        <f t="shared" si="12"/>
        <v>0</v>
      </c>
      <c r="AN29" s="90">
        <f t="shared" si="13"/>
        <v>0</v>
      </c>
      <c r="AO29" s="90">
        <f t="shared" si="14"/>
        <v>0</v>
      </c>
      <c r="AP29" s="90">
        <f t="shared" si="15"/>
        <v>0</v>
      </c>
      <c r="AQ29" s="88"/>
      <c r="AR29" s="90">
        <f t="shared" si="16"/>
        <v>1.0666</v>
      </c>
      <c r="AS29" s="90">
        <f t="shared" si="17"/>
        <v>1.0209999999999999</v>
      </c>
      <c r="AT29" s="90">
        <f t="shared" si="18"/>
        <v>0.74770000000000003</v>
      </c>
      <c r="AU29" s="90">
        <f t="shared" si="19"/>
        <v>0.76190000000000002</v>
      </c>
      <c r="AV29" s="90">
        <f t="shared" si="20"/>
        <v>0.8296</v>
      </c>
      <c r="AW29" s="90">
        <f t="shared" si="21"/>
        <v>0.70860000000000001</v>
      </c>
      <c r="AX29" s="90">
        <f t="shared" si="22"/>
        <v>0</v>
      </c>
      <c r="AY29" s="90">
        <f t="shared" si="23"/>
        <v>0</v>
      </c>
      <c r="AZ29" s="90">
        <f t="shared" si="24"/>
        <v>0</v>
      </c>
      <c r="BA29" s="90">
        <f t="shared" si="25"/>
        <v>0</v>
      </c>
      <c r="BB29" s="90">
        <f t="shared" si="26"/>
        <v>0</v>
      </c>
      <c r="BC29" s="90">
        <f t="shared" si="27"/>
        <v>0</v>
      </c>
      <c r="BD29" s="88"/>
      <c r="BE29" s="1">
        <f>IFERROR(VLOOKUP(AR29,'Top WS'!$A$19:$B$28,2),0)</f>
        <v>220</v>
      </c>
      <c r="BF29" s="1">
        <f>IFERROR(VLOOKUP(AS29,'Top WS'!$A$19:$B$28,2),0)</f>
        <v>206</v>
      </c>
      <c r="BG29" s="1">
        <f>IFERROR(VLOOKUP(AT29,'Top WS'!$A$19:$B$28,2),0)</f>
        <v>180</v>
      </c>
      <c r="BH29" s="1">
        <f>IFERROR(VLOOKUP(AU29,'Top WS'!$A$19:$B$28,2),0)</f>
        <v>180</v>
      </c>
      <c r="BI29" s="1">
        <f>IFERROR(VLOOKUP(AV29,'Top WS'!$A$19:$B$28,2),0)</f>
        <v>180</v>
      </c>
      <c r="BJ29" s="1">
        <f>IFERROR(VLOOKUP(AW29,'Top WS'!$A$19:$B$28,2),0)</f>
        <v>180</v>
      </c>
      <c r="BK29" s="89">
        <f>IFERROR(VLOOKUP(AX29,'Top WS'!$A$19:$B$28,2),0)</f>
        <v>180</v>
      </c>
      <c r="BL29" s="89">
        <f>IFERROR(VLOOKUP(AY29,'Top WS'!$A$19:$B$28,2),0)</f>
        <v>180</v>
      </c>
      <c r="BM29" s="89">
        <f>IFERROR(VLOOKUP(AZ29,'Top WS'!$A$19:$B$28,2),0)</f>
        <v>180</v>
      </c>
      <c r="BN29" s="89">
        <f>IFERROR(VLOOKUP(BA29,'Top WS'!$A$19:$B$28,2),0)</f>
        <v>180</v>
      </c>
      <c r="BO29" s="89">
        <f>IFERROR(VLOOKUP(BB29,'Top WS'!$A$19:$B$28,2),0)</f>
        <v>180</v>
      </c>
      <c r="BP29" s="89">
        <f>IFERROR(VLOOKUP(BC29,'Top WS'!$A$19:$B$28,2),0)</f>
        <v>180</v>
      </c>
    </row>
    <row r="30" spans="1:68" x14ac:dyDescent="0.4">
      <c r="A30">
        <v>1190033101</v>
      </c>
      <c r="B30">
        <f>VLOOKUP(A30,[1]Sheet2!$A$2:$C$409,2,0)</f>
        <v>66381</v>
      </c>
      <c r="C30" t="str">
        <f>VLOOKUP(A30,[1]Sheet2!$A$2:$C$409,3,0)</f>
        <v>นายเอกศักดิ์ แซ่ลิ้ม</v>
      </c>
      <c r="D30" t="s">
        <v>98</v>
      </c>
      <c r="E30" s="1">
        <v>966.57425750001823</v>
      </c>
      <c r="F30" s="1">
        <v>886.34520162582908</v>
      </c>
      <c r="G30" s="1">
        <v>796.37172600983513</v>
      </c>
      <c r="H30" s="1">
        <v>1491.1127631569996</v>
      </c>
      <c r="I30" s="1">
        <v>362.23978129070576</v>
      </c>
      <c r="J30" s="1">
        <v>1201.6313159384329</v>
      </c>
      <c r="K30" s="1">
        <v>692.03425388555195</v>
      </c>
      <c r="L30" s="1">
        <v>513.53092039309092</v>
      </c>
      <c r="M30" s="1">
        <v>940.91395217993329</v>
      </c>
      <c r="N30" s="1">
        <v>972.78181377998249</v>
      </c>
      <c r="O30" s="1">
        <v>1151.4295090463963</v>
      </c>
      <c r="P30" s="1">
        <v>609.13450519323828</v>
      </c>
      <c r="R30" s="1" cm="1">
        <f t="array" ref="R30:W30">IFERROR(_xlfn.XLOOKUP(A30,'Actual_Aji Plus'!A:A,'Actual_Aji Plus'!C:H),0)</f>
        <v>692.45999999999992</v>
      </c>
      <c r="S30" s="1">
        <v>612.06000000000006</v>
      </c>
      <c r="T30" s="1">
        <v>480.78</v>
      </c>
      <c r="U30" s="1">
        <v>1100.3399999999999</v>
      </c>
      <c r="V30" s="1">
        <v>951.95999999999992</v>
      </c>
      <c r="W30" s="1">
        <v>720.36</v>
      </c>
      <c r="X30" s="102"/>
      <c r="Y30" s="102"/>
      <c r="Z30" s="102"/>
      <c r="AA30" s="102"/>
      <c r="AB30" s="102"/>
      <c r="AC30" s="102"/>
      <c r="AD30" s="1"/>
      <c r="AE30" s="88">
        <f t="shared" si="4"/>
        <v>0.71640641639991831</v>
      </c>
      <c r="AF30" s="88">
        <f t="shared" si="5"/>
        <v>0.69054359280931876</v>
      </c>
      <c r="AG30" s="88">
        <f t="shared" si="6"/>
        <v>0.6037130454252998</v>
      </c>
      <c r="AH30" s="88">
        <f t="shared" si="7"/>
        <v>0.73793211833982864</v>
      </c>
      <c r="AI30" s="88">
        <f t="shared" si="8"/>
        <v>2.6279830354580249</v>
      </c>
      <c r="AJ30" s="88">
        <f t="shared" si="9"/>
        <v>0.59948504208000231</v>
      </c>
      <c r="AK30" s="90">
        <f t="shared" si="10"/>
        <v>0</v>
      </c>
      <c r="AL30" s="90">
        <f t="shared" si="11"/>
        <v>0</v>
      </c>
      <c r="AM30" s="90">
        <f t="shared" si="12"/>
        <v>0</v>
      </c>
      <c r="AN30" s="90">
        <f t="shared" si="13"/>
        <v>0</v>
      </c>
      <c r="AO30" s="90">
        <f t="shared" si="14"/>
        <v>0</v>
      </c>
      <c r="AP30" s="90">
        <f t="shared" si="15"/>
        <v>0</v>
      </c>
      <c r="AQ30" s="88"/>
      <c r="AR30" s="90">
        <f t="shared" si="16"/>
        <v>0.71640000000000004</v>
      </c>
      <c r="AS30" s="90">
        <f t="shared" si="17"/>
        <v>0.6905</v>
      </c>
      <c r="AT30" s="90">
        <f t="shared" si="18"/>
        <v>0.60370000000000001</v>
      </c>
      <c r="AU30" s="90">
        <f t="shared" si="19"/>
        <v>0.7379</v>
      </c>
      <c r="AV30" s="90">
        <f t="shared" si="20"/>
        <v>2.6280000000000001</v>
      </c>
      <c r="AW30" s="90">
        <f t="shared" si="21"/>
        <v>0.59950000000000003</v>
      </c>
      <c r="AX30" s="90">
        <f t="shared" si="22"/>
        <v>0</v>
      </c>
      <c r="AY30" s="90">
        <f t="shared" si="23"/>
        <v>0</v>
      </c>
      <c r="AZ30" s="90">
        <f t="shared" si="24"/>
        <v>0</v>
      </c>
      <c r="BA30" s="90">
        <f t="shared" si="25"/>
        <v>0</v>
      </c>
      <c r="BB30" s="90">
        <f t="shared" si="26"/>
        <v>0</v>
      </c>
      <c r="BC30" s="90">
        <f t="shared" si="27"/>
        <v>0</v>
      </c>
      <c r="BD30" s="88"/>
      <c r="BE30" s="1">
        <f>IFERROR(VLOOKUP(AR30,'Top WS'!$A$19:$B$28,2),0)</f>
        <v>180</v>
      </c>
      <c r="BF30" s="1">
        <f>IFERROR(VLOOKUP(AS30,'Top WS'!$A$19:$B$28,2),0)</f>
        <v>180</v>
      </c>
      <c r="BG30" s="1">
        <f>IFERROR(VLOOKUP(AT30,'Top WS'!$A$19:$B$28,2),0)</f>
        <v>180</v>
      </c>
      <c r="BH30" s="1">
        <f>IFERROR(VLOOKUP(AU30,'Top WS'!$A$19:$B$28,2),0)</f>
        <v>180</v>
      </c>
      <c r="BI30" s="1">
        <f>IFERROR(VLOOKUP(AV30,'Top WS'!$A$19:$B$28,2),0)</f>
        <v>260</v>
      </c>
      <c r="BJ30" s="1">
        <f>IFERROR(VLOOKUP(AW30,'Top WS'!$A$19:$B$28,2),0)</f>
        <v>180</v>
      </c>
      <c r="BK30" s="89">
        <f>IFERROR(VLOOKUP(AX30,'Top WS'!$A$19:$B$28,2),0)</f>
        <v>180</v>
      </c>
      <c r="BL30" s="89">
        <f>IFERROR(VLOOKUP(AY30,'Top WS'!$A$19:$B$28,2),0)</f>
        <v>180</v>
      </c>
      <c r="BM30" s="89">
        <f>IFERROR(VLOOKUP(AZ30,'Top WS'!$A$19:$B$28,2),0)</f>
        <v>180</v>
      </c>
      <c r="BN30" s="89">
        <f>IFERROR(VLOOKUP(BA30,'Top WS'!$A$19:$B$28,2),0)</f>
        <v>180</v>
      </c>
      <c r="BO30" s="89">
        <f>IFERROR(VLOOKUP(BB30,'Top WS'!$A$19:$B$28,2),0)</f>
        <v>180</v>
      </c>
      <c r="BP30" s="89">
        <f>IFERROR(VLOOKUP(BC30,'Top WS'!$A$19:$B$28,2),0)</f>
        <v>180</v>
      </c>
    </row>
    <row r="31" spans="1:68" x14ac:dyDescent="0.4">
      <c r="A31">
        <v>1190033102</v>
      </c>
      <c r="B31">
        <f>VLOOKUP(A31,[1]Sheet2!$A$2:$C$409,2,0)</f>
        <v>28090</v>
      </c>
      <c r="C31" t="str">
        <f>VLOOKUP(A31,[1]Sheet2!$A$2:$C$409,3,0)</f>
        <v>นายนิกร กิจเถกิง</v>
      </c>
      <c r="D31" t="s">
        <v>98</v>
      </c>
      <c r="E31" s="1">
        <v>857.15075665095958</v>
      </c>
      <c r="F31" s="1">
        <v>786.00423540403699</v>
      </c>
      <c r="G31" s="1">
        <v>706.21643627287267</v>
      </c>
      <c r="H31" s="1">
        <v>1322.3075446863957</v>
      </c>
      <c r="I31" s="1">
        <v>321.23150416345607</v>
      </c>
      <c r="J31" s="1">
        <v>1065.5975820586102</v>
      </c>
      <c r="K31" s="1">
        <v>613.69075344567807</v>
      </c>
      <c r="L31" s="1">
        <v>455.39534449953345</v>
      </c>
      <c r="M31" s="1">
        <v>834.39539155578984</v>
      </c>
      <c r="N31" s="1">
        <v>862.65557071055036</v>
      </c>
      <c r="O31" s="1">
        <v>1021.0789985883137</v>
      </c>
      <c r="P31" s="1">
        <v>540.17588196381507</v>
      </c>
      <c r="R31" s="1" cm="1">
        <f t="array" ref="R31:W31">IFERROR(_xlfn.XLOOKUP(A31,'Actual_Aji Plus'!A:A,'Actual_Aji Plus'!C:H),0)</f>
        <v>753.18</v>
      </c>
      <c r="S31" s="1">
        <v>826.56000000000006</v>
      </c>
      <c r="T31" s="1">
        <v>1015.2599999999999</v>
      </c>
      <c r="U31" s="1">
        <v>813.65999999999985</v>
      </c>
      <c r="V31" s="1">
        <v>995.34000000000015</v>
      </c>
      <c r="W31" s="1">
        <v>843.9</v>
      </c>
      <c r="X31" s="102"/>
      <c r="Y31" s="102"/>
      <c r="Z31" s="102"/>
      <c r="AA31" s="102"/>
      <c r="AB31" s="102"/>
      <c r="AC31" s="102"/>
      <c r="AD31" s="1"/>
      <c r="AE31" s="88">
        <f t="shared" si="4"/>
        <v>0.87870190180174157</v>
      </c>
      <c r="AF31" s="88">
        <f t="shared" si="5"/>
        <v>1.0515973868450159</v>
      </c>
      <c r="AG31" s="88">
        <f t="shared" si="6"/>
        <v>1.4376046037078027</v>
      </c>
      <c r="AH31" s="88">
        <f t="shared" si="7"/>
        <v>0.61533340202862652</v>
      </c>
      <c r="AI31" s="88">
        <f t="shared" si="8"/>
        <v>3.098513025962514</v>
      </c>
      <c r="AJ31" s="88">
        <f t="shared" si="9"/>
        <v>0.79194999520333331</v>
      </c>
      <c r="AK31" s="90">
        <f t="shared" si="10"/>
        <v>0</v>
      </c>
      <c r="AL31" s="90">
        <f t="shared" si="11"/>
        <v>0</v>
      </c>
      <c r="AM31" s="90">
        <f t="shared" si="12"/>
        <v>0</v>
      </c>
      <c r="AN31" s="90">
        <f t="shared" si="13"/>
        <v>0</v>
      </c>
      <c r="AO31" s="90">
        <f t="shared" si="14"/>
        <v>0</v>
      </c>
      <c r="AP31" s="90">
        <f t="shared" si="15"/>
        <v>0</v>
      </c>
      <c r="AQ31" s="88"/>
      <c r="AR31" s="90">
        <f t="shared" si="16"/>
        <v>0.87870000000000004</v>
      </c>
      <c r="AS31" s="90">
        <f t="shared" si="17"/>
        <v>1.0516000000000001</v>
      </c>
      <c r="AT31" s="90">
        <f t="shared" si="18"/>
        <v>1.4376</v>
      </c>
      <c r="AU31" s="90">
        <f t="shared" si="19"/>
        <v>0.61529999999999996</v>
      </c>
      <c r="AV31" s="90">
        <f t="shared" si="20"/>
        <v>3.0985</v>
      </c>
      <c r="AW31" s="90">
        <f t="shared" si="21"/>
        <v>0.79190000000000005</v>
      </c>
      <c r="AX31" s="90">
        <f t="shared" si="22"/>
        <v>0</v>
      </c>
      <c r="AY31" s="90">
        <f t="shared" si="23"/>
        <v>0</v>
      </c>
      <c r="AZ31" s="90">
        <f t="shared" si="24"/>
        <v>0</v>
      </c>
      <c r="BA31" s="90">
        <f t="shared" si="25"/>
        <v>0</v>
      </c>
      <c r="BB31" s="90">
        <f t="shared" si="26"/>
        <v>0</v>
      </c>
      <c r="BC31" s="90">
        <f t="shared" si="27"/>
        <v>0</v>
      </c>
      <c r="BD31" s="88"/>
      <c r="BE31" s="1">
        <f>IFERROR(VLOOKUP(AR31,'Top WS'!$A$19:$B$28,2),0)</f>
        <v>180</v>
      </c>
      <c r="BF31" s="1">
        <f>IFERROR(VLOOKUP(AS31,'Top WS'!$A$19:$B$28,2),0)</f>
        <v>216</v>
      </c>
      <c r="BG31" s="1">
        <f>IFERROR(VLOOKUP(AT31,'Top WS'!$A$19:$B$28,2),0)</f>
        <v>260</v>
      </c>
      <c r="BH31" s="1">
        <f>IFERROR(VLOOKUP(AU31,'Top WS'!$A$19:$B$28,2),0)</f>
        <v>180</v>
      </c>
      <c r="BI31" s="1">
        <f>IFERROR(VLOOKUP(AV31,'Top WS'!$A$19:$B$28,2),0)</f>
        <v>260</v>
      </c>
      <c r="BJ31" s="1">
        <f>IFERROR(VLOOKUP(AW31,'Top WS'!$A$19:$B$28,2),0)</f>
        <v>180</v>
      </c>
      <c r="BK31" s="89">
        <f>IFERROR(VLOOKUP(AX31,'Top WS'!$A$19:$B$28,2),0)</f>
        <v>180</v>
      </c>
      <c r="BL31" s="89">
        <f>IFERROR(VLOOKUP(AY31,'Top WS'!$A$19:$B$28,2),0)</f>
        <v>180</v>
      </c>
      <c r="BM31" s="89">
        <f>IFERROR(VLOOKUP(AZ31,'Top WS'!$A$19:$B$28,2),0)</f>
        <v>180</v>
      </c>
      <c r="BN31" s="89">
        <f>IFERROR(VLOOKUP(BA31,'Top WS'!$A$19:$B$28,2),0)</f>
        <v>180</v>
      </c>
      <c r="BO31" s="89">
        <f>IFERROR(VLOOKUP(BB31,'Top WS'!$A$19:$B$28,2),0)</f>
        <v>180</v>
      </c>
      <c r="BP31" s="89">
        <f>IFERROR(VLOOKUP(BC31,'Top WS'!$A$19:$B$28,2),0)</f>
        <v>180</v>
      </c>
    </row>
    <row r="32" spans="1:68" x14ac:dyDescent="0.4">
      <c r="A32">
        <v>1190033201</v>
      </c>
      <c r="B32">
        <f>VLOOKUP(A32,[1]Sheet2!$A$2:$C$409,2,0)</f>
        <v>76475</v>
      </c>
      <c r="C32" t="str">
        <f>VLOOKUP(A32,[1]Sheet2!$A$2:$C$409,3,0)</f>
        <v>นายดานุกาญจน์ ตั้งพัฒนารุ่งเรือง</v>
      </c>
      <c r="D32" t="s">
        <v>99</v>
      </c>
      <c r="E32" s="1">
        <v>2861.7329953091694</v>
      </c>
      <c r="F32" s="1">
        <v>2277.5046842346501</v>
      </c>
      <c r="G32" s="1">
        <v>2018.7140523585283</v>
      </c>
      <c r="H32" s="1">
        <v>3187.9945673663001</v>
      </c>
      <c r="I32" s="1">
        <v>2281.0650783741626</v>
      </c>
      <c r="J32" s="1">
        <v>2744.2399887052643</v>
      </c>
      <c r="K32" s="1">
        <v>1685.6847889618307</v>
      </c>
      <c r="L32" s="1">
        <v>3282.9482193349459</v>
      </c>
      <c r="M32" s="1">
        <v>2188.0534595725226</v>
      </c>
      <c r="N32" s="1">
        <v>2441.9007342962645</v>
      </c>
      <c r="O32" s="1">
        <v>2690.2161569685331</v>
      </c>
      <c r="P32" s="1">
        <v>1143.9752343467749</v>
      </c>
      <c r="R32" s="1" cm="1">
        <f t="array" ref="R32:W32">IFERROR(_xlfn.XLOOKUP(A32,'Actual_Aji Plus'!A:A,'Actual_Aji Plus'!C:H),0)</f>
        <v>2678.2200000000016</v>
      </c>
      <c r="S32" s="1">
        <v>2353.3200000000002</v>
      </c>
      <c r="T32" s="1">
        <v>2159.2200000000007</v>
      </c>
      <c r="U32" s="1">
        <v>2382.3600000000006</v>
      </c>
      <c r="V32" s="1">
        <v>2650.8</v>
      </c>
      <c r="W32" s="1">
        <v>2433.7200000000007</v>
      </c>
      <c r="X32" s="102"/>
      <c r="Y32" s="102"/>
      <c r="Z32" s="102"/>
      <c r="AA32" s="102"/>
      <c r="AB32" s="102"/>
      <c r="AC32" s="102"/>
      <c r="AD32" s="1"/>
      <c r="AE32" s="88">
        <f t="shared" si="4"/>
        <v>0.93587347400684329</v>
      </c>
      <c r="AF32" s="88">
        <f t="shared" si="5"/>
        <v>1.0332887639222694</v>
      </c>
      <c r="AG32" s="88">
        <f t="shared" si="6"/>
        <v>1.0696017088092862</v>
      </c>
      <c r="AH32" s="88">
        <f t="shared" si="7"/>
        <v>0.747291110338416</v>
      </c>
      <c r="AI32" s="88">
        <f t="shared" si="8"/>
        <v>1.1620887212430464</v>
      </c>
      <c r="AJ32" s="88">
        <f t="shared" si="9"/>
        <v>0.88684663514003848</v>
      </c>
      <c r="AK32" s="90">
        <f t="shared" si="10"/>
        <v>0</v>
      </c>
      <c r="AL32" s="90">
        <f t="shared" si="11"/>
        <v>0</v>
      </c>
      <c r="AM32" s="90">
        <f t="shared" si="12"/>
        <v>0</v>
      </c>
      <c r="AN32" s="90">
        <f t="shared" si="13"/>
        <v>0</v>
      </c>
      <c r="AO32" s="90">
        <f t="shared" si="14"/>
        <v>0</v>
      </c>
      <c r="AP32" s="90">
        <f t="shared" si="15"/>
        <v>0</v>
      </c>
      <c r="AQ32" s="88"/>
      <c r="AR32" s="90">
        <f t="shared" si="16"/>
        <v>0.93589999999999995</v>
      </c>
      <c r="AS32" s="90">
        <f t="shared" si="17"/>
        <v>1.0333000000000001</v>
      </c>
      <c r="AT32" s="90">
        <f t="shared" si="18"/>
        <v>1.0696000000000001</v>
      </c>
      <c r="AU32" s="90">
        <f t="shared" si="19"/>
        <v>0.74729999999999996</v>
      </c>
      <c r="AV32" s="90">
        <f t="shared" si="20"/>
        <v>1.1620999999999999</v>
      </c>
      <c r="AW32" s="90">
        <f t="shared" si="21"/>
        <v>0.88680000000000003</v>
      </c>
      <c r="AX32" s="90">
        <f t="shared" si="22"/>
        <v>0</v>
      </c>
      <c r="AY32" s="90">
        <f t="shared" si="23"/>
        <v>0</v>
      </c>
      <c r="AZ32" s="90">
        <f t="shared" si="24"/>
        <v>0</v>
      </c>
      <c r="BA32" s="90">
        <f t="shared" si="25"/>
        <v>0</v>
      </c>
      <c r="BB32" s="90">
        <f t="shared" si="26"/>
        <v>0</v>
      </c>
      <c r="BC32" s="90">
        <f t="shared" si="27"/>
        <v>0</v>
      </c>
      <c r="BD32" s="88"/>
      <c r="BE32" s="1">
        <f>IFERROR(VLOOKUP(AR32,'Top WS'!$A$19:$B$28,2),0)</f>
        <v>190</v>
      </c>
      <c r="BF32" s="1">
        <f>IFERROR(VLOOKUP(AS32,'Top WS'!$A$19:$B$28,2),0)</f>
        <v>216</v>
      </c>
      <c r="BG32" s="1">
        <f>IFERROR(VLOOKUP(AT32,'Top WS'!$A$19:$B$28,2),0)</f>
        <v>220</v>
      </c>
      <c r="BH32" s="1">
        <f>IFERROR(VLOOKUP(AU32,'Top WS'!$A$19:$B$28,2),0)</f>
        <v>180</v>
      </c>
      <c r="BI32" s="1">
        <f>IFERROR(VLOOKUP(AV32,'Top WS'!$A$19:$B$28,2),0)</f>
        <v>240</v>
      </c>
      <c r="BJ32" s="1">
        <f>IFERROR(VLOOKUP(AW32,'Top WS'!$A$19:$B$28,2),0)</f>
        <v>180</v>
      </c>
      <c r="BK32" s="89">
        <f>IFERROR(VLOOKUP(AX32,'Top WS'!$A$19:$B$28,2),0)</f>
        <v>180</v>
      </c>
      <c r="BL32" s="89">
        <f>IFERROR(VLOOKUP(AY32,'Top WS'!$A$19:$B$28,2),0)</f>
        <v>180</v>
      </c>
      <c r="BM32" s="89">
        <f>IFERROR(VLOOKUP(AZ32,'Top WS'!$A$19:$B$28,2),0)</f>
        <v>180</v>
      </c>
      <c r="BN32" s="89">
        <f>IFERROR(VLOOKUP(BA32,'Top WS'!$A$19:$B$28,2),0)</f>
        <v>180</v>
      </c>
      <c r="BO32" s="89">
        <f>IFERROR(VLOOKUP(BB32,'Top WS'!$A$19:$B$28,2),0)</f>
        <v>180</v>
      </c>
      <c r="BP32" s="89">
        <f>IFERROR(VLOOKUP(BC32,'Top WS'!$A$19:$B$28,2),0)</f>
        <v>180</v>
      </c>
    </row>
    <row r="33" spans="1:68" x14ac:dyDescent="0.4">
      <c r="A33">
        <v>1190033202</v>
      </c>
      <c r="B33">
        <f>VLOOKUP(A33,[1]Sheet2!$A$2:$C$409,2,0)</f>
        <v>63537</v>
      </c>
      <c r="C33" t="str">
        <f>VLOOKUP(A33,[1]Sheet2!$A$2:$C$409,3,0)</f>
        <v>นายอำนาจ แตงสี</v>
      </c>
      <c r="D33" t="s">
        <v>99</v>
      </c>
      <c r="E33" s="1">
        <v>3884.2560434637412</v>
      </c>
      <c r="F33" s="1">
        <v>3091.2776797332522</v>
      </c>
      <c r="G33" s="1">
        <v>2740.0188175318094</v>
      </c>
      <c r="H33" s="1">
        <v>4327.093822211853</v>
      </c>
      <c r="I33" s="1">
        <v>3096.11023485848</v>
      </c>
      <c r="J33" s="1">
        <v>3724.7817243312402</v>
      </c>
      <c r="K33" s="1">
        <v>2287.9951901985582</v>
      </c>
      <c r="L33" s="1">
        <v>4455.9752717086176</v>
      </c>
      <c r="M33" s="1">
        <v>2969.8647245209286</v>
      </c>
      <c r="N33" s="1">
        <v>3314.4139234080076</v>
      </c>
      <c r="O33" s="1">
        <v>3651.4546895385351</v>
      </c>
      <c r="P33" s="1">
        <v>1552.7279186660301</v>
      </c>
      <c r="R33" s="1" cm="1">
        <f t="array" ref="R33:W33">IFERROR(_xlfn.XLOOKUP(A33,'Actual_Aji Plus'!A:A,'Actual_Aji Plus'!C:H),0)</f>
        <v>2638.1400000000012</v>
      </c>
      <c r="S33" s="1">
        <v>2600.6400000000003</v>
      </c>
      <c r="T33" s="1">
        <v>2348.6400000000003</v>
      </c>
      <c r="U33" s="1">
        <v>2738.9400000000014</v>
      </c>
      <c r="V33" s="1">
        <v>2509.920000000001</v>
      </c>
      <c r="W33" s="1">
        <v>1831.74</v>
      </c>
      <c r="X33" s="102"/>
      <c r="Y33" s="102"/>
      <c r="Z33" s="102"/>
      <c r="AA33" s="102"/>
      <c r="AB33" s="102"/>
      <c r="AC33" s="102"/>
      <c r="AD33" s="1"/>
      <c r="AE33" s="88">
        <f t="shared" si="4"/>
        <v>0.67918797589035085</v>
      </c>
      <c r="AF33" s="88">
        <f t="shared" si="5"/>
        <v>0.84128320695681102</v>
      </c>
      <c r="AG33" s="88">
        <f t="shared" si="6"/>
        <v>0.85716199646965907</v>
      </c>
      <c r="AH33" s="88">
        <f t="shared" si="7"/>
        <v>0.63297448877592277</v>
      </c>
      <c r="AI33" s="88">
        <f t="shared" si="8"/>
        <v>0.81066881008993752</v>
      </c>
      <c r="AJ33" s="88">
        <f t="shared" si="9"/>
        <v>0.49177109843366101</v>
      </c>
      <c r="AK33" s="90">
        <f t="shared" si="10"/>
        <v>0</v>
      </c>
      <c r="AL33" s="90">
        <f t="shared" si="11"/>
        <v>0</v>
      </c>
      <c r="AM33" s="90">
        <f t="shared" si="12"/>
        <v>0</v>
      </c>
      <c r="AN33" s="90">
        <f t="shared" si="13"/>
        <v>0</v>
      </c>
      <c r="AO33" s="90">
        <f t="shared" si="14"/>
        <v>0</v>
      </c>
      <c r="AP33" s="90">
        <f t="shared" si="15"/>
        <v>0</v>
      </c>
      <c r="AQ33" s="88"/>
      <c r="AR33" s="90">
        <f t="shared" si="16"/>
        <v>0.67920000000000003</v>
      </c>
      <c r="AS33" s="90">
        <f t="shared" si="17"/>
        <v>0.84130000000000005</v>
      </c>
      <c r="AT33" s="90">
        <f t="shared" si="18"/>
        <v>0.85719999999999996</v>
      </c>
      <c r="AU33" s="90">
        <f t="shared" si="19"/>
        <v>0.63300000000000001</v>
      </c>
      <c r="AV33" s="90">
        <f t="shared" si="20"/>
        <v>0.81069999999999998</v>
      </c>
      <c r="AW33" s="90">
        <f t="shared" si="21"/>
        <v>0.49180000000000001</v>
      </c>
      <c r="AX33" s="90">
        <f t="shared" si="22"/>
        <v>0</v>
      </c>
      <c r="AY33" s="90">
        <f t="shared" si="23"/>
        <v>0</v>
      </c>
      <c r="AZ33" s="90">
        <f t="shared" si="24"/>
        <v>0</v>
      </c>
      <c r="BA33" s="90">
        <f t="shared" si="25"/>
        <v>0</v>
      </c>
      <c r="BB33" s="90">
        <f t="shared" si="26"/>
        <v>0</v>
      </c>
      <c r="BC33" s="90">
        <f t="shared" si="27"/>
        <v>0</v>
      </c>
      <c r="BD33" s="88"/>
      <c r="BE33" s="1">
        <f>IFERROR(VLOOKUP(AR33,'Top WS'!$A$19:$B$28,2),0)</f>
        <v>180</v>
      </c>
      <c r="BF33" s="1">
        <f>IFERROR(VLOOKUP(AS33,'Top WS'!$A$19:$B$28,2),0)</f>
        <v>180</v>
      </c>
      <c r="BG33" s="1">
        <f>IFERROR(VLOOKUP(AT33,'Top WS'!$A$19:$B$28,2),0)</f>
        <v>180</v>
      </c>
      <c r="BH33" s="1">
        <f>IFERROR(VLOOKUP(AU33,'Top WS'!$A$19:$B$28,2),0)</f>
        <v>180</v>
      </c>
      <c r="BI33" s="1">
        <f>IFERROR(VLOOKUP(AV33,'Top WS'!$A$19:$B$28,2),0)</f>
        <v>180</v>
      </c>
      <c r="BJ33" s="1">
        <f>IFERROR(VLOOKUP(AW33,'Top WS'!$A$19:$B$28,2),0)</f>
        <v>180</v>
      </c>
      <c r="BK33" s="89">
        <f>IFERROR(VLOOKUP(AX33,'Top WS'!$A$19:$B$28,2),0)</f>
        <v>180</v>
      </c>
      <c r="BL33" s="89">
        <f>IFERROR(VLOOKUP(AY33,'Top WS'!$A$19:$B$28,2),0)</f>
        <v>180</v>
      </c>
      <c r="BM33" s="89">
        <f>IFERROR(VLOOKUP(AZ33,'Top WS'!$A$19:$B$28,2),0)</f>
        <v>180</v>
      </c>
      <c r="BN33" s="89">
        <f>IFERROR(VLOOKUP(BA33,'Top WS'!$A$19:$B$28,2),0)</f>
        <v>180</v>
      </c>
      <c r="BO33" s="89">
        <f>IFERROR(VLOOKUP(BB33,'Top WS'!$A$19:$B$28,2),0)</f>
        <v>180</v>
      </c>
      <c r="BP33" s="89">
        <f>IFERROR(VLOOKUP(BC33,'Top WS'!$A$19:$B$28,2),0)</f>
        <v>180</v>
      </c>
    </row>
    <row r="34" spans="1:68" x14ac:dyDescent="0.4">
      <c r="A34">
        <v>1190033301</v>
      </c>
      <c r="B34">
        <f>VLOOKUP(A34,[1]Sheet2!$A$2:$C$409,2,0)</f>
        <v>63139</v>
      </c>
      <c r="C34" t="str">
        <f>VLOOKUP(A34,[1]Sheet2!$A$2:$C$409,3,0)</f>
        <v>นายเมธา กันทสัง</v>
      </c>
      <c r="D34" t="s">
        <v>100</v>
      </c>
      <c r="E34" s="1">
        <v>11144.148805211129</v>
      </c>
      <c r="F34" s="1">
        <v>9276.1476211196987</v>
      </c>
      <c r="G34" s="1">
        <v>9265.4072855821451</v>
      </c>
      <c r="H34" s="1">
        <v>8886.6353437169746</v>
      </c>
      <c r="I34" s="1">
        <v>4914.8125648182549</v>
      </c>
      <c r="J34" s="1">
        <v>8766.2151686410198</v>
      </c>
      <c r="K34" s="1">
        <v>7958.880490271903</v>
      </c>
      <c r="L34" s="1">
        <v>10780.845281375581</v>
      </c>
      <c r="M34" s="1">
        <v>5966.1396483339922</v>
      </c>
      <c r="N34" s="1">
        <v>9785.6131024880506</v>
      </c>
      <c r="O34" s="1">
        <v>9761.6808330837175</v>
      </c>
      <c r="P34" s="1">
        <v>9896.6938553574309</v>
      </c>
      <c r="R34" s="1" cm="1">
        <f t="array" ref="R34:W34">IFERROR(_xlfn.XLOOKUP(A34,'Actual_Aji Plus'!A:A,'Actual_Aji Plus'!C:H),0)</f>
        <v>7639.9200000000019</v>
      </c>
      <c r="S34" s="1">
        <v>5810.2799999999988</v>
      </c>
      <c r="T34" s="1">
        <v>7818.5399999999954</v>
      </c>
      <c r="U34" s="1">
        <v>6727.8</v>
      </c>
      <c r="V34" s="1">
        <v>8032.559999999994</v>
      </c>
      <c r="W34" s="1">
        <v>7382.2799999999961</v>
      </c>
      <c r="X34" s="102"/>
      <c r="Y34" s="102"/>
      <c r="Z34" s="102"/>
      <c r="AA34" s="102"/>
      <c r="AB34" s="102"/>
      <c r="AC34" s="102"/>
      <c r="AD34" s="1"/>
      <c r="AE34" s="88">
        <f t="shared" si="4"/>
        <v>0.68555437777602979</v>
      </c>
      <c r="AF34" s="88">
        <f t="shared" si="5"/>
        <v>0.62636778082005728</v>
      </c>
      <c r="AG34" s="88">
        <f t="shared" si="6"/>
        <v>0.84384202000125641</v>
      </c>
      <c r="AH34" s="88">
        <f t="shared" si="7"/>
        <v>0.75706943514416702</v>
      </c>
      <c r="AI34" s="88">
        <f t="shared" si="8"/>
        <v>1.634357342027555</v>
      </c>
      <c r="AJ34" s="88">
        <f t="shared" si="9"/>
        <v>0.84212854213392896</v>
      </c>
      <c r="AK34" s="90">
        <f t="shared" si="10"/>
        <v>0</v>
      </c>
      <c r="AL34" s="90">
        <f t="shared" si="11"/>
        <v>0</v>
      </c>
      <c r="AM34" s="90">
        <f t="shared" si="12"/>
        <v>0</v>
      </c>
      <c r="AN34" s="90">
        <f t="shared" si="13"/>
        <v>0</v>
      </c>
      <c r="AO34" s="90">
        <f t="shared" si="14"/>
        <v>0</v>
      </c>
      <c r="AP34" s="90">
        <f t="shared" si="15"/>
        <v>0</v>
      </c>
      <c r="AQ34" s="88"/>
      <c r="AR34" s="90">
        <f t="shared" si="16"/>
        <v>0.68559999999999999</v>
      </c>
      <c r="AS34" s="90">
        <f t="shared" si="17"/>
        <v>0.62639999999999996</v>
      </c>
      <c r="AT34" s="90">
        <f t="shared" si="18"/>
        <v>0.84379999999999999</v>
      </c>
      <c r="AU34" s="90">
        <f t="shared" si="19"/>
        <v>0.7571</v>
      </c>
      <c r="AV34" s="90">
        <f t="shared" si="20"/>
        <v>1.6344000000000001</v>
      </c>
      <c r="AW34" s="90">
        <f t="shared" si="21"/>
        <v>0.84209999999999996</v>
      </c>
      <c r="AX34" s="90">
        <f t="shared" si="22"/>
        <v>0</v>
      </c>
      <c r="AY34" s="90">
        <f t="shared" si="23"/>
        <v>0</v>
      </c>
      <c r="AZ34" s="90">
        <f t="shared" si="24"/>
        <v>0</v>
      </c>
      <c r="BA34" s="90">
        <f t="shared" si="25"/>
        <v>0</v>
      </c>
      <c r="BB34" s="90">
        <f t="shared" si="26"/>
        <v>0</v>
      </c>
      <c r="BC34" s="90">
        <f t="shared" si="27"/>
        <v>0</v>
      </c>
      <c r="BD34" s="88"/>
      <c r="BE34" s="1">
        <f>IFERROR(VLOOKUP(AR34,'Top WS'!$A$19:$B$28,2),0)</f>
        <v>180</v>
      </c>
      <c r="BF34" s="1">
        <f>IFERROR(VLOOKUP(AS34,'Top WS'!$A$19:$B$28,2),0)</f>
        <v>180</v>
      </c>
      <c r="BG34" s="1">
        <f>IFERROR(VLOOKUP(AT34,'Top WS'!$A$19:$B$28,2),0)</f>
        <v>180</v>
      </c>
      <c r="BH34" s="1">
        <f>IFERROR(VLOOKUP(AU34,'Top WS'!$A$19:$B$28,2),0)</f>
        <v>180</v>
      </c>
      <c r="BI34" s="1">
        <f>IFERROR(VLOOKUP(AV34,'Top WS'!$A$19:$B$28,2),0)</f>
        <v>260</v>
      </c>
      <c r="BJ34" s="1">
        <f>IFERROR(VLOOKUP(AW34,'Top WS'!$A$19:$B$28,2),0)</f>
        <v>180</v>
      </c>
      <c r="BK34" s="89">
        <f>IFERROR(VLOOKUP(AX34,'Top WS'!$A$19:$B$28,2),0)</f>
        <v>180</v>
      </c>
      <c r="BL34" s="89">
        <f>IFERROR(VLOOKUP(AY34,'Top WS'!$A$19:$B$28,2),0)</f>
        <v>180</v>
      </c>
      <c r="BM34" s="89">
        <f>IFERROR(VLOOKUP(AZ34,'Top WS'!$A$19:$B$28,2),0)</f>
        <v>180</v>
      </c>
      <c r="BN34" s="89">
        <f>IFERROR(VLOOKUP(BA34,'Top WS'!$A$19:$B$28,2),0)</f>
        <v>180</v>
      </c>
      <c r="BO34" s="89">
        <f>IFERROR(VLOOKUP(BB34,'Top WS'!$A$19:$B$28,2),0)</f>
        <v>180</v>
      </c>
      <c r="BP34" s="89">
        <f>IFERROR(VLOOKUP(BC34,'Top WS'!$A$19:$B$28,2),0)</f>
        <v>180</v>
      </c>
    </row>
    <row r="35" spans="1:68" x14ac:dyDescent="0.4">
      <c r="A35">
        <v>1190033302</v>
      </c>
      <c r="B35">
        <f>VLOOKUP(A35,[1]Sheet2!$A$2:$C$409,2,0)</f>
        <v>101039</v>
      </c>
      <c r="C35" t="str">
        <f>VLOOKUP(A35,[1]Sheet2!$A$2:$C$409,3,0)</f>
        <v>นายสุชล ลีลากิจทรัพย์</v>
      </c>
      <c r="D35" t="s">
        <v>100</v>
      </c>
      <c r="E35" s="1">
        <v>1363.3133779663447</v>
      </c>
      <c r="F35" s="1">
        <v>1134.7924699237342</v>
      </c>
      <c r="G35" s="1">
        <v>1133.4785568220582</v>
      </c>
      <c r="H35" s="1">
        <v>1087.1416974917511</v>
      </c>
      <c r="I35" s="1">
        <v>601.25091982625122</v>
      </c>
      <c r="J35" s="1">
        <v>1072.4101609224144</v>
      </c>
      <c r="K35" s="1">
        <v>973.64531250239895</v>
      </c>
      <c r="L35" s="1">
        <v>1318.8688391357334</v>
      </c>
      <c r="M35" s="1">
        <v>729.86444631695304</v>
      </c>
      <c r="N35" s="1">
        <v>1197.1176522684596</v>
      </c>
      <c r="O35" s="1">
        <v>1194.1899111179855</v>
      </c>
      <c r="P35" s="1">
        <v>1210.7066557059036</v>
      </c>
      <c r="R35" s="1" cm="1">
        <f t="array" ref="R35:W35">IFERROR(_xlfn.XLOOKUP(A35,'Actual_Aji Plus'!A:A,'Actual_Aji Plus'!C:H),0)</f>
        <v>1247.3399999999999</v>
      </c>
      <c r="S35" s="1">
        <v>1189.4399999999998</v>
      </c>
      <c r="T35" s="1">
        <v>755.99999999999989</v>
      </c>
      <c r="U35" s="1">
        <v>1522.0800000000002</v>
      </c>
      <c r="V35" s="1">
        <v>1552.3200000000002</v>
      </c>
      <c r="W35" s="1">
        <v>1005.4200000000001</v>
      </c>
      <c r="X35" s="102"/>
      <c r="Y35" s="102"/>
      <c r="Z35" s="102"/>
      <c r="AA35" s="102"/>
      <c r="AB35" s="102"/>
      <c r="AC35" s="102"/>
      <c r="AD35" s="1"/>
      <c r="AE35" s="88">
        <f t="shared" si="4"/>
        <v>0.91493270744592681</v>
      </c>
      <c r="AF35" s="88">
        <f t="shared" si="5"/>
        <v>1.0481564087924713</v>
      </c>
      <c r="AG35" s="88">
        <f t="shared" si="6"/>
        <v>0.66697335864879737</v>
      </c>
      <c r="AH35" s="88">
        <f t="shared" si="7"/>
        <v>1.4000750808397258</v>
      </c>
      <c r="AI35" s="88">
        <f t="shared" si="8"/>
        <v>2.5818172560111639</v>
      </c>
      <c r="AJ35" s="88">
        <f t="shared" si="9"/>
        <v>0.93753307888765813</v>
      </c>
      <c r="AK35" s="90">
        <f t="shared" si="10"/>
        <v>0</v>
      </c>
      <c r="AL35" s="90">
        <f t="shared" si="11"/>
        <v>0</v>
      </c>
      <c r="AM35" s="90">
        <f t="shared" si="12"/>
        <v>0</v>
      </c>
      <c r="AN35" s="90">
        <f t="shared" si="13"/>
        <v>0</v>
      </c>
      <c r="AO35" s="90">
        <f t="shared" si="14"/>
        <v>0</v>
      </c>
      <c r="AP35" s="90">
        <f t="shared" si="15"/>
        <v>0</v>
      </c>
      <c r="AQ35" s="88"/>
      <c r="AR35" s="90">
        <f t="shared" si="16"/>
        <v>0.91490000000000005</v>
      </c>
      <c r="AS35" s="90">
        <f t="shared" si="17"/>
        <v>1.0482</v>
      </c>
      <c r="AT35" s="90">
        <f t="shared" si="18"/>
        <v>0.66700000000000004</v>
      </c>
      <c r="AU35" s="90">
        <f t="shared" si="19"/>
        <v>1.4000999999999999</v>
      </c>
      <c r="AV35" s="90">
        <f t="shared" si="20"/>
        <v>2.5817999999999999</v>
      </c>
      <c r="AW35" s="90">
        <f t="shared" si="21"/>
        <v>0.9375</v>
      </c>
      <c r="AX35" s="90">
        <f t="shared" si="22"/>
        <v>0</v>
      </c>
      <c r="AY35" s="90">
        <f t="shared" si="23"/>
        <v>0</v>
      </c>
      <c r="AZ35" s="90">
        <f t="shared" si="24"/>
        <v>0</v>
      </c>
      <c r="BA35" s="90">
        <f t="shared" si="25"/>
        <v>0</v>
      </c>
      <c r="BB35" s="90">
        <f t="shared" si="26"/>
        <v>0</v>
      </c>
      <c r="BC35" s="90">
        <f t="shared" si="27"/>
        <v>0</v>
      </c>
      <c r="BD35" s="88"/>
      <c r="BE35" s="1">
        <f>IFERROR(VLOOKUP(AR35,'Top WS'!$A$19:$B$28,2),0)</f>
        <v>190</v>
      </c>
      <c r="BF35" s="1">
        <f>IFERROR(VLOOKUP(AS35,'Top WS'!$A$19:$B$28,2),0)</f>
        <v>216</v>
      </c>
      <c r="BG35" s="1">
        <f>IFERROR(VLOOKUP(AT35,'Top WS'!$A$19:$B$28,2),0)</f>
        <v>180</v>
      </c>
      <c r="BH35" s="1">
        <f>IFERROR(VLOOKUP(AU35,'Top WS'!$A$19:$B$28,2),0)</f>
        <v>260</v>
      </c>
      <c r="BI35" s="1">
        <f>IFERROR(VLOOKUP(AV35,'Top WS'!$A$19:$B$28,2),0)</f>
        <v>260</v>
      </c>
      <c r="BJ35" s="1">
        <f>IFERROR(VLOOKUP(AW35,'Top WS'!$A$19:$B$28,2),0)</f>
        <v>190</v>
      </c>
      <c r="BK35" s="89">
        <f>IFERROR(VLOOKUP(AX35,'Top WS'!$A$19:$B$28,2),0)</f>
        <v>180</v>
      </c>
      <c r="BL35" s="89">
        <f>IFERROR(VLOOKUP(AY35,'Top WS'!$A$19:$B$28,2),0)</f>
        <v>180</v>
      </c>
      <c r="BM35" s="89">
        <f>IFERROR(VLOOKUP(AZ35,'Top WS'!$A$19:$B$28,2),0)</f>
        <v>180</v>
      </c>
      <c r="BN35" s="89">
        <f>IFERROR(VLOOKUP(BA35,'Top WS'!$A$19:$B$28,2),0)</f>
        <v>180</v>
      </c>
      <c r="BO35" s="89">
        <f>IFERROR(VLOOKUP(BB35,'Top WS'!$A$19:$B$28,2),0)</f>
        <v>180</v>
      </c>
      <c r="BP35" s="89">
        <f>IFERROR(VLOOKUP(BC35,'Top WS'!$A$19:$B$28,2),0)</f>
        <v>180</v>
      </c>
    </row>
    <row r="36" spans="1:68" x14ac:dyDescent="0.4">
      <c r="A36">
        <v>1190037301</v>
      </c>
      <c r="B36">
        <f>VLOOKUP(A36,[1]Sheet2!$A$2:$C$409,2,0)</f>
        <v>100570</v>
      </c>
      <c r="C36" s="103" t="str">
        <f>VLOOKUP(A36,[1]Sheet2!$A$2:$C$409,3,0)</f>
        <v>นายอดิเรก ศรีนุกูล</v>
      </c>
      <c r="D36" t="s">
        <v>101</v>
      </c>
      <c r="E36" s="1">
        <v>14439</v>
      </c>
      <c r="F36" s="1">
        <v>15548</v>
      </c>
      <c r="G36" s="1">
        <v>14252</v>
      </c>
      <c r="H36" s="1">
        <v>16375</v>
      </c>
      <c r="I36" s="1">
        <v>17533</v>
      </c>
      <c r="J36" s="1">
        <v>15209</v>
      </c>
      <c r="K36" s="1">
        <v>16640</v>
      </c>
      <c r="L36" s="1">
        <v>16711</v>
      </c>
      <c r="M36" s="1">
        <v>18181</v>
      </c>
      <c r="N36" s="1">
        <v>13335</v>
      </c>
      <c r="O36" s="1">
        <v>15079</v>
      </c>
      <c r="P36" s="1">
        <v>16634</v>
      </c>
      <c r="R36" s="1" cm="1">
        <f t="array" ref="R36:W36">IFERROR(_xlfn.XLOOKUP(A36,'Actual_Aji Plus'!A:A,'Actual_Aji Plus'!C:H),0)</f>
        <v>16321.379999999996</v>
      </c>
      <c r="S36" s="1">
        <v>14294.819999999998</v>
      </c>
      <c r="T36" s="1">
        <v>13745.819999999991</v>
      </c>
      <c r="U36" s="1">
        <v>3467.28</v>
      </c>
      <c r="V36" s="1">
        <v>2081.16</v>
      </c>
      <c r="W36" s="1">
        <v>3953.7</v>
      </c>
      <c r="X36" s="102"/>
      <c r="Y36" s="102"/>
      <c r="Z36" s="102"/>
      <c r="AA36" s="102"/>
      <c r="AB36" s="102"/>
      <c r="AC36" s="102"/>
      <c r="AD36" s="1"/>
      <c r="AE36" s="88">
        <f t="shared" si="4"/>
        <v>1.1303677539995842</v>
      </c>
      <c r="AF36" s="88">
        <f t="shared" si="5"/>
        <v>0.91939927965011559</v>
      </c>
      <c r="AG36" s="88">
        <f t="shared" si="6"/>
        <v>0.96448358125175349</v>
      </c>
      <c r="AH36" s="88">
        <f t="shared" si="7"/>
        <v>0.21174229007633588</v>
      </c>
      <c r="AI36" s="88">
        <f t="shared" si="8"/>
        <v>0.11869959504933553</v>
      </c>
      <c r="AJ36" s="88">
        <f t="shared" si="9"/>
        <v>0.2599579196528371</v>
      </c>
      <c r="AK36" s="90">
        <f t="shared" si="10"/>
        <v>0</v>
      </c>
      <c r="AL36" s="90">
        <f t="shared" si="11"/>
        <v>0</v>
      </c>
      <c r="AM36" s="90">
        <f t="shared" si="12"/>
        <v>0</v>
      </c>
      <c r="AN36" s="90">
        <f t="shared" si="13"/>
        <v>0</v>
      </c>
      <c r="AO36" s="90">
        <f t="shared" si="14"/>
        <v>0</v>
      </c>
      <c r="AP36" s="90">
        <f t="shared" si="15"/>
        <v>0</v>
      </c>
      <c r="AQ36" s="88"/>
      <c r="AR36" s="90">
        <f t="shared" si="16"/>
        <v>1.1304000000000001</v>
      </c>
      <c r="AS36" s="90">
        <f t="shared" si="17"/>
        <v>0.9194</v>
      </c>
      <c r="AT36" s="90">
        <f t="shared" si="18"/>
        <v>0.96450000000000002</v>
      </c>
      <c r="AU36" s="90">
        <f t="shared" si="19"/>
        <v>0.2117</v>
      </c>
      <c r="AV36" s="90">
        <f t="shared" si="20"/>
        <v>0.1187</v>
      </c>
      <c r="AW36" s="90">
        <f t="shared" si="21"/>
        <v>0.26</v>
      </c>
      <c r="AX36" s="90">
        <f t="shared" si="22"/>
        <v>0</v>
      </c>
      <c r="AY36" s="90">
        <f t="shared" si="23"/>
        <v>0</v>
      </c>
      <c r="AZ36" s="90">
        <f t="shared" si="24"/>
        <v>0</v>
      </c>
      <c r="BA36" s="90">
        <f t="shared" si="25"/>
        <v>0</v>
      </c>
      <c r="BB36" s="90">
        <f t="shared" si="26"/>
        <v>0</v>
      </c>
      <c r="BC36" s="90">
        <f t="shared" si="27"/>
        <v>0</v>
      </c>
      <c r="BD36" s="88"/>
      <c r="BE36" s="1">
        <f>IFERROR(VLOOKUP(AR36,'Top WS'!$A$19:$B$28,2),0)</f>
        <v>230</v>
      </c>
      <c r="BF36" s="1">
        <f>IFERROR(VLOOKUP(AS36,'Top WS'!$A$19:$B$28,2),0)</f>
        <v>190</v>
      </c>
      <c r="BG36" s="1">
        <f>IFERROR(VLOOKUP(AT36,'Top WS'!$A$19:$B$28,2),0)</f>
        <v>200</v>
      </c>
      <c r="BH36" s="1">
        <f>IFERROR(VLOOKUP(AU36,'Top WS'!$A$19:$B$28,2),0)</f>
        <v>180</v>
      </c>
      <c r="BI36" s="1">
        <f>IFERROR(VLOOKUP(AV36,'Top WS'!$A$19:$B$28,2),0)</f>
        <v>180</v>
      </c>
      <c r="BJ36" s="1">
        <f>IFERROR(VLOOKUP(AW36,'Top WS'!$A$19:$B$28,2),0)</f>
        <v>180</v>
      </c>
      <c r="BK36" s="89">
        <f>IFERROR(VLOOKUP(AX36,'Top WS'!$A$19:$B$28,2),0)</f>
        <v>180</v>
      </c>
      <c r="BL36" s="89">
        <f>IFERROR(VLOOKUP(AY36,'Top WS'!$A$19:$B$28,2),0)</f>
        <v>180</v>
      </c>
      <c r="BM36" s="89">
        <f>IFERROR(VLOOKUP(AZ36,'Top WS'!$A$19:$B$28,2),0)</f>
        <v>180</v>
      </c>
      <c r="BN36" s="89">
        <f>IFERROR(VLOOKUP(BA36,'Top WS'!$A$19:$B$28,2),0)</f>
        <v>180</v>
      </c>
      <c r="BO36" s="89">
        <f>IFERROR(VLOOKUP(BB36,'Top WS'!$A$19:$B$28,2),0)</f>
        <v>180</v>
      </c>
      <c r="BP36" s="89">
        <f>IFERROR(VLOOKUP(BC36,'Top WS'!$A$19:$B$28,2),0)</f>
        <v>180</v>
      </c>
    </row>
    <row r="37" spans="1:68" x14ac:dyDescent="0.4">
      <c r="A37">
        <v>1190037401</v>
      </c>
      <c r="B37">
        <f>VLOOKUP(A37,[1]Sheet2!$A$2:$C$409,2,0)</f>
        <v>28171</v>
      </c>
      <c r="C37" t="str">
        <f>VLOOKUP(A37,[1]Sheet2!$A$2:$C$409,3,0)</f>
        <v>นายไพฑูรย์ ไกรลาศ</v>
      </c>
      <c r="D37" t="s">
        <v>102</v>
      </c>
      <c r="E37" s="1">
        <v>3086.0851141110252</v>
      </c>
      <c r="F37" s="1">
        <v>3055.1364085800219</v>
      </c>
      <c r="G37" s="1">
        <v>3496.6712741556885</v>
      </c>
      <c r="H37" s="1">
        <v>3712.247311177031</v>
      </c>
      <c r="I37" s="1">
        <v>1162.8726516940098</v>
      </c>
      <c r="J37" s="1">
        <v>4528.4944609237873</v>
      </c>
      <c r="K37" s="1">
        <v>2661.1893375305226</v>
      </c>
      <c r="L37" s="1">
        <v>4923.7061027369191</v>
      </c>
      <c r="M37" s="1">
        <v>2359.2897068022698</v>
      </c>
      <c r="N37" s="1">
        <v>3533.3438263010298</v>
      </c>
      <c r="O37" s="1">
        <v>3656.3399721532805</v>
      </c>
      <c r="P37" s="1">
        <v>3404.6238338344415</v>
      </c>
      <c r="R37" s="1" cm="1">
        <f t="array" ref="R37:W37">IFERROR(_xlfn.XLOOKUP(A37,'Actual_Aji Plus'!A:A,'Actual_Aji Plus'!C:H),0)</f>
        <v>1098.72</v>
      </c>
      <c r="S37" s="1">
        <v>5443.199999999998</v>
      </c>
      <c r="T37" s="1">
        <v>1310.3999999999999</v>
      </c>
      <c r="U37" s="1">
        <v>1380.9599999999998</v>
      </c>
      <c r="V37" s="1">
        <v>4009.2599999999998</v>
      </c>
      <c r="W37" s="1">
        <v>4112.6399999999994</v>
      </c>
      <c r="X37" s="102"/>
      <c r="Y37" s="102"/>
      <c r="Z37" s="102"/>
      <c r="AA37" s="102"/>
      <c r="AB37" s="102"/>
      <c r="AC37" s="102"/>
      <c r="AD37" s="1"/>
      <c r="AE37" s="88">
        <f t="shared" si="4"/>
        <v>0.35602388118724854</v>
      </c>
      <c r="AF37" s="88">
        <f t="shared" si="5"/>
        <v>1.7816553083238302</v>
      </c>
      <c r="AG37" s="88">
        <f t="shared" si="6"/>
        <v>0.37475641753496286</v>
      </c>
      <c r="AH37" s="88">
        <f t="shared" si="7"/>
        <v>0.37200107757964623</v>
      </c>
      <c r="AI37" s="88">
        <f t="shared" si="8"/>
        <v>3.4477206030768093</v>
      </c>
      <c r="AJ37" s="88">
        <f t="shared" si="9"/>
        <v>0.90816937847397616</v>
      </c>
      <c r="AK37" s="90">
        <f t="shared" si="10"/>
        <v>0</v>
      </c>
      <c r="AL37" s="90">
        <f t="shared" si="11"/>
        <v>0</v>
      </c>
      <c r="AM37" s="90">
        <f t="shared" si="12"/>
        <v>0</v>
      </c>
      <c r="AN37" s="90">
        <f t="shared" si="13"/>
        <v>0</v>
      </c>
      <c r="AO37" s="90">
        <f t="shared" si="14"/>
        <v>0</v>
      </c>
      <c r="AP37" s="90">
        <f t="shared" si="15"/>
        <v>0</v>
      </c>
      <c r="AQ37" s="88"/>
      <c r="AR37" s="90">
        <f t="shared" si="16"/>
        <v>0.35599999999999998</v>
      </c>
      <c r="AS37" s="90">
        <f t="shared" si="17"/>
        <v>1.7817000000000001</v>
      </c>
      <c r="AT37" s="90">
        <f t="shared" si="18"/>
        <v>0.37480000000000002</v>
      </c>
      <c r="AU37" s="90">
        <f t="shared" si="19"/>
        <v>0.372</v>
      </c>
      <c r="AV37" s="90">
        <f t="shared" si="20"/>
        <v>3.4477000000000002</v>
      </c>
      <c r="AW37" s="90">
        <f t="shared" si="21"/>
        <v>0.90820000000000001</v>
      </c>
      <c r="AX37" s="90">
        <f t="shared" si="22"/>
        <v>0</v>
      </c>
      <c r="AY37" s="90">
        <f t="shared" si="23"/>
        <v>0</v>
      </c>
      <c r="AZ37" s="90">
        <f t="shared" si="24"/>
        <v>0</v>
      </c>
      <c r="BA37" s="90">
        <f t="shared" si="25"/>
        <v>0</v>
      </c>
      <c r="BB37" s="90">
        <f t="shared" si="26"/>
        <v>0</v>
      </c>
      <c r="BC37" s="90">
        <f t="shared" si="27"/>
        <v>0</v>
      </c>
      <c r="BD37" s="88"/>
      <c r="BE37" s="1">
        <f>IFERROR(VLOOKUP(AR37,'Top WS'!$A$19:$B$28,2),0)</f>
        <v>180</v>
      </c>
      <c r="BF37" s="1">
        <f>IFERROR(VLOOKUP(AS37,'Top WS'!$A$19:$B$28,2),0)</f>
        <v>260</v>
      </c>
      <c r="BG37" s="1">
        <f>IFERROR(VLOOKUP(AT37,'Top WS'!$A$19:$B$28,2),0)</f>
        <v>180</v>
      </c>
      <c r="BH37" s="1">
        <f>IFERROR(VLOOKUP(AU37,'Top WS'!$A$19:$B$28,2),0)</f>
        <v>180</v>
      </c>
      <c r="BI37" s="1">
        <f>IFERROR(VLOOKUP(AV37,'Top WS'!$A$19:$B$28,2),0)</f>
        <v>260</v>
      </c>
      <c r="BJ37" s="1">
        <f>IFERROR(VLOOKUP(AW37,'Top WS'!$A$19:$B$28,2),0)</f>
        <v>190</v>
      </c>
      <c r="BK37" s="89">
        <f>IFERROR(VLOOKUP(AX37,'Top WS'!$A$19:$B$28,2),0)</f>
        <v>180</v>
      </c>
      <c r="BL37" s="89">
        <f>IFERROR(VLOOKUP(AY37,'Top WS'!$A$19:$B$28,2),0)</f>
        <v>180</v>
      </c>
      <c r="BM37" s="89">
        <f>IFERROR(VLOOKUP(AZ37,'Top WS'!$A$19:$B$28,2),0)</f>
        <v>180</v>
      </c>
      <c r="BN37" s="89">
        <f>IFERROR(VLOOKUP(BA37,'Top WS'!$A$19:$B$28,2),0)</f>
        <v>180</v>
      </c>
      <c r="BO37" s="89">
        <f>IFERROR(VLOOKUP(BB37,'Top WS'!$A$19:$B$28,2),0)</f>
        <v>180</v>
      </c>
      <c r="BP37" s="89">
        <f>IFERROR(VLOOKUP(BC37,'Top WS'!$A$19:$B$28,2),0)</f>
        <v>180</v>
      </c>
    </row>
    <row r="38" spans="1:68" x14ac:dyDescent="0.4">
      <c r="A38">
        <v>1190043401</v>
      </c>
      <c r="B38">
        <f>VLOOKUP(A38,[1]Sheet2!$A$2:$C$409,2,0)</f>
        <v>75885</v>
      </c>
      <c r="C38" t="str">
        <f>VLOOKUP(A38,[1]Sheet2!$A$2:$C$409,3,0)</f>
        <v>นายมารุต ปราสัย</v>
      </c>
      <c r="D38" t="s">
        <v>103</v>
      </c>
      <c r="E38" s="1">
        <v>7542.4857488694606</v>
      </c>
      <c r="F38" s="1">
        <v>6788.2371739825148</v>
      </c>
      <c r="G38" s="1">
        <v>6411.112886539041</v>
      </c>
      <c r="H38" s="1">
        <v>7542.4857488694606</v>
      </c>
      <c r="I38" s="1">
        <v>8296.7343237564073</v>
      </c>
      <c r="J38" s="1">
        <v>6411.112886539041</v>
      </c>
      <c r="K38" s="1">
        <v>6788.2371739825148</v>
      </c>
      <c r="L38" s="1">
        <v>6788.2371739825148</v>
      </c>
      <c r="M38" s="1">
        <v>9050.9828986433531</v>
      </c>
      <c r="N38" s="1">
        <v>9050.9828986433531</v>
      </c>
      <c r="O38" s="1">
        <v>7542.4857488694606</v>
      </c>
      <c r="P38" s="1">
        <v>8296.7343237564073</v>
      </c>
      <c r="R38" s="1" cm="1">
        <f t="array" ref="R38:W38">IFERROR(_xlfn.XLOOKUP(A38,'Actual_Aji Plus'!A:A,'Actual_Aji Plus'!C:H),0)</f>
        <v>7752.119999999999</v>
      </c>
      <c r="S38" s="1">
        <v>4687.8600000000006</v>
      </c>
      <c r="T38" s="1">
        <v>5597.1600000000008</v>
      </c>
      <c r="U38" s="1">
        <v>5745.06</v>
      </c>
      <c r="V38" s="1">
        <v>4211.5200000000004</v>
      </c>
      <c r="W38" s="1">
        <v>5825.9400000000005</v>
      </c>
      <c r="X38" s="102"/>
      <c r="Y38" s="102"/>
      <c r="Z38" s="102"/>
      <c r="AA38" s="102"/>
      <c r="AB38" s="102"/>
      <c r="AC38" s="102"/>
      <c r="AD38" s="1"/>
      <c r="AE38" s="88">
        <f t="shared" si="4"/>
        <v>1.0277937881635322</v>
      </c>
      <c r="AF38" s="88">
        <f t="shared" si="5"/>
        <v>0.69058577062794824</v>
      </c>
      <c r="AG38" s="88">
        <f t="shared" si="6"/>
        <v>0.87304031282181294</v>
      </c>
      <c r="AH38" s="88">
        <f t="shared" si="7"/>
        <v>0.76169318594484914</v>
      </c>
      <c r="AI38" s="88">
        <f t="shared" si="8"/>
        <v>0.50761177056627793</v>
      </c>
      <c r="AJ38" s="88">
        <f t="shared" si="9"/>
        <v>0.90872522494999475</v>
      </c>
      <c r="AK38" s="90">
        <f t="shared" si="10"/>
        <v>0</v>
      </c>
      <c r="AL38" s="90">
        <f t="shared" si="11"/>
        <v>0</v>
      </c>
      <c r="AM38" s="90">
        <f t="shared" si="12"/>
        <v>0</v>
      </c>
      <c r="AN38" s="90">
        <f t="shared" si="13"/>
        <v>0</v>
      </c>
      <c r="AO38" s="90">
        <f t="shared" si="14"/>
        <v>0</v>
      </c>
      <c r="AP38" s="90">
        <f t="shared" si="15"/>
        <v>0</v>
      </c>
      <c r="AQ38" s="88"/>
      <c r="AR38" s="90">
        <f t="shared" si="16"/>
        <v>1.0278</v>
      </c>
      <c r="AS38" s="90">
        <f t="shared" si="17"/>
        <v>0.69059999999999999</v>
      </c>
      <c r="AT38" s="90">
        <f t="shared" si="18"/>
        <v>0.873</v>
      </c>
      <c r="AU38" s="90">
        <f t="shared" si="19"/>
        <v>0.76170000000000004</v>
      </c>
      <c r="AV38" s="90">
        <f t="shared" si="20"/>
        <v>0.50760000000000005</v>
      </c>
      <c r="AW38" s="90">
        <f t="shared" si="21"/>
        <v>0.90869999999999995</v>
      </c>
      <c r="AX38" s="90">
        <f t="shared" si="22"/>
        <v>0</v>
      </c>
      <c r="AY38" s="90">
        <f t="shared" si="23"/>
        <v>0</v>
      </c>
      <c r="AZ38" s="90">
        <f t="shared" si="24"/>
        <v>0</v>
      </c>
      <c r="BA38" s="90">
        <f t="shared" si="25"/>
        <v>0</v>
      </c>
      <c r="BB38" s="90">
        <f t="shared" si="26"/>
        <v>0</v>
      </c>
      <c r="BC38" s="90">
        <f t="shared" si="27"/>
        <v>0</v>
      </c>
      <c r="BD38" s="88"/>
      <c r="BE38" s="1">
        <f>IFERROR(VLOOKUP(AR38,'Top WS'!$A$19:$B$28,2),0)</f>
        <v>206</v>
      </c>
      <c r="BF38" s="1">
        <f>IFERROR(VLOOKUP(AS38,'Top WS'!$A$19:$B$28,2),0)</f>
        <v>180</v>
      </c>
      <c r="BG38" s="1">
        <f>IFERROR(VLOOKUP(AT38,'Top WS'!$A$19:$B$28,2),0)</f>
        <v>180</v>
      </c>
      <c r="BH38" s="1">
        <f>IFERROR(VLOOKUP(AU38,'Top WS'!$A$19:$B$28,2),0)</f>
        <v>180</v>
      </c>
      <c r="BI38" s="1">
        <f>IFERROR(VLOOKUP(AV38,'Top WS'!$A$19:$B$28,2),0)</f>
        <v>180</v>
      </c>
      <c r="BJ38" s="1">
        <f>IFERROR(VLOOKUP(AW38,'Top WS'!$A$19:$B$28,2),0)</f>
        <v>190</v>
      </c>
      <c r="BK38" s="89">
        <f>IFERROR(VLOOKUP(AX38,'Top WS'!$A$19:$B$28,2),0)</f>
        <v>180</v>
      </c>
      <c r="BL38" s="89">
        <f>IFERROR(VLOOKUP(AY38,'Top WS'!$A$19:$B$28,2),0)</f>
        <v>180</v>
      </c>
      <c r="BM38" s="89">
        <f>IFERROR(VLOOKUP(AZ38,'Top WS'!$A$19:$B$28,2),0)</f>
        <v>180</v>
      </c>
      <c r="BN38" s="89">
        <f>IFERROR(VLOOKUP(BA38,'Top WS'!$A$19:$B$28,2),0)</f>
        <v>180</v>
      </c>
      <c r="BO38" s="89">
        <f>IFERROR(VLOOKUP(BB38,'Top WS'!$A$19:$B$28,2),0)</f>
        <v>180</v>
      </c>
      <c r="BP38" s="89">
        <f>IFERROR(VLOOKUP(BC38,'Top WS'!$A$19:$B$28,2),0)</f>
        <v>180</v>
      </c>
    </row>
    <row r="39" spans="1:68" x14ac:dyDescent="0.4">
      <c r="A39">
        <v>1190043402</v>
      </c>
      <c r="B39">
        <f>VLOOKUP(A39,[1]Sheet2!$A$2:$C$409,2,0)</f>
        <v>63707</v>
      </c>
      <c r="C39" t="str">
        <f>VLOOKUP(A39,[1]Sheet2!$A$2:$C$409,3,0)</f>
        <v>นายเกิดศักดิ์ คำศรี</v>
      </c>
      <c r="D39" t="s">
        <v>103</v>
      </c>
      <c r="E39" s="1">
        <v>15921.869452026374</v>
      </c>
      <c r="F39" s="1">
        <v>14329.682506823738</v>
      </c>
      <c r="G39" s="1">
        <v>13533.589034222417</v>
      </c>
      <c r="H39" s="1">
        <v>15921.869452026374</v>
      </c>
      <c r="I39" s="1">
        <v>17514.056397229015</v>
      </c>
      <c r="J39" s="1">
        <v>13533.589034222417</v>
      </c>
      <c r="K39" s="1">
        <v>14329.682506823738</v>
      </c>
      <c r="L39" s="1">
        <v>14329.682506823738</v>
      </c>
      <c r="M39" s="1">
        <v>19106.243342431648</v>
      </c>
      <c r="N39" s="1">
        <v>19106.243342431648</v>
      </c>
      <c r="O39" s="1">
        <v>15921.869452026374</v>
      </c>
      <c r="P39" s="1">
        <v>17514.056397229015</v>
      </c>
      <c r="R39" s="1" cm="1">
        <f t="array" ref="R39:W39">IFERROR(_xlfn.XLOOKUP(A39,'Actual_Aji Plus'!A:A,'Actual_Aji Plus'!C:H),0)</f>
        <v>13297.559999999994</v>
      </c>
      <c r="S39" s="1">
        <v>17280.78</v>
      </c>
      <c r="T39" s="1">
        <v>14171.199999999997</v>
      </c>
      <c r="U39" s="1">
        <v>15502.979999999996</v>
      </c>
      <c r="V39" s="1">
        <v>18404.639999999992</v>
      </c>
      <c r="W39" s="1">
        <v>12283.019999999999</v>
      </c>
      <c r="X39" s="102"/>
      <c r="Y39" s="102"/>
      <c r="Z39" s="102"/>
      <c r="AA39" s="102"/>
      <c r="AB39" s="102"/>
      <c r="AC39" s="102"/>
      <c r="AD39" s="1"/>
      <c r="AE39" s="88">
        <f t="shared" si="4"/>
        <v>0.83517579641425932</v>
      </c>
      <c r="AF39" s="88">
        <f t="shared" si="5"/>
        <v>1.2059429782740099</v>
      </c>
      <c r="AG39" s="88">
        <f t="shared" si="6"/>
        <v>1.0471132206072795</v>
      </c>
      <c r="AH39" s="88">
        <f t="shared" si="7"/>
        <v>0.97369093790848371</v>
      </c>
      <c r="AI39" s="88">
        <f t="shared" si="8"/>
        <v>1.050849647995417</v>
      </c>
      <c r="AJ39" s="88">
        <f t="shared" si="9"/>
        <v>0.90759516702774834</v>
      </c>
      <c r="AK39" s="90">
        <f t="shared" si="10"/>
        <v>0</v>
      </c>
      <c r="AL39" s="90">
        <f t="shared" si="11"/>
        <v>0</v>
      </c>
      <c r="AM39" s="90">
        <f t="shared" si="12"/>
        <v>0</v>
      </c>
      <c r="AN39" s="90">
        <f t="shared" si="13"/>
        <v>0</v>
      </c>
      <c r="AO39" s="90">
        <f t="shared" si="14"/>
        <v>0</v>
      </c>
      <c r="AP39" s="90">
        <f t="shared" si="15"/>
        <v>0</v>
      </c>
      <c r="AQ39" s="88"/>
      <c r="AR39" s="90">
        <f t="shared" si="16"/>
        <v>0.83520000000000005</v>
      </c>
      <c r="AS39" s="90">
        <f t="shared" si="17"/>
        <v>1.2059</v>
      </c>
      <c r="AT39" s="90">
        <f t="shared" si="18"/>
        <v>1.0470999999999999</v>
      </c>
      <c r="AU39" s="90">
        <f t="shared" si="19"/>
        <v>0.97370000000000001</v>
      </c>
      <c r="AV39" s="90">
        <f t="shared" si="20"/>
        <v>1.0508</v>
      </c>
      <c r="AW39" s="90">
        <f t="shared" si="21"/>
        <v>0.90759999999999996</v>
      </c>
      <c r="AX39" s="90">
        <f t="shared" si="22"/>
        <v>0</v>
      </c>
      <c r="AY39" s="90">
        <f t="shared" si="23"/>
        <v>0</v>
      </c>
      <c r="AZ39" s="90">
        <f t="shared" si="24"/>
        <v>0</v>
      </c>
      <c r="BA39" s="90">
        <f t="shared" si="25"/>
        <v>0</v>
      </c>
      <c r="BB39" s="90">
        <f t="shared" si="26"/>
        <v>0</v>
      </c>
      <c r="BC39" s="90">
        <f t="shared" si="27"/>
        <v>0</v>
      </c>
      <c r="BD39" s="88"/>
      <c r="BE39" s="1">
        <f>IFERROR(VLOOKUP(AR39,'Top WS'!$A$19:$B$28,2),0)</f>
        <v>180</v>
      </c>
      <c r="BF39" s="1">
        <f>IFERROR(VLOOKUP(AS39,'Top WS'!$A$19:$B$28,2),0)</f>
        <v>260</v>
      </c>
      <c r="BG39" s="1">
        <f>IFERROR(VLOOKUP(AT39,'Top WS'!$A$19:$B$28,2),0)</f>
        <v>216</v>
      </c>
      <c r="BH39" s="1">
        <f>IFERROR(VLOOKUP(AU39,'Top WS'!$A$19:$B$28,2),0)</f>
        <v>200</v>
      </c>
      <c r="BI39" s="1">
        <f>IFERROR(VLOOKUP(AV39,'Top WS'!$A$19:$B$28,2),0)</f>
        <v>216</v>
      </c>
      <c r="BJ39" s="1">
        <f>IFERROR(VLOOKUP(AW39,'Top WS'!$A$19:$B$28,2),0)</f>
        <v>190</v>
      </c>
      <c r="BK39" s="89">
        <f>IFERROR(VLOOKUP(AX39,'Top WS'!$A$19:$B$28,2),0)</f>
        <v>180</v>
      </c>
      <c r="BL39" s="89">
        <f>IFERROR(VLOOKUP(AY39,'Top WS'!$A$19:$B$28,2),0)</f>
        <v>180</v>
      </c>
      <c r="BM39" s="89">
        <f>IFERROR(VLOOKUP(AZ39,'Top WS'!$A$19:$B$28,2),0)</f>
        <v>180</v>
      </c>
      <c r="BN39" s="89">
        <f>IFERROR(VLOOKUP(BA39,'Top WS'!$A$19:$B$28,2),0)</f>
        <v>180</v>
      </c>
      <c r="BO39" s="89">
        <f>IFERROR(VLOOKUP(BB39,'Top WS'!$A$19:$B$28,2),0)</f>
        <v>180</v>
      </c>
      <c r="BP39" s="89">
        <f>IFERROR(VLOOKUP(BC39,'Top WS'!$A$19:$B$28,2),0)</f>
        <v>180</v>
      </c>
    </row>
    <row r="40" spans="1:68" x14ac:dyDescent="0.4">
      <c r="A40">
        <v>1190043501</v>
      </c>
      <c r="B40">
        <f>VLOOKUP(A40,[1]Sheet2!$A$2:$C$409,2,0)</f>
        <v>76645</v>
      </c>
      <c r="C40" t="str">
        <f>VLOOKUP(A40,[1]Sheet2!$A$2:$C$409,3,0)</f>
        <v>นายอัครวินท์ เปลื้องทุกข์</v>
      </c>
      <c r="D40" t="s">
        <v>104</v>
      </c>
      <c r="E40" s="1">
        <v>18580.214707416886</v>
      </c>
      <c r="F40" s="1">
        <v>19339.264331343329</v>
      </c>
      <c r="G40" s="1">
        <v>19009.242755723142</v>
      </c>
      <c r="H40" s="1">
        <v>19471.27296159141</v>
      </c>
      <c r="I40" s="1">
        <v>19801.294537211601</v>
      </c>
      <c r="J40" s="1">
        <v>19570.279434277469</v>
      </c>
      <c r="K40" s="1">
        <v>19834.296694773624</v>
      </c>
      <c r="L40" s="1">
        <v>19801.294537211601</v>
      </c>
      <c r="M40" s="1">
        <v>20131.316112831795</v>
      </c>
      <c r="N40" s="1">
        <v>20131.316112831795</v>
      </c>
      <c r="O40" s="1">
        <v>19471.27296159141</v>
      </c>
      <c r="P40" s="1">
        <v>19801.294537211601</v>
      </c>
      <c r="R40" s="1" cm="1">
        <f t="array" ref="R40:W40">IFERROR(_xlfn.XLOOKUP(A40,'Actual_Aji Plus'!A:A,'Actual_Aji Plus'!C:H),0)</f>
        <v>16863.179999999989</v>
      </c>
      <c r="S40" s="1">
        <v>19660.979999999992</v>
      </c>
      <c r="T40" s="1">
        <v>14237.519999999993</v>
      </c>
      <c r="U40" s="1">
        <v>17745.12</v>
      </c>
      <c r="V40" s="1">
        <v>17510.219999999994</v>
      </c>
      <c r="W40" s="1">
        <v>14760.239999999985</v>
      </c>
      <c r="X40" s="102"/>
      <c r="Y40" s="102"/>
      <c r="Z40" s="102"/>
      <c r="AA40" s="102"/>
      <c r="AB40" s="102"/>
      <c r="AC40" s="102"/>
      <c r="AD40" s="1"/>
      <c r="AE40" s="88">
        <f t="shared" si="4"/>
        <v>0.9075880050658679</v>
      </c>
      <c r="AF40" s="88">
        <f t="shared" si="5"/>
        <v>1.0166353622942759</v>
      </c>
      <c r="AG40" s="88">
        <f t="shared" si="6"/>
        <v>0.74897880904348391</v>
      </c>
      <c r="AH40" s="88">
        <f t="shared" si="7"/>
        <v>0.91134873590461285</v>
      </c>
      <c r="AI40" s="88">
        <f t="shared" si="8"/>
        <v>0.88429672954431826</v>
      </c>
      <c r="AJ40" s="88">
        <f t="shared" si="9"/>
        <v>0.75421713060199491</v>
      </c>
      <c r="AK40" s="90">
        <f t="shared" si="10"/>
        <v>0</v>
      </c>
      <c r="AL40" s="90">
        <f t="shared" si="11"/>
        <v>0</v>
      </c>
      <c r="AM40" s="90">
        <f t="shared" si="12"/>
        <v>0</v>
      </c>
      <c r="AN40" s="90">
        <f t="shared" si="13"/>
        <v>0</v>
      </c>
      <c r="AO40" s="90">
        <f t="shared" si="14"/>
        <v>0</v>
      </c>
      <c r="AP40" s="90">
        <f t="shared" si="15"/>
        <v>0</v>
      </c>
      <c r="AQ40" s="88"/>
      <c r="AR40" s="90">
        <f t="shared" si="16"/>
        <v>0.90759999999999996</v>
      </c>
      <c r="AS40" s="90">
        <f t="shared" si="17"/>
        <v>1.0165999999999999</v>
      </c>
      <c r="AT40" s="90">
        <f t="shared" si="18"/>
        <v>0.749</v>
      </c>
      <c r="AU40" s="90">
        <f t="shared" si="19"/>
        <v>0.9113</v>
      </c>
      <c r="AV40" s="90">
        <f t="shared" si="20"/>
        <v>0.88429999999999997</v>
      </c>
      <c r="AW40" s="90">
        <f t="shared" si="21"/>
        <v>0.75419999999999998</v>
      </c>
      <c r="AX40" s="90">
        <f t="shared" si="22"/>
        <v>0</v>
      </c>
      <c r="AY40" s="90">
        <f t="shared" si="23"/>
        <v>0</v>
      </c>
      <c r="AZ40" s="90">
        <f t="shared" si="24"/>
        <v>0</v>
      </c>
      <c r="BA40" s="90">
        <f t="shared" si="25"/>
        <v>0</v>
      </c>
      <c r="BB40" s="90">
        <f t="shared" si="26"/>
        <v>0</v>
      </c>
      <c r="BC40" s="90">
        <f t="shared" si="27"/>
        <v>0</v>
      </c>
      <c r="BD40" s="88"/>
      <c r="BE40" s="1">
        <f>IFERROR(VLOOKUP(AR40,'Top WS'!$A$19:$B$28,2),0)</f>
        <v>190</v>
      </c>
      <c r="BF40" s="1">
        <f>IFERROR(VLOOKUP(AS40,'Top WS'!$A$19:$B$28,2),0)</f>
        <v>206</v>
      </c>
      <c r="BG40" s="1">
        <f>IFERROR(VLOOKUP(AT40,'Top WS'!$A$19:$B$28,2),0)</f>
        <v>180</v>
      </c>
      <c r="BH40" s="1">
        <f>IFERROR(VLOOKUP(AU40,'Top WS'!$A$19:$B$28,2),0)</f>
        <v>190</v>
      </c>
      <c r="BI40" s="1">
        <f>IFERROR(VLOOKUP(AV40,'Top WS'!$A$19:$B$28,2),0)</f>
        <v>180</v>
      </c>
      <c r="BJ40" s="1">
        <f>IFERROR(VLOOKUP(AW40,'Top WS'!$A$19:$B$28,2),0)</f>
        <v>180</v>
      </c>
      <c r="BK40" s="89">
        <f>IFERROR(VLOOKUP(AX40,'Top WS'!$A$19:$B$28,2),0)</f>
        <v>180</v>
      </c>
      <c r="BL40" s="89">
        <f>IFERROR(VLOOKUP(AY40,'Top WS'!$A$19:$B$28,2),0)</f>
        <v>180</v>
      </c>
      <c r="BM40" s="89">
        <f>IFERROR(VLOOKUP(AZ40,'Top WS'!$A$19:$B$28,2),0)</f>
        <v>180</v>
      </c>
      <c r="BN40" s="89">
        <f>IFERROR(VLOOKUP(BA40,'Top WS'!$A$19:$B$28,2),0)</f>
        <v>180</v>
      </c>
      <c r="BO40" s="89">
        <f>IFERROR(VLOOKUP(BB40,'Top WS'!$A$19:$B$28,2),0)</f>
        <v>180</v>
      </c>
      <c r="BP40" s="89">
        <f>IFERROR(VLOOKUP(BC40,'Top WS'!$A$19:$B$28,2),0)</f>
        <v>180</v>
      </c>
    </row>
    <row r="41" spans="1:68" x14ac:dyDescent="0.4">
      <c r="A41">
        <v>1190043502</v>
      </c>
      <c r="B41">
        <f>VLOOKUP(A41,[1]Sheet2!$A$2:$C$409,2,0)</f>
        <v>26006</v>
      </c>
      <c r="C41" t="str">
        <f>VLOOKUP(A41,[1]Sheet2!$A$2:$C$409,3,0)</f>
        <v>นายกสิณวัชรฒ์ วงศ์กุลโชติ</v>
      </c>
      <c r="D41" t="s">
        <v>104</v>
      </c>
      <c r="E41" s="1">
        <v>4326.2580289945963</v>
      </c>
      <c r="F41" s="1">
        <v>4502.996811706631</v>
      </c>
      <c r="G41" s="1">
        <v>4426.1538627013997</v>
      </c>
      <c r="H41" s="1">
        <v>4533.7339913087244</v>
      </c>
      <c r="I41" s="1">
        <v>4610.5769403139575</v>
      </c>
      <c r="J41" s="1">
        <v>4556.7868760102947</v>
      </c>
      <c r="K41" s="1">
        <v>4618.2612352144806</v>
      </c>
      <c r="L41" s="1">
        <v>4610.5769403139575</v>
      </c>
      <c r="M41" s="1">
        <v>4687.4198893191888</v>
      </c>
      <c r="N41" s="1">
        <v>4687.4198893191888</v>
      </c>
      <c r="O41" s="1">
        <v>4533.7339913087244</v>
      </c>
      <c r="P41" s="1">
        <v>4610.5769403139575</v>
      </c>
      <c r="R41" s="1" cm="1">
        <f t="array" ref="R41:W41">IFERROR(_xlfn.XLOOKUP(A41,'Actual_Aji Plus'!A:A,'Actual_Aji Plus'!C:H),0)</f>
        <v>5570.2199999999966</v>
      </c>
      <c r="S41" s="1">
        <v>5489.8199999999988</v>
      </c>
      <c r="T41" s="1">
        <v>3575.1000000000022</v>
      </c>
      <c r="U41" s="1">
        <v>4018.3800000000028</v>
      </c>
      <c r="V41" s="1">
        <v>4429.5600000000004</v>
      </c>
      <c r="W41" s="1">
        <v>4502.4600000000009</v>
      </c>
      <c r="X41" s="102"/>
      <c r="Y41" s="102"/>
      <c r="Z41" s="102"/>
      <c r="AA41" s="102"/>
      <c r="AB41" s="102"/>
      <c r="AC41" s="102"/>
      <c r="AD41" s="1"/>
      <c r="AE41" s="88">
        <f t="shared" si="4"/>
        <v>1.2875376278225577</v>
      </c>
      <c r="AF41" s="88">
        <f t="shared" si="5"/>
        <v>1.2191480983792575</v>
      </c>
      <c r="AG41" s="88">
        <f t="shared" si="6"/>
        <v>0.80772158196462318</v>
      </c>
      <c r="AH41" s="88">
        <f t="shared" si="7"/>
        <v>0.88632901879627979</v>
      </c>
      <c r="AI41" s="88">
        <f t="shared" si="8"/>
        <v>0.96073876595981267</v>
      </c>
      <c r="AJ41" s="88">
        <f t="shared" si="9"/>
        <v>0.98807781063970679</v>
      </c>
      <c r="AK41" s="90">
        <f t="shared" si="10"/>
        <v>0</v>
      </c>
      <c r="AL41" s="90">
        <f t="shared" si="11"/>
        <v>0</v>
      </c>
      <c r="AM41" s="90">
        <f t="shared" si="12"/>
        <v>0</v>
      </c>
      <c r="AN41" s="90">
        <f t="shared" si="13"/>
        <v>0</v>
      </c>
      <c r="AO41" s="90">
        <f t="shared" si="14"/>
        <v>0</v>
      </c>
      <c r="AP41" s="90">
        <f t="shared" si="15"/>
        <v>0</v>
      </c>
      <c r="AQ41" s="88"/>
      <c r="AR41" s="90">
        <f t="shared" si="16"/>
        <v>1.2875000000000001</v>
      </c>
      <c r="AS41" s="90">
        <f t="shared" si="17"/>
        <v>1.2191000000000001</v>
      </c>
      <c r="AT41" s="90">
        <f t="shared" si="18"/>
        <v>0.80769999999999997</v>
      </c>
      <c r="AU41" s="90">
        <f t="shared" si="19"/>
        <v>0.88629999999999998</v>
      </c>
      <c r="AV41" s="90">
        <f t="shared" si="20"/>
        <v>0.9607</v>
      </c>
      <c r="AW41" s="90">
        <f t="shared" si="21"/>
        <v>0.98809999999999998</v>
      </c>
      <c r="AX41" s="90">
        <f t="shared" si="22"/>
        <v>0</v>
      </c>
      <c r="AY41" s="90">
        <f t="shared" si="23"/>
        <v>0</v>
      </c>
      <c r="AZ41" s="90">
        <f t="shared" si="24"/>
        <v>0</v>
      </c>
      <c r="BA41" s="90">
        <f t="shared" si="25"/>
        <v>0</v>
      </c>
      <c r="BB41" s="90">
        <f t="shared" si="26"/>
        <v>0</v>
      </c>
      <c r="BC41" s="90">
        <f t="shared" si="27"/>
        <v>0</v>
      </c>
      <c r="BD41" s="88"/>
      <c r="BE41" s="1">
        <f>IFERROR(VLOOKUP(AR41,'Top WS'!$A$19:$B$28,2),0)</f>
        <v>260</v>
      </c>
      <c r="BF41" s="1">
        <f>IFERROR(VLOOKUP(AS41,'Top WS'!$A$19:$B$28,2),0)</f>
        <v>260</v>
      </c>
      <c r="BG41" s="1">
        <f>IFERROR(VLOOKUP(AT41,'Top WS'!$A$19:$B$28,2),0)</f>
        <v>180</v>
      </c>
      <c r="BH41" s="1">
        <f>IFERROR(VLOOKUP(AU41,'Top WS'!$A$19:$B$28,2),0)</f>
        <v>180</v>
      </c>
      <c r="BI41" s="1">
        <f>IFERROR(VLOOKUP(AV41,'Top WS'!$A$19:$B$28,2),0)</f>
        <v>200</v>
      </c>
      <c r="BJ41" s="1">
        <f>IFERROR(VLOOKUP(AW41,'Top WS'!$A$19:$B$28,2),0)</f>
        <v>200</v>
      </c>
      <c r="BK41" s="89">
        <f>IFERROR(VLOOKUP(AX41,'Top WS'!$A$19:$B$28,2),0)</f>
        <v>180</v>
      </c>
      <c r="BL41" s="89">
        <f>IFERROR(VLOOKUP(AY41,'Top WS'!$A$19:$B$28,2),0)</f>
        <v>180</v>
      </c>
      <c r="BM41" s="89">
        <f>IFERROR(VLOOKUP(AZ41,'Top WS'!$A$19:$B$28,2),0)</f>
        <v>180</v>
      </c>
      <c r="BN41" s="89">
        <f>IFERROR(VLOOKUP(BA41,'Top WS'!$A$19:$B$28,2),0)</f>
        <v>180</v>
      </c>
      <c r="BO41" s="89">
        <f>IFERROR(VLOOKUP(BB41,'Top WS'!$A$19:$B$28,2),0)</f>
        <v>180</v>
      </c>
      <c r="BP41" s="89">
        <f>IFERROR(VLOOKUP(BC41,'Top WS'!$A$19:$B$28,2),0)</f>
        <v>180</v>
      </c>
    </row>
    <row r="42" spans="1:68" x14ac:dyDescent="0.4">
      <c r="A42">
        <v>1190043601</v>
      </c>
      <c r="B42">
        <f>VLOOKUP(A42,[1]Sheet2!$A$2:$C$409,2,0)</f>
        <v>77489</v>
      </c>
      <c r="C42" t="str">
        <f>VLOOKUP(A42,[1]Sheet2!$A$2:$C$409,3,0)</f>
        <v>นายสุริยันต์ จันทร์คำพา</v>
      </c>
      <c r="D42" t="s">
        <v>105</v>
      </c>
      <c r="E42" s="1">
        <v>24521.541984027503</v>
      </c>
      <c r="F42" s="1">
        <v>25523.310129023292</v>
      </c>
      <c r="G42" s="1">
        <v>25087.758761633824</v>
      </c>
      <c r="H42" s="1">
        <v>25697.530675979087</v>
      </c>
      <c r="I42" s="1">
        <v>26133.082043368562</v>
      </c>
      <c r="J42" s="1">
        <v>25828.196086195931</v>
      </c>
      <c r="K42" s="1">
        <v>26176.637180107511</v>
      </c>
      <c r="L42" s="1">
        <v>26133.082043368562</v>
      </c>
      <c r="M42" s="1">
        <v>26568.633410758033</v>
      </c>
      <c r="N42" s="1">
        <v>26568.633410758033</v>
      </c>
      <c r="O42" s="1">
        <v>25697.530675979087</v>
      </c>
      <c r="P42" s="1">
        <v>26133.082043368562</v>
      </c>
      <c r="R42" s="1" cm="1">
        <f t="array" ref="R42:W42">IFERROR(_xlfn.XLOOKUP(A42,'Actual_Aji Plus'!A:A,'Actual_Aji Plus'!C:H),0)</f>
        <v>20609.460000000003</v>
      </c>
      <c r="S42" s="1">
        <v>24314.940000000002</v>
      </c>
      <c r="T42" s="1">
        <v>24506.520000000019</v>
      </c>
      <c r="U42" s="1">
        <v>26982.360000000015</v>
      </c>
      <c r="V42" s="1">
        <v>25987.980000000007</v>
      </c>
      <c r="W42" s="1">
        <v>21946.920000000002</v>
      </c>
      <c r="X42" s="102"/>
      <c r="Y42" s="102"/>
      <c r="Z42" s="102"/>
      <c r="AA42" s="102"/>
      <c r="AB42" s="102"/>
      <c r="AC42" s="102"/>
      <c r="AD42" s="1"/>
      <c r="AE42" s="88">
        <f t="shared" si="4"/>
        <v>0.84046345916681353</v>
      </c>
      <c r="AF42" s="88">
        <f t="shared" si="5"/>
        <v>0.95265621414640822</v>
      </c>
      <c r="AG42" s="88">
        <f t="shared" si="6"/>
        <v>0.97683177811312971</v>
      </c>
      <c r="AH42" s="88">
        <f t="shared" si="7"/>
        <v>1.04999816286714</v>
      </c>
      <c r="AI42" s="88">
        <f t="shared" si="8"/>
        <v>0.99444757250110205</v>
      </c>
      <c r="AJ42" s="88">
        <f t="shared" si="9"/>
        <v>0.84972717129593478</v>
      </c>
      <c r="AK42" s="90">
        <f t="shared" si="10"/>
        <v>0</v>
      </c>
      <c r="AL42" s="90">
        <f t="shared" si="11"/>
        <v>0</v>
      </c>
      <c r="AM42" s="90">
        <f t="shared" si="12"/>
        <v>0</v>
      </c>
      <c r="AN42" s="90">
        <f t="shared" si="13"/>
        <v>0</v>
      </c>
      <c r="AO42" s="90">
        <f t="shared" si="14"/>
        <v>0</v>
      </c>
      <c r="AP42" s="90">
        <f t="shared" si="15"/>
        <v>0</v>
      </c>
      <c r="AQ42" s="88"/>
      <c r="AR42" s="90">
        <f t="shared" si="16"/>
        <v>0.84050000000000002</v>
      </c>
      <c r="AS42" s="90">
        <f t="shared" si="17"/>
        <v>0.95269999999999999</v>
      </c>
      <c r="AT42" s="90">
        <f t="shared" si="18"/>
        <v>0.9768</v>
      </c>
      <c r="AU42" s="90">
        <f t="shared" si="19"/>
        <v>1.05</v>
      </c>
      <c r="AV42" s="90">
        <f t="shared" si="20"/>
        <v>0.99439999999999995</v>
      </c>
      <c r="AW42" s="90">
        <f t="shared" si="21"/>
        <v>0.84970000000000001</v>
      </c>
      <c r="AX42" s="90">
        <f t="shared" si="22"/>
        <v>0</v>
      </c>
      <c r="AY42" s="90">
        <f t="shared" si="23"/>
        <v>0</v>
      </c>
      <c r="AZ42" s="90">
        <f t="shared" si="24"/>
        <v>0</v>
      </c>
      <c r="BA42" s="90">
        <f t="shared" si="25"/>
        <v>0</v>
      </c>
      <c r="BB42" s="90">
        <f t="shared" si="26"/>
        <v>0</v>
      </c>
      <c r="BC42" s="90">
        <f t="shared" si="27"/>
        <v>0</v>
      </c>
      <c r="BD42" s="88"/>
      <c r="BE42" s="1">
        <f>IFERROR(VLOOKUP(AR42,'Top WS'!$A$19:$B$28,2),0)</f>
        <v>180</v>
      </c>
      <c r="BF42" s="1">
        <f>IFERROR(VLOOKUP(AS42,'Top WS'!$A$19:$B$28,2),0)</f>
        <v>200</v>
      </c>
      <c r="BG42" s="1">
        <f>IFERROR(VLOOKUP(AT42,'Top WS'!$A$19:$B$28,2),0)</f>
        <v>200</v>
      </c>
      <c r="BH42" s="1">
        <f>IFERROR(VLOOKUP(AU42,'Top WS'!$A$19:$B$28,2),0)</f>
        <v>216</v>
      </c>
      <c r="BI42" s="1">
        <f>IFERROR(VLOOKUP(AV42,'Top WS'!$A$19:$B$28,2),0)</f>
        <v>200</v>
      </c>
      <c r="BJ42" s="1">
        <f>IFERROR(VLOOKUP(AW42,'Top WS'!$A$19:$B$28,2),0)</f>
        <v>180</v>
      </c>
      <c r="BK42" s="89">
        <f>IFERROR(VLOOKUP(AX42,'Top WS'!$A$19:$B$28,2),0)</f>
        <v>180</v>
      </c>
      <c r="BL42" s="89">
        <f>IFERROR(VLOOKUP(AY42,'Top WS'!$A$19:$B$28,2),0)</f>
        <v>180</v>
      </c>
      <c r="BM42" s="89">
        <f>IFERROR(VLOOKUP(AZ42,'Top WS'!$A$19:$B$28,2),0)</f>
        <v>180</v>
      </c>
      <c r="BN42" s="89">
        <f>IFERROR(VLOOKUP(BA42,'Top WS'!$A$19:$B$28,2),0)</f>
        <v>180</v>
      </c>
      <c r="BO42" s="89">
        <f>IFERROR(VLOOKUP(BB42,'Top WS'!$A$19:$B$28,2),0)</f>
        <v>180</v>
      </c>
      <c r="BP42" s="89">
        <f>IFERROR(VLOOKUP(BC42,'Top WS'!$A$19:$B$28,2),0)</f>
        <v>180</v>
      </c>
    </row>
    <row r="43" spans="1:68" x14ac:dyDescent="0.4">
      <c r="A43">
        <v>1190043602</v>
      </c>
      <c r="B43">
        <f>VLOOKUP(A43,[1]Sheet2!$A$2:$C$409,2,0)</f>
        <v>70403</v>
      </c>
      <c r="C43" t="str">
        <f>VLOOKUP(A43,[1]Sheet2!$A$2:$C$409,3,0)</f>
        <v>นายเดชา ปะโพธิ์ชะกัง</v>
      </c>
      <c r="D43" t="s">
        <v>105</v>
      </c>
      <c r="E43" s="1">
        <v>52778.168534227363</v>
      </c>
      <c r="F43" s="1">
        <v>54934.292648414266</v>
      </c>
      <c r="G43" s="1">
        <v>53996.847381376494</v>
      </c>
      <c r="H43" s="1">
        <v>55309.270755229387</v>
      </c>
      <c r="I43" s="1">
        <v>56246.716022267174</v>
      </c>
      <c r="J43" s="1">
        <v>55590.504335340731</v>
      </c>
      <c r="K43" s="1">
        <v>56340.460548970957</v>
      </c>
      <c r="L43" s="1">
        <v>56246.716022267174</v>
      </c>
      <c r="M43" s="1">
        <v>57184.161289304953</v>
      </c>
      <c r="N43" s="1">
        <v>57184.161289304953</v>
      </c>
      <c r="O43" s="1">
        <v>55309.270755229387</v>
      </c>
      <c r="P43" s="1">
        <v>56246.716022267174</v>
      </c>
      <c r="R43" s="1" cm="1">
        <f t="array" ref="R43:W43">IFERROR(_xlfn.XLOOKUP(A43,'Actual_Aji Plus'!A:A,'Actual_Aji Plus'!C:H),0)</f>
        <v>48073.520000000019</v>
      </c>
      <c r="S43" s="1">
        <v>51983.819999999992</v>
      </c>
      <c r="T43" s="1">
        <v>53789.16</v>
      </c>
      <c r="U43" s="1">
        <v>47565.239999999991</v>
      </c>
      <c r="V43" s="1">
        <v>44672.740000000005</v>
      </c>
      <c r="W43" s="1">
        <v>54307.619999999995</v>
      </c>
      <c r="X43" s="102"/>
      <c r="Y43" s="102"/>
      <c r="Z43" s="102"/>
      <c r="AA43" s="102"/>
      <c r="AB43" s="102"/>
      <c r="AC43" s="102"/>
      <c r="AD43" s="1"/>
      <c r="AE43" s="88">
        <f t="shared" si="4"/>
        <v>0.91085995090609639</v>
      </c>
      <c r="AF43" s="88">
        <f t="shared" si="5"/>
        <v>0.94629087758902009</v>
      </c>
      <c r="AG43" s="88">
        <f t="shared" si="6"/>
        <v>0.99615371282864706</v>
      </c>
      <c r="AH43" s="88">
        <f t="shared" si="7"/>
        <v>0.85998674996999103</v>
      </c>
      <c r="AI43" s="88">
        <f t="shared" si="8"/>
        <v>0.79422841294974067</v>
      </c>
      <c r="AJ43" s="88">
        <f t="shared" si="9"/>
        <v>0.97692259944968396</v>
      </c>
      <c r="AK43" s="90">
        <f t="shared" si="10"/>
        <v>0</v>
      </c>
      <c r="AL43" s="90">
        <f t="shared" si="11"/>
        <v>0</v>
      </c>
      <c r="AM43" s="90">
        <f t="shared" si="12"/>
        <v>0</v>
      </c>
      <c r="AN43" s="90">
        <f t="shared" si="13"/>
        <v>0</v>
      </c>
      <c r="AO43" s="90">
        <f t="shared" si="14"/>
        <v>0</v>
      </c>
      <c r="AP43" s="90">
        <f t="shared" si="15"/>
        <v>0</v>
      </c>
      <c r="AQ43" s="88"/>
      <c r="AR43" s="90">
        <f t="shared" si="16"/>
        <v>0.91090000000000004</v>
      </c>
      <c r="AS43" s="90">
        <f t="shared" si="17"/>
        <v>0.94630000000000003</v>
      </c>
      <c r="AT43" s="90">
        <f t="shared" si="18"/>
        <v>0.99619999999999997</v>
      </c>
      <c r="AU43" s="90">
        <f t="shared" si="19"/>
        <v>0.86</v>
      </c>
      <c r="AV43" s="90">
        <f t="shared" si="20"/>
        <v>0.79420000000000002</v>
      </c>
      <c r="AW43" s="90">
        <f t="shared" si="21"/>
        <v>0.97689999999999999</v>
      </c>
      <c r="AX43" s="90">
        <f t="shared" si="22"/>
        <v>0</v>
      </c>
      <c r="AY43" s="90">
        <f t="shared" si="23"/>
        <v>0</v>
      </c>
      <c r="AZ43" s="90">
        <f t="shared" si="24"/>
        <v>0</v>
      </c>
      <c r="BA43" s="90">
        <f t="shared" si="25"/>
        <v>0</v>
      </c>
      <c r="BB43" s="90">
        <f t="shared" si="26"/>
        <v>0</v>
      </c>
      <c r="BC43" s="90">
        <f t="shared" si="27"/>
        <v>0</v>
      </c>
      <c r="BD43" s="88"/>
      <c r="BE43" s="1">
        <f>IFERROR(VLOOKUP(AR43,'Top WS'!$A$19:$B$28,2),0)</f>
        <v>190</v>
      </c>
      <c r="BF43" s="1">
        <f>IFERROR(VLOOKUP(AS43,'Top WS'!$A$19:$B$28,2),0)</f>
        <v>190</v>
      </c>
      <c r="BG43" s="1">
        <f>IFERROR(VLOOKUP(AT43,'Top WS'!$A$19:$B$28,2),0)</f>
        <v>200</v>
      </c>
      <c r="BH43" s="1">
        <f>IFERROR(VLOOKUP(AU43,'Top WS'!$A$19:$B$28,2),0)</f>
        <v>180</v>
      </c>
      <c r="BI43" s="1">
        <f>IFERROR(VLOOKUP(AV43,'Top WS'!$A$19:$B$28,2),0)</f>
        <v>180</v>
      </c>
      <c r="BJ43" s="1">
        <f>IFERROR(VLOOKUP(AW43,'Top WS'!$A$19:$B$28,2),0)</f>
        <v>200</v>
      </c>
      <c r="BK43" s="89">
        <f>IFERROR(VLOOKUP(AX43,'Top WS'!$A$19:$B$28,2),0)</f>
        <v>180</v>
      </c>
      <c r="BL43" s="89">
        <f>IFERROR(VLOOKUP(AY43,'Top WS'!$A$19:$B$28,2),0)</f>
        <v>180</v>
      </c>
      <c r="BM43" s="89">
        <f>IFERROR(VLOOKUP(AZ43,'Top WS'!$A$19:$B$28,2),0)</f>
        <v>180</v>
      </c>
      <c r="BN43" s="89">
        <f>IFERROR(VLOOKUP(BA43,'Top WS'!$A$19:$B$28,2),0)</f>
        <v>180</v>
      </c>
      <c r="BO43" s="89">
        <f>IFERROR(VLOOKUP(BB43,'Top WS'!$A$19:$B$28,2),0)</f>
        <v>180</v>
      </c>
      <c r="BP43" s="89">
        <f>IFERROR(VLOOKUP(BC43,'Top WS'!$A$19:$B$28,2),0)</f>
        <v>180</v>
      </c>
    </row>
    <row r="44" spans="1:68" x14ac:dyDescent="0.4">
      <c r="A44">
        <v>1190043701</v>
      </c>
      <c r="B44">
        <f>VLOOKUP(A44,[1]Sheet2!$A$2:$C$409,2,0)</f>
        <v>63286</v>
      </c>
      <c r="C44" t="str">
        <f>VLOOKUP(A44,[1]Sheet2!$A$2:$C$409,3,0)</f>
        <v>นายมานพ ประจวบสุข</v>
      </c>
      <c r="D44" t="s">
        <v>106</v>
      </c>
      <c r="E44" s="1">
        <v>7370</v>
      </c>
      <c r="F44" s="1">
        <v>6635</v>
      </c>
      <c r="G44" s="1">
        <v>6265</v>
      </c>
      <c r="H44" s="1">
        <v>7370</v>
      </c>
      <c r="I44" s="1">
        <v>8107</v>
      </c>
      <c r="J44" s="1">
        <v>6265</v>
      </c>
      <c r="K44" s="1">
        <v>6633</v>
      </c>
      <c r="L44" s="1">
        <v>6633</v>
      </c>
      <c r="M44" s="1">
        <v>8845</v>
      </c>
      <c r="N44" s="1">
        <v>8845</v>
      </c>
      <c r="O44" s="1">
        <v>7370</v>
      </c>
      <c r="P44" s="1">
        <v>8107</v>
      </c>
      <c r="R44" s="1" cm="1">
        <f t="array" ref="R44:W44">IFERROR(_xlfn.XLOOKUP(A44,'Actual_Aji Plus'!A:A,'Actual_Aji Plus'!C:H),0)</f>
        <v>5260.9799999999987</v>
      </c>
      <c r="S44" s="1">
        <v>7123.9199999999973</v>
      </c>
      <c r="T44" s="1">
        <v>5424.36</v>
      </c>
      <c r="U44" s="1">
        <v>4843.2599999999993</v>
      </c>
      <c r="V44" s="1">
        <v>7203.8399999999974</v>
      </c>
      <c r="W44" s="1">
        <v>4702.8599999999988</v>
      </c>
      <c r="X44" s="102"/>
      <c r="Y44" s="102"/>
      <c r="Z44" s="102"/>
      <c r="AA44" s="102"/>
      <c r="AB44" s="102"/>
      <c r="AC44" s="102"/>
      <c r="AD44" s="1"/>
      <c r="AE44" s="88">
        <f t="shared" si="4"/>
        <v>0.71383717774762534</v>
      </c>
      <c r="AF44" s="88">
        <f t="shared" si="5"/>
        <v>1.0736880180859076</v>
      </c>
      <c r="AG44" s="88">
        <f t="shared" si="6"/>
        <v>0.86581963288108532</v>
      </c>
      <c r="AH44" s="88">
        <f t="shared" si="7"/>
        <v>0.65715875169606508</v>
      </c>
      <c r="AI44" s="88">
        <f t="shared" si="8"/>
        <v>0.88859504132231371</v>
      </c>
      <c r="AJ44" s="88">
        <f t="shared" si="9"/>
        <v>0.75065602553870692</v>
      </c>
      <c r="AK44" s="90">
        <f t="shared" si="10"/>
        <v>0</v>
      </c>
      <c r="AL44" s="90">
        <f t="shared" si="11"/>
        <v>0</v>
      </c>
      <c r="AM44" s="90">
        <f t="shared" si="12"/>
        <v>0</v>
      </c>
      <c r="AN44" s="90">
        <f t="shared" si="13"/>
        <v>0</v>
      </c>
      <c r="AO44" s="90">
        <f t="shared" si="14"/>
        <v>0</v>
      </c>
      <c r="AP44" s="90">
        <f t="shared" si="15"/>
        <v>0</v>
      </c>
      <c r="AQ44" s="88"/>
      <c r="AR44" s="90">
        <f t="shared" si="16"/>
        <v>0.71379999999999999</v>
      </c>
      <c r="AS44" s="90">
        <f t="shared" si="17"/>
        <v>1.0737000000000001</v>
      </c>
      <c r="AT44" s="90">
        <f t="shared" si="18"/>
        <v>0.86580000000000001</v>
      </c>
      <c r="AU44" s="90">
        <f t="shared" si="19"/>
        <v>0.65720000000000001</v>
      </c>
      <c r="AV44" s="90">
        <f t="shared" si="20"/>
        <v>0.88859999999999995</v>
      </c>
      <c r="AW44" s="90">
        <f t="shared" si="21"/>
        <v>0.75070000000000003</v>
      </c>
      <c r="AX44" s="90">
        <f t="shared" si="22"/>
        <v>0</v>
      </c>
      <c r="AY44" s="90">
        <f t="shared" si="23"/>
        <v>0</v>
      </c>
      <c r="AZ44" s="90">
        <f t="shared" si="24"/>
        <v>0</v>
      </c>
      <c r="BA44" s="90">
        <f t="shared" si="25"/>
        <v>0</v>
      </c>
      <c r="BB44" s="90">
        <f t="shared" si="26"/>
        <v>0</v>
      </c>
      <c r="BC44" s="90">
        <f t="shared" si="27"/>
        <v>0</v>
      </c>
      <c r="BD44" s="88"/>
      <c r="BE44" s="1">
        <f>IFERROR(VLOOKUP(AR44,'Top WS'!$A$19:$B$28,2),0)</f>
        <v>180</v>
      </c>
      <c r="BF44" s="1">
        <f>IFERROR(VLOOKUP(AS44,'Top WS'!$A$19:$B$28,2),0)</f>
        <v>220</v>
      </c>
      <c r="BG44" s="1">
        <f>IFERROR(VLOOKUP(AT44,'Top WS'!$A$19:$B$28,2),0)</f>
        <v>180</v>
      </c>
      <c r="BH44" s="1">
        <f>IFERROR(VLOOKUP(AU44,'Top WS'!$A$19:$B$28,2),0)</f>
        <v>180</v>
      </c>
      <c r="BI44" s="1">
        <f>IFERROR(VLOOKUP(AV44,'Top WS'!$A$19:$B$28,2),0)</f>
        <v>180</v>
      </c>
      <c r="BJ44" s="1">
        <f>IFERROR(VLOOKUP(AW44,'Top WS'!$A$19:$B$28,2),0)</f>
        <v>180</v>
      </c>
      <c r="BK44" s="89">
        <f>IFERROR(VLOOKUP(AX44,'Top WS'!$A$19:$B$28,2),0)</f>
        <v>180</v>
      </c>
      <c r="BL44" s="89">
        <f>IFERROR(VLOOKUP(AY44,'Top WS'!$A$19:$B$28,2),0)</f>
        <v>180</v>
      </c>
      <c r="BM44" s="89">
        <f>IFERROR(VLOOKUP(AZ44,'Top WS'!$A$19:$B$28,2),0)</f>
        <v>180</v>
      </c>
      <c r="BN44" s="89">
        <f>IFERROR(VLOOKUP(BA44,'Top WS'!$A$19:$B$28,2),0)</f>
        <v>180</v>
      </c>
      <c r="BO44" s="89">
        <f>IFERROR(VLOOKUP(BB44,'Top WS'!$A$19:$B$28,2),0)</f>
        <v>180</v>
      </c>
      <c r="BP44" s="89">
        <f>IFERROR(VLOOKUP(BC44,'Top WS'!$A$19:$B$28,2),0)</f>
        <v>180</v>
      </c>
    </row>
    <row r="45" spans="1:68" x14ac:dyDescent="0.4">
      <c r="A45">
        <v>1190043702</v>
      </c>
      <c r="B45">
        <f>VLOOKUP(A45,[1]Sheet2!$A$2:$C$409,2,0)</f>
        <v>70479</v>
      </c>
      <c r="C45" t="str">
        <f>VLOOKUP(A45,[1]Sheet2!$A$2:$C$409,3,0)</f>
        <v>นายภูริต มาตย์วิเศษ</v>
      </c>
      <c r="D45" t="s">
        <v>106</v>
      </c>
      <c r="E45" s="1">
        <v>4146</v>
      </c>
      <c r="F45" s="1">
        <v>3732</v>
      </c>
      <c r="G45" s="1">
        <v>3524</v>
      </c>
      <c r="H45" s="1">
        <v>4146</v>
      </c>
      <c r="I45" s="1">
        <v>4562</v>
      </c>
      <c r="J45" s="1">
        <v>3524</v>
      </c>
      <c r="K45" s="1">
        <v>3732</v>
      </c>
      <c r="L45" s="1">
        <v>3732</v>
      </c>
      <c r="M45" s="1">
        <v>4975</v>
      </c>
      <c r="N45" s="1">
        <v>4975</v>
      </c>
      <c r="O45" s="1">
        <v>4146</v>
      </c>
      <c r="P45" s="1">
        <v>4561</v>
      </c>
      <c r="R45" s="1" cm="1">
        <f t="array" ref="R45:W45">IFERROR(_xlfn.XLOOKUP(A45,'Actual_Aji Plus'!A:A,'Actual_Aji Plus'!C:H),0)</f>
        <v>3158.0400000000009</v>
      </c>
      <c r="S45" s="1">
        <v>4557.0600000000004</v>
      </c>
      <c r="T45" s="1">
        <v>3002.3999999999996</v>
      </c>
      <c r="U45" s="1">
        <v>4567.8599999999988</v>
      </c>
      <c r="V45" s="1">
        <v>4612.6199999999981</v>
      </c>
      <c r="W45" s="1">
        <v>2851.92</v>
      </c>
      <c r="X45" s="102"/>
      <c r="Y45" s="102"/>
      <c r="Z45" s="102"/>
      <c r="AA45" s="102"/>
      <c r="AB45" s="102"/>
      <c r="AC45" s="102"/>
      <c r="AD45" s="1"/>
      <c r="AE45" s="88">
        <f t="shared" si="4"/>
        <v>0.76170767004341555</v>
      </c>
      <c r="AF45" s="88">
        <f t="shared" si="5"/>
        <v>1.2210771704180066</v>
      </c>
      <c r="AG45" s="88">
        <f t="shared" si="6"/>
        <v>0.85198637911464237</v>
      </c>
      <c r="AH45" s="88">
        <f t="shared" si="7"/>
        <v>1.101751085383502</v>
      </c>
      <c r="AI45" s="88">
        <f t="shared" si="8"/>
        <v>1.0110960105217006</v>
      </c>
      <c r="AJ45" s="88">
        <f t="shared" si="9"/>
        <v>0.80928490351872873</v>
      </c>
      <c r="AK45" s="90">
        <f t="shared" si="10"/>
        <v>0</v>
      </c>
      <c r="AL45" s="90">
        <f t="shared" si="11"/>
        <v>0</v>
      </c>
      <c r="AM45" s="90">
        <f t="shared" si="12"/>
        <v>0</v>
      </c>
      <c r="AN45" s="90">
        <f t="shared" si="13"/>
        <v>0</v>
      </c>
      <c r="AO45" s="90">
        <f t="shared" si="14"/>
        <v>0</v>
      </c>
      <c r="AP45" s="90">
        <f t="shared" si="15"/>
        <v>0</v>
      </c>
      <c r="AQ45" s="88"/>
      <c r="AR45" s="90">
        <f t="shared" si="16"/>
        <v>0.76170000000000004</v>
      </c>
      <c r="AS45" s="90">
        <f t="shared" si="17"/>
        <v>1.2211000000000001</v>
      </c>
      <c r="AT45" s="90">
        <f t="shared" si="18"/>
        <v>0.85199999999999998</v>
      </c>
      <c r="AU45" s="90">
        <f t="shared" si="19"/>
        <v>1.1017999999999999</v>
      </c>
      <c r="AV45" s="90">
        <f t="shared" si="20"/>
        <v>1.0111000000000001</v>
      </c>
      <c r="AW45" s="90">
        <f t="shared" si="21"/>
        <v>0.80930000000000002</v>
      </c>
      <c r="AX45" s="90">
        <f t="shared" si="22"/>
        <v>0</v>
      </c>
      <c r="AY45" s="90">
        <f t="shared" si="23"/>
        <v>0</v>
      </c>
      <c r="AZ45" s="90">
        <f t="shared" si="24"/>
        <v>0</v>
      </c>
      <c r="BA45" s="90">
        <f t="shared" si="25"/>
        <v>0</v>
      </c>
      <c r="BB45" s="90">
        <f t="shared" si="26"/>
        <v>0</v>
      </c>
      <c r="BC45" s="90">
        <f t="shared" si="27"/>
        <v>0</v>
      </c>
      <c r="BD45" s="88"/>
      <c r="BE45" s="1">
        <f>IFERROR(VLOOKUP(AR45,'Top WS'!$A$19:$B$28,2),0)</f>
        <v>180</v>
      </c>
      <c r="BF45" s="1">
        <f>IFERROR(VLOOKUP(AS45,'Top WS'!$A$19:$B$28,2),0)</f>
        <v>260</v>
      </c>
      <c r="BG45" s="1">
        <f>IFERROR(VLOOKUP(AT45,'Top WS'!$A$19:$B$28,2),0)</f>
        <v>180</v>
      </c>
      <c r="BH45" s="1">
        <f>IFERROR(VLOOKUP(AU45,'Top WS'!$A$19:$B$28,2),0)</f>
        <v>230</v>
      </c>
      <c r="BI45" s="1">
        <f>IFERROR(VLOOKUP(AV45,'Top WS'!$A$19:$B$28,2),0)</f>
        <v>206</v>
      </c>
      <c r="BJ45" s="1">
        <f>IFERROR(VLOOKUP(AW45,'Top WS'!$A$19:$B$28,2),0)</f>
        <v>180</v>
      </c>
      <c r="BK45" s="89">
        <f>IFERROR(VLOOKUP(AX45,'Top WS'!$A$19:$B$28,2),0)</f>
        <v>180</v>
      </c>
      <c r="BL45" s="89">
        <f>IFERROR(VLOOKUP(AY45,'Top WS'!$A$19:$B$28,2),0)</f>
        <v>180</v>
      </c>
      <c r="BM45" s="89">
        <f>IFERROR(VLOOKUP(AZ45,'Top WS'!$A$19:$B$28,2),0)</f>
        <v>180</v>
      </c>
      <c r="BN45" s="89">
        <f>IFERROR(VLOOKUP(BA45,'Top WS'!$A$19:$B$28,2),0)</f>
        <v>180</v>
      </c>
      <c r="BO45" s="89">
        <f>IFERROR(VLOOKUP(BB45,'Top WS'!$A$19:$B$28,2),0)</f>
        <v>180</v>
      </c>
      <c r="BP45" s="89">
        <f>IFERROR(VLOOKUP(BC45,'Top WS'!$A$19:$B$28,2),0)</f>
        <v>180</v>
      </c>
    </row>
    <row r="46" spans="1:68" x14ac:dyDescent="0.4">
      <c r="A46">
        <v>1190043801</v>
      </c>
      <c r="B46">
        <f>VLOOKUP(A46,[1]Sheet2!$A$2:$C$409,2,0)</f>
        <v>75712</v>
      </c>
      <c r="C46" t="str">
        <f>VLOOKUP(A46,[1]Sheet2!$A$2:$C$409,3,0)</f>
        <v>นายวุฒิพงษ์ วงศ์วณิชชากร</v>
      </c>
      <c r="D46" t="s">
        <v>107</v>
      </c>
      <c r="E46" s="1">
        <v>25231.979029729257</v>
      </c>
      <c r="F46" s="1">
        <v>25269.721716043608</v>
      </c>
      <c r="G46" s="1">
        <v>24808.863651573669</v>
      </c>
      <c r="H46" s="1">
        <v>24582.407533687572</v>
      </c>
      <c r="I46" s="1">
        <v>26045.631888379641</v>
      </c>
      <c r="J46" s="1">
        <v>25007.509369017604</v>
      </c>
      <c r="K46" s="1">
        <v>25004.72832897339</v>
      </c>
      <c r="L46" s="1">
        <v>25483.46450801329</v>
      </c>
      <c r="M46" s="1">
        <v>25562.525503555975</v>
      </c>
      <c r="N46" s="1">
        <v>25978.092344448698</v>
      </c>
      <c r="O46" s="1">
        <v>24097.314691689466</v>
      </c>
      <c r="P46" s="1">
        <v>24948.710236654202</v>
      </c>
      <c r="R46" s="1" cm="1">
        <f t="array" ref="R46:W46">IFERROR(_xlfn.XLOOKUP(A46,'Actual_Aji Plus'!A:A,'Actual_Aji Plus'!C:H),0)</f>
        <v>16781.999999999993</v>
      </c>
      <c r="S46" s="1">
        <v>18727.85999999999</v>
      </c>
      <c r="T46" s="1">
        <v>25912.319999999992</v>
      </c>
      <c r="U46" s="1">
        <v>18244.559999999994</v>
      </c>
      <c r="V46" s="1">
        <v>22056.120000000006</v>
      </c>
      <c r="W46" s="1">
        <v>21881.580000000005</v>
      </c>
      <c r="X46" s="102"/>
      <c r="Y46" s="102"/>
      <c r="Z46" s="102"/>
      <c r="AA46" s="102"/>
      <c r="AB46" s="102"/>
      <c r="AC46" s="102"/>
      <c r="AD46" s="1"/>
      <c r="AE46" s="88">
        <f t="shared" si="4"/>
        <v>0.66510835238991028</v>
      </c>
      <c r="AF46" s="88">
        <f t="shared" si="5"/>
        <v>0.74111856910991514</v>
      </c>
      <c r="AG46" s="88">
        <f t="shared" si="6"/>
        <v>1.044478310813576</v>
      </c>
      <c r="AH46" s="88">
        <f t="shared" si="7"/>
        <v>0.74217954343966375</v>
      </c>
      <c r="AI46" s="88">
        <f t="shared" si="8"/>
        <v>0.84682606644073888</v>
      </c>
      <c r="AJ46" s="88">
        <f t="shared" si="9"/>
        <v>0.8750003719726529</v>
      </c>
      <c r="AK46" s="90">
        <f t="shared" si="10"/>
        <v>0</v>
      </c>
      <c r="AL46" s="90">
        <f t="shared" si="11"/>
        <v>0</v>
      </c>
      <c r="AM46" s="90">
        <f t="shared" si="12"/>
        <v>0</v>
      </c>
      <c r="AN46" s="90">
        <f t="shared" si="13"/>
        <v>0</v>
      </c>
      <c r="AO46" s="90">
        <f t="shared" si="14"/>
        <v>0</v>
      </c>
      <c r="AP46" s="90">
        <f t="shared" si="15"/>
        <v>0</v>
      </c>
      <c r="AQ46" s="88"/>
      <c r="AR46" s="90">
        <f t="shared" si="16"/>
        <v>0.66510000000000002</v>
      </c>
      <c r="AS46" s="90">
        <f t="shared" si="17"/>
        <v>0.74109999999999998</v>
      </c>
      <c r="AT46" s="90">
        <f t="shared" si="18"/>
        <v>1.0445</v>
      </c>
      <c r="AU46" s="90">
        <f t="shared" si="19"/>
        <v>0.74219999999999997</v>
      </c>
      <c r="AV46" s="90">
        <f t="shared" si="20"/>
        <v>0.8468</v>
      </c>
      <c r="AW46" s="90">
        <f t="shared" si="21"/>
        <v>0.875</v>
      </c>
      <c r="AX46" s="90">
        <f t="shared" si="22"/>
        <v>0</v>
      </c>
      <c r="AY46" s="90">
        <f t="shared" si="23"/>
        <v>0</v>
      </c>
      <c r="AZ46" s="90">
        <f t="shared" si="24"/>
        <v>0</v>
      </c>
      <c r="BA46" s="90">
        <f t="shared" si="25"/>
        <v>0</v>
      </c>
      <c r="BB46" s="90">
        <f t="shared" si="26"/>
        <v>0</v>
      </c>
      <c r="BC46" s="90">
        <f t="shared" si="27"/>
        <v>0</v>
      </c>
      <c r="BD46" s="88"/>
      <c r="BE46" s="1">
        <f>IFERROR(VLOOKUP(AR46,'Top WS'!$A$19:$B$28,2),0)</f>
        <v>180</v>
      </c>
      <c r="BF46" s="1">
        <f>IFERROR(VLOOKUP(AS46,'Top WS'!$A$19:$B$28,2),0)</f>
        <v>180</v>
      </c>
      <c r="BG46" s="1">
        <f>IFERROR(VLOOKUP(AT46,'Top WS'!$A$19:$B$28,2),0)</f>
        <v>216</v>
      </c>
      <c r="BH46" s="1">
        <f>IFERROR(VLOOKUP(AU46,'Top WS'!$A$19:$B$28,2),0)</f>
        <v>180</v>
      </c>
      <c r="BI46" s="1">
        <f>IFERROR(VLOOKUP(AV46,'Top WS'!$A$19:$B$28,2),0)</f>
        <v>180</v>
      </c>
      <c r="BJ46" s="1">
        <f>IFERROR(VLOOKUP(AW46,'Top WS'!$A$19:$B$28,2),0)</f>
        <v>180</v>
      </c>
      <c r="BK46" s="89">
        <f>IFERROR(VLOOKUP(AX46,'Top WS'!$A$19:$B$28,2),0)</f>
        <v>180</v>
      </c>
      <c r="BL46" s="89">
        <f>IFERROR(VLOOKUP(AY46,'Top WS'!$A$19:$B$28,2),0)</f>
        <v>180</v>
      </c>
      <c r="BM46" s="89">
        <f>IFERROR(VLOOKUP(AZ46,'Top WS'!$A$19:$B$28,2),0)</f>
        <v>180</v>
      </c>
      <c r="BN46" s="89">
        <f>IFERROR(VLOOKUP(BA46,'Top WS'!$A$19:$B$28,2),0)</f>
        <v>180</v>
      </c>
      <c r="BO46" s="89">
        <f>IFERROR(VLOOKUP(BB46,'Top WS'!$A$19:$B$28,2),0)</f>
        <v>180</v>
      </c>
      <c r="BP46" s="89">
        <f>IFERROR(VLOOKUP(BC46,'Top WS'!$A$19:$B$28,2),0)</f>
        <v>180</v>
      </c>
    </row>
    <row r="47" spans="1:68" x14ac:dyDescent="0.4">
      <c r="A47">
        <v>1190043802</v>
      </c>
      <c r="B47">
        <f>VLOOKUP(A47,[1]Sheet2!$A$2:$C$409,2,0)</f>
        <v>62573</v>
      </c>
      <c r="C47" t="str">
        <f>VLOOKUP(A47,[1]Sheet2!$A$2:$C$409,3,0)</f>
        <v>นายวิฑูรย์ ระวันประโคน</v>
      </c>
      <c r="D47" t="s">
        <v>107</v>
      </c>
      <c r="E47" s="1">
        <v>10510.566747697723</v>
      </c>
      <c r="F47" s="1">
        <v>10526.288741730654</v>
      </c>
      <c r="G47" s="1">
        <v>10334.314919854898</v>
      </c>
      <c r="H47" s="1">
        <v>10239.982955657326</v>
      </c>
      <c r="I47" s="1">
        <v>10849.499840112858</v>
      </c>
      <c r="J47" s="1">
        <v>10417.062256870307</v>
      </c>
      <c r="K47" s="1">
        <v>10415.903794152093</v>
      </c>
      <c r="L47" s="1">
        <v>10615.324876359238</v>
      </c>
      <c r="M47" s="1">
        <v>10648.258316491372</v>
      </c>
      <c r="N47" s="1">
        <v>10821.365745527615</v>
      </c>
      <c r="O47" s="1">
        <v>10037.913958665686</v>
      </c>
      <c r="P47" s="1">
        <v>10392.569045113747</v>
      </c>
      <c r="R47" s="1" cm="1">
        <f t="array" ref="R47:W47">IFERROR(_xlfn.XLOOKUP(A47,'Actual_Aji Plus'!A:A,'Actual_Aji Plus'!C:H),0)</f>
        <v>7359.2599999999966</v>
      </c>
      <c r="S47" s="1">
        <v>11957.359999999993</v>
      </c>
      <c r="T47" s="1">
        <v>7973.8799999999983</v>
      </c>
      <c r="U47" s="1">
        <v>12599.099999999991</v>
      </c>
      <c r="V47" s="1">
        <v>7964.1399999999976</v>
      </c>
      <c r="W47" s="1">
        <v>10144.179999999989</v>
      </c>
      <c r="X47" s="102"/>
      <c r="Y47" s="102"/>
      <c r="Z47" s="102"/>
      <c r="AA47" s="102"/>
      <c r="AB47" s="102"/>
      <c r="AC47" s="102"/>
      <c r="AD47" s="1"/>
      <c r="AE47" s="88">
        <f t="shared" si="4"/>
        <v>0.70017727651194439</v>
      </c>
      <c r="AF47" s="88">
        <f t="shared" si="5"/>
        <v>1.1359521188693948</v>
      </c>
      <c r="AG47" s="88">
        <f t="shared" si="6"/>
        <v>0.77159251114750793</v>
      </c>
      <c r="AH47" s="88">
        <f t="shared" si="7"/>
        <v>1.2303829073308481</v>
      </c>
      <c r="AI47" s="88">
        <f t="shared" si="8"/>
        <v>0.73405595809632762</v>
      </c>
      <c r="AJ47" s="88">
        <f t="shared" si="9"/>
        <v>0.97380429816569969</v>
      </c>
      <c r="AK47" s="90">
        <f t="shared" si="10"/>
        <v>0</v>
      </c>
      <c r="AL47" s="90">
        <f t="shared" si="11"/>
        <v>0</v>
      </c>
      <c r="AM47" s="90">
        <f t="shared" si="12"/>
        <v>0</v>
      </c>
      <c r="AN47" s="90">
        <f t="shared" si="13"/>
        <v>0</v>
      </c>
      <c r="AO47" s="90">
        <f t="shared" si="14"/>
        <v>0</v>
      </c>
      <c r="AP47" s="90">
        <f t="shared" si="15"/>
        <v>0</v>
      </c>
      <c r="AQ47" s="88"/>
      <c r="AR47" s="90">
        <f t="shared" si="16"/>
        <v>0.70020000000000004</v>
      </c>
      <c r="AS47" s="90">
        <f t="shared" si="17"/>
        <v>1.1359999999999999</v>
      </c>
      <c r="AT47" s="90">
        <f t="shared" si="18"/>
        <v>0.77159999999999995</v>
      </c>
      <c r="AU47" s="90">
        <f t="shared" si="19"/>
        <v>1.2303999999999999</v>
      </c>
      <c r="AV47" s="90">
        <f t="shared" si="20"/>
        <v>0.73409999999999997</v>
      </c>
      <c r="AW47" s="90">
        <f t="shared" si="21"/>
        <v>0.9738</v>
      </c>
      <c r="AX47" s="90">
        <f t="shared" si="22"/>
        <v>0</v>
      </c>
      <c r="AY47" s="90">
        <f t="shared" si="23"/>
        <v>0</v>
      </c>
      <c r="AZ47" s="90">
        <f t="shared" si="24"/>
        <v>0</v>
      </c>
      <c r="BA47" s="90">
        <f t="shared" si="25"/>
        <v>0</v>
      </c>
      <c r="BB47" s="90">
        <f t="shared" si="26"/>
        <v>0</v>
      </c>
      <c r="BC47" s="90">
        <f t="shared" si="27"/>
        <v>0</v>
      </c>
      <c r="BD47" s="88"/>
      <c r="BE47" s="1">
        <f>IFERROR(VLOOKUP(AR47,'Top WS'!$A$19:$B$28,2),0)</f>
        <v>180</v>
      </c>
      <c r="BF47" s="1">
        <f>IFERROR(VLOOKUP(AS47,'Top WS'!$A$19:$B$28,2),0)</f>
        <v>230</v>
      </c>
      <c r="BG47" s="1">
        <f>IFERROR(VLOOKUP(AT47,'Top WS'!$A$19:$B$28,2),0)</f>
        <v>180</v>
      </c>
      <c r="BH47" s="1">
        <f>IFERROR(VLOOKUP(AU47,'Top WS'!$A$19:$B$28,2),0)</f>
        <v>260</v>
      </c>
      <c r="BI47" s="1">
        <f>IFERROR(VLOOKUP(AV47,'Top WS'!$A$19:$B$28,2),0)</f>
        <v>180</v>
      </c>
      <c r="BJ47" s="1">
        <f>IFERROR(VLOOKUP(AW47,'Top WS'!$A$19:$B$28,2),0)</f>
        <v>200</v>
      </c>
      <c r="BK47" s="89">
        <f>IFERROR(VLOOKUP(AX47,'Top WS'!$A$19:$B$28,2),0)</f>
        <v>180</v>
      </c>
      <c r="BL47" s="89">
        <f>IFERROR(VLOOKUP(AY47,'Top WS'!$A$19:$B$28,2),0)</f>
        <v>180</v>
      </c>
      <c r="BM47" s="89">
        <f>IFERROR(VLOOKUP(AZ47,'Top WS'!$A$19:$B$28,2),0)</f>
        <v>180</v>
      </c>
      <c r="BN47" s="89">
        <f>IFERROR(VLOOKUP(BA47,'Top WS'!$A$19:$B$28,2),0)</f>
        <v>180</v>
      </c>
      <c r="BO47" s="89">
        <f>IFERROR(VLOOKUP(BB47,'Top WS'!$A$19:$B$28,2),0)</f>
        <v>180</v>
      </c>
      <c r="BP47" s="89">
        <f>IFERROR(VLOOKUP(BC47,'Top WS'!$A$19:$B$28,2),0)</f>
        <v>180</v>
      </c>
    </row>
    <row r="48" spans="1:68" x14ac:dyDescent="0.4">
      <c r="A48">
        <v>1190043901</v>
      </c>
      <c r="B48">
        <f>VLOOKUP(A48,[1]Sheet2!$A$2:$C$409,2,0)</f>
        <v>63244</v>
      </c>
      <c r="C48" t="str">
        <f>VLOOKUP(A48,[1]Sheet2!$A$2:$C$409,3,0)</f>
        <v>นายทรงเกียรติ กล้าหาญ</v>
      </c>
      <c r="D48" t="s">
        <v>108</v>
      </c>
      <c r="E48" s="1">
        <v>28421.809253441872</v>
      </c>
      <c r="F48" s="1">
        <v>28464.323375297918</v>
      </c>
      <c r="G48" s="1">
        <v>27945.203571582086</v>
      </c>
      <c r="H48" s="1">
        <v>27690.118840445852</v>
      </c>
      <c r="I48" s="1">
        <v>29338.324217243626</v>
      </c>
      <c r="J48" s="1">
        <v>28168.962107666488</v>
      </c>
      <c r="K48" s="1">
        <v>28165.829488161311</v>
      </c>
      <c r="L48" s="1">
        <v>28705.087560124743</v>
      </c>
      <c r="M48" s="1">
        <v>28794.143457486334</v>
      </c>
      <c r="N48" s="1">
        <v>29262.246314974924</v>
      </c>
      <c r="O48" s="1">
        <v>27143.700495327714</v>
      </c>
      <c r="P48" s="1">
        <v>28102.729580985506</v>
      </c>
      <c r="R48" s="1" cm="1">
        <f t="array" ref="R48:W48">IFERROR(_xlfn.XLOOKUP(A48,'Actual_Aji Plus'!A:A,'Actual_Aji Plus'!C:H),0)</f>
        <v>20904.88</v>
      </c>
      <c r="S48" s="1">
        <v>24018.099999999995</v>
      </c>
      <c r="T48" s="1">
        <v>16037.19999999999</v>
      </c>
      <c r="U48" s="1">
        <v>23907.160000000003</v>
      </c>
      <c r="V48" s="1">
        <v>28802.500000000004</v>
      </c>
      <c r="W48" s="1">
        <v>21744.440000000002</v>
      </c>
      <c r="X48" s="102"/>
      <c r="Y48" s="102"/>
      <c r="Z48" s="102"/>
      <c r="AA48" s="102"/>
      <c r="AB48" s="102"/>
      <c r="AC48" s="102"/>
      <c r="AD48" s="1"/>
      <c r="AE48" s="88">
        <f t="shared" si="4"/>
        <v>0.73552249308225959</v>
      </c>
      <c r="AF48" s="88">
        <f t="shared" si="5"/>
        <v>0.84379662510592224</v>
      </c>
      <c r="AG48" s="88">
        <f t="shared" si="6"/>
        <v>0.57388023525827769</v>
      </c>
      <c r="AH48" s="88">
        <f t="shared" si="7"/>
        <v>0.8633823544693412</v>
      </c>
      <c r="AI48" s="88">
        <f t="shared" si="8"/>
        <v>0.98173637276362602</v>
      </c>
      <c r="AJ48" s="88">
        <f t="shared" si="9"/>
        <v>0.77192904434636656</v>
      </c>
      <c r="AK48" s="90">
        <f t="shared" si="10"/>
        <v>0</v>
      </c>
      <c r="AL48" s="90">
        <f t="shared" si="11"/>
        <v>0</v>
      </c>
      <c r="AM48" s="90">
        <f t="shared" si="12"/>
        <v>0</v>
      </c>
      <c r="AN48" s="90">
        <f t="shared" si="13"/>
        <v>0</v>
      </c>
      <c r="AO48" s="90">
        <f t="shared" si="14"/>
        <v>0</v>
      </c>
      <c r="AP48" s="90">
        <f t="shared" si="15"/>
        <v>0</v>
      </c>
      <c r="AQ48" s="88"/>
      <c r="AR48" s="90">
        <f t="shared" si="16"/>
        <v>0.73550000000000004</v>
      </c>
      <c r="AS48" s="90">
        <f t="shared" si="17"/>
        <v>0.84379999999999999</v>
      </c>
      <c r="AT48" s="90">
        <f t="shared" si="18"/>
        <v>0.57389999999999997</v>
      </c>
      <c r="AU48" s="90">
        <f t="shared" si="19"/>
        <v>0.86339999999999995</v>
      </c>
      <c r="AV48" s="90">
        <f t="shared" si="20"/>
        <v>0.98170000000000002</v>
      </c>
      <c r="AW48" s="90">
        <f t="shared" si="21"/>
        <v>0.77190000000000003</v>
      </c>
      <c r="AX48" s="90">
        <f t="shared" si="22"/>
        <v>0</v>
      </c>
      <c r="AY48" s="90">
        <f t="shared" si="23"/>
        <v>0</v>
      </c>
      <c r="AZ48" s="90">
        <f t="shared" si="24"/>
        <v>0</v>
      </c>
      <c r="BA48" s="90">
        <f t="shared" si="25"/>
        <v>0</v>
      </c>
      <c r="BB48" s="90">
        <f t="shared" si="26"/>
        <v>0</v>
      </c>
      <c r="BC48" s="90">
        <f t="shared" si="27"/>
        <v>0</v>
      </c>
      <c r="BD48" s="88"/>
      <c r="BE48" s="1">
        <f>IFERROR(VLOOKUP(AR48,'Top WS'!$A$19:$B$28,2),0)</f>
        <v>180</v>
      </c>
      <c r="BF48" s="1">
        <f>IFERROR(VLOOKUP(AS48,'Top WS'!$A$19:$B$28,2),0)</f>
        <v>180</v>
      </c>
      <c r="BG48" s="1">
        <f>IFERROR(VLOOKUP(AT48,'Top WS'!$A$19:$B$28,2),0)</f>
        <v>180</v>
      </c>
      <c r="BH48" s="1">
        <f>IFERROR(VLOOKUP(AU48,'Top WS'!$A$19:$B$28,2),0)</f>
        <v>180</v>
      </c>
      <c r="BI48" s="1">
        <f>IFERROR(VLOOKUP(AV48,'Top WS'!$A$19:$B$28,2),0)</f>
        <v>200</v>
      </c>
      <c r="BJ48" s="1">
        <f>IFERROR(VLOOKUP(AW48,'Top WS'!$A$19:$B$28,2),0)</f>
        <v>180</v>
      </c>
      <c r="BK48" s="89">
        <f>IFERROR(VLOOKUP(AX48,'Top WS'!$A$19:$B$28,2),0)</f>
        <v>180</v>
      </c>
      <c r="BL48" s="89">
        <f>IFERROR(VLOOKUP(AY48,'Top WS'!$A$19:$B$28,2),0)</f>
        <v>180</v>
      </c>
      <c r="BM48" s="89">
        <f>IFERROR(VLOOKUP(AZ48,'Top WS'!$A$19:$B$28,2),0)</f>
        <v>180</v>
      </c>
      <c r="BN48" s="89">
        <f>IFERROR(VLOOKUP(BA48,'Top WS'!$A$19:$B$28,2),0)</f>
        <v>180</v>
      </c>
      <c r="BO48" s="89">
        <f>IFERROR(VLOOKUP(BB48,'Top WS'!$A$19:$B$28,2),0)</f>
        <v>180</v>
      </c>
      <c r="BP48" s="89">
        <f>IFERROR(VLOOKUP(BC48,'Top WS'!$A$19:$B$28,2),0)</f>
        <v>180</v>
      </c>
    </row>
    <row r="49" spans="1:68" x14ac:dyDescent="0.4">
      <c r="A49">
        <v>1190043902</v>
      </c>
      <c r="B49">
        <f>VLOOKUP(A49,[1]Sheet2!$A$2:$C$409,2,0)</f>
        <v>63553</v>
      </c>
      <c r="C49" t="str">
        <f>VLOOKUP(A49,[1]Sheet2!$A$2:$C$409,3,0)</f>
        <v>นายภัทรพล สงฆ์เจริญ</v>
      </c>
      <c r="D49" t="s">
        <v>108</v>
      </c>
      <c r="E49" s="1">
        <v>21338.551441111991</v>
      </c>
      <c r="F49" s="1">
        <v>21370.470231647432</v>
      </c>
      <c r="G49" s="1">
        <v>20980.724999846305</v>
      </c>
      <c r="H49" s="1">
        <v>20789.212256633673</v>
      </c>
      <c r="I49" s="1">
        <v>22026.65336760227</v>
      </c>
      <c r="J49" s="1">
        <v>21148.718634243338</v>
      </c>
      <c r="K49" s="1">
        <v>21146.366723361782</v>
      </c>
      <c r="L49" s="1">
        <v>21551.231382258647</v>
      </c>
      <c r="M49" s="1">
        <v>21618.092848748667</v>
      </c>
      <c r="N49" s="1">
        <v>21969.535531907277</v>
      </c>
      <c r="O49" s="1">
        <v>20378.971801436099</v>
      </c>
      <c r="P49" s="1">
        <v>21098.992518461815</v>
      </c>
      <c r="R49" s="1" cm="1">
        <f t="array" ref="R49:W49">IFERROR(_xlfn.XLOOKUP(A49,'Actual_Aji Plus'!A:A,'Actual_Aji Plus'!C:H),0)</f>
        <v>21602.21999999999</v>
      </c>
      <c r="S49" s="1">
        <v>25573.980000000003</v>
      </c>
      <c r="T49" s="1">
        <v>20009.939999999995</v>
      </c>
      <c r="U49" s="1">
        <v>24315.960000000014</v>
      </c>
      <c r="V49" s="1">
        <v>24832.5</v>
      </c>
      <c r="W49" s="1">
        <v>24810.539999999986</v>
      </c>
      <c r="X49" s="102"/>
      <c r="Y49" s="102"/>
      <c r="Z49" s="102"/>
      <c r="AA49" s="102"/>
      <c r="AB49" s="102"/>
      <c r="AC49" s="102"/>
      <c r="AD49" s="1"/>
      <c r="AE49" s="88">
        <f t="shared" si="4"/>
        <v>1.0123564413271278</v>
      </c>
      <c r="AF49" s="88">
        <f t="shared" si="5"/>
        <v>1.1966971116118732</v>
      </c>
      <c r="AG49" s="88">
        <f t="shared" si="6"/>
        <v>0.95372967331427194</v>
      </c>
      <c r="AH49" s="88">
        <f t="shared" si="7"/>
        <v>1.1696431639559111</v>
      </c>
      <c r="AI49" s="88">
        <f t="shared" si="8"/>
        <v>1.127384155258224</v>
      </c>
      <c r="AJ49" s="88">
        <f t="shared" si="9"/>
        <v>1.1731462519827345</v>
      </c>
      <c r="AK49" s="90">
        <f t="shared" si="10"/>
        <v>0</v>
      </c>
      <c r="AL49" s="90">
        <f t="shared" si="11"/>
        <v>0</v>
      </c>
      <c r="AM49" s="90">
        <f t="shared" si="12"/>
        <v>0</v>
      </c>
      <c r="AN49" s="90">
        <f t="shared" si="13"/>
        <v>0</v>
      </c>
      <c r="AO49" s="90">
        <f t="shared" si="14"/>
        <v>0</v>
      </c>
      <c r="AP49" s="90">
        <f t="shared" si="15"/>
        <v>0</v>
      </c>
      <c r="AQ49" s="88"/>
      <c r="AR49" s="90">
        <f t="shared" si="16"/>
        <v>1.0124</v>
      </c>
      <c r="AS49" s="90">
        <f t="shared" si="17"/>
        <v>1.1967000000000001</v>
      </c>
      <c r="AT49" s="90">
        <f t="shared" si="18"/>
        <v>0.95369999999999999</v>
      </c>
      <c r="AU49" s="90">
        <f t="shared" si="19"/>
        <v>1.1696</v>
      </c>
      <c r="AV49" s="90">
        <f t="shared" si="20"/>
        <v>1.1274</v>
      </c>
      <c r="AW49" s="90">
        <f t="shared" si="21"/>
        <v>1.1731</v>
      </c>
      <c r="AX49" s="90">
        <f t="shared" si="22"/>
        <v>0</v>
      </c>
      <c r="AY49" s="90">
        <f t="shared" si="23"/>
        <v>0</v>
      </c>
      <c r="AZ49" s="90">
        <f t="shared" si="24"/>
        <v>0</v>
      </c>
      <c r="BA49" s="90">
        <f t="shared" si="25"/>
        <v>0</v>
      </c>
      <c r="BB49" s="90">
        <f t="shared" si="26"/>
        <v>0</v>
      </c>
      <c r="BC49" s="90">
        <f t="shared" si="27"/>
        <v>0</v>
      </c>
      <c r="BD49" s="88"/>
      <c r="BE49" s="1">
        <f>IFERROR(VLOOKUP(AR49,'Top WS'!$A$19:$B$28,2),0)</f>
        <v>206</v>
      </c>
      <c r="BF49" s="1">
        <f>IFERROR(VLOOKUP(AS49,'Top WS'!$A$19:$B$28,2),0)</f>
        <v>240</v>
      </c>
      <c r="BG49" s="1">
        <f>IFERROR(VLOOKUP(AT49,'Top WS'!$A$19:$B$28,2),0)</f>
        <v>200</v>
      </c>
      <c r="BH49" s="1">
        <f>IFERROR(VLOOKUP(AU49,'Top WS'!$A$19:$B$28,2),0)</f>
        <v>240</v>
      </c>
      <c r="BI49" s="1">
        <f>IFERROR(VLOOKUP(AV49,'Top WS'!$A$19:$B$28,2),0)</f>
        <v>230</v>
      </c>
      <c r="BJ49" s="1">
        <f>IFERROR(VLOOKUP(AW49,'Top WS'!$A$19:$B$28,2),0)</f>
        <v>240</v>
      </c>
      <c r="BK49" s="89">
        <f>IFERROR(VLOOKUP(AX49,'Top WS'!$A$19:$B$28,2),0)</f>
        <v>180</v>
      </c>
      <c r="BL49" s="89">
        <f>IFERROR(VLOOKUP(AY49,'Top WS'!$A$19:$B$28,2),0)</f>
        <v>180</v>
      </c>
      <c r="BM49" s="89">
        <f>IFERROR(VLOOKUP(AZ49,'Top WS'!$A$19:$B$28,2),0)</f>
        <v>180</v>
      </c>
      <c r="BN49" s="89">
        <f>IFERROR(VLOOKUP(BA49,'Top WS'!$A$19:$B$28,2),0)</f>
        <v>180</v>
      </c>
      <c r="BO49" s="89">
        <f>IFERROR(VLOOKUP(BB49,'Top WS'!$A$19:$B$28,2),0)</f>
        <v>180</v>
      </c>
      <c r="BP49" s="89">
        <f>IFERROR(VLOOKUP(BC49,'Top WS'!$A$19:$B$28,2),0)</f>
        <v>180</v>
      </c>
    </row>
    <row r="50" spans="1:68" x14ac:dyDescent="0.4">
      <c r="A50">
        <v>1190044001</v>
      </c>
      <c r="B50">
        <f>VLOOKUP(A50,[1]Sheet2!$A$2:$C$409,2,0)</f>
        <v>78443</v>
      </c>
      <c r="C50" s="105" t="str">
        <f>VLOOKUP(A50,[1]Sheet2!$A$2:$C$409,3,0)</f>
        <v>นายจิตติพงศ์ สุระสา</v>
      </c>
      <c r="D50" t="s">
        <v>109</v>
      </c>
      <c r="E50" s="1">
        <v>25503.95680393196</v>
      </c>
      <c r="F50" s="1">
        <v>25542.106322060979</v>
      </c>
      <c r="G50" s="1">
        <v>25076.280627011995</v>
      </c>
      <c r="H50" s="1">
        <v>24847.383518237919</v>
      </c>
      <c r="I50" s="1">
        <v>26326.380100018454</v>
      </c>
      <c r="J50" s="1">
        <v>25277.067564533103</v>
      </c>
      <c r="K50" s="1">
        <v>25274.256547407807</v>
      </c>
      <c r="L50" s="1">
        <v>25758.1530668337</v>
      </c>
      <c r="M50" s="1">
        <v>25838.0662679671</v>
      </c>
      <c r="N50" s="1">
        <v>26258.112541261271</v>
      </c>
      <c r="O50" s="1">
        <v>24357.061816811354</v>
      </c>
      <c r="P50" s="1">
        <v>25217.634631026856</v>
      </c>
      <c r="R50" s="1" cm="1">
        <f t="array" ref="R50:W50">IFERROR(_xlfn.XLOOKUP(A50,'Actual_Aji Plus'!A:A,'Actual_Aji Plus'!C:H),0)</f>
        <v>19681.920000000009</v>
      </c>
      <c r="S50" s="1">
        <v>24766.080000000002</v>
      </c>
      <c r="T50" s="1">
        <v>21331.800000000007</v>
      </c>
      <c r="U50" s="1">
        <v>23069.100000000006</v>
      </c>
      <c r="V50" s="1">
        <v>25231.439999999988</v>
      </c>
      <c r="W50" s="1">
        <v>21521.4</v>
      </c>
      <c r="X50" s="102"/>
      <c r="Y50" s="102"/>
      <c r="Z50" s="102"/>
      <c r="AA50" s="102"/>
      <c r="AB50" s="102"/>
      <c r="AC50" s="102"/>
      <c r="AD50" s="1"/>
      <c r="AE50" s="88">
        <f t="shared" si="4"/>
        <v>0.7717202531085543</v>
      </c>
      <c r="AF50" s="88">
        <f t="shared" si="5"/>
        <v>0.96961776322296822</v>
      </c>
      <c r="AG50" s="88">
        <f t="shared" si="6"/>
        <v>0.85067639484866586</v>
      </c>
      <c r="AH50" s="88">
        <f t="shared" si="7"/>
        <v>0.92843175954793555</v>
      </c>
      <c r="AI50" s="88">
        <f t="shared" si="8"/>
        <v>0.95840901423368496</v>
      </c>
      <c r="AJ50" s="88">
        <f t="shared" si="9"/>
        <v>0.85141996574781587</v>
      </c>
      <c r="AK50" s="90">
        <f t="shared" si="10"/>
        <v>0</v>
      </c>
      <c r="AL50" s="90">
        <f t="shared" si="11"/>
        <v>0</v>
      </c>
      <c r="AM50" s="90">
        <f t="shared" si="12"/>
        <v>0</v>
      </c>
      <c r="AN50" s="90">
        <f t="shared" si="13"/>
        <v>0</v>
      </c>
      <c r="AO50" s="90">
        <f t="shared" si="14"/>
        <v>0</v>
      </c>
      <c r="AP50" s="90">
        <f t="shared" si="15"/>
        <v>0</v>
      </c>
      <c r="AQ50" s="88"/>
      <c r="AR50" s="90">
        <f t="shared" si="16"/>
        <v>0.77170000000000005</v>
      </c>
      <c r="AS50" s="90">
        <f t="shared" si="17"/>
        <v>0.96960000000000002</v>
      </c>
      <c r="AT50" s="90">
        <f t="shared" si="18"/>
        <v>0.85070000000000001</v>
      </c>
      <c r="AU50" s="90">
        <f t="shared" si="19"/>
        <v>0.9284</v>
      </c>
      <c r="AV50" s="90">
        <f t="shared" si="20"/>
        <v>0.95840000000000003</v>
      </c>
      <c r="AW50" s="90">
        <f t="shared" si="21"/>
        <v>0.85140000000000005</v>
      </c>
      <c r="AX50" s="90">
        <f t="shared" si="22"/>
        <v>0</v>
      </c>
      <c r="AY50" s="90">
        <f t="shared" si="23"/>
        <v>0</v>
      </c>
      <c r="AZ50" s="90">
        <f t="shared" si="24"/>
        <v>0</v>
      </c>
      <c r="BA50" s="90">
        <f t="shared" si="25"/>
        <v>0</v>
      </c>
      <c r="BB50" s="90">
        <f t="shared" si="26"/>
        <v>0</v>
      </c>
      <c r="BC50" s="90">
        <f t="shared" si="27"/>
        <v>0</v>
      </c>
      <c r="BD50" s="88"/>
      <c r="BE50" s="1">
        <f>IFERROR(VLOOKUP(AR50,'Top WS'!$A$19:$B$28,2),0)</f>
        <v>180</v>
      </c>
      <c r="BF50" s="1">
        <f>IFERROR(VLOOKUP(AS50,'Top WS'!$A$19:$B$28,2),0)</f>
        <v>200</v>
      </c>
      <c r="BG50" s="1">
        <f>IFERROR(VLOOKUP(AT50,'Top WS'!$A$19:$B$28,2),0)</f>
        <v>180</v>
      </c>
      <c r="BH50" s="1">
        <f>IFERROR(VLOOKUP(AU50,'Top WS'!$A$19:$B$28,2),0)</f>
        <v>190</v>
      </c>
      <c r="BI50" s="1">
        <f>IFERROR(VLOOKUP(AV50,'Top WS'!$A$19:$B$28,2),0)</f>
        <v>200</v>
      </c>
      <c r="BJ50" s="1">
        <f>IFERROR(VLOOKUP(AW50,'Top WS'!$A$19:$B$28,2),0)</f>
        <v>180</v>
      </c>
      <c r="BK50" s="89">
        <f>IFERROR(VLOOKUP(AX50,'Top WS'!$A$19:$B$28,2),0)</f>
        <v>180</v>
      </c>
      <c r="BL50" s="89">
        <f>IFERROR(VLOOKUP(AY50,'Top WS'!$A$19:$B$28,2),0)</f>
        <v>180</v>
      </c>
      <c r="BM50" s="89">
        <f>IFERROR(VLOOKUP(AZ50,'Top WS'!$A$19:$B$28,2),0)</f>
        <v>180</v>
      </c>
      <c r="BN50" s="89">
        <f>IFERROR(VLOOKUP(BA50,'Top WS'!$A$19:$B$28,2),0)</f>
        <v>180</v>
      </c>
      <c r="BO50" s="89">
        <f>IFERROR(VLOOKUP(BB50,'Top WS'!$A$19:$B$28,2),0)</f>
        <v>180</v>
      </c>
      <c r="BP50" s="89">
        <f>IFERROR(VLOOKUP(BC50,'Top WS'!$A$19:$B$28,2),0)</f>
        <v>180</v>
      </c>
    </row>
    <row r="51" spans="1:68" x14ac:dyDescent="0.4">
      <c r="A51">
        <v>1190044002</v>
      </c>
      <c r="B51">
        <f>VLOOKUP(A51,[1]Sheet2!$A$2:$C$409,2,0)</f>
        <v>62434</v>
      </c>
      <c r="C51" s="103" t="str">
        <f>VLOOKUP(A51,[1]Sheet2!$A$2:$C$409,3,0)</f>
        <v>นายธนาวัฒน์ กงลีมา</v>
      </c>
      <c r="D51" t="s">
        <v>109</v>
      </c>
      <c r="E51" s="1">
        <v>10224.386526770528</v>
      </c>
      <c r="F51" s="1">
        <v>10239.68044457943</v>
      </c>
      <c r="G51" s="1">
        <v>10052.933658702343</v>
      </c>
      <c r="H51" s="1">
        <v>9961.1701518489444</v>
      </c>
      <c r="I51" s="1">
        <v>10554.091197008698</v>
      </c>
      <c r="J51" s="1">
        <v>10133.427962959706</v>
      </c>
      <c r="K51" s="1">
        <v>10132.301042700103</v>
      </c>
      <c r="L51" s="1">
        <v>10326.292315960354</v>
      </c>
      <c r="M51" s="1">
        <v>10358.329049054784</v>
      </c>
      <c r="N51" s="1">
        <v>10526.723133561192</v>
      </c>
      <c r="O51" s="1">
        <v>9764.6030608524561</v>
      </c>
      <c r="P51" s="1">
        <v>10109.601648899526</v>
      </c>
      <c r="R51" s="1" cm="1">
        <f t="array" ref="R51:W51">IFERROR(_xlfn.XLOOKUP(A51,'Actual_Aji Plus'!A:A,'Actual_Aji Plus'!C:H),0)</f>
        <v>8764.0799999999945</v>
      </c>
      <c r="S51" s="1">
        <v>11128.859999999995</v>
      </c>
      <c r="T51" s="1">
        <v>8158.1399999999958</v>
      </c>
      <c r="U51" s="1">
        <v>8395.14</v>
      </c>
      <c r="V51" s="1">
        <v>10125.839999999993</v>
      </c>
      <c r="W51" s="1">
        <v>4734.2400000000007</v>
      </c>
      <c r="X51" s="102"/>
      <c r="Y51" s="102"/>
      <c r="Z51" s="102"/>
      <c r="AA51" s="102"/>
      <c r="AB51" s="102"/>
      <c r="AC51" s="102"/>
      <c r="AD51" s="1"/>
      <c r="AE51" s="88">
        <f t="shared" si="4"/>
        <v>0.85717416659209722</v>
      </c>
      <c r="AF51" s="88">
        <f t="shared" si="5"/>
        <v>1.0868366508342817</v>
      </c>
      <c r="AG51" s="88">
        <f t="shared" si="6"/>
        <v>0.81151833653431948</v>
      </c>
      <c r="AH51" s="88">
        <f t="shared" si="7"/>
        <v>0.8427865272878341</v>
      </c>
      <c r="AI51" s="88">
        <f t="shared" si="8"/>
        <v>0.95942320480136811</v>
      </c>
      <c r="AJ51" s="88">
        <f t="shared" si="9"/>
        <v>0.46719037400817076</v>
      </c>
      <c r="AK51" s="90">
        <f t="shared" si="10"/>
        <v>0</v>
      </c>
      <c r="AL51" s="90">
        <f t="shared" si="11"/>
        <v>0</v>
      </c>
      <c r="AM51" s="90">
        <f t="shared" si="12"/>
        <v>0</v>
      </c>
      <c r="AN51" s="90">
        <f t="shared" si="13"/>
        <v>0</v>
      </c>
      <c r="AO51" s="90">
        <f t="shared" si="14"/>
        <v>0</v>
      </c>
      <c r="AP51" s="90">
        <f t="shared" si="15"/>
        <v>0</v>
      </c>
      <c r="AQ51" s="88"/>
      <c r="AR51" s="90">
        <f t="shared" si="16"/>
        <v>0.85719999999999996</v>
      </c>
      <c r="AS51" s="90">
        <f t="shared" si="17"/>
        <v>1.0868</v>
      </c>
      <c r="AT51" s="90">
        <f t="shared" si="18"/>
        <v>0.8115</v>
      </c>
      <c r="AU51" s="90">
        <f t="shared" si="19"/>
        <v>0.84279999999999999</v>
      </c>
      <c r="AV51" s="90">
        <f t="shared" si="20"/>
        <v>0.95940000000000003</v>
      </c>
      <c r="AW51" s="90">
        <f t="shared" si="21"/>
        <v>0.4672</v>
      </c>
      <c r="AX51" s="90">
        <f t="shared" si="22"/>
        <v>0</v>
      </c>
      <c r="AY51" s="90">
        <f t="shared" si="23"/>
        <v>0</v>
      </c>
      <c r="AZ51" s="90">
        <f t="shared" si="24"/>
        <v>0</v>
      </c>
      <c r="BA51" s="90">
        <f t="shared" si="25"/>
        <v>0</v>
      </c>
      <c r="BB51" s="90">
        <f t="shared" si="26"/>
        <v>0</v>
      </c>
      <c r="BC51" s="90">
        <f t="shared" si="27"/>
        <v>0</v>
      </c>
      <c r="BD51" s="88"/>
      <c r="BE51" s="1">
        <f>IFERROR(VLOOKUP(AR51,'Top WS'!$A$19:$B$28,2),0)</f>
        <v>180</v>
      </c>
      <c r="BF51" s="1">
        <f>IFERROR(VLOOKUP(AS51,'Top WS'!$A$19:$B$28,2),0)</f>
        <v>220</v>
      </c>
      <c r="BG51" s="1">
        <f>IFERROR(VLOOKUP(AT51,'Top WS'!$A$19:$B$28,2),0)</f>
        <v>180</v>
      </c>
      <c r="BH51" s="1">
        <f>IFERROR(VLOOKUP(AU51,'Top WS'!$A$19:$B$28,2),0)</f>
        <v>180</v>
      </c>
      <c r="BI51" s="1">
        <f>IFERROR(VLOOKUP(AV51,'Top WS'!$A$19:$B$28,2),0)</f>
        <v>200</v>
      </c>
      <c r="BJ51" s="1">
        <f>IFERROR(VLOOKUP(AW51,'Top WS'!$A$19:$B$28,2),0)</f>
        <v>180</v>
      </c>
      <c r="BK51" s="89">
        <f>IFERROR(VLOOKUP(AX51,'Top WS'!$A$19:$B$28,2),0)</f>
        <v>180</v>
      </c>
      <c r="BL51" s="89">
        <f>IFERROR(VLOOKUP(AY51,'Top WS'!$A$19:$B$28,2),0)</f>
        <v>180</v>
      </c>
      <c r="BM51" s="89">
        <f>IFERROR(VLOOKUP(AZ51,'Top WS'!$A$19:$B$28,2),0)</f>
        <v>180</v>
      </c>
      <c r="BN51" s="89">
        <f>IFERROR(VLOOKUP(BA51,'Top WS'!$A$19:$B$28,2),0)</f>
        <v>180</v>
      </c>
      <c r="BO51" s="89">
        <f>IFERROR(VLOOKUP(BB51,'Top WS'!$A$19:$B$28,2),0)</f>
        <v>180</v>
      </c>
      <c r="BP51" s="89">
        <f>IFERROR(VLOOKUP(BC51,'Top WS'!$A$19:$B$28,2),0)</f>
        <v>180</v>
      </c>
    </row>
    <row r="52" spans="1:68" x14ac:dyDescent="0.4">
      <c r="A52">
        <v>1190044101</v>
      </c>
      <c r="B52">
        <f>VLOOKUP(A52,[1]Sheet2!$A$2:$C$409,2,0)</f>
        <v>61187</v>
      </c>
      <c r="C52" t="str">
        <f>VLOOKUP(A52,[1]Sheet2!$A$2:$C$409,3,0)</f>
        <v>นายสามารถ กิจกรองกาญ</v>
      </c>
      <c r="D52" t="s">
        <v>110</v>
      </c>
      <c r="E52" s="1">
        <v>20375</v>
      </c>
      <c r="F52" s="1">
        <v>20405</v>
      </c>
      <c r="G52" s="1">
        <v>20035</v>
      </c>
      <c r="H52" s="1">
        <v>19850</v>
      </c>
      <c r="I52" s="1">
        <v>21032</v>
      </c>
      <c r="J52" s="1">
        <v>20194</v>
      </c>
      <c r="K52" s="1">
        <v>20191</v>
      </c>
      <c r="L52" s="1">
        <v>20580</v>
      </c>
      <c r="M52" s="1">
        <v>20642</v>
      </c>
      <c r="N52" s="1">
        <v>20980</v>
      </c>
      <c r="O52" s="1">
        <v>19460</v>
      </c>
      <c r="P52" s="1">
        <v>20146</v>
      </c>
      <c r="R52" s="1" cm="1">
        <f t="array" ref="R52:W52">IFERROR(_xlfn.XLOOKUP(A52,'Actual_Aji Plus'!A:A,'Actual_Aji Plus'!C:H),0)</f>
        <v>19702.499999999993</v>
      </c>
      <c r="S52" s="1">
        <v>21208.919999999995</v>
      </c>
      <c r="T52" s="1">
        <v>15986.639999999996</v>
      </c>
      <c r="U52" s="1">
        <v>20076.30000000001</v>
      </c>
      <c r="V52" s="1">
        <v>21206.040000000012</v>
      </c>
      <c r="W52" s="1">
        <v>20499.48</v>
      </c>
      <c r="X52" s="102"/>
      <c r="Y52" s="102"/>
      <c r="Z52" s="102"/>
      <c r="AA52" s="102"/>
      <c r="AB52" s="102"/>
      <c r="AC52" s="102"/>
      <c r="AD52" s="1"/>
      <c r="AE52" s="88">
        <f t="shared" si="4"/>
        <v>0.96699386503067453</v>
      </c>
      <c r="AF52" s="88">
        <f t="shared" si="5"/>
        <v>1.0393981867189412</v>
      </c>
      <c r="AG52" s="88">
        <f t="shared" si="6"/>
        <v>0.79793561267781365</v>
      </c>
      <c r="AH52" s="88">
        <f t="shared" si="7"/>
        <v>1.011400503778338</v>
      </c>
      <c r="AI52" s="88">
        <f t="shared" si="8"/>
        <v>1.0082750095093196</v>
      </c>
      <c r="AJ52" s="88">
        <f t="shared" si="9"/>
        <v>1.0151272655244132</v>
      </c>
      <c r="AK52" s="90">
        <f t="shared" si="10"/>
        <v>0</v>
      </c>
      <c r="AL52" s="90">
        <f t="shared" si="11"/>
        <v>0</v>
      </c>
      <c r="AM52" s="90">
        <f t="shared" si="12"/>
        <v>0</v>
      </c>
      <c r="AN52" s="90">
        <f t="shared" si="13"/>
        <v>0</v>
      </c>
      <c r="AO52" s="90">
        <f t="shared" si="14"/>
        <v>0</v>
      </c>
      <c r="AP52" s="90">
        <f t="shared" si="15"/>
        <v>0</v>
      </c>
      <c r="AQ52" s="88"/>
      <c r="AR52" s="90">
        <f t="shared" si="16"/>
        <v>0.96699999999999997</v>
      </c>
      <c r="AS52" s="90">
        <f t="shared" si="17"/>
        <v>1.0394000000000001</v>
      </c>
      <c r="AT52" s="90">
        <f t="shared" si="18"/>
        <v>0.79790000000000005</v>
      </c>
      <c r="AU52" s="90">
        <f t="shared" si="19"/>
        <v>1.0114000000000001</v>
      </c>
      <c r="AV52" s="90">
        <f t="shared" si="20"/>
        <v>1.0083</v>
      </c>
      <c r="AW52" s="90">
        <f t="shared" si="21"/>
        <v>1.0150999999999999</v>
      </c>
      <c r="AX52" s="90">
        <f t="shared" si="22"/>
        <v>0</v>
      </c>
      <c r="AY52" s="90">
        <f t="shared" si="23"/>
        <v>0</v>
      </c>
      <c r="AZ52" s="90">
        <f t="shared" si="24"/>
        <v>0</v>
      </c>
      <c r="BA52" s="90">
        <f t="shared" si="25"/>
        <v>0</v>
      </c>
      <c r="BB52" s="90">
        <f t="shared" si="26"/>
        <v>0</v>
      </c>
      <c r="BC52" s="90">
        <f t="shared" si="27"/>
        <v>0</v>
      </c>
      <c r="BD52" s="88"/>
      <c r="BE52" s="1">
        <f>IFERROR(VLOOKUP(AR52,'Top WS'!$A$19:$B$28,2),0)</f>
        <v>200</v>
      </c>
      <c r="BF52" s="1">
        <f>IFERROR(VLOOKUP(AS52,'Top WS'!$A$19:$B$28,2),0)</f>
        <v>216</v>
      </c>
      <c r="BG52" s="1">
        <f>IFERROR(VLOOKUP(AT52,'Top WS'!$A$19:$B$28,2),0)</f>
        <v>180</v>
      </c>
      <c r="BH52" s="1">
        <f>IFERROR(VLOOKUP(AU52,'Top WS'!$A$19:$B$28,2),0)</f>
        <v>206</v>
      </c>
      <c r="BI52" s="1">
        <f>IFERROR(VLOOKUP(AV52,'Top WS'!$A$19:$B$28,2),0)</f>
        <v>206</v>
      </c>
      <c r="BJ52" s="1">
        <f>IFERROR(VLOOKUP(AW52,'Top WS'!$A$19:$B$28,2),0)</f>
        <v>206</v>
      </c>
      <c r="BK52" s="89">
        <f>IFERROR(VLOOKUP(AX52,'Top WS'!$A$19:$B$28,2),0)</f>
        <v>180</v>
      </c>
      <c r="BL52" s="89">
        <f>IFERROR(VLOOKUP(AY52,'Top WS'!$A$19:$B$28,2),0)</f>
        <v>180</v>
      </c>
      <c r="BM52" s="89">
        <f>IFERROR(VLOOKUP(AZ52,'Top WS'!$A$19:$B$28,2),0)</f>
        <v>180</v>
      </c>
      <c r="BN52" s="89">
        <f>IFERROR(VLOOKUP(BA52,'Top WS'!$A$19:$B$28,2),0)</f>
        <v>180</v>
      </c>
      <c r="BO52" s="89">
        <f>IFERROR(VLOOKUP(BB52,'Top WS'!$A$19:$B$28,2),0)</f>
        <v>180</v>
      </c>
      <c r="BP52" s="89">
        <f>IFERROR(VLOOKUP(BC52,'Top WS'!$A$19:$B$28,2),0)</f>
        <v>180</v>
      </c>
    </row>
    <row r="53" spans="1:68" x14ac:dyDescent="0.4">
      <c r="A53">
        <v>1190054201</v>
      </c>
      <c r="B53">
        <f>VLOOKUP(A53,[1]Sheet2!$A$2:$C$409,2,0)</f>
        <v>75411</v>
      </c>
      <c r="C53" t="str">
        <f>VLOOKUP(A53,[1]Sheet2!$A$2:$C$409,3,0)</f>
        <v>นายจักรภัทร เซ่งสวัสดิ์</v>
      </c>
      <c r="D53" t="s">
        <v>111</v>
      </c>
      <c r="E53" s="1">
        <v>2325.3968800281518</v>
      </c>
      <c r="F53" s="1">
        <v>2317.9227448712736</v>
      </c>
      <c r="G53" s="1">
        <v>2249.5501986122231</v>
      </c>
      <c r="H53" s="1">
        <v>2078.1385408286351</v>
      </c>
      <c r="I53" s="1">
        <v>2122.312258648426</v>
      </c>
      <c r="J53" s="1">
        <v>2137.1552594529317</v>
      </c>
      <c r="K53" s="1">
        <v>2319.3373039018452</v>
      </c>
      <c r="L53" s="1">
        <v>2044.978645414315</v>
      </c>
      <c r="M53" s="1">
        <v>1999.2653610217167</v>
      </c>
      <c r="N53" s="1">
        <v>2501.9930611423915</v>
      </c>
      <c r="O53" s="1">
        <v>2376.281529062745</v>
      </c>
      <c r="P53" s="1">
        <v>1697.6682170152828</v>
      </c>
      <c r="R53" s="1" cm="1">
        <f t="array" ref="R53:W53">IFERROR(_xlfn.XLOOKUP(A53,'Actual_Aji Plus'!A:A,'Actual_Aji Plus'!C:H),0)</f>
        <v>1517.2799999999997</v>
      </c>
      <c r="S53" s="1">
        <v>2989.0800000000004</v>
      </c>
      <c r="T53" s="1">
        <v>1635.84</v>
      </c>
      <c r="U53" s="1">
        <v>1740.9600000000003</v>
      </c>
      <c r="V53" s="1">
        <v>2162.34</v>
      </c>
      <c r="W53" s="1">
        <v>1204.3799999999997</v>
      </c>
      <c r="X53" s="102"/>
      <c r="Y53" s="102"/>
      <c r="Z53" s="102"/>
      <c r="AA53" s="102"/>
      <c r="AB53" s="102"/>
      <c r="AC53" s="102"/>
      <c r="AD53" s="1"/>
      <c r="AE53" s="88">
        <f t="shared" si="4"/>
        <v>0.65248216897135902</v>
      </c>
      <c r="AF53" s="88">
        <f t="shared" si="5"/>
        <v>1.2895511753416957</v>
      </c>
      <c r="AG53" s="88">
        <f t="shared" si="6"/>
        <v>0.72718537288439755</v>
      </c>
      <c r="AH53" s="88">
        <f t="shared" si="7"/>
        <v>0.83774972928696634</v>
      </c>
      <c r="AI53" s="88">
        <f t="shared" si="8"/>
        <v>1.018860439215983</v>
      </c>
      <c r="AJ53" s="88">
        <f t="shared" si="9"/>
        <v>0.56354352107684325</v>
      </c>
      <c r="AK53" s="90">
        <f t="shared" si="10"/>
        <v>0</v>
      </c>
      <c r="AL53" s="90">
        <f t="shared" si="11"/>
        <v>0</v>
      </c>
      <c r="AM53" s="90">
        <f t="shared" si="12"/>
        <v>0</v>
      </c>
      <c r="AN53" s="90">
        <f t="shared" si="13"/>
        <v>0</v>
      </c>
      <c r="AO53" s="90">
        <f t="shared" si="14"/>
        <v>0</v>
      </c>
      <c r="AP53" s="90">
        <f t="shared" si="15"/>
        <v>0</v>
      </c>
      <c r="AQ53" s="88"/>
      <c r="AR53" s="90">
        <f t="shared" si="16"/>
        <v>0.65249999999999997</v>
      </c>
      <c r="AS53" s="90">
        <f t="shared" si="17"/>
        <v>1.2896000000000001</v>
      </c>
      <c r="AT53" s="90">
        <f t="shared" si="18"/>
        <v>0.72719999999999996</v>
      </c>
      <c r="AU53" s="90">
        <f t="shared" si="19"/>
        <v>0.8377</v>
      </c>
      <c r="AV53" s="90">
        <f t="shared" si="20"/>
        <v>1.0188999999999999</v>
      </c>
      <c r="AW53" s="90">
        <f t="shared" si="21"/>
        <v>0.5635</v>
      </c>
      <c r="AX53" s="90">
        <f t="shared" si="22"/>
        <v>0</v>
      </c>
      <c r="AY53" s="90">
        <f t="shared" si="23"/>
        <v>0</v>
      </c>
      <c r="AZ53" s="90">
        <f t="shared" si="24"/>
        <v>0</v>
      </c>
      <c r="BA53" s="90">
        <f t="shared" si="25"/>
        <v>0</v>
      </c>
      <c r="BB53" s="90">
        <f t="shared" si="26"/>
        <v>0</v>
      </c>
      <c r="BC53" s="90">
        <f t="shared" si="27"/>
        <v>0</v>
      </c>
      <c r="BD53" s="88"/>
      <c r="BE53" s="1">
        <f>IFERROR(VLOOKUP(AR53,'Top WS'!$A$19:$B$28,2),0)</f>
        <v>180</v>
      </c>
      <c r="BF53" s="1">
        <f>IFERROR(VLOOKUP(AS53,'Top WS'!$A$19:$B$28,2),0)</f>
        <v>260</v>
      </c>
      <c r="BG53" s="1">
        <f>IFERROR(VLOOKUP(AT53,'Top WS'!$A$19:$B$28,2),0)</f>
        <v>180</v>
      </c>
      <c r="BH53" s="1">
        <f>IFERROR(VLOOKUP(AU53,'Top WS'!$A$19:$B$28,2),0)</f>
        <v>180</v>
      </c>
      <c r="BI53" s="1">
        <f>IFERROR(VLOOKUP(AV53,'Top WS'!$A$19:$B$28,2),0)</f>
        <v>206</v>
      </c>
      <c r="BJ53" s="1">
        <f>IFERROR(VLOOKUP(AW53,'Top WS'!$A$19:$B$28,2),0)</f>
        <v>180</v>
      </c>
      <c r="BK53" s="89">
        <f>IFERROR(VLOOKUP(AX53,'Top WS'!$A$19:$B$28,2),0)</f>
        <v>180</v>
      </c>
      <c r="BL53" s="89">
        <f>IFERROR(VLOOKUP(AY53,'Top WS'!$A$19:$B$28,2),0)</f>
        <v>180</v>
      </c>
      <c r="BM53" s="89">
        <f>IFERROR(VLOOKUP(AZ53,'Top WS'!$A$19:$B$28,2),0)</f>
        <v>180</v>
      </c>
      <c r="BN53" s="89">
        <f>IFERROR(VLOOKUP(BA53,'Top WS'!$A$19:$B$28,2),0)</f>
        <v>180</v>
      </c>
      <c r="BO53" s="89">
        <f>IFERROR(VLOOKUP(BB53,'Top WS'!$A$19:$B$28,2),0)</f>
        <v>180</v>
      </c>
      <c r="BP53" s="89">
        <f>IFERROR(VLOOKUP(BC53,'Top WS'!$A$19:$B$28,2),0)</f>
        <v>180</v>
      </c>
    </row>
    <row r="54" spans="1:68" x14ac:dyDescent="0.4">
      <c r="A54">
        <v>1190054202</v>
      </c>
      <c r="B54">
        <f>VLOOKUP(A54,[1]Sheet2!$A$2:$C$409,2,0)</f>
        <v>65181</v>
      </c>
      <c r="C54" t="str">
        <f>VLOOKUP(A54,[1]Sheet2!$A$2:$C$409,3,0)</f>
        <v>นายอวิรุทธ์ บัวหลวง</v>
      </c>
      <c r="D54" t="s">
        <v>111</v>
      </c>
      <c r="E54" s="1">
        <v>840.59054203539608</v>
      </c>
      <c r="F54" s="1">
        <v>837.88877212389184</v>
      </c>
      <c r="G54" s="1">
        <v>813.17328539822813</v>
      </c>
      <c r="H54" s="1">
        <v>751.21095132743176</v>
      </c>
      <c r="I54" s="1">
        <v>767.17898230088304</v>
      </c>
      <c r="J54" s="1">
        <v>772.54446902654684</v>
      </c>
      <c r="K54" s="1">
        <v>838.40011061946711</v>
      </c>
      <c r="L54" s="1">
        <v>739.22422566371495</v>
      </c>
      <c r="M54" s="1">
        <v>722.69966814159113</v>
      </c>
      <c r="N54" s="1">
        <v>904.42699115044024</v>
      </c>
      <c r="O54" s="1">
        <v>858.98445796459941</v>
      </c>
      <c r="P54" s="1">
        <v>613.67754424778661</v>
      </c>
      <c r="R54" s="1" cm="1">
        <f t="array" ref="R54:W54">IFERROR(_xlfn.XLOOKUP(A54,'Actual_Aji Plus'!A:A,'Actual_Aji Plus'!C:H),0)</f>
        <v>566.58000000000004</v>
      </c>
      <c r="S54" s="1">
        <v>700.19999999999993</v>
      </c>
      <c r="T54" s="1">
        <v>473.52</v>
      </c>
      <c r="U54" s="1">
        <v>1007.5199999999998</v>
      </c>
      <c r="V54" s="1">
        <v>652.37999999999988</v>
      </c>
      <c r="W54" s="1">
        <v>531.41999999999996</v>
      </c>
      <c r="X54" s="102"/>
      <c r="Y54" s="102"/>
      <c r="Z54" s="102"/>
      <c r="AA54" s="102"/>
      <c r="AB54" s="102"/>
      <c r="AC54" s="102"/>
      <c r="AD54" s="1"/>
      <c r="AE54" s="88">
        <f t="shared" si="4"/>
        <v>0.67402614194074784</v>
      </c>
      <c r="AF54" s="88">
        <f t="shared" si="5"/>
        <v>0.8356717780393732</v>
      </c>
      <c r="AG54" s="88">
        <f t="shared" si="6"/>
        <v>0.58231130867525638</v>
      </c>
      <c r="AH54" s="88">
        <f t="shared" si="7"/>
        <v>1.3411945049784693</v>
      </c>
      <c r="AI54" s="88">
        <f t="shared" si="8"/>
        <v>0.85036219063694363</v>
      </c>
      <c r="AJ54" s="88">
        <f t="shared" si="9"/>
        <v>0.68788273207058437</v>
      </c>
      <c r="AK54" s="90">
        <f t="shared" si="10"/>
        <v>0</v>
      </c>
      <c r="AL54" s="90">
        <f t="shared" si="11"/>
        <v>0</v>
      </c>
      <c r="AM54" s="90">
        <f t="shared" si="12"/>
        <v>0</v>
      </c>
      <c r="AN54" s="90">
        <f t="shared" si="13"/>
        <v>0</v>
      </c>
      <c r="AO54" s="90">
        <f t="shared" si="14"/>
        <v>0</v>
      </c>
      <c r="AP54" s="90">
        <f t="shared" si="15"/>
        <v>0</v>
      </c>
      <c r="AQ54" s="88"/>
      <c r="AR54" s="90">
        <f t="shared" si="16"/>
        <v>0.67400000000000004</v>
      </c>
      <c r="AS54" s="90">
        <f t="shared" si="17"/>
        <v>0.8357</v>
      </c>
      <c r="AT54" s="90">
        <f t="shared" si="18"/>
        <v>0.58230000000000004</v>
      </c>
      <c r="AU54" s="90">
        <f t="shared" si="19"/>
        <v>1.3411999999999999</v>
      </c>
      <c r="AV54" s="90">
        <f t="shared" si="20"/>
        <v>0.85040000000000004</v>
      </c>
      <c r="AW54" s="90">
        <f t="shared" si="21"/>
        <v>0.68789999999999996</v>
      </c>
      <c r="AX54" s="90">
        <f t="shared" si="22"/>
        <v>0</v>
      </c>
      <c r="AY54" s="90">
        <f t="shared" si="23"/>
        <v>0</v>
      </c>
      <c r="AZ54" s="90">
        <f t="shared" si="24"/>
        <v>0</v>
      </c>
      <c r="BA54" s="90">
        <f t="shared" si="25"/>
        <v>0</v>
      </c>
      <c r="BB54" s="90">
        <f t="shared" si="26"/>
        <v>0</v>
      </c>
      <c r="BC54" s="90">
        <f t="shared" si="27"/>
        <v>0</v>
      </c>
      <c r="BD54" s="88"/>
      <c r="BE54" s="1">
        <f>IFERROR(VLOOKUP(AR54,'Top WS'!$A$19:$B$28,2),0)</f>
        <v>180</v>
      </c>
      <c r="BF54" s="1">
        <f>IFERROR(VLOOKUP(AS54,'Top WS'!$A$19:$B$28,2),0)</f>
        <v>180</v>
      </c>
      <c r="BG54" s="1">
        <f>IFERROR(VLOOKUP(AT54,'Top WS'!$A$19:$B$28,2),0)</f>
        <v>180</v>
      </c>
      <c r="BH54" s="1">
        <f>IFERROR(VLOOKUP(AU54,'Top WS'!$A$19:$B$28,2),0)</f>
        <v>260</v>
      </c>
      <c r="BI54" s="1">
        <f>IFERROR(VLOOKUP(AV54,'Top WS'!$A$19:$B$28,2),0)</f>
        <v>180</v>
      </c>
      <c r="BJ54" s="1">
        <f>IFERROR(VLOOKUP(AW54,'Top WS'!$A$19:$B$28,2),0)</f>
        <v>180</v>
      </c>
      <c r="BK54" s="89">
        <f>IFERROR(VLOOKUP(AX54,'Top WS'!$A$19:$B$28,2),0)</f>
        <v>180</v>
      </c>
      <c r="BL54" s="89">
        <f>IFERROR(VLOOKUP(AY54,'Top WS'!$A$19:$B$28,2),0)</f>
        <v>180</v>
      </c>
      <c r="BM54" s="89">
        <f>IFERROR(VLOOKUP(AZ54,'Top WS'!$A$19:$B$28,2),0)</f>
        <v>180</v>
      </c>
      <c r="BN54" s="89">
        <f>IFERROR(VLOOKUP(BA54,'Top WS'!$A$19:$B$28,2),0)</f>
        <v>180</v>
      </c>
      <c r="BO54" s="89">
        <f>IFERROR(VLOOKUP(BB54,'Top WS'!$A$19:$B$28,2),0)</f>
        <v>180</v>
      </c>
      <c r="BP54" s="89">
        <f>IFERROR(VLOOKUP(BC54,'Top WS'!$A$19:$B$28,2),0)</f>
        <v>180</v>
      </c>
    </row>
    <row r="55" spans="1:68" x14ac:dyDescent="0.4">
      <c r="A55">
        <v>1190054301</v>
      </c>
      <c r="B55">
        <f>VLOOKUP(A55,[1]Sheet2!$A$2:$C$409,2,0)</f>
        <v>61802</v>
      </c>
      <c r="C55" t="str">
        <f>VLOOKUP(A55,[1]Sheet2!$A$2:$C$409,3,0)</f>
        <v>นายภาคภูมิ รักท้วม</v>
      </c>
      <c r="D55" t="s">
        <v>112</v>
      </c>
      <c r="E55" s="1">
        <v>450</v>
      </c>
      <c r="F55" s="1">
        <v>300</v>
      </c>
      <c r="G55" s="1">
        <v>300</v>
      </c>
      <c r="H55" s="1">
        <v>240</v>
      </c>
      <c r="I55" s="1">
        <v>350</v>
      </c>
      <c r="J55" s="1">
        <v>340</v>
      </c>
      <c r="K55" s="1">
        <v>250</v>
      </c>
      <c r="L55" s="1">
        <v>450</v>
      </c>
      <c r="M55" s="1">
        <v>300</v>
      </c>
      <c r="N55" s="1">
        <v>200</v>
      </c>
      <c r="O55" s="1">
        <v>250</v>
      </c>
      <c r="P55" s="1">
        <v>350</v>
      </c>
      <c r="R55" s="1" cm="1">
        <f t="array" ref="R55:W55">IFERROR(_xlfn.XLOOKUP(A55,'Actual_Aji Plus'!A:A,'Actual_Aji Plus'!C:H),0)</f>
        <v>375.29999999999995</v>
      </c>
      <c r="S55" s="1">
        <v>294.66000000000003</v>
      </c>
      <c r="T55" s="1">
        <v>110.63999999999999</v>
      </c>
      <c r="U55" s="1">
        <v>473.51999999999992</v>
      </c>
      <c r="V55" s="1">
        <v>319.74</v>
      </c>
      <c r="W55" s="1">
        <v>596.81999999999994</v>
      </c>
      <c r="X55" s="102"/>
      <c r="Y55" s="102"/>
      <c r="Z55" s="102"/>
      <c r="AA55" s="102"/>
      <c r="AB55" s="102"/>
      <c r="AC55" s="102"/>
      <c r="AD55" s="1"/>
      <c r="AE55" s="88">
        <f t="shared" si="4"/>
        <v>0.83399999999999985</v>
      </c>
      <c r="AF55" s="88">
        <f t="shared" si="5"/>
        <v>0.98220000000000007</v>
      </c>
      <c r="AG55" s="88">
        <f t="shared" si="6"/>
        <v>0.36879999999999996</v>
      </c>
      <c r="AH55" s="88">
        <f t="shared" si="7"/>
        <v>1.9729999999999996</v>
      </c>
      <c r="AI55" s="88">
        <f t="shared" si="8"/>
        <v>0.91354285714285721</v>
      </c>
      <c r="AJ55" s="88">
        <f t="shared" si="9"/>
        <v>1.7553529411764703</v>
      </c>
      <c r="AK55" s="90">
        <f t="shared" si="10"/>
        <v>0</v>
      </c>
      <c r="AL55" s="90">
        <f t="shared" si="11"/>
        <v>0</v>
      </c>
      <c r="AM55" s="90">
        <f t="shared" si="12"/>
        <v>0</v>
      </c>
      <c r="AN55" s="90">
        <f t="shared" si="13"/>
        <v>0</v>
      </c>
      <c r="AO55" s="90">
        <f t="shared" si="14"/>
        <v>0</v>
      </c>
      <c r="AP55" s="90">
        <f t="shared" si="15"/>
        <v>0</v>
      </c>
      <c r="AQ55" s="88"/>
      <c r="AR55" s="90">
        <f t="shared" si="16"/>
        <v>0.83399999999999996</v>
      </c>
      <c r="AS55" s="90">
        <f t="shared" si="17"/>
        <v>0.98219999999999996</v>
      </c>
      <c r="AT55" s="90">
        <f t="shared" si="18"/>
        <v>0.36880000000000002</v>
      </c>
      <c r="AU55" s="90">
        <f t="shared" si="19"/>
        <v>1.9730000000000001</v>
      </c>
      <c r="AV55" s="90">
        <f t="shared" si="20"/>
        <v>0.91349999999999998</v>
      </c>
      <c r="AW55" s="90">
        <f t="shared" si="21"/>
        <v>1.7554000000000001</v>
      </c>
      <c r="AX55" s="90">
        <f t="shared" si="22"/>
        <v>0</v>
      </c>
      <c r="AY55" s="90">
        <f t="shared" si="23"/>
        <v>0</v>
      </c>
      <c r="AZ55" s="90">
        <f t="shared" si="24"/>
        <v>0</v>
      </c>
      <c r="BA55" s="90">
        <f t="shared" si="25"/>
        <v>0</v>
      </c>
      <c r="BB55" s="90">
        <f t="shared" si="26"/>
        <v>0</v>
      </c>
      <c r="BC55" s="90">
        <f t="shared" si="27"/>
        <v>0</v>
      </c>
      <c r="BD55" s="88"/>
      <c r="BE55" s="1">
        <f>IFERROR(VLOOKUP(AR55,'Top WS'!$A$19:$B$28,2),0)</f>
        <v>180</v>
      </c>
      <c r="BF55" s="1">
        <f>IFERROR(VLOOKUP(AS55,'Top WS'!$A$19:$B$28,2),0)</f>
        <v>200</v>
      </c>
      <c r="BG55" s="1">
        <f>IFERROR(VLOOKUP(AT55,'Top WS'!$A$19:$B$28,2),0)</f>
        <v>180</v>
      </c>
      <c r="BH55" s="1">
        <f>IFERROR(VLOOKUP(AU55,'Top WS'!$A$19:$B$28,2),0)</f>
        <v>260</v>
      </c>
      <c r="BI55" s="1">
        <f>IFERROR(VLOOKUP(AV55,'Top WS'!$A$19:$B$28,2),0)</f>
        <v>190</v>
      </c>
      <c r="BJ55" s="1">
        <f>IFERROR(VLOOKUP(AW55,'Top WS'!$A$19:$B$28,2),0)</f>
        <v>260</v>
      </c>
      <c r="BK55" s="89">
        <f>IFERROR(VLOOKUP(AX55,'Top WS'!$A$19:$B$28,2),0)</f>
        <v>180</v>
      </c>
      <c r="BL55" s="89">
        <f>IFERROR(VLOOKUP(AY55,'Top WS'!$A$19:$B$28,2),0)</f>
        <v>180</v>
      </c>
      <c r="BM55" s="89">
        <f>IFERROR(VLOOKUP(AZ55,'Top WS'!$A$19:$B$28,2),0)</f>
        <v>180</v>
      </c>
      <c r="BN55" s="89">
        <f>IFERROR(VLOOKUP(BA55,'Top WS'!$A$19:$B$28,2),0)</f>
        <v>180</v>
      </c>
      <c r="BO55" s="89">
        <f>IFERROR(VLOOKUP(BB55,'Top WS'!$A$19:$B$28,2),0)</f>
        <v>180</v>
      </c>
      <c r="BP55" s="89">
        <f>IFERROR(VLOOKUP(BC55,'Top WS'!$A$19:$B$28,2),0)</f>
        <v>180</v>
      </c>
    </row>
    <row r="56" spans="1:68" x14ac:dyDescent="0.4">
      <c r="A56">
        <v>1190054401</v>
      </c>
      <c r="B56">
        <f>VLOOKUP(A56,[1]Sheet2!$A$2:$C$409,2,0)</f>
        <v>75194</v>
      </c>
      <c r="C56" t="str">
        <f>VLOOKUP(A56,[1]Sheet2!$A$2:$C$409,3,0)</f>
        <v>นายพรชัย แซ่อือ</v>
      </c>
      <c r="D56" t="s">
        <v>113</v>
      </c>
      <c r="E56" s="1">
        <v>1450</v>
      </c>
      <c r="F56" s="1">
        <v>1440</v>
      </c>
      <c r="G56" s="1">
        <v>1400</v>
      </c>
      <c r="H56" s="1">
        <v>1500</v>
      </c>
      <c r="I56" s="1">
        <v>1500</v>
      </c>
      <c r="J56" s="1">
        <v>1500</v>
      </c>
      <c r="K56" s="1">
        <v>1530</v>
      </c>
      <c r="L56" s="1">
        <v>1530</v>
      </c>
      <c r="M56" s="1">
        <v>1530</v>
      </c>
      <c r="N56" s="1">
        <v>1500</v>
      </c>
      <c r="O56" s="1">
        <v>1500</v>
      </c>
      <c r="P56" s="1">
        <v>1500</v>
      </c>
      <c r="R56" s="1" cm="1">
        <f t="array" ref="R56:W56">IFERROR(_xlfn.XLOOKUP(A56,'Actual_Aji Plus'!A:A,'Actual_Aji Plus'!C:H),0)</f>
        <v>969.77999999999975</v>
      </c>
      <c r="S56" s="1">
        <v>1563.7799999999997</v>
      </c>
      <c r="T56" s="1">
        <v>795.3599999999999</v>
      </c>
      <c r="U56" s="1">
        <v>1093.3200000000002</v>
      </c>
      <c r="V56" s="1">
        <v>1140.42</v>
      </c>
      <c r="W56" s="1">
        <v>1162.92</v>
      </c>
      <c r="X56" s="102"/>
      <c r="Y56" s="102"/>
      <c r="Z56" s="102"/>
      <c r="AA56" s="102"/>
      <c r="AB56" s="102"/>
      <c r="AC56" s="102"/>
      <c r="AD56" s="1"/>
      <c r="AE56" s="88">
        <f t="shared" si="4"/>
        <v>0.66881379310344813</v>
      </c>
      <c r="AF56" s="88">
        <f t="shared" si="5"/>
        <v>1.0859583333333331</v>
      </c>
      <c r="AG56" s="88">
        <f t="shared" si="6"/>
        <v>0.56811428571428568</v>
      </c>
      <c r="AH56" s="88">
        <f t="shared" si="7"/>
        <v>0.72888000000000008</v>
      </c>
      <c r="AI56" s="88">
        <f t="shared" si="8"/>
        <v>0.76028000000000007</v>
      </c>
      <c r="AJ56" s="88">
        <f t="shared" si="9"/>
        <v>0.77528000000000008</v>
      </c>
      <c r="AK56" s="90">
        <f t="shared" si="10"/>
        <v>0</v>
      </c>
      <c r="AL56" s="90">
        <f t="shared" si="11"/>
        <v>0</v>
      </c>
      <c r="AM56" s="90">
        <f t="shared" si="12"/>
        <v>0</v>
      </c>
      <c r="AN56" s="90">
        <f t="shared" si="13"/>
        <v>0</v>
      </c>
      <c r="AO56" s="90">
        <f t="shared" si="14"/>
        <v>0</v>
      </c>
      <c r="AP56" s="90">
        <f t="shared" si="15"/>
        <v>0</v>
      </c>
      <c r="AQ56" s="88"/>
      <c r="AR56" s="90">
        <f t="shared" si="16"/>
        <v>0.66879999999999995</v>
      </c>
      <c r="AS56" s="90">
        <f t="shared" si="17"/>
        <v>1.0860000000000001</v>
      </c>
      <c r="AT56" s="90">
        <f t="shared" si="18"/>
        <v>0.56810000000000005</v>
      </c>
      <c r="AU56" s="90">
        <f t="shared" si="19"/>
        <v>0.72889999999999999</v>
      </c>
      <c r="AV56" s="90">
        <f t="shared" si="20"/>
        <v>0.76029999999999998</v>
      </c>
      <c r="AW56" s="90">
        <f t="shared" si="21"/>
        <v>0.77529999999999999</v>
      </c>
      <c r="AX56" s="90">
        <f t="shared" si="22"/>
        <v>0</v>
      </c>
      <c r="AY56" s="90">
        <f t="shared" si="23"/>
        <v>0</v>
      </c>
      <c r="AZ56" s="90">
        <f t="shared" si="24"/>
        <v>0</v>
      </c>
      <c r="BA56" s="90">
        <f t="shared" si="25"/>
        <v>0</v>
      </c>
      <c r="BB56" s="90">
        <f t="shared" si="26"/>
        <v>0</v>
      </c>
      <c r="BC56" s="90">
        <f t="shared" si="27"/>
        <v>0</v>
      </c>
      <c r="BD56" s="88"/>
      <c r="BE56" s="1">
        <f>IFERROR(VLOOKUP(AR56,'Top WS'!$A$19:$B$28,2),0)</f>
        <v>180</v>
      </c>
      <c r="BF56" s="1">
        <f>IFERROR(VLOOKUP(AS56,'Top WS'!$A$19:$B$28,2),0)</f>
        <v>220</v>
      </c>
      <c r="BG56" s="1">
        <f>IFERROR(VLOOKUP(AT56,'Top WS'!$A$19:$B$28,2),0)</f>
        <v>180</v>
      </c>
      <c r="BH56" s="1">
        <f>IFERROR(VLOOKUP(AU56,'Top WS'!$A$19:$B$28,2),0)</f>
        <v>180</v>
      </c>
      <c r="BI56" s="1">
        <f>IFERROR(VLOOKUP(AV56,'Top WS'!$A$19:$B$28,2),0)</f>
        <v>180</v>
      </c>
      <c r="BJ56" s="1">
        <f>IFERROR(VLOOKUP(AW56,'Top WS'!$A$19:$B$28,2),0)</f>
        <v>180</v>
      </c>
      <c r="BK56" s="89">
        <f>IFERROR(VLOOKUP(AX56,'Top WS'!$A$19:$B$28,2),0)</f>
        <v>180</v>
      </c>
      <c r="BL56" s="89">
        <f>IFERROR(VLOOKUP(AY56,'Top WS'!$A$19:$B$28,2),0)</f>
        <v>180</v>
      </c>
      <c r="BM56" s="89">
        <f>IFERROR(VLOOKUP(AZ56,'Top WS'!$A$19:$B$28,2),0)</f>
        <v>180</v>
      </c>
      <c r="BN56" s="89">
        <f>IFERROR(VLOOKUP(BA56,'Top WS'!$A$19:$B$28,2),0)</f>
        <v>180</v>
      </c>
      <c r="BO56" s="89">
        <f>IFERROR(VLOOKUP(BB56,'Top WS'!$A$19:$B$28,2),0)</f>
        <v>180</v>
      </c>
      <c r="BP56" s="89">
        <f>IFERROR(VLOOKUP(BC56,'Top WS'!$A$19:$B$28,2),0)</f>
        <v>180</v>
      </c>
    </row>
    <row r="57" spans="1:68" x14ac:dyDescent="0.4">
      <c r="A57">
        <v>1190054501</v>
      </c>
      <c r="B57">
        <f>VLOOKUP(A57,[1]Sheet2!$A$2:$C$409,2,0)</f>
        <v>70437</v>
      </c>
      <c r="C57" t="str">
        <f>VLOOKUP(A57,[1]Sheet2!$A$2:$C$409,3,0)</f>
        <v>นายมนตรี วัชรมานะกุล</v>
      </c>
      <c r="D57" t="s">
        <v>114</v>
      </c>
      <c r="E57" s="1">
        <v>410</v>
      </c>
      <c r="F57" s="1">
        <v>400</v>
      </c>
      <c r="G57" s="1">
        <v>400</v>
      </c>
      <c r="H57" s="1">
        <v>400</v>
      </c>
      <c r="I57" s="1">
        <v>400</v>
      </c>
      <c r="J57" s="1">
        <v>400</v>
      </c>
      <c r="K57" s="1">
        <v>400</v>
      </c>
      <c r="L57" s="1">
        <v>410</v>
      </c>
      <c r="M57" s="1">
        <v>410</v>
      </c>
      <c r="N57" s="1">
        <v>420</v>
      </c>
      <c r="O57" s="1">
        <v>400</v>
      </c>
      <c r="P57" s="1">
        <v>400</v>
      </c>
      <c r="R57" s="1" cm="1">
        <f t="array" ref="R57:W57">IFERROR(_xlfn.XLOOKUP(A57,'Actual_Aji Plus'!A:A,'Actual_Aji Plus'!C:H),0)</f>
        <v>193.86</v>
      </c>
      <c r="S57" s="1">
        <v>415.38</v>
      </c>
      <c r="T57" s="1">
        <v>307.32</v>
      </c>
      <c r="U57" s="1">
        <v>196.20000000000002</v>
      </c>
      <c r="V57" s="1">
        <v>534.24</v>
      </c>
      <c r="W57" s="1">
        <v>100.8</v>
      </c>
      <c r="X57" s="102"/>
      <c r="Y57" s="102"/>
      <c r="Z57" s="102"/>
      <c r="AA57" s="102"/>
      <c r="AB57" s="102"/>
      <c r="AC57" s="102"/>
      <c r="AD57" s="1"/>
      <c r="AE57" s="88">
        <f t="shared" si="4"/>
        <v>0.47282926829268296</v>
      </c>
      <c r="AF57" s="88">
        <f t="shared" si="5"/>
        <v>1.0384500000000001</v>
      </c>
      <c r="AG57" s="88">
        <f t="shared" si="6"/>
        <v>0.76829999999999998</v>
      </c>
      <c r="AH57" s="88">
        <f t="shared" si="7"/>
        <v>0.49050000000000005</v>
      </c>
      <c r="AI57" s="88">
        <f t="shared" si="8"/>
        <v>1.3356000000000001</v>
      </c>
      <c r="AJ57" s="88">
        <f t="shared" si="9"/>
        <v>0.252</v>
      </c>
      <c r="AK57" s="90">
        <f t="shared" si="10"/>
        <v>0</v>
      </c>
      <c r="AL57" s="90">
        <f t="shared" si="11"/>
        <v>0</v>
      </c>
      <c r="AM57" s="90">
        <f t="shared" si="12"/>
        <v>0</v>
      </c>
      <c r="AN57" s="90">
        <f t="shared" si="13"/>
        <v>0</v>
      </c>
      <c r="AO57" s="90">
        <f t="shared" si="14"/>
        <v>0</v>
      </c>
      <c r="AP57" s="90">
        <f t="shared" si="15"/>
        <v>0</v>
      </c>
      <c r="AQ57" s="88"/>
      <c r="AR57" s="90">
        <f t="shared" si="16"/>
        <v>0.4728</v>
      </c>
      <c r="AS57" s="90">
        <f t="shared" si="17"/>
        <v>1.0385</v>
      </c>
      <c r="AT57" s="90">
        <f t="shared" si="18"/>
        <v>0.76829999999999998</v>
      </c>
      <c r="AU57" s="90">
        <f t="shared" si="19"/>
        <v>0.49049999999999999</v>
      </c>
      <c r="AV57" s="90">
        <f t="shared" si="20"/>
        <v>1.3355999999999999</v>
      </c>
      <c r="AW57" s="90">
        <f t="shared" si="21"/>
        <v>0.252</v>
      </c>
      <c r="AX57" s="90">
        <f t="shared" si="22"/>
        <v>0</v>
      </c>
      <c r="AY57" s="90">
        <f t="shared" si="23"/>
        <v>0</v>
      </c>
      <c r="AZ57" s="90">
        <f t="shared" si="24"/>
        <v>0</v>
      </c>
      <c r="BA57" s="90">
        <f t="shared" si="25"/>
        <v>0</v>
      </c>
      <c r="BB57" s="90">
        <f t="shared" si="26"/>
        <v>0</v>
      </c>
      <c r="BC57" s="90">
        <f t="shared" si="27"/>
        <v>0</v>
      </c>
      <c r="BD57" s="88"/>
      <c r="BE57" s="1">
        <f>IFERROR(VLOOKUP(AR57,'Top WS'!$A$19:$B$28,2),0)</f>
        <v>180</v>
      </c>
      <c r="BF57" s="1">
        <f>IFERROR(VLOOKUP(AS57,'Top WS'!$A$19:$B$28,2),0)</f>
        <v>216</v>
      </c>
      <c r="BG57" s="1">
        <f>IFERROR(VLOOKUP(AT57,'Top WS'!$A$19:$B$28,2),0)</f>
        <v>180</v>
      </c>
      <c r="BH57" s="1">
        <f>IFERROR(VLOOKUP(AU57,'Top WS'!$A$19:$B$28,2),0)</f>
        <v>180</v>
      </c>
      <c r="BI57" s="1">
        <f>IFERROR(VLOOKUP(AV57,'Top WS'!$A$19:$B$28,2),0)</f>
        <v>260</v>
      </c>
      <c r="BJ57" s="1">
        <f>IFERROR(VLOOKUP(AW57,'Top WS'!$A$19:$B$28,2),0)</f>
        <v>180</v>
      </c>
      <c r="BK57" s="89">
        <f>IFERROR(VLOOKUP(AX57,'Top WS'!$A$19:$B$28,2),0)</f>
        <v>180</v>
      </c>
      <c r="BL57" s="89">
        <f>IFERROR(VLOOKUP(AY57,'Top WS'!$A$19:$B$28,2),0)</f>
        <v>180</v>
      </c>
      <c r="BM57" s="89">
        <f>IFERROR(VLOOKUP(AZ57,'Top WS'!$A$19:$B$28,2),0)</f>
        <v>180</v>
      </c>
      <c r="BN57" s="89">
        <f>IFERROR(VLOOKUP(BA57,'Top WS'!$A$19:$B$28,2),0)</f>
        <v>180</v>
      </c>
      <c r="BO57" s="89">
        <f>IFERROR(VLOOKUP(BB57,'Top WS'!$A$19:$B$28,2),0)</f>
        <v>180</v>
      </c>
      <c r="BP57" s="89">
        <f>IFERROR(VLOOKUP(BC57,'Top WS'!$A$19:$B$28,2),0)</f>
        <v>180</v>
      </c>
    </row>
    <row r="58" spans="1:68" x14ac:dyDescent="0.4">
      <c r="A58">
        <v>1190054601</v>
      </c>
      <c r="B58">
        <f>VLOOKUP(A58,[1]Sheet2!$A$2:$C$409,2,0)</f>
        <v>63804</v>
      </c>
      <c r="C58" t="str">
        <f>VLOOKUP(A58,[1]Sheet2!$A$2:$C$409,3,0)</f>
        <v>นายสมพงษ์ คงบุตร</v>
      </c>
      <c r="D58" t="s">
        <v>115</v>
      </c>
      <c r="E58" s="1">
        <v>6584.1666734928904</v>
      </c>
      <c r="F58" s="1">
        <v>6864.4357633058116</v>
      </c>
      <c r="G58" s="1">
        <v>6077.1869015106686</v>
      </c>
      <c r="H58" s="1">
        <v>4227.9949409476867</v>
      </c>
      <c r="I58" s="1">
        <v>5070.4613927793807</v>
      </c>
      <c r="J58" s="1">
        <v>8352.9878389425758</v>
      </c>
      <c r="K58" s="1">
        <v>7304.9155049795918</v>
      </c>
      <c r="L58" s="1">
        <v>8521.5607700637756</v>
      </c>
      <c r="M58" s="1">
        <v>6020.4428636726279</v>
      </c>
      <c r="N58" s="1">
        <v>9306.9513475788426</v>
      </c>
      <c r="O58" s="1">
        <v>7452.516370654218</v>
      </c>
      <c r="P58" s="1">
        <v>5236.3796320718993</v>
      </c>
      <c r="R58" s="1" cm="1">
        <f t="array" ref="R58:W58">IFERROR(_xlfn.XLOOKUP(A58,'Actual_Aji Plus'!A:A,'Actual_Aji Plus'!C:H),0)</f>
        <v>7277.4</v>
      </c>
      <c r="S58" s="1">
        <v>6016.2000000000007</v>
      </c>
      <c r="T58" s="1">
        <v>4300.5600000000004</v>
      </c>
      <c r="U58" s="1">
        <v>7682.46</v>
      </c>
      <c r="V58" s="1">
        <v>6576.239999999998</v>
      </c>
      <c r="W58" s="1">
        <v>4494.12</v>
      </c>
      <c r="X58" s="102"/>
      <c r="Y58" s="102"/>
      <c r="Z58" s="102"/>
      <c r="AA58" s="102"/>
      <c r="AB58" s="102"/>
      <c r="AC58" s="102"/>
      <c r="AD58" s="1"/>
      <c r="AE58" s="88">
        <f t="shared" si="4"/>
        <v>1.1052879370897442</v>
      </c>
      <c r="AF58" s="88">
        <f t="shared" si="5"/>
        <v>0.8764303735144412</v>
      </c>
      <c r="AG58" s="88">
        <f t="shared" si="6"/>
        <v>0.70765636629193784</v>
      </c>
      <c r="AH58" s="88">
        <f t="shared" si="7"/>
        <v>1.817045693597261</v>
      </c>
      <c r="AI58" s="88">
        <f t="shared" si="8"/>
        <v>1.2969707272330147</v>
      </c>
      <c r="AJ58" s="88">
        <f t="shared" si="9"/>
        <v>0.5380254451045533</v>
      </c>
      <c r="AK58" s="90">
        <f t="shared" si="10"/>
        <v>0</v>
      </c>
      <c r="AL58" s="90">
        <f t="shared" si="11"/>
        <v>0</v>
      </c>
      <c r="AM58" s="90">
        <f t="shared" si="12"/>
        <v>0</v>
      </c>
      <c r="AN58" s="90">
        <f t="shared" si="13"/>
        <v>0</v>
      </c>
      <c r="AO58" s="90">
        <f t="shared" si="14"/>
        <v>0</v>
      </c>
      <c r="AP58" s="90">
        <f t="shared" si="15"/>
        <v>0</v>
      </c>
      <c r="AQ58" s="88"/>
      <c r="AR58" s="90">
        <f t="shared" si="16"/>
        <v>1.1052999999999999</v>
      </c>
      <c r="AS58" s="90">
        <f t="shared" si="17"/>
        <v>0.87639999999999996</v>
      </c>
      <c r="AT58" s="90">
        <f t="shared" si="18"/>
        <v>0.7077</v>
      </c>
      <c r="AU58" s="90">
        <f t="shared" si="19"/>
        <v>1.8169999999999999</v>
      </c>
      <c r="AV58" s="90">
        <f t="shared" si="20"/>
        <v>1.2969999999999999</v>
      </c>
      <c r="AW58" s="90">
        <f t="shared" si="21"/>
        <v>0.53800000000000003</v>
      </c>
      <c r="AX58" s="90">
        <f t="shared" si="22"/>
        <v>0</v>
      </c>
      <c r="AY58" s="90">
        <f t="shared" si="23"/>
        <v>0</v>
      </c>
      <c r="AZ58" s="90">
        <f t="shared" si="24"/>
        <v>0</v>
      </c>
      <c r="BA58" s="90">
        <f t="shared" si="25"/>
        <v>0</v>
      </c>
      <c r="BB58" s="90">
        <f t="shared" si="26"/>
        <v>0</v>
      </c>
      <c r="BC58" s="90">
        <f t="shared" si="27"/>
        <v>0</v>
      </c>
      <c r="BD58" s="88"/>
      <c r="BE58" s="1">
        <f>IFERROR(VLOOKUP(AR58,'Top WS'!$A$19:$B$28,2),0)</f>
        <v>230</v>
      </c>
      <c r="BF58" s="1">
        <f>IFERROR(VLOOKUP(AS58,'Top WS'!$A$19:$B$28,2),0)</f>
        <v>180</v>
      </c>
      <c r="BG58" s="1">
        <f>IFERROR(VLOOKUP(AT58,'Top WS'!$A$19:$B$28,2),0)</f>
        <v>180</v>
      </c>
      <c r="BH58" s="1">
        <f>IFERROR(VLOOKUP(AU58,'Top WS'!$A$19:$B$28,2),0)</f>
        <v>260</v>
      </c>
      <c r="BI58" s="1">
        <f>IFERROR(VLOOKUP(AV58,'Top WS'!$A$19:$B$28,2),0)</f>
        <v>260</v>
      </c>
      <c r="BJ58" s="1">
        <f>IFERROR(VLOOKUP(AW58,'Top WS'!$A$19:$B$28,2),0)</f>
        <v>180</v>
      </c>
      <c r="BK58" s="89">
        <f>IFERROR(VLOOKUP(AX58,'Top WS'!$A$19:$B$28,2),0)</f>
        <v>180</v>
      </c>
      <c r="BL58" s="89">
        <f>IFERROR(VLOOKUP(AY58,'Top WS'!$A$19:$B$28,2),0)</f>
        <v>180</v>
      </c>
      <c r="BM58" s="89">
        <f>IFERROR(VLOOKUP(AZ58,'Top WS'!$A$19:$B$28,2),0)</f>
        <v>180</v>
      </c>
      <c r="BN58" s="89">
        <f>IFERROR(VLOOKUP(BA58,'Top WS'!$A$19:$B$28,2),0)</f>
        <v>180</v>
      </c>
      <c r="BO58" s="89">
        <f>IFERROR(VLOOKUP(BB58,'Top WS'!$A$19:$B$28,2),0)</f>
        <v>180</v>
      </c>
      <c r="BP58" s="89">
        <f>IFERROR(VLOOKUP(BC58,'Top WS'!$A$19:$B$28,2),0)</f>
        <v>180</v>
      </c>
    </row>
  </sheetData>
  <phoneticPr fontId="1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38E3-B032-46C0-AEDC-1AFCE96F425C}">
  <sheetPr>
    <tabColor rgb="FFFFFF00"/>
  </sheetPr>
  <dimension ref="A1:H62"/>
  <sheetViews>
    <sheetView zoomScale="50" zoomScaleNormal="50" workbookViewId="0">
      <pane xSplit="2" ySplit="1" topLeftCell="C26" activePane="bottomRight" state="frozen"/>
      <selection activeCell="C11" sqref="C11"/>
      <selection pane="topRight" activeCell="C11" sqref="C11"/>
      <selection pane="bottomLeft" activeCell="C11" sqref="C11"/>
      <selection pane="bottomRight" activeCell="C11" sqref="C11"/>
    </sheetView>
  </sheetViews>
  <sheetFormatPr defaultRowHeight="16.8" x14ac:dyDescent="0.4"/>
  <cols>
    <col min="1" max="1" width="18.5" customWidth="1"/>
  </cols>
  <sheetData>
    <row r="1" spans="1:8" x14ac:dyDescent="0.4">
      <c r="A1" t="s">
        <v>123</v>
      </c>
      <c r="B1" t="s">
        <v>124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1190011201</v>
      </c>
      <c r="B2" t="s">
        <v>79</v>
      </c>
      <c r="C2">
        <v>10686.659999999994</v>
      </c>
      <c r="D2">
        <v>10938.919999999998</v>
      </c>
      <c r="E2">
        <v>12155.999999999991</v>
      </c>
      <c r="F2">
        <v>13346.339999999995</v>
      </c>
      <c r="G2">
        <v>11659.179999999997</v>
      </c>
      <c r="H2">
        <v>8412.4599999999973</v>
      </c>
    </row>
    <row r="3" spans="1:8" x14ac:dyDescent="0.4">
      <c r="A3">
        <v>1190011203</v>
      </c>
      <c r="B3" t="s">
        <v>79</v>
      </c>
      <c r="D3">
        <v>1.5</v>
      </c>
    </row>
    <row r="4" spans="1:8" x14ac:dyDescent="0.4">
      <c r="A4">
        <v>1190011214</v>
      </c>
      <c r="B4" t="s">
        <v>79</v>
      </c>
      <c r="C4">
        <v>4872.12</v>
      </c>
      <c r="D4">
        <v>5921.4</v>
      </c>
      <c r="E4">
        <v>8818.7999999999938</v>
      </c>
      <c r="F4">
        <v>12257.219999999992</v>
      </c>
      <c r="G4">
        <v>8300.2799999999988</v>
      </c>
      <c r="H4">
        <v>3425.5200000000023</v>
      </c>
    </row>
    <row r="5" spans="1:8" x14ac:dyDescent="0.4">
      <c r="A5">
        <v>1190011401</v>
      </c>
      <c r="B5" t="s">
        <v>80</v>
      </c>
      <c r="C5">
        <v>5775.84</v>
      </c>
      <c r="D5">
        <v>8476.8000000000011</v>
      </c>
      <c r="E5">
        <v>6833.4400000000005</v>
      </c>
      <c r="F5">
        <v>10179.999999999996</v>
      </c>
      <c r="G5">
        <v>9112.3199999999924</v>
      </c>
      <c r="H5">
        <v>5843.8199999999979</v>
      </c>
    </row>
    <row r="6" spans="1:8" x14ac:dyDescent="0.4">
      <c r="A6">
        <v>1190011412</v>
      </c>
      <c r="B6" t="s">
        <v>80</v>
      </c>
      <c r="C6">
        <v>4843.3200000000015</v>
      </c>
      <c r="D6">
        <v>10705.38</v>
      </c>
      <c r="E6">
        <v>10573.439999999999</v>
      </c>
      <c r="F6">
        <v>10436.999999999995</v>
      </c>
      <c r="G6">
        <v>9570.3599999999988</v>
      </c>
      <c r="H6">
        <v>4474.8000000000011</v>
      </c>
    </row>
    <row r="7" spans="1:8" x14ac:dyDescent="0.4">
      <c r="A7">
        <v>1190011501</v>
      </c>
      <c r="B7" t="s">
        <v>81</v>
      </c>
      <c r="C7">
        <v>31634.7</v>
      </c>
      <c r="D7">
        <v>28241.359999999997</v>
      </c>
      <c r="E7">
        <v>33036.840000000018</v>
      </c>
      <c r="F7">
        <v>37197.180000000022</v>
      </c>
      <c r="G7">
        <v>23767.460000000014</v>
      </c>
      <c r="H7">
        <v>29194.14000000001</v>
      </c>
    </row>
    <row r="8" spans="1:8" x14ac:dyDescent="0.4">
      <c r="A8">
        <v>1190011701</v>
      </c>
      <c r="B8" t="s">
        <v>82</v>
      </c>
      <c r="C8">
        <v>18807.840000000007</v>
      </c>
      <c r="D8">
        <v>19533.839999999993</v>
      </c>
      <c r="E8">
        <v>21292.440000000006</v>
      </c>
      <c r="F8">
        <v>23776.560000000027</v>
      </c>
      <c r="G8">
        <v>22363.020000000008</v>
      </c>
      <c r="H8">
        <v>19757.46000000001</v>
      </c>
    </row>
    <row r="9" spans="1:8" x14ac:dyDescent="0.4">
      <c r="A9">
        <v>1190011801</v>
      </c>
      <c r="B9" t="s">
        <v>83</v>
      </c>
      <c r="C9">
        <v>2748.54</v>
      </c>
      <c r="D9">
        <v>4218.1200000000008</v>
      </c>
      <c r="E9">
        <v>3963.5400000000004</v>
      </c>
      <c r="F9">
        <v>4472.4599999999982</v>
      </c>
      <c r="G9">
        <v>4387.1399999999967</v>
      </c>
      <c r="H9">
        <v>3008.280000000002</v>
      </c>
    </row>
    <row r="10" spans="1:8" x14ac:dyDescent="0.4">
      <c r="A10">
        <v>1190017001</v>
      </c>
      <c r="B10" t="s">
        <v>84</v>
      </c>
      <c r="C10">
        <v>22183.260000000006</v>
      </c>
      <c r="D10">
        <v>22958.459999999985</v>
      </c>
      <c r="E10">
        <v>24229.500000000007</v>
      </c>
      <c r="F10">
        <v>26343</v>
      </c>
      <c r="G10">
        <v>22603.800000000014</v>
      </c>
      <c r="H10">
        <v>23135.7</v>
      </c>
    </row>
    <row r="11" spans="1:8" x14ac:dyDescent="0.4">
      <c r="A11">
        <v>1190017013</v>
      </c>
      <c r="B11" t="s">
        <v>84</v>
      </c>
      <c r="C11">
        <v>2255.0999999999995</v>
      </c>
      <c r="D11">
        <v>2557.7400000000002</v>
      </c>
      <c r="E11">
        <v>3865.0800000000013</v>
      </c>
      <c r="F11">
        <v>4281.1799999999994</v>
      </c>
      <c r="G11">
        <v>5183.4599999999991</v>
      </c>
      <c r="H11">
        <v>5019.6000000000004</v>
      </c>
    </row>
    <row r="12" spans="1:8" x14ac:dyDescent="0.4">
      <c r="A12">
        <v>1190017014</v>
      </c>
      <c r="B12" t="s">
        <v>84</v>
      </c>
      <c r="C12">
        <v>302.39999999999998</v>
      </c>
      <c r="D12">
        <v>302.39999999999998</v>
      </c>
      <c r="E12">
        <v>317.39999999999998</v>
      </c>
      <c r="F12">
        <v>403.2</v>
      </c>
      <c r="G12">
        <v>302.39999999999998</v>
      </c>
      <c r="H12">
        <v>100.8</v>
      </c>
    </row>
    <row r="13" spans="1:8" x14ac:dyDescent="0.4">
      <c r="A13">
        <v>1190021901</v>
      </c>
      <c r="B13" t="s">
        <v>85</v>
      </c>
      <c r="C13">
        <v>4159.9800000000014</v>
      </c>
      <c r="D13">
        <v>4873.079999999999</v>
      </c>
      <c r="E13">
        <v>4888.8000000000011</v>
      </c>
      <c r="F13">
        <v>6105.6599999999989</v>
      </c>
      <c r="G13">
        <v>4719.5400000000009</v>
      </c>
      <c r="H13">
        <v>4298.5200000000013</v>
      </c>
    </row>
    <row r="14" spans="1:8" x14ac:dyDescent="0.4">
      <c r="A14">
        <v>1190021902</v>
      </c>
      <c r="B14" t="s">
        <v>85</v>
      </c>
      <c r="C14">
        <v>1421.2800000000002</v>
      </c>
      <c r="D14">
        <v>151.19999999999999</v>
      </c>
      <c r="E14">
        <v>461.1</v>
      </c>
      <c r="F14">
        <v>259.5</v>
      </c>
      <c r="G14">
        <v>151.19999999999999</v>
      </c>
      <c r="H14">
        <v>639.95999999999992</v>
      </c>
    </row>
    <row r="15" spans="1:8" x14ac:dyDescent="0.4">
      <c r="A15">
        <v>1190022001</v>
      </c>
      <c r="B15" t="s">
        <v>86</v>
      </c>
      <c r="C15">
        <v>4966.7600000000011</v>
      </c>
      <c r="D15">
        <v>5569.0199999999995</v>
      </c>
      <c r="E15">
        <v>3174.0999999999995</v>
      </c>
      <c r="F15">
        <v>3941.56</v>
      </c>
      <c r="G15">
        <v>3601.6600000000008</v>
      </c>
      <c r="H15">
        <v>5840.5599999999986</v>
      </c>
    </row>
    <row r="16" spans="1:8" x14ac:dyDescent="0.4">
      <c r="A16">
        <v>1190022101</v>
      </c>
      <c r="B16" t="s">
        <v>87</v>
      </c>
      <c r="C16">
        <v>4833.1799999999967</v>
      </c>
      <c r="D16">
        <v>3659.6999999999985</v>
      </c>
      <c r="E16">
        <v>3928.56</v>
      </c>
      <c r="F16">
        <v>3633.6600000000021</v>
      </c>
      <c r="G16">
        <v>4533.3599999999997</v>
      </c>
      <c r="H16">
        <v>3332.2200000000016</v>
      </c>
    </row>
    <row r="17" spans="1:8" x14ac:dyDescent="0.4">
      <c r="A17">
        <v>1190022201</v>
      </c>
      <c r="B17" t="s">
        <v>88</v>
      </c>
      <c r="C17">
        <v>1649.5800000000006</v>
      </c>
      <c r="D17">
        <v>1236.7799999999997</v>
      </c>
      <c r="E17">
        <v>992.51999999999975</v>
      </c>
      <c r="F17">
        <v>1992.9600000000003</v>
      </c>
      <c r="G17">
        <v>1637.4000000000005</v>
      </c>
      <c r="H17">
        <v>1773.8600000000006</v>
      </c>
    </row>
    <row r="18" spans="1:8" x14ac:dyDescent="0.4">
      <c r="A18">
        <v>1190022301</v>
      </c>
      <c r="B18" t="s">
        <v>89</v>
      </c>
      <c r="C18">
        <v>1055.3400000000001</v>
      </c>
      <c r="D18">
        <v>2815.8</v>
      </c>
      <c r="E18">
        <v>1541.7600000000002</v>
      </c>
      <c r="F18">
        <v>1961.5800000000006</v>
      </c>
      <c r="G18">
        <v>2677.7400000000002</v>
      </c>
      <c r="H18">
        <v>1848.8400000000004</v>
      </c>
    </row>
    <row r="19" spans="1:8" x14ac:dyDescent="0.4">
      <c r="A19">
        <v>1190022302</v>
      </c>
      <c r="B19" t="s">
        <v>89</v>
      </c>
      <c r="C19">
        <v>1118.8800000000001</v>
      </c>
      <c r="D19">
        <v>2900.2200000000003</v>
      </c>
      <c r="E19">
        <v>3043.920000000001</v>
      </c>
      <c r="F19">
        <v>1078.08</v>
      </c>
      <c r="G19">
        <v>1189.44</v>
      </c>
      <c r="H19">
        <v>2325.9000000000019</v>
      </c>
    </row>
    <row r="20" spans="1:8" x14ac:dyDescent="0.4">
      <c r="A20">
        <v>1190022401</v>
      </c>
      <c r="B20" t="s">
        <v>90</v>
      </c>
      <c r="C20">
        <v>2386.1399999999994</v>
      </c>
      <c r="D20">
        <v>4933.32</v>
      </c>
      <c r="E20">
        <v>1947.5399999999997</v>
      </c>
      <c r="F20">
        <v>2993.28</v>
      </c>
      <c r="G20">
        <v>3842.1000000000004</v>
      </c>
      <c r="H20">
        <v>2690.64</v>
      </c>
    </row>
    <row r="21" spans="1:8" x14ac:dyDescent="0.4">
      <c r="A21">
        <v>1190022402</v>
      </c>
      <c r="B21" t="s">
        <v>90</v>
      </c>
      <c r="C21">
        <v>209.1</v>
      </c>
      <c r="D21">
        <v>408.11999999999995</v>
      </c>
      <c r="E21">
        <v>395.46</v>
      </c>
      <c r="F21">
        <v>282.24</v>
      </c>
      <c r="G21">
        <v>312.47999999999996</v>
      </c>
      <c r="H21">
        <v>100.8</v>
      </c>
    </row>
    <row r="22" spans="1:8" x14ac:dyDescent="0.4">
      <c r="A22">
        <v>1190022510</v>
      </c>
      <c r="B22" t="s">
        <v>91</v>
      </c>
      <c r="C22">
        <v>962.27999999999986</v>
      </c>
      <c r="D22">
        <v>2307.3599999999997</v>
      </c>
      <c r="E22">
        <v>1541.7599999999998</v>
      </c>
      <c r="F22">
        <v>1894.3199999999997</v>
      </c>
      <c r="G22">
        <v>1919.4000000000005</v>
      </c>
      <c r="H22">
        <v>1417.74</v>
      </c>
    </row>
    <row r="23" spans="1:8" x14ac:dyDescent="0.4">
      <c r="A23">
        <v>1190027101</v>
      </c>
      <c r="B23" t="s">
        <v>92</v>
      </c>
      <c r="C23">
        <v>1952.46</v>
      </c>
      <c r="D23">
        <v>1169.2800000000002</v>
      </c>
      <c r="E23">
        <v>778.5</v>
      </c>
      <c r="F23">
        <v>1577.4</v>
      </c>
      <c r="G23">
        <v>234.18</v>
      </c>
      <c r="H23">
        <v>903.9</v>
      </c>
    </row>
    <row r="24" spans="1:8" x14ac:dyDescent="0.4">
      <c r="A24">
        <v>1190032602</v>
      </c>
      <c r="B24" t="s">
        <v>93</v>
      </c>
      <c r="C24">
        <v>27554.340000000018</v>
      </c>
      <c r="D24">
        <v>27829.559999999994</v>
      </c>
      <c r="E24">
        <v>26126.340000000011</v>
      </c>
      <c r="F24">
        <v>24269.759999999984</v>
      </c>
      <c r="G24">
        <v>33572.040000000037</v>
      </c>
      <c r="H24">
        <v>31694.16</v>
      </c>
    </row>
    <row r="25" spans="1:8" x14ac:dyDescent="0.4">
      <c r="A25">
        <v>1190032701</v>
      </c>
      <c r="B25" t="s">
        <v>94</v>
      </c>
      <c r="C25">
        <v>5130.7199999999984</v>
      </c>
      <c r="D25">
        <v>3245.7599999999993</v>
      </c>
      <c r="E25">
        <v>5201.2800000000007</v>
      </c>
      <c r="F25">
        <v>5433.119999999999</v>
      </c>
      <c r="G25">
        <v>4455.3599999999988</v>
      </c>
      <c r="H25">
        <v>5019.8399999999983</v>
      </c>
    </row>
    <row r="26" spans="1:8" x14ac:dyDescent="0.4">
      <c r="A26">
        <v>1190032801</v>
      </c>
      <c r="B26" t="s">
        <v>95</v>
      </c>
      <c r="C26">
        <v>3469.0800000000013</v>
      </c>
      <c r="D26">
        <v>4433.9399999999996</v>
      </c>
      <c r="E26">
        <v>4046.4600000000005</v>
      </c>
      <c r="F26">
        <v>4325.16</v>
      </c>
      <c r="G26">
        <v>3069.1800000000007</v>
      </c>
      <c r="H26">
        <v>3514.0800000000004</v>
      </c>
    </row>
    <row r="27" spans="1:8" x14ac:dyDescent="0.4">
      <c r="A27">
        <v>1190032901</v>
      </c>
      <c r="B27" t="s">
        <v>96</v>
      </c>
      <c r="C27">
        <v>1215.9000000000001</v>
      </c>
      <c r="D27">
        <v>2899.9799999999991</v>
      </c>
      <c r="E27">
        <v>2392.920000000001</v>
      </c>
      <c r="F27">
        <v>2680.0800000000004</v>
      </c>
      <c r="G27">
        <v>3277.3799999999992</v>
      </c>
      <c r="H27">
        <v>2353.0800000000008</v>
      </c>
    </row>
    <row r="28" spans="1:8" x14ac:dyDescent="0.4">
      <c r="A28">
        <v>1190032902</v>
      </c>
      <c r="B28" t="s">
        <v>96</v>
      </c>
      <c r="C28">
        <v>4472.46</v>
      </c>
      <c r="D28">
        <v>6888.8399999999983</v>
      </c>
      <c r="E28">
        <v>7100.7599999999993</v>
      </c>
      <c r="F28">
        <v>6750.0599999999977</v>
      </c>
      <c r="G28">
        <v>7229.2199999999984</v>
      </c>
      <c r="H28">
        <v>4386.8999999999987</v>
      </c>
    </row>
    <row r="29" spans="1:8" x14ac:dyDescent="0.4">
      <c r="A29">
        <v>1190033001</v>
      </c>
      <c r="B29" t="s">
        <v>97</v>
      </c>
      <c r="C29">
        <v>2589.7600000000002</v>
      </c>
      <c r="D29">
        <v>1895.04</v>
      </c>
      <c r="E29">
        <v>2367.2000000000003</v>
      </c>
      <c r="F29">
        <v>2812.32</v>
      </c>
      <c r="G29">
        <v>2548.6400000000008</v>
      </c>
      <c r="H29">
        <v>1925.2800000000004</v>
      </c>
    </row>
    <row r="30" spans="1:8" x14ac:dyDescent="0.4">
      <c r="A30">
        <v>1190033002</v>
      </c>
      <c r="B30" t="s">
        <v>97</v>
      </c>
      <c r="C30">
        <v>3189.96</v>
      </c>
      <c r="D30">
        <v>2945.7000000000003</v>
      </c>
      <c r="E30">
        <v>2302.92</v>
      </c>
      <c r="F30">
        <v>3736.8600000000006</v>
      </c>
      <c r="G30">
        <v>4316.34</v>
      </c>
      <c r="H30">
        <v>2978.0400000000009</v>
      </c>
    </row>
    <row r="31" spans="1:8" x14ac:dyDescent="0.4">
      <c r="A31">
        <v>1190033101</v>
      </c>
      <c r="B31" t="s">
        <v>98</v>
      </c>
      <c r="C31">
        <v>692.45999999999992</v>
      </c>
      <c r="D31">
        <v>612.06000000000006</v>
      </c>
      <c r="E31">
        <v>480.78</v>
      </c>
      <c r="F31">
        <v>1100.3399999999999</v>
      </c>
      <c r="G31">
        <v>951.95999999999992</v>
      </c>
      <c r="H31">
        <v>720.36</v>
      </c>
    </row>
    <row r="32" spans="1:8" x14ac:dyDescent="0.4">
      <c r="A32">
        <v>1190033102</v>
      </c>
      <c r="B32" t="s">
        <v>98</v>
      </c>
      <c r="C32">
        <v>753.18</v>
      </c>
      <c r="D32">
        <v>826.56000000000006</v>
      </c>
      <c r="E32">
        <v>1015.2599999999999</v>
      </c>
      <c r="F32">
        <v>813.65999999999985</v>
      </c>
      <c r="G32">
        <v>995.34000000000015</v>
      </c>
      <c r="H32">
        <v>843.9</v>
      </c>
    </row>
    <row r="33" spans="1:8" x14ac:dyDescent="0.4">
      <c r="A33">
        <v>1190033201</v>
      </c>
      <c r="B33" t="s">
        <v>99</v>
      </c>
      <c r="C33">
        <v>2678.2200000000016</v>
      </c>
      <c r="D33">
        <v>2353.3200000000002</v>
      </c>
      <c r="E33">
        <v>2159.2200000000007</v>
      </c>
      <c r="F33">
        <v>2382.3600000000006</v>
      </c>
      <c r="G33">
        <v>2650.8</v>
      </c>
      <c r="H33">
        <v>2433.7200000000007</v>
      </c>
    </row>
    <row r="34" spans="1:8" x14ac:dyDescent="0.4">
      <c r="A34">
        <v>1190033202</v>
      </c>
      <c r="B34" t="s">
        <v>99</v>
      </c>
      <c r="C34">
        <v>2638.1400000000012</v>
      </c>
      <c r="D34">
        <v>2600.6400000000003</v>
      </c>
      <c r="E34">
        <v>2348.6400000000003</v>
      </c>
      <c r="F34">
        <v>2738.9400000000014</v>
      </c>
      <c r="G34">
        <v>2509.920000000001</v>
      </c>
      <c r="H34">
        <v>1831.74</v>
      </c>
    </row>
    <row r="35" spans="1:8" x14ac:dyDescent="0.4">
      <c r="A35">
        <v>1190033301</v>
      </c>
      <c r="B35" t="s">
        <v>100</v>
      </c>
      <c r="C35">
        <v>7639.9200000000019</v>
      </c>
      <c r="D35">
        <v>5810.2799999999988</v>
      </c>
      <c r="E35">
        <v>7818.5399999999954</v>
      </c>
      <c r="F35">
        <v>6727.8</v>
      </c>
      <c r="G35">
        <v>8032.559999999994</v>
      </c>
      <c r="H35">
        <v>7382.2799999999961</v>
      </c>
    </row>
    <row r="36" spans="1:8" x14ac:dyDescent="0.4">
      <c r="A36">
        <v>1190033302</v>
      </c>
      <c r="B36" t="s">
        <v>100</v>
      </c>
      <c r="C36">
        <v>1247.3399999999999</v>
      </c>
      <c r="D36">
        <v>1189.4399999999998</v>
      </c>
      <c r="E36">
        <v>755.99999999999989</v>
      </c>
      <c r="F36">
        <v>1522.0800000000002</v>
      </c>
      <c r="G36">
        <v>1552.3200000000002</v>
      </c>
      <c r="H36">
        <v>1005.4200000000001</v>
      </c>
    </row>
    <row r="37" spans="1:8" x14ac:dyDescent="0.4">
      <c r="A37">
        <v>1190037301</v>
      </c>
      <c r="B37" t="s">
        <v>101</v>
      </c>
      <c r="C37">
        <v>16321.379999999996</v>
      </c>
      <c r="D37">
        <v>14294.819999999998</v>
      </c>
      <c r="E37">
        <v>13745.819999999991</v>
      </c>
      <c r="F37">
        <v>3467.28</v>
      </c>
      <c r="G37">
        <v>2081.16</v>
      </c>
      <c r="H37">
        <v>3953.7</v>
      </c>
    </row>
    <row r="38" spans="1:8" x14ac:dyDescent="0.4">
      <c r="A38">
        <v>1190037302</v>
      </c>
      <c r="B38" t="s">
        <v>101</v>
      </c>
      <c r="F38">
        <v>11250.899999999998</v>
      </c>
      <c r="G38">
        <v>12181.079999999994</v>
      </c>
      <c r="H38">
        <v>11899.079999999996</v>
      </c>
    </row>
    <row r="39" spans="1:8" x14ac:dyDescent="0.4">
      <c r="A39">
        <v>1190037401</v>
      </c>
      <c r="B39" t="s">
        <v>102</v>
      </c>
      <c r="C39">
        <v>1098.72</v>
      </c>
      <c r="D39">
        <v>5443.199999999998</v>
      </c>
      <c r="E39">
        <v>1310.3999999999999</v>
      </c>
      <c r="F39">
        <v>1380.9599999999998</v>
      </c>
      <c r="G39">
        <v>4009.2599999999998</v>
      </c>
      <c r="H39">
        <v>4112.6399999999994</v>
      </c>
    </row>
    <row r="40" spans="1:8" x14ac:dyDescent="0.4">
      <c r="A40">
        <v>1190043401</v>
      </c>
      <c r="B40" t="s">
        <v>103</v>
      </c>
      <c r="C40">
        <v>7752.119999999999</v>
      </c>
      <c r="D40">
        <v>4687.8600000000006</v>
      </c>
      <c r="E40">
        <v>5597.1600000000008</v>
      </c>
      <c r="F40">
        <v>5745.06</v>
      </c>
      <c r="G40">
        <v>4211.5200000000004</v>
      </c>
      <c r="H40">
        <v>5825.9400000000005</v>
      </c>
    </row>
    <row r="41" spans="1:8" x14ac:dyDescent="0.4">
      <c r="A41">
        <v>1190043402</v>
      </c>
      <c r="B41" t="s">
        <v>103</v>
      </c>
      <c r="C41">
        <v>13297.559999999994</v>
      </c>
      <c r="D41">
        <v>17280.78</v>
      </c>
      <c r="E41">
        <v>14171.199999999997</v>
      </c>
      <c r="F41">
        <v>15502.979999999996</v>
      </c>
      <c r="G41">
        <v>18404.639999999992</v>
      </c>
      <c r="H41">
        <v>12283.019999999999</v>
      </c>
    </row>
    <row r="42" spans="1:8" x14ac:dyDescent="0.4">
      <c r="A42">
        <v>1190043501</v>
      </c>
      <c r="B42" t="s">
        <v>104</v>
      </c>
      <c r="C42">
        <v>16863.179999999989</v>
      </c>
      <c r="D42">
        <v>19660.979999999992</v>
      </c>
      <c r="E42">
        <v>14237.519999999993</v>
      </c>
      <c r="F42">
        <v>17745.12</v>
      </c>
      <c r="G42">
        <v>17510.219999999994</v>
      </c>
      <c r="H42">
        <v>14760.239999999985</v>
      </c>
    </row>
    <row r="43" spans="1:8" x14ac:dyDescent="0.4">
      <c r="A43">
        <v>1190043502</v>
      </c>
      <c r="B43" t="s">
        <v>104</v>
      </c>
      <c r="C43">
        <v>5570.2199999999966</v>
      </c>
      <c r="D43">
        <v>5489.8199999999988</v>
      </c>
      <c r="E43">
        <v>3575.1000000000022</v>
      </c>
      <c r="F43">
        <v>4018.3800000000028</v>
      </c>
      <c r="G43">
        <v>4429.5600000000004</v>
      </c>
      <c r="H43">
        <v>4502.4600000000009</v>
      </c>
    </row>
    <row r="44" spans="1:8" x14ac:dyDescent="0.4">
      <c r="A44">
        <v>1190043601</v>
      </c>
      <c r="B44" t="s">
        <v>105</v>
      </c>
      <c r="C44">
        <v>20609.460000000003</v>
      </c>
      <c r="D44">
        <v>24314.940000000002</v>
      </c>
      <c r="E44">
        <v>24506.520000000019</v>
      </c>
      <c r="F44">
        <v>26982.360000000015</v>
      </c>
      <c r="G44">
        <v>25987.980000000007</v>
      </c>
      <c r="H44">
        <v>21946.920000000002</v>
      </c>
    </row>
    <row r="45" spans="1:8" x14ac:dyDescent="0.4">
      <c r="A45">
        <v>1190043602</v>
      </c>
      <c r="B45" t="s">
        <v>105</v>
      </c>
      <c r="C45">
        <v>48073.520000000019</v>
      </c>
      <c r="D45">
        <v>51983.819999999992</v>
      </c>
      <c r="E45">
        <v>53789.16</v>
      </c>
      <c r="F45">
        <v>47565.239999999991</v>
      </c>
      <c r="G45">
        <v>44672.740000000005</v>
      </c>
      <c r="H45">
        <v>54307.619999999995</v>
      </c>
    </row>
    <row r="46" spans="1:8" x14ac:dyDescent="0.4">
      <c r="A46">
        <v>1190043701</v>
      </c>
      <c r="B46" t="s">
        <v>106</v>
      </c>
      <c r="C46">
        <v>5260.9799999999987</v>
      </c>
      <c r="D46">
        <v>7123.9199999999973</v>
      </c>
      <c r="E46">
        <v>5424.36</v>
      </c>
      <c r="F46">
        <v>4843.2599999999993</v>
      </c>
      <c r="G46">
        <v>7203.8399999999974</v>
      </c>
      <c r="H46">
        <v>4702.8599999999988</v>
      </c>
    </row>
    <row r="47" spans="1:8" x14ac:dyDescent="0.4">
      <c r="A47">
        <v>1190043702</v>
      </c>
      <c r="B47" t="s">
        <v>106</v>
      </c>
      <c r="C47">
        <v>3158.0400000000009</v>
      </c>
      <c r="D47">
        <v>4557.0600000000004</v>
      </c>
      <c r="E47">
        <v>3002.3999999999996</v>
      </c>
      <c r="F47">
        <v>4567.8599999999988</v>
      </c>
      <c r="G47">
        <v>4612.6199999999981</v>
      </c>
      <c r="H47">
        <v>2851.92</v>
      </c>
    </row>
    <row r="48" spans="1:8" x14ac:dyDescent="0.4">
      <c r="A48">
        <v>1190043801</v>
      </c>
      <c r="B48" t="s">
        <v>107</v>
      </c>
      <c r="C48">
        <v>16781.999999999993</v>
      </c>
      <c r="D48">
        <v>18727.85999999999</v>
      </c>
      <c r="E48">
        <v>25912.319999999992</v>
      </c>
      <c r="F48">
        <v>18244.559999999994</v>
      </c>
      <c r="G48">
        <v>22056.120000000006</v>
      </c>
      <c r="H48">
        <v>21881.580000000005</v>
      </c>
    </row>
    <row r="49" spans="1:8" x14ac:dyDescent="0.4">
      <c r="A49">
        <v>1190043802</v>
      </c>
      <c r="B49" t="s">
        <v>107</v>
      </c>
      <c r="C49">
        <v>7359.2599999999966</v>
      </c>
      <c r="D49">
        <v>11957.359999999993</v>
      </c>
      <c r="E49">
        <v>7973.8799999999983</v>
      </c>
      <c r="F49">
        <v>12599.099999999991</v>
      </c>
      <c r="G49">
        <v>7964.1399999999976</v>
      </c>
      <c r="H49">
        <v>10144.179999999989</v>
      </c>
    </row>
    <row r="50" spans="1:8" x14ac:dyDescent="0.4">
      <c r="A50">
        <v>1190043901</v>
      </c>
      <c r="B50" t="s">
        <v>108</v>
      </c>
      <c r="C50">
        <v>20904.88</v>
      </c>
      <c r="D50">
        <v>24018.099999999995</v>
      </c>
      <c r="E50">
        <v>16037.19999999999</v>
      </c>
      <c r="F50">
        <v>23907.160000000003</v>
      </c>
      <c r="G50">
        <v>28802.500000000004</v>
      </c>
      <c r="H50">
        <v>21744.440000000002</v>
      </c>
    </row>
    <row r="51" spans="1:8" x14ac:dyDescent="0.4">
      <c r="A51">
        <v>1190043902</v>
      </c>
      <c r="B51" t="s">
        <v>108</v>
      </c>
      <c r="C51">
        <v>21602.21999999999</v>
      </c>
      <c r="D51">
        <v>25573.980000000003</v>
      </c>
      <c r="E51">
        <v>20009.939999999995</v>
      </c>
      <c r="F51">
        <v>24315.960000000014</v>
      </c>
      <c r="G51">
        <v>24832.5</v>
      </c>
      <c r="H51">
        <v>24810.539999999986</v>
      </c>
    </row>
    <row r="52" spans="1:8" x14ac:dyDescent="0.4">
      <c r="A52">
        <v>1190044001</v>
      </c>
      <c r="B52" t="s">
        <v>109</v>
      </c>
      <c r="C52">
        <v>19681.920000000009</v>
      </c>
      <c r="D52">
        <v>24766.080000000002</v>
      </c>
      <c r="E52">
        <v>21331.800000000007</v>
      </c>
      <c r="F52">
        <v>23069.100000000006</v>
      </c>
      <c r="G52">
        <v>25231.439999999988</v>
      </c>
      <c r="H52">
        <v>21521.4</v>
      </c>
    </row>
    <row r="53" spans="1:8" x14ac:dyDescent="0.4">
      <c r="A53">
        <v>1190044002</v>
      </c>
      <c r="B53" t="s">
        <v>109</v>
      </c>
      <c r="C53">
        <v>8764.0799999999945</v>
      </c>
      <c r="D53">
        <v>11128.859999999995</v>
      </c>
      <c r="E53">
        <v>8158.1399999999958</v>
      </c>
      <c r="F53">
        <v>8395.14</v>
      </c>
      <c r="G53">
        <v>10125.839999999993</v>
      </c>
      <c r="H53">
        <v>4734.2400000000007</v>
      </c>
    </row>
    <row r="54" spans="1:8" x14ac:dyDescent="0.4">
      <c r="A54">
        <v>1190044012</v>
      </c>
      <c r="B54" t="s">
        <v>109</v>
      </c>
      <c r="D54">
        <v>2.0099999999999998</v>
      </c>
    </row>
    <row r="55" spans="1:8" x14ac:dyDescent="0.4">
      <c r="A55">
        <v>1190044013</v>
      </c>
      <c r="B55" t="s">
        <v>109</v>
      </c>
      <c r="H55">
        <v>6766.3799999999983</v>
      </c>
    </row>
    <row r="56" spans="1:8" x14ac:dyDescent="0.4">
      <c r="A56">
        <v>1190044101</v>
      </c>
      <c r="B56" t="s">
        <v>110</v>
      </c>
      <c r="C56">
        <v>19702.499999999993</v>
      </c>
      <c r="D56">
        <v>21208.919999999995</v>
      </c>
      <c r="E56">
        <v>15986.639999999996</v>
      </c>
      <c r="F56">
        <v>20076.30000000001</v>
      </c>
      <c r="G56">
        <v>21206.040000000012</v>
      </c>
      <c r="H56">
        <v>20499.48</v>
      </c>
    </row>
    <row r="57" spans="1:8" x14ac:dyDescent="0.4">
      <c r="A57">
        <v>1190054201</v>
      </c>
      <c r="B57" t="s">
        <v>111</v>
      </c>
      <c r="C57">
        <v>1517.2799999999997</v>
      </c>
      <c r="D57">
        <v>2989.0800000000004</v>
      </c>
      <c r="E57">
        <v>1635.84</v>
      </c>
      <c r="F57">
        <v>1740.9600000000003</v>
      </c>
      <c r="G57">
        <v>2162.34</v>
      </c>
      <c r="H57">
        <v>1204.3799999999997</v>
      </c>
    </row>
    <row r="58" spans="1:8" x14ac:dyDescent="0.4">
      <c r="A58">
        <v>1190054202</v>
      </c>
      <c r="B58" t="s">
        <v>111</v>
      </c>
      <c r="C58">
        <v>566.58000000000004</v>
      </c>
      <c r="D58">
        <v>700.19999999999993</v>
      </c>
      <c r="E58">
        <v>473.52</v>
      </c>
      <c r="F58">
        <v>1007.5199999999998</v>
      </c>
      <c r="G58">
        <v>652.37999999999988</v>
      </c>
      <c r="H58">
        <v>531.41999999999996</v>
      </c>
    </row>
    <row r="59" spans="1:8" x14ac:dyDescent="0.4">
      <c r="A59">
        <v>1190054301</v>
      </c>
      <c r="B59" t="s">
        <v>112</v>
      </c>
      <c r="C59">
        <v>375.29999999999995</v>
      </c>
      <c r="D59">
        <v>294.66000000000003</v>
      </c>
      <c r="E59">
        <v>110.63999999999999</v>
      </c>
      <c r="F59">
        <v>473.51999999999992</v>
      </c>
      <c r="G59">
        <v>319.74</v>
      </c>
      <c r="H59">
        <v>596.81999999999994</v>
      </c>
    </row>
    <row r="60" spans="1:8" x14ac:dyDescent="0.4">
      <c r="A60">
        <v>1190054401</v>
      </c>
      <c r="B60" t="s">
        <v>113</v>
      </c>
      <c r="C60">
        <v>969.77999999999975</v>
      </c>
      <c r="D60">
        <v>1563.7799999999997</v>
      </c>
      <c r="E60">
        <v>795.3599999999999</v>
      </c>
      <c r="F60">
        <v>1093.3200000000002</v>
      </c>
      <c r="G60">
        <v>1140.42</v>
      </c>
      <c r="H60">
        <v>1162.92</v>
      </c>
    </row>
    <row r="61" spans="1:8" x14ac:dyDescent="0.4">
      <c r="A61">
        <v>1190054501</v>
      </c>
      <c r="B61" t="s">
        <v>114</v>
      </c>
      <c r="C61">
        <v>193.86</v>
      </c>
      <c r="D61">
        <v>415.38</v>
      </c>
      <c r="E61">
        <v>307.32</v>
      </c>
      <c r="F61">
        <v>196.20000000000002</v>
      </c>
      <c r="G61">
        <v>534.24</v>
      </c>
      <c r="H61">
        <v>100.8</v>
      </c>
    </row>
    <row r="62" spans="1:8" x14ac:dyDescent="0.4">
      <c r="A62">
        <v>1190054601</v>
      </c>
      <c r="B62" t="s">
        <v>115</v>
      </c>
      <c r="C62">
        <v>7277.4</v>
      </c>
      <c r="D62">
        <v>6016.2000000000007</v>
      </c>
      <c r="E62">
        <v>4300.5600000000004</v>
      </c>
      <c r="F62">
        <v>7682.46</v>
      </c>
      <c r="G62">
        <v>6576.239999999998</v>
      </c>
      <c r="H62">
        <v>4494.12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094B-5358-49C8-980A-846B771C3E1A}">
  <sheetPr>
    <tabColor rgb="FF00B0F0"/>
  </sheetPr>
  <dimension ref="A1:BQ58"/>
  <sheetViews>
    <sheetView zoomScale="50" zoomScaleNormal="50" workbookViewId="0">
      <pane xSplit="4" ySplit="1" topLeftCell="AV2" activePane="bottomRight" state="frozen"/>
      <selection activeCell="BE11" sqref="BE11:BP11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3.59765625" customWidth="1"/>
    <col min="2" max="2" width="6.3984375" customWidth="1"/>
    <col min="3" max="3" width="16.3984375" customWidth="1"/>
    <col min="4" max="4" width="17.09765625" customWidth="1"/>
    <col min="31" max="31" width="9.59765625" bestFit="1" customWidth="1"/>
    <col min="33" max="35" width="10.5" customWidth="1"/>
    <col min="44" max="44" width="11.09765625" customWidth="1"/>
    <col min="46" max="46" width="10.59765625" customWidth="1"/>
    <col min="47" max="47" width="10" customWidth="1"/>
    <col min="48" max="48" width="10.5" customWidth="1"/>
  </cols>
  <sheetData>
    <row r="1" spans="1:69" x14ac:dyDescent="0.4">
      <c r="A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R1" t="s">
        <v>2</v>
      </c>
      <c r="AS1" t="s">
        <v>3</v>
      </c>
      <c r="AT1" t="s">
        <v>4</v>
      </c>
      <c r="AU1" t="s">
        <v>5</v>
      </c>
      <c r="AV1" t="s">
        <v>6</v>
      </c>
      <c r="AW1" t="s">
        <v>7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E1" t="s">
        <v>2</v>
      </c>
      <c r="BF1" t="s">
        <v>3</v>
      </c>
      <c r="BG1" t="s">
        <v>4</v>
      </c>
      <c r="BH1" t="s">
        <v>5</v>
      </c>
      <c r="BI1" t="s">
        <v>6</v>
      </c>
      <c r="BJ1" t="s">
        <v>7</v>
      </c>
      <c r="BK1" t="s">
        <v>116</v>
      </c>
      <c r="BL1" t="s">
        <v>117</v>
      </c>
      <c r="BM1" t="s">
        <v>118</v>
      </c>
      <c r="BN1" t="s">
        <v>119</v>
      </c>
      <c r="BO1" t="s">
        <v>120</v>
      </c>
      <c r="BP1" t="s">
        <v>121</v>
      </c>
    </row>
    <row r="2" spans="1:69" x14ac:dyDescent="0.4">
      <c r="A2">
        <v>1190011201</v>
      </c>
      <c r="B2">
        <f>VLOOKUP(A2,'Aji Plus'!$A$2:$D$58,2,0)</f>
        <v>76001</v>
      </c>
      <c r="C2" t="str">
        <f>VLOOKUP(A2,'Aji Plus'!$A$2:$D$58,3,0)</f>
        <v>นายวิโรจน์ แซ่ฉั่ว</v>
      </c>
      <c r="D2" t="str">
        <f>VLOOKUP(A2,'Aji Plus'!$A$2:$D$58,4,0)</f>
        <v>Thonburi</v>
      </c>
      <c r="E2" s="1">
        <v>12.09246889325475</v>
      </c>
      <c r="F2" s="1">
        <v>7.1490067670814241</v>
      </c>
      <c r="G2" s="1">
        <v>24.337044313468684</v>
      </c>
      <c r="H2" s="1">
        <v>3.0421305391835851</v>
      </c>
      <c r="I2" s="1">
        <v>54.149923597467811</v>
      </c>
      <c r="J2" s="1">
        <v>13.461427635887365</v>
      </c>
      <c r="K2" s="1">
        <v>55.366775813141238</v>
      </c>
      <c r="L2" s="1">
        <v>27.987600960488983</v>
      </c>
      <c r="M2" s="1">
        <v>27.074961798733906</v>
      </c>
      <c r="N2" s="1">
        <v>26.010216110019648</v>
      </c>
      <c r="O2" s="1">
        <v>12.853001528050646</v>
      </c>
      <c r="P2" s="1">
        <v>84.875442043222009</v>
      </c>
      <c r="R2" s="1">
        <f>VLOOKUP(A2,Actual_RDQ!$A$2:$H$62,3,0)</f>
        <v>121.53599999999999</v>
      </c>
      <c r="S2" s="1">
        <f>VLOOKUP(A2,Actual_RDQ!$A$2:$H$62,4,0)</f>
        <v>62.207999999999998</v>
      </c>
      <c r="T2" s="1">
        <f>VLOOKUP(A2,Actual_RDQ!$A$2:$H$62,5,0)</f>
        <v>58.751999999999995</v>
      </c>
      <c r="U2" s="1">
        <f>VLOOKUP(A2,Actual_RDQ!$A$2:$H$62,6,0)</f>
        <v>41.471999999999994</v>
      </c>
      <c r="V2" s="1">
        <f>VLOOKUP(A2,Actual_RDQ!$A$2:$H$62,7,0)</f>
        <v>57.599999999999994</v>
      </c>
      <c r="W2" s="1">
        <f>VLOOKUP(A2,Actual_RDQ!$A$2:$H$62,8,0)</f>
        <v>80.64</v>
      </c>
      <c r="X2" s="102"/>
      <c r="Y2" s="102"/>
      <c r="Z2" s="102"/>
      <c r="AA2" s="102"/>
      <c r="AB2" s="102"/>
      <c r="AC2" s="102"/>
      <c r="AE2" s="100">
        <f>R2/E2</f>
        <v>10.050553040313668</v>
      </c>
      <c r="AF2" s="88">
        <f t="shared" ref="AF2:AP17" si="0">S2/F2</f>
        <v>8.7016283557661769</v>
      </c>
      <c r="AG2" s="88">
        <f t="shared" si="0"/>
        <v>2.4140975889781848</v>
      </c>
      <c r="AH2" s="88">
        <f t="shared" si="0"/>
        <v>13.632551090700339</v>
      </c>
      <c r="AI2" s="88">
        <f t="shared" si="0"/>
        <v>1.0637134121957195</v>
      </c>
      <c r="AJ2" s="88">
        <f t="shared" si="0"/>
        <v>5.9904493179474194</v>
      </c>
      <c r="AK2" s="90">
        <f t="shared" si="0"/>
        <v>0</v>
      </c>
      <c r="AL2" s="90">
        <f t="shared" si="0"/>
        <v>0</v>
      </c>
      <c r="AM2" s="90">
        <f t="shared" si="0"/>
        <v>0</v>
      </c>
      <c r="AN2" s="90">
        <f t="shared" si="0"/>
        <v>0</v>
      </c>
      <c r="AO2" s="90">
        <f t="shared" si="0"/>
        <v>0</v>
      </c>
      <c r="AP2" s="90">
        <f t="shared" si="0"/>
        <v>0</v>
      </c>
      <c r="AQ2" s="88"/>
      <c r="AR2" s="90">
        <f>ROUND(AE2,4)</f>
        <v>10.050599999999999</v>
      </c>
      <c r="AS2" s="90">
        <f t="shared" ref="AS2:BC17" si="1">ROUND(AF2,4)</f>
        <v>8.7015999999999991</v>
      </c>
      <c r="AT2" s="90">
        <f t="shared" si="1"/>
        <v>2.4140999999999999</v>
      </c>
      <c r="AU2" s="90">
        <f t="shared" si="1"/>
        <v>13.6326</v>
      </c>
      <c r="AV2" s="90">
        <f t="shared" si="1"/>
        <v>1.0637000000000001</v>
      </c>
      <c r="AW2" s="90">
        <f t="shared" si="1"/>
        <v>5.9904000000000002</v>
      </c>
      <c r="AX2" s="90">
        <f t="shared" si="1"/>
        <v>0</v>
      </c>
      <c r="AY2" s="90">
        <f t="shared" si="1"/>
        <v>0</v>
      </c>
      <c r="AZ2" s="90">
        <f t="shared" si="1"/>
        <v>0</v>
      </c>
      <c r="BA2" s="90">
        <f t="shared" si="1"/>
        <v>0</v>
      </c>
      <c r="BB2" s="90">
        <f t="shared" si="1"/>
        <v>0</v>
      </c>
      <c r="BC2" s="90">
        <f t="shared" si="1"/>
        <v>0</v>
      </c>
      <c r="BD2" s="88"/>
      <c r="BE2" s="1">
        <f>IFERROR(VLOOKUP(AR2,'Top WS'!$A$19:$C$28,3),0)</f>
        <v>520</v>
      </c>
      <c r="BF2" s="1">
        <f>IFERROR(VLOOKUP(AS2,'Top WS'!$A$19:$C$28,3),0)</f>
        <v>520</v>
      </c>
      <c r="BG2" s="1">
        <f>IFERROR(VLOOKUP(AT2,'Top WS'!$A$19:$C$28,3),0)</f>
        <v>520</v>
      </c>
      <c r="BH2" s="1">
        <f>IFERROR(VLOOKUP(AU2,'Top WS'!$A$19:$C$28,3),0)</f>
        <v>520</v>
      </c>
      <c r="BI2" s="1">
        <f>IFERROR(VLOOKUP(AV2,'Top WS'!$A$19:$C$28,3),0)</f>
        <v>440</v>
      </c>
      <c r="BJ2" s="1">
        <f>IFERROR(VLOOKUP(AW2,'Top WS'!$A$19:$C$28,3),0)</f>
        <v>520</v>
      </c>
      <c r="BK2" s="89">
        <f>IFERROR(VLOOKUP(AX2,'Top WS'!$A$19:$C$28,3),0)</f>
        <v>360</v>
      </c>
      <c r="BL2" s="89">
        <f>IFERROR(VLOOKUP(AY2,'Top WS'!$A$19:$C$28,3),0)</f>
        <v>360</v>
      </c>
      <c r="BM2" s="89">
        <f>IFERROR(VLOOKUP(AZ2,'Top WS'!$A$19:$C$28,3),0)</f>
        <v>360</v>
      </c>
      <c r="BN2" s="89">
        <f>IFERROR(VLOOKUP(BA2,'Top WS'!$A$19:$C$28,3),0)</f>
        <v>360</v>
      </c>
      <c r="BO2" s="89">
        <f>IFERROR(VLOOKUP(BB2,'Top WS'!$A$19:$C$28,3),0)</f>
        <v>360</v>
      </c>
      <c r="BP2" s="89">
        <f>IFERROR(VLOOKUP(BC2,'Top WS'!$A$19:$C$28,3),0)</f>
        <v>360</v>
      </c>
      <c r="BQ2" s="1">
        <f t="shared" ref="BQ2:BQ5" si="2">SUM(BE2:BP2)</f>
        <v>5200</v>
      </c>
    </row>
    <row r="3" spans="1:69" x14ac:dyDescent="0.4">
      <c r="A3">
        <v>1190011214</v>
      </c>
      <c r="B3">
        <f>VLOOKUP(A3,'Aji Plus'!$A$2:$D$58,2,0)</f>
        <v>71328</v>
      </c>
      <c r="C3" t="str">
        <f>VLOOKUP(A3,'Aji Plus'!$A$2:$D$58,3,0)</f>
        <v>นายประเสริฐ สุขีธรรม</v>
      </c>
      <c r="D3" t="str">
        <f>VLOOKUP(A3,'Aji Plus'!$A$2:$D$58,4,0)</f>
        <v>Thonburi</v>
      </c>
      <c r="E3" s="1">
        <v>34.417026850032748</v>
      </c>
      <c r="F3" s="1">
        <v>20.347173106308666</v>
      </c>
      <c r="G3" s="1">
        <v>69.266972276795485</v>
      </c>
      <c r="H3" s="1">
        <v>8.6583715345994339</v>
      </c>
      <c r="I3" s="1">
        <v>154.11901331586992</v>
      </c>
      <c r="J3" s="1">
        <v>38.3132940406025</v>
      </c>
      <c r="K3" s="1">
        <v>157.58236192970969</v>
      </c>
      <c r="L3" s="1">
        <v>79.657018118314795</v>
      </c>
      <c r="M3" s="1">
        <v>77.059506657934961</v>
      </c>
      <c r="N3" s="1">
        <v>74.029076620825151</v>
      </c>
      <c r="O3" s="1">
        <v>36.581619733682601</v>
      </c>
      <c r="P3" s="1">
        <v>241.56856581532418</v>
      </c>
      <c r="R3" s="1">
        <f>VLOOKUP(A3,Actual_RDQ!$A$2:$H$62,3,0)</f>
        <v>0</v>
      </c>
      <c r="S3" s="1">
        <f>VLOOKUP(A3,Actual_RDQ!$A$2:$H$62,4,0)</f>
        <v>12.096</v>
      </c>
      <c r="T3" s="1">
        <f>VLOOKUP(A3,Actual_RDQ!$A$2:$H$62,5,0)</f>
        <v>75.744</v>
      </c>
      <c r="U3" s="1">
        <f>VLOOKUP(A3,Actual_RDQ!$A$2:$H$62,6,0)</f>
        <v>0</v>
      </c>
      <c r="V3" s="1">
        <f>VLOOKUP(A3,Actual_RDQ!$A$2:$H$62,7,0)</f>
        <v>49.536000000000001</v>
      </c>
      <c r="W3" s="1">
        <f>VLOOKUP(A3,Actual_RDQ!$A$2:$H$62,8,0)</f>
        <v>175.39200000000002</v>
      </c>
      <c r="X3" s="109"/>
      <c r="Y3" s="109"/>
      <c r="Z3" s="109"/>
      <c r="AA3" s="109"/>
      <c r="AB3" s="109"/>
      <c r="AC3" s="109"/>
      <c r="AE3" s="88">
        <f t="shared" ref="AE3:AP37" si="3">R3/E3</f>
        <v>0</v>
      </c>
      <c r="AF3" s="88">
        <f t="shared" si="0"/>
        <v>0.59448061589693857</v>
      </c>
      <c r="AG3" s="88">
        <f t="shared" si="0"/>
        <v>1.0935081686163772</v>
      </c>
      <c r="AH3" s="88">
        <f t="shared" si="0"/>
        <v>0</v>
      </c>
      <c r="AI3" s="88">
        <f t="shared" si="0"/>
        <v>0.32141394454994987</v>
      </c>
      <c r="AJ3" s="88">
        <f t="shared" si="0"/>
        <v>4.5778366071611698</v>
      </c>
      <c r="AK3" s="90">
        <f t="shared" si="0"/>
        <v>0</v>
      </c>
      <c r="AL3" s="90">
        <f t="shared" si="0"/>
        <v>0</v>
      </c>
      <c r="AM3" s="90">
        <f t="shared" si="0"/>
        <v>0</v>
      </c>
      <c r="AN3" s="90">
        <f t="shared" si="0"/>
        <v>0</v>
      </c>
      <c r="AO3" s="90">
        <f t="shared" si="0"/>
        <v>0</v>
      </c>
      <c r="AP3" s="90">
        <f t="shared" si="0"/>
        <v>0</v>
      </c>
      <c r="AQ3" s="88"/>
      <c r="AR3" s="90">
        <f t="shared" ref="AR3:BC37" si="4">ROUND(AE3,4)</f>
        <v>0</v>
      </c>
      <c r="AS3" s="90">
        <f t="shared" si="1"/>
        <v>0.59450000000000003</v>
      </c>
      <c r="AT3" s="90">
        <f t="shared" si="1"/>
        <v>1.0934999999999999</v>
      </c>
      <c r="AU3" s="90">
        <f t="shared" si="1"/>
        <v>0</v>
      </c>
      <c r="AV3" s="90">
        <f t="shared" si="1"/>
        <v>0.32140000000000002</v>
      </c>
      <c r="AW3" s="90">
        <f t="shared" si="1"/>
        <v>4.5777999999999999</v>
      </c>
      <c r="AX3" s="90">
        <f t="shared" si="1"/>
        <v>0</v>
      </c>
      <c r="AY3" s="90">
        <f t="shared" si="1"/>
        <v>0</v>
      </c>
      <c r="AZ3" s="90">
        <f t="shared" si="1"/>
        <v>0</v>
      </c>
      <c r="BA3" s="90">
        <f t="shared" si="1"/>
        <v>0</v>
      </c>
      <c r="BB3" s="90">
        <f t="shared" si="1"/>
        <v>0</v>
      </c>
      <c r="BC3" s="90">
        <f t="shared" si="1"/>
        <v>0</v>
      </c>
      <c r="BD3" s="88"/>
      <c r="BE3" s="1">
        <f>IFERROR(VLOOKUP(AR3,'Top WS'!$A$19:$C$28,3),0)</f>
        <v>360</v>
      </c>
      <c r="BF3" s="1">
        <f>IFERROR(VLOOKUP(AS3,'Top WS'!$A$19:$C$28,3),0)</f>
        <v>360</v>
      </c>
      <c r="BG3" s="1">
        <f>IFERROR(VLOOKUP(AT3,'Top WS'!$A$19:$C$28,3),0)</f>
        <v>440</v>
      </c>
      <c r="BH3" s="1">
        <f>IFERROR(VLOOKUP(AU3,'Top WS'!$A$19:$C$28,3),0)</f>
        <v>360</v>
      </c>
      <c r="BI3" s="1">
        <f>IFERROR(VLOOKUP(AV3,'Top WS'!$A$19:$C$28,3),0)</f>
        <v>360</v>
      </c>
      <c r="BJ3" s="1">
        <f>IFERROR(VLOOKUP(AW3,'Top WS'!$A$19:$C$28,3),0)</f>
        <v>520</v>
      </c>
      <c r="BK3" s="89">
        <f>IFERROR(VLOOKUP(AX3,'Top WS'!$A$19:$C$28,3),0)</f>
        <v>360</v>
      </c>
      <c r="BL3" s="89">
        <f>IFERROR(VLOOKUP(AY3,'Top WS'!$A$19:$C$28,3),0)</f>
        <v>360</v>
      </c>
      <c r="BM3" s="89">
        <f>IFERROR(VLOOKUP(AZ3,'Top WS'!$A$19:$C$28,3),0)</f>
        <v>360</v>
      </c>
      <c r="BN3" s="89">
        <f>IFERROR(VLOOKUP(BA3,'Top WS'!$A$19:$C$28,3),0)</f>
        <v>360</v>
      </c>
      <c r="BO3" s="89">
        <f>IFERROR(VLOOKUP(BB3,'Top WS'!$A$19:$C$28,3),0)</f>
        <v>360</v>
      </c>
      <c r="BP3" s="89">
        <f>IFERROR(VLOOKUP(BC3,'Top WS'!$A$19:$C$28,3),0)</f>
        <v>360</v>
      </c>
      <c r="BQ3" s="1">
        <f t="shared" si="2"/>
        <v>4560</v>
      </c>
    </row>
    <row r="4" spans="1:69" x14ac:dyDescent="0.4">
      <c r="A4">
        <v>1190011401</v>
      </c>
      <c r="B4">
        <f>VLOOKUP(A4,'Aji Plus'!$A$2:$D$58,2,0)</f>
        <v>63723</v>
      </c>
      <c r="C4" t="str">
        <f>VLOOKUP(A4,'Aji Plus'!$A$2:$D$58,3,0)</f>
        <v>นายธนาพัทธ์ จงเทพสกุลชัย</v>
      </c>
      <c r="D4" t="str">
        <f>VLOOKUP(A4,'Aji Plus'!$A$2:$D$58,4,0)</f>
        <v>Nonthaburi</v>
      </c>
      <c r="E4" s="1">
        <v>28.8</v>
      </c>
      <c r="F4" s="1">
        <v>74.303999999999988</v>
      </c>
      <c r="G4" s="1">
        <v>43.775999999999996</v>
      </c>
      <c r="H4" s="1">
        <v>28.224</v>
      </c>
      <c r="I4" s="1">
        <v>33.983999999999995</v>
      </c>
      <c r="J4" s="1">
        <v>11.52</v>
      </c>
      <c r="K4" s="1">
        <v>17.28</v>
      </c>
      <c r="L4" s="1">
        <v>74.88</v>
      </c>
      <c r="M4" s="1">
        <v>66.816000000000003</v>
      </c>
      <c r="N4" s="1">
        <v>34.56</v>
      </c>
      <c r="O4" s="1">
        <v>17.28</v>
      </c>
      <c r="P4" s="1">
        <v>85.248000000000005</v>
      </c>
      <c r="R4" s="1">
        <f>VLOOKUP(A4,Actual_RDQ!$A$2:$H$62,3,0)</f>
        <v>34.56</v>
      </c>
      <c r="S4" s="1">
        <f>VLOOKUP(A4,Actual_RDQ!$A$2:$H$62,4,0)</f>
        <v>72.576000000000008</v>
      </c>
      <c r="T4" s="1">
        <f>VLOOKUP(A4,Actual_RDQ!$A$2:$H$62,5,0)</f>
        <v>46.08</v>
      </c>
      <c r="U4" s="1">
        <f>VLOOKUP(A4,Actual_RDQ!$A$2:$H$62,6,0)</f>
        <v>54.719999999999992</v>
      </c>
      <c r="V4" s="1">
        <f>VLOOKUP(A4,Actual_RDQ!$A$2:$H$62,7,0)</f>
        <v>40.319999999999993</v>
      </c>
      <c r="W4" s="1">
        <f>VLOOKUP(A4,Actual_RDQ!$A$2:$H$62,8,0)</f>
        <v>77.760000000000005</v>
      </c>
      <c r="X4" s="109"/>
      <c r="Y4" s="109"/>
      <c r="Z4" s="109"/>
      <c r="AA4" s="109"/>
      <c r="AB4" s="109"/>
      <c r="AC4" s="109"/>
      <c r="AE4" s="88">
        <f t="shared" si="3"/>
        <v>1.2</v>
      </c>
      <c r="AF4" s="88">
        <f t="shared" si="0"/>
        <v>0.97674418604651192</v>
      </c>
      <c r="AG4" s="88">
        <f t="shared" si="0"/>
        <v>1.0526315789473684</v>
      </c>
      <c r="AH4" s="88">
        <f t="shared" si="0"/>
        <v>1.9387755102040813</v>
      </c>
      <c r="AI4" s="88">
        <f t="shared" si="0"/>
        <v>1.1864406779661016</v>
      </c>
      <c r="AJ4" s="88">
        <f t="shared" si="0"/>
        <v>6.7500000000000009</v>
      </c>
      <c r="AK4" s="90">
        <f t="shared" si="0"/>
        <v>0</v>
      </c>
      <c r="AL4" s="90">
        <f t="shared" si="0"/>
        <v>0</v>
      </c>
      <c r="AM4" s="90">
        <f t="shared" si="0"/>
        <v>0</v>
      </c>
      <c r="AN4" s="90">
        <f t="shared" si="0"/>
        <v>0</v>
      </c>
      <c r="AO4" s="90">
        <f t="shared" si="0"/>
        <v>0</v>
      </c>
      <c r="AP4" s="90">
        <f t="shared" si="0"/>
        <v>0</v>
      </c>
      <c r="AQ4" s="88"/>
      <c r="AR4" s="90">
        <f t="shared" si="4"/>
        <v>1.2</v>
      </c>
      <c r="AS4" s="90">
        <f t="shared" si="1"/>
        <v>0.97670000000000001</v>
      </c>
      <c r="AT4" s="90">
        <f t="shared" si="1"/>
        <v>1.0526</v>
      </c>
      <c r="AU4" s="90">
        <f t="shared" si="1"/>
        <v>1.9388000000000001</v>
      </c>
      <c r="AV4" s="90">
        <f t="shared" si="1"/>
        <v>1.1863999999999999</v>
      </c>
      <c r="AW4" s="90">
        <f t="shared" si="1"/>
        <v>6.75</v>
      </c>
      <c r="AX4" s="90">
        <f t="shared" si="1"/>
        <v>0</v>
      </c>
      <c r="AY4" s="90">
        <f t="shared" si="1"/>
        <v>0</v>
      </c>
      <c r="AZ4" s="90">
        <f t="shared" si="1"/>
        <v>0</v>
      </c>
      <c r="BA4" s="90">
        <f t="shared" si="1"/>
        <v>0</v>
      </c>
      <c r="BB4" s="90">
        <f t="shared" si="1"/>
        <v>0</v>
      </c>
      <c r="BC4" s="90">
        <f t="shared" si="1"/>
        <v>0</v>
      </c>
      <c r="BD4" s="88"/>
      <c r="BE4" s="1">
        <f>IFERROR(VLOOKUP(AR4,'Top WS'!$A$19:$C$28,3),0)</f>
        <v>480</v>
      </c>
      <c r="BF4" s="1">
        <f>IFERROR(VLOOKUP(AS4,'Top WS'!$A$19:$C$28,3),0)</f>
        <v>400</v>
      </c>
      <c r="BG4" s="1">
        <f>IFERROR(VLOOKUP(AT4,'Top WS'!$A$19:$C$28,3),0)</f>
        <v>432</v>
      </c>
      <c r="BH4" s="1">
        <f>IFERROR(VLOOKUP(AU4,'Top WS'!$A$19:$C$28,3),0)</f>
        <v>520</v>
      </c>
      <c r="BI4" s="1">
        <f>IFERROR(VLOOKUP(AV4,'Top WS'!$A$19:$C$28,3),0)</f>
        <v>480</v>
      </c>
      <c r="BJ4" s="1">
        <f>IFERROR(VLOOKUP(AW4,'Top WS'!$A$19:$C$28,3),0)</f>
        <v>520</v>
      </c>
      <c r="BK4" s="89">
        <f>IFERROR(VLOOKUP(AX4,'Top WS'!$A$19:$C$28,3),0)</f>
        <v>360</v>
      </c>
      <c r="BL4" s="89">
        <f>IFERROR(VLOOKUP(AY4,'Top WS'!$A$19:$C$28,3),0)</f>
        <v>360</v>
      </c>
      <c r="BM4" s="89">
        <f>IFERROR(VLOOKUP(AZ4,'Top WS'!$A$19:$C$28,3),0)</f>
        <v>360</v>
      </c>
      <c r="BN4" s="89">
        <f>IFERROR(VLOOKUP(BA4,'Top WS'!$A$19:$C$28,3),0)</f>
        <v>360</v>
      </c>
      <c r="BO4" s="89">
        <f>IFERROR(VLOOKUP(BB4,'Top WS'!$A$19:$C$28,3),0)</f>
        <v>360</v>
      </c>
      <c r="BP4" s="89">
        <f>IFERROR(VLOOKUP(BC4,'Top WS'!$A$19:$C$28,3),0)</f>
        <v>360</v>
      </c>
      <c r="BQ4" s="1">
        <f t="shared" si="2"/>
        <v>4992</v>
      </c>
    </row>
    <row r="5" spans="1:69" x14ac:dyDescent="0.4">
      <c r="A5">
        <v>1190011412</v>
      </c>
      <c r="B5">
        <f>VLOOKUP(A5,'Aji Plus'!$A$2:$D$58,2,0)</f>
        <v>71043</v>
      </c>
      <c r="C5" t="str">
        <f>VLOOKUP(A5,'Aji Plus'!$A$2:$D$58,3,0)</f>
        <v>นายเสริมโชค อยู่อุดมสุข</v>
      </c>
      <c r="D5" t="str">
        <f>VLOOKUP(A5,'Aji Plus'!$A$2:$D$58,4,0)</f>
        <v>Nonthaburi</v>
      </c>
      <c r="E5" s="1">
        <v>20.16</v>
      </c>
      <c r="F5" s="1">
        <v>23.04</v>
      </c>
      <c r="G5" s="1">
        <v>15</v>
      </c>
      <c r="H5" s="1">
        <v>15</v>
      </c>
      <c r="I5" s="1">
        <v>15</v>
      </c>
      <c r="J5" s="1">
        <v>15</v>
      </c>
      <c r="K5" s="1">
        <v>15</v>
      </c>
      <c r="L5" s="1">
        <v>15</v>
      </c>
      <c r="M5" s="1">
        <v>15</v>
      </c>
      <c r="N5" s="1">
        <v>15</v>
      </c>
      <c r="O5" s="1">
        <v>15</v>
      </c>
      <c r="P5" s="1">
        <v>15</v>
      </c>
      <c r="R5" s="1">
        <f>VLOOKUP(A5,Actual_RDQ!$A$2:$H$62,3,0)</f>
        <v>0</v>
      </c>
      <c r="S5" s="1">
        <f>VLOOKUP(A5,Actual_RDQ!$A$2:$H$62,4,0)</f>
        <v>0</v>
      </c>
      <c r="T5" s="1">
        <f>VLOOKUP(A5,Actual_RDQ!$A$2:$H$62,5,0)</f>
        <v>0</v>
      </c>
      <c r="U5" s="1">
        <f>VLOOKUP(A5,Actual_RDQ!$A$2:$H$62,6,0)</f>
        <v>5.76</v>
      </c>
      <c r="V5" s="1">
        <f>VLOOKUP(A5,Actual_RDQ!$A$2:$H$62,7,0)</f>
        <v>0</v>
      </c>
      <c r="W5" s="1">
        <f>VLOOKUP(A5,Actual_RDQ!$A$2:$H$62,8,0)</f>
        <v>0</v>
      </c>
      <c r="X5" s="109"/>
      <c r="Y5" s="109"/>
      <c r="Z5" s="109"/>
      <c r="AA5" s="109"/>
      <c r="AB5" s="109"/>
      <c r="AC5" s="109"/>
      <c r="AE5" s="88">
        <f t="shared" si="3"/>
        <v>0</v>
      </c>
      <c r="AF5" s="88">
        <f t="shared" si="0"/>
        <v>0</v>
      </c>
      <c r="AG5" s="88">
        <f t="shared" si="0"/>
        <v>0</v>
      </c>
      <c r="AH5" s="88">
        <f t="shared" si="0"/>
        <v>0.38400000000000001</v>
      </c>
      <c r="AI5" s="88">
        <f t="shared" si="0"/>
        <v>0</v>
      </c>
      <c r="AJ5" s="88">
        <f t="shared" si="0"/>
        <v>0</v>
      </c>
      <c r="AK5" s="90">
        <f t="shared" si="0"/>
        <v>0</v>
      </c>
      <c r="AL5" s="90">
        <f t="shared" si="0"/>
        <v>0</v>
      </c>
      <c r="AM5" s="90">
        <f t="shared" si="0"/>
        <v>0</v>
      </c>
      <c r="AN5" s="90">
        <f t="shared" si="0"/>
        <v>0</v>
      </c>
      <c r="AO5" s="90">
        <f t="shared" si="0"/>
        <v>0</v>
      </c>
      <c r="AP5" s="90">
        <f t="shared" si="0"/>
        <v>0</v>
      </c>
      <c r="AQ5" s="88"/>
      <c r="AR5" s="90">
        <f t="shared" si="4"/>
        <v>0</v>
      </c>
      <c r="AS5" s="90">
        <f t="shared" si="1"/>
        <v>0</v>
      </c>
      <c r="AT5" s="90">
        <f t="shared" si="1"/>
        <v>0</v>
      </c>
      <c r="AU5" s="90">
        <f t="shared" si="1"/>
        <v>0.38400000000000001</v>
      </c>
      <c r="AV5" s="90">
        <f t="shared" si="1"/>
        <v>0</v>
      </c>
      <c r="AW5" s="90">
        <f t="shared" si="1"/>
        <v>0</v>
      </c>
      <c r="AX5" s="90">
        <f t="shared" si="1"/>
        <v>0</v>
      </c>
      <c r="AY5" s="90">
        <f t="shared" si="1"/>
        <v>0</v>
      </c>
      <c r="AZ5" s="90">
        <f t="shared" si="1"/>
        <v>0</v>
      </c>
      <c r="BA5" s="90">
        <f t="shared" si="1"/>
        <v>0</v>
      </c>
      <c r="BB5" s="90">
        <f t="shared" si="1"/>
        <v>0</v>
      </c>
      <c r="BC5" s="90">
        <f t="shared" si="1"/>
        <v>0</v>
      </c>
      <c r="BD5" s="88"/>
      <c r="BE5" s="1">
        <f>IFERROR(VLOOKUP(AR5,'Top WS'!$A$19:$C$28,3),0)</f>
        <v>360</v>
      </c>
      <c r="BF5" s="1">
        <f>IFERROR(VLOOKUP(AS5,'Top WS'!$A$19:$C$28,3),0)</f>
        <v>360</v>
      </c>
      <c r="BG5" s="1">
        <f>IFERROR(VLOOKUP(AT5,'Top WS'!$A$19:$C$28,3),0)</f>
        <v>360</v>
      </c>
      <c r="BH5" s="1">
        <f>IFERROR(VLOOKUP(AU5,'Top WS'!$A$19:$C$28,3),0)</f>
        <v>360</v>
      </c>
      <c r="BI5" s="1">
        <f>IFERROR(VLOOKUP(AV5,'Top WS'!$A$19:$C$28,3),0)</f>
        <v>360</v>
      </c>
      <c r="BJ5" s="1">
        <f>IFERROR(VLOOKUP(AW5,'Top WS'!$A$19:$C$28,3),0)</f>
        <v>360</v>
      </c>
      <c r="BK5" s="89">
        <f>IFERROR(VLOOKUP(AX5,'Top WS'!$A$19:$C$28,3),0)</f>
        <v>360</v>
      </c>
      <c r="BL5" s="89">
        <f>IFERROR(VLOOKUP(AY5,'Top WS'!$A$19:$C$28,3),0)</f>
        <v>360</v>
      </c>
      <c r="BM5" s="89">
        <f>IFERROR(VLOOKUP(AZ5,'Top WS'!$A$19:$C$28,3),0)</f>
        <v>360</v>
      </c>
      <c r="BN5" s="89">
        <f>IFERROR(VLOOKUP(BA5,'Top WS'!$A$19:$C$28,3),0)</f>
        <v>360</v>
      </c>
      <c r="BO5" s="89">
        <f>IFERROR(VLOOKUP(BB5,'Top WS'!$A$19:$C$28,3),0)</f>
        <v>360</v>
      </c>
      <c r="BP5" s="89">
        <f>IFERROR(VLOOKUP(BC5,'Top WS'!$A$19:$C$28,3),0)</f>
        <v>360</v>
      </c>
      <c r="BQ5" s="1">
        <f t="shared" si="2"/>
        <v>4320</v>
      </c>
    </row>
    <row r="6" spans="1:69" x14ac:dyDescent="0.4">
      <c r="A6">
        <v>1190011501</v>
      </c>
      <c r="B6">
        <f>VLOOKUP(A6,'Aji Plus'!$A$2:$D$58,2,0)</f>
        <v>71637</v>
      </c>
      <c r="C6" t="str">
        <f>VLOOKUP(A6,'Aji Plus'!$A$2:$D$58,3,0)</f>
        <v>นายพณิชพงศ์ แจ้งธีรภูสิทธิ์</v>
      </c>
      <c r="D6" t="str">
        <f>VLOOKUP(A6,'Aji Plus'!$A$2:$D$58,4,0)</f>
        <v>Pattanakarn</v>
      </c>
      <c r="E6" s="1">
        <v>35</v>
      </c>
      <c r="F6" s="1">
        <v>35</v>
      </c>
      <c r="G6" s="1">
        <v>35</v>
      </c>
      <c r="H6" s="1">
        <v>35</v>
      </c>
      <c r="I6" s="1">
        <v>35</v>
      </c>
      <c r="J6" s="1">
        <v>35</v>
      </c>
      <c r="K6" s="1">
        <v>35</v>
      </c>
      <c r="L6" s="1">
        <v>35</v>
      </c>
      <c r="M6" s="1">
        <v>35</v>
      </c>
      <c r="N6" s="1">
        <v>35</v>
      </c>
      <c r="O6" s="1">
        <v>35</v>
      </c>
      <c r="P6" s="1">
        <v>35</v>
      </c>
      <c r="R6" s="1">
        <f>VLOOKUP(A6,Actual_RDQ!$A$2:$H$62,3,0)</f>
        <v>28.8</v>
      </c>
      <c r="S6" s="1">
        <f>VLOOKUP(A6,Actual_RDQ!$A$2:$H$62,4,0)</f>
        <v>0</v>
      </c>
      <c r="T6" s="1">
        <f>VLOOKUP(A6,Actual_RDQ!$A$2:$H$62,5,0)</f>
        <v>17.28</v>
      </c>
      <c r="U6" s="1">
        <f>VLOOKUP(A6,Actual_RDQ!$A$2:$H$62,6,0)</f>
        <v>28.8</v>
      </c>
      <c r="V6" s="1">
        <f>VLOOKUP(A6,Actual_RDQ!$A$2:$H$62,7,0)</f>
        <v>11.52</v>
      </c>
      <c r="W6" s="1">
        <f>VLOOKUP(A6,Actual_RDQ!$A$2:$H$62,8,0)</f>
        <v>46.08</v>
      </c>
      <c r="X6" s="109"/>
      <c r="Y6" s="109"/>
      <c r="Z6" s="109"/>
      <c r="AA6" s="109"/>
      <c r="AB6" s="109"/>
      <c r="AC6" s="109"/>
      <c r="AE6" s="88">
        <f t="shared" si="3"/>
        <v>0.82285714285714284</v>
      </c>
      <c r="AF6" s="88">
        <f t="shared" si="0"/>
        <v>0</v>
      </c>
      <c r="AG6" s="88">
        <f t="shared" si="0"/>
        <v>0.49371428571428577</v>
      </c>
      <c r="AH6" s="88">
        <f t="shared" si="0"/>
        <v>0.82285714285714284</v>
      </c>
      <c r="AI6" s="88">
        <f t="shared" si="0"/>
        <v>0.32914285714285713</v>
      </c>
      <c r="AJ6" s="88">
        <f t="shared" si="0"/>
        <v>1.3165714285714285</v>
      </c>
      <c r="AK6" s="90">
        <f t="shared" si="0"/>
        <v>0</v>
      </c>
      <c r="AL6" s="90">
        <f t="shared" si="0"/>
        <v>0</v>
      </c>
      <c r="AM6" s="90">
        <f t="shared" si="0"/>
        <v>0</v>
      </c>
      <c r="AN6" s="90">
        <f t="shared" si="0"/>
        <v>0</v>
      </c>
      <c r="AO6" s="90">
        <f t="shared" si="0"/>
        <v>0</v>
      </c>
      <c r="AP6" s="90">
        <f t="shared" si="0"/>
        <v>0</v>
      </c>
      <c r="AQ6" s="88"/>
      <c r="AR6" s="90">
        <f t="shared" si="4"/>
        <v>0.82289999999999996</v>
      </c>
      <c r="AS6" s="90">
        <f t="shared" si="1"/>
        <v>0</v>
      </c>
      <c r="AT6" s="90">
        <f t="shared" si="1"/>
        <v>0.49370000000000003</v>
      </c>
      <c r="AU6" s="90">
        <f t="shared" si="1"/>
        <v>0.82289999999999996</v>
      </c>
      <c r="AV6" s="90">
        <f t="shared" si="1"/>
        <v>0.3291</v>
      </c>
      <c r="AW6" s="90">
        <f t="shared" si="1"/>
        <v>1.3166</v>
      </c>
      <c r="AX6" s="90">
        <f t="shared" si="1"/>
        <v>0</v>
      </c>
      <c r="AY6" s="90">
        <f t="shared" si="1"/>
        <v>0</v>
      </c>
      <c r="AZ6" s="90">
        <f t="shared" si="1"/>
        <v>0</v>
      </c>
      <c r="BA6" s="90">
        <f t="shared" si="1"/>
        <v>0</v>
      </c>
      <c r="BB6" s="90">
        <f t="shared" si="1"/>
        <v>0</v>
      </c>
      <c r="BC6" s="90">
        <f t="shared" si="1"/>
        <v>0</v>
      </c>
      <c r="BD6" s="88"/>
      <c r="BE6" s="1">
        <f>IFERROR(VLOOKUP(AR6,'Top WS'!$A$19:$C$28,3),0)</f>
        <v>360</v>
      </c>
      <c r="BF6" s="1">
        <f>IFERROR(VLOOKUP(AS6,'Top WS'!$A$19:$C$28,3),0)</f>
        <v>360</v>
      </c>
      <c r="BG6" s="1">
        <f>IFERROR(VLOOKUP(AT6,'Top WS'!$A$19:$C$28,3),0)</f>
        <v>360</v>
      </c>
      <c r="BH6" s="1">
        <f>IFERROR(VLOOKUP(AU6,'Top WS'!$A$19:$C$28,3),0)</f>
        <v>360</v>
      </c>
      <c r="BI6" s="1">
        <f>IFERROR(VLOOKUP(AV6,'Top WS'!$A$19:$C$28,3),0)</f>
        <v>360</v>
      </c>
      <c r="BJ6" s="1">
        <f>IFERROR(VLOOKUP(AW6,'Top WS'!$A$19:$C$28,3),0)</f>
        <v>520</v>
      </c>
      <c r="BK6" s="89">
        <f>IFERROR(VLOOKUP(AX6,'Top WS'!$A$19:$C$28,3),0)</f>
        <v>360</v>
      </c>
      <c r="BL6" s="89">
        <f>IFERROR(VLOOKUP(AY6,'Top WS'!$A$19:$C$28,3),0)</f>
        <v>360</v>
      </c>
      <c r="BM6" s="89">
        <f>IFERROR(VLOOKUP(AZ6,'Top WS'!$A$19:$C$28,3),0)</f>
        <v>360</v>
      </c>
      <c r="BN6" s="89">
        <f>IFERROR(VLOOKUP(BA6,'Top WS'!$A$19:$C$28,3),0)</f>
        <v>360</v>
      </c>
      <c r="BO6" s="89">
        <f>IFERROR(VLOOKUP(BB6,'Top WS'!$A$19:$C$28,3),0)</f>
        <v>360</v>
      </c>
      <c r="BP6" s="89">
        <f>IFERROR(VLOOKUP(BC6,'Top WS'!$A$19:$C$28,3),0)</f>
        <v>360</v>
      </c>
      <c r="BQ6" s="1">
        <f t="shared" ref="BQ6:BQ58" si="5">SUM(BE6:BP6)</f>
        <v>4480</v>
      </c>
    </row>
    <row r="7" spans="1:69" x14ac:dyDescent="0.4">
      <c r="A7">
        <v>1190011701</v>
      </c>
      <c r="B7">
        <f>VLOOKUP(A7,'Aji Plus'!$A$2:$D$58,2,0)</f>
        <v>29698</v>
      </c>
      <c r="C7" t="str">
        <f>VLOOKUP(A7,'Aji Plus'!$A$2:$D$58,3,0)</f>
        <v>นายพูลทวี เกษรบัว</v>
      </c>
      <c r="D7" t="str">
        <f>VLOOKUP(A7,'Aji Plus'!$A$2:$D$58,4,0)</f>
        <v>Bangpoo</v>
      </c>
      <c r="E7" s="1">
        <v>42</v>
      </c>
      <c r="F7" s="1">
        <v>46</v>
      </c>
      <c r="G7" s="1">
        <v>44</v>
      </c>
      <c r="H7" s="1">
        <v>42</v>
      </c>
      <c r="I7" s="1">
        <v>42</v>
      </c>
      <c r="J7" s="1">
        <v>42</v>
      </c>
      <c r="K7" s="1">
        <v>42</v>
      </c>
      <c r="L7" s="1">
        <v>42</v>
      </c>
      <c r="M7" s="1">
        <v>42</v>
      </c>
      <c r="N7" s="1">
        <v>42</v>
      </c>
      <c r="O7" s="1">
        <v>42</v>
      </c>
      <c r="P7" s="1">
        <v>42</v>
      </c>
      <c r="R7" s="1">
        <f>VLOOKUP(A7,Actual_RDQ!$A$2:$H$62,3,0)</f>
        <v>0</v>
      </c>
      <c r="S7" s="1">
        <f>VLOOKUP(A7,Actual_RDQ!$A$2:$H$62,4,0)</f>
        <v>237.31200000000001</v>
      </c>
      <c r="T7" s="1">
        <f>VLOOKUP(A7,Actual_RDQ!$A$2:$H$62,5,0)</f>
        <v>34.559999999999995</v>
      </c>
      <c r="U7" s="1">
        <f>VLOOKUP(A7,Actual_RDQ!$A$2:$H$62,6,0)</f>
        <v>54.144000000000005</v>
      </c>
      <c r="V7" s="1">
        <f>VLOOKUP(A7,Actual_RDQ!$A$2:$H$62,7,0)</f>
        <v>74.88</v>
      </c>
      <c r="W7" s="1">
        <f>VLOOKUP(A7,Actual_RDQ!$A$2:$H$62,8,0)</f>
        <v>28.799999999999997</v>
      </c>
      <c r="X7" s="109"/>
      <c r="Y7" s="109"/>
      <c r="Z7" s="109"/>
      <c r="AA7" s="109"/>
      <c r="AB7" s="109"/>
      <c r="AC7" s="109"/>
      <c r="AE7" s="88">
        <f t="shared" si="3"/>
        <v>0</v>
      </c>
      <c r="AF7" s="88">
        <f t="shared" si="0"/>
        <v>5.1589565217391309</v>
      </c>
      <c r="AG7" s="88">
        <f t="shared" si="0"/>
        <v>0.78545454545454529</v>
      </c>
      <c r="AH7" s="88">
        <f t="shared" si="0"/>
        <v>1.2891428571428574</v>
      </c>
      <c r="AI7" s="88">
        <f t="shared" si="0"/>
        <v>1.7828571428571427</v>
      </c>
      <c r="AJ7" s="88">
        <f t="shared" si="0"/>
        <v>0.68571428571428561</v>
      </c>
      <c r="AK7" s="90">
        <f t="shared" si="0"/>
        <v>0</v>
      </c>
      <c r="AL7" s="90">
        <f t="shared" si="0"/>
        <v>0</v>
      </c>
      <c r="AM7" s="90">
        <f t="shared" si="0"/>
        <v>0</v>
      </c>
      <c r="AN7" s="90">
        <f t="shared" si="0"/>
        <v>0</v>
      </c>
      <c r="AO7" s="90">
        <f t="shared" si="0"/>
        <v>0</v>
      </c>
      <c r="AP7" s="90">
        <f t="shared" si="0"/>
        <v>0</v>
      </c>
      <c r="AQ7" s="88"/>
      <c r="AR7" s="90">
        <f t="shared" si="4"/>
        <v>0</v>
      </c>
      <c r="AS7" s="90">
        <f t="shared" si="1"/>
        <v>5.1589999999999998</v>
      </c>
      <c r="AT7" s="90">
        <f t="shared" si="1"/>
        <v>0.78549999999999998</v>
      </c>
      <c r="AU7" s="90">
        <f t="shared" si="1"/>
        <v>1.2890999999999999</v>
      </c>
      <c r="AV7" s="90">
        <f t="shared" si="1"/>
        <v>1.7828999999999999</v>
      </c>
      <c r="AW7" s="90">
        <f t="shared" si="1"/>
        <v>0.68569999999999998</v>
      </c>
      <c r="AX7" s="90">
        <f t="shared" si="1"/>
        <v>0</v>
      </c>
      <c r="AY7" s="90">
        <f t="shared" si="1"/>
        <v>0</v>
      </c>
      <c r="AZ7" s="90">
        <f t="shared" si="1"/>
        <v>0</v>
      </c>
      <c r="BA7" s="90">
        <f t="shared" si="1"/>
        <v>0</v>
      </c>
      <c r="BB7" s="90">
        <f t="shared" si="1"/>
        <v>0</v>
      </c>
      <c r="BC7" s="90">
        <f t="shared" si="1"/>
        <v>0</v>
      </c>
      <c r="BD7" s="88"/>
      <c r="BE7" s="1">
        <f>IFERROR(VLOOKUP(AR7,'Top WS'!$A$19:$C$28,3),0)</f>
        <v>360</v>
      </c>
      <c r="BF7" s="1">
        <f>IFERROR(VLOOKUP(AS7,'Top WS'!$A$19:$C$28,3),0)</f>
        <v>520</v>
      </c>
      <c r="BG7" s="1">
        <f>IFERROR(VLOOKUP(AT7,'Top WS'!$A$19:$C$28,3),0)</f>
        <v>360</v>
      </c>
      <c r="BH7" s="1">
        <f>IFERROR(VLOOKUP(AU7,'Top WS'!$A$19:$C$28,3),0)</f>
        <v>520</v>
      </c>
      <c r="BI7" s="1">
        <f>IFERROR(VLOOKUP(AV7,'Top WS'!$A$19:$C$28,3),0)</f>
        <v>520</v>
      </c>
      <c r="BJ7" s="1">
        <f>IFERROR(VLOOKUP(AW7,'Top WS'!$A$19:$C$28,3),0)</f>
        <v>360</v>
      </c>
      <c r="BK7" s="89">
        <f>IFERROR(VLOOKUP(AX7,'Top WS'!$A$19:$C$28,3),0)</f>
        <v>360</v>
      </c>
      <c r="BL7" s="89">
        <f>IFERROR(VLOOKUP(AY7,'Top WS'!$A$19:$C$28,3),0)</f>
        <v>360</v>
      </c>
      <c r="BM7" s="89">
        <f>IFERROR(VLOOKUP(AZ7,'Top WS'!$A$19:$C$28,3),0)</f>
        <v>360</v>
      </c>
      <c r="BN7" s="89">
        <f>IFERROR(VLOOKUP(BA7,'Top WS'!$A$19:$C$28,3),0)</f>
        <v>360</v>
      </c>
      <c r="BO7" s="89">
        <f>IFERROR(VLOOKUP(BB7,'Top WS'!$A$19:$C$28,3),0)</f>
        <v>360</v>
      </c>
      <c r="BP7" s="89">
        <f>IFERROR(VLOOKUP(BC7,'Top WS'!$A$19:$C$28,3),0)</f>
        <v>360</v>
      </c>
      <c r="BQ7" s="1">
        <f t="shared" si="5"/>
        <v>4800</v>
      </c>
    </row>
    <row r="8" spans="1:69" x14ac:dyDescent="0.4">
      <c r="A8">
        <v>1190011801</v>
      </c>
      <c r="B8">
        <f>VLOOKUP(A8,'Aji Plus'!$A$2:$D$58,2,0)</f>
        <v>28236</v>
      </c>
      <c r="C8" t="str">
        <f>VLOOKUP(A8,'Aji Plus'!$A$2:$D$58,3,0)</f>
        <v>นายประวิทย์ ธารีบุญ</v>
      </c>
      <c r="D8" t="str">
        <f>VLOOKUP(A8,'Aji Plus'!$A$2:$D$58,4,0)</f>
        <v>Ramindra</v>
      </c>
      <c r="E8" s="1">
        <v>4.4609665427509295</v>
      </c>
      <c r="F8" s="1">
        <v>4.4609665427509295</v>
      </c>
      <c r="G8" s="1">
        <v>13.38289962825279</v>
      </c>
      <c r="H8" s="1">
        <v>4.4609665427509295</v>
      </c>
      <c r="I8" s="1">
        <v>0</v>
      </c>
      <c r="J8" s="1">
        <v>4.4609665427509295</v>
      </c>
      <c r="K8" s="1">
        <v>4.4609665427509295</v>
      </c>
      <c r="L8" s="1">
        <v>4.4609665427509295</v>
      </c>
      <c r="M8" s="1">
        <v>11.152416356877323</v>
      </c>
      <c r="N8" s="1">
        <v>4.4609665427509295</v>
      </c>
      <c r="O8" s="1">
        <v>8.4758364312267673</v>
      </c>
      <c r="P8" s="1">
        <v>55.762081784386623</v>
      </c>
      <c r="R8" s="1">
        <f>VLOOKUP(A8,Actual_RDQ!$A$2:$H$62,3,0)</f>
        <v>12.096</v>
      </c>
      <c r="S8" s="1">
        <f>VLOOKUP(A8,Actual_RDQ!$A$2:$H$62,4,0)</f>
        <v>0</v>
      </c>
      <c r="T8" s="1">
        <f>VLOOKUP(A8,Actual_RDQ!$A$2:$H$62,5,0)</f>
        <v>8.6399999999999988</v>
      </c>
      <c r="U8" s="1">
        <f>VLOOKUP(A8,Actual_RDQ!$A$2:$H$62,6,0)</f>
        <v>0</v>
      </c>
      <c r="V8" s="1">
        <f>VLOOKUP(A8,Actual_RDQ!$A$2:$H$62,7,0)</f>
        <v>0</v>
      </c>
      <c r="W8" s="1">
        <f>VLOOKUP(A8,Actual_RDQ!$A$2:$H$62,8,0)</f>
        <v>10.367999999999999</v>
      </c>
      <c r="X8" s="109"/>
      <c r="Y8" s="109"/>
      <c r="Z8" s="109"/>
      <c r="AA8" s="109"/>
      <c r="AB8" s="109"/>
      <c r="AC8" s="109"/>
      <c r="AE8" s="88">
        <f t="shared" si="3"/>
        <v>2.7115199999999997</v>
      </c>
      <c r="AF8" s="88">
        <f t="shared" si="0"/>
        <v>0</v>
      </c>
      <c r="AG8" s="88">
        <f t="shared" si="0"/>
        <v>0.64559999999999984</v>
      </c>
      <c r="AH8" s="88">
        <f t="shared" si="0"/>
        <v>0</v>
      </c>
      <c r="AI8" s="112">
        <v>0</v>
      </c>
      <c r="AJ8" s="88">
        <f t="shared" si="0"/>
        <v>2.3241599999999996</v>
      </c>
      <c r="AK8" s="90">
        <f t="shared" si="0"/>
        <v>0</v>
      </c>
      <c r="AL8" s="90">
        <f t="shared" si="0"/>
        <v>0</v>
      </c>
      <c r="AM8" s="90">
        <f t="shared" si="0"/>
        <v>0</v>
      </c>
      <c r="AN8" s="90">
        <f t="shared" si="0"/>
        <v>0</v>
      </c>
      <c r="AO8" s="90">
        <f t="shared" si="0"/>
        <v>0</v>
      </c>
      <c r="AP8" s="90">
        <f t="shared" si="0"/>
        <v>0</v>
      </c>
      <c r="AQ8" s="88"/>
      <c r="AR8" s="90">
        <f t="shared" si="4"/>
        <v>2.7115</v>
      </c>
      <c r="AS8" s="90">
        <f t="shared" si="1"/>
        <v>0</v>
      </c>
      <c r="AT8" s="90">
        <f t="shared" si="1"/>
        <v>0.64559999999999995</v>
      </c>
      <c r="AU8" s="90">
        <f t="shared" si="1"/>
        <v>0</v>
      </c>
      <c r="AV8" s="90">
        <f t="shared" si="1"/>
        <v>0</v>
      </c>
      <c r="AW8" s="90">
        <f t="shared" si="1"/>
        <v>2.3241999999999998</v>
      </c>
      <c r="AX8" s="90">
        <f t="shared" si="1"/>
        <v>0</v>
      </c>
      <c r="AY8" s="90">
        <f t="shared" si="1"/>
        <v>0</v>
      </c>
      <c r="AZ8" s="90">
        <f t="shared" si="1"/>
        <v>0</v>
      </c>
      <c r="BA8" s="90">
        <f t="shared" si="1"/>
        <v>0</v>
      </c>
      <c r="BB8" s="90">
        <f t="shared" si="1"/>
        <v>0</v>
      </c>
      <c r="BC8" s="90">
        <f t="shared" si="1"/>
        <v>0</v>
      </c>
      <c r="BD8" s="88"/>
      <c r="BE8" s="1">
        <f>IFERROR(VLOOKUP(AR8,'Top WS'!$A$19:$C$28,3),0)</f>
        <v>520</v>
      </c>
      <c r="BF8" s="1">
        <f>IFERROR(VLOOKUP(AS8,'Top WS'!$A$19:$C$28,3),0)</f>
        <v>360</v>
      </c>
      <c r="BG8" s="1">
        <f>IFERROR(VLOOKUP(AT8,'Top WS'!$A$19:$C$28,3),0)</f>
        <v>360</v>
      </c>
      <c r="BH8" s="1">
        <f>IFERROR(VLOOKUP(AU8,'Top WS'!$A$19:$C$28,3),0)</f>
        <v>360</v>
      </c>
      <c r="BI8" s="1">
        <f>IFERROR(VLOOKUP(AV8,'Top WS'!$A$19:$C$28,3),0)</f>
        <v>360</v>
      </c>
      <c r="BJ8" s="1">
        <f>IFERROR(VLOOKUP(AW8,'Top WS'!$A$19:$C$28,3),0)</f>
        <v>520</v>
      </c>
      <c r="BK8" s="89">
        <f>IFERROR(VLOOKUP(AX8,'Top WS'!$A$19:$C$28,3),0)</f>
        <v>360</v>
      </c>
      <c r="BL8" s="89">
        <f>IFERROR(VLOOKUP(AY8,'Top WS'!$A$19:$C$28,3),0)</f>
        <v>360</v>
      </c>
      <c r="BM8" s="89">
        <f>IFERROR(VLOOKUP(AZ8,'Top WS'!$A$19:$C$28,3),0)</f>
        <v>360</v>
      </c>
      <c r="BN8" s="89">
        <f>IFERROR(VLOOKUP(BA8,'Top WS'!$A$19:$C$28,3),0)</f>
        <v>360</v>
      </c>
      <c r="BO8" s="89">
        <f>IFERROR(VLOOKUP(BB8,'Top WS'!$A$19:$C$28,3),0)</f>
        <v>360</v>
      </c>
      <c r="BP8" s="89">
        <f>IFERROR(VLOOKUP(BC8,'Top WS'!$A$19:$C$28,3),0)</f>
        <v>360</v>
      </c>
      <c r="BQ8" s="1">
        <f t="shared" si="5"/>
        <v>4640</v>
      </c>
    </row>
    <row r="9" spans="1:69" x14ac:dyDescent="0.4">
      <c r="A9">
        <v>1190017001</v>
      </c>
      <c r="B9">
        <f>VLOOKUP(A9,'Aji Plus'!$A$2:$D$58,2,0)</f>
        <v>77683</v>
      </c>
      <c r="C9" t="str">
        <f>VLOOKUP(A9,'Aji Plus'!$A$2:$D$58,3,0)</f>
        <v>นายสุพัชธณคุณ ชลมงคล</v>
      </c>
      <c r="D9" t="str">
        <f>VLOOKUP(A9,'Aji Plus'!$A$2:$D$58,4,0)</f>
        <v>Pathumthani</v>
      </c>
      <c r="E9" s="1">
        <v>145.36940089411635</v>
      </c>
      <c r="F9" s="1">
        <v>182.72004310213418</v>
      </c>
      <c r="G9" s="1">
        <v>171.14660467148079</v>
      </c>
      <c r="H9" s="1">
        <v>106.96662791967553</v>
      </c>
      <c r="I9" s="1">
        <v>193.4167058941018</v>
      </c>
      <c r="J9" s="1">
        <v>210.42615328460755</v>
      </c>
      <c r="K9" s="1">
        <v>161.32671751819908</v>
      </c>
      <c r="L9" s="1">
        <v>203.06123791964629</v>
      </c>
      <c r="M9" s="1">
        <v>145.72011114959068</v>
      </c>
      <c r="N9" s="1">
        <v>231.81947886854255</v>
      </c>
      <c r="O9" s="1">
        <v>211.30292892329339</v>
      </c>
      <c r="P9" s="1">
        <v>113.63012277368804</v>
      </c>
      <c r="R9" s="1">
        <f>VLOOKUP(A9,Actual_RDQ!$A$2:$H$62,3,0)</f>
        <v>168.47999999999996</v>
      </c>
      <c r="S9" s="1">
        <f>VLOOKUP(A9,Actual_RDQ!$A$2:$H$62,4,0)</f>
        <v>111.16799999999998</v>
      </c>
      <c r="T9" s="1">
        <f>VLOOKUP(A9,Actual_RDQ!$A$2:$H$62,5,0)</f>
        <v>95.615999999999985</v>
      </c>
      <c r="U9" s="1">
        <f>VLOOKUP(A9,Actual_RDQ!$A$2:$H$62,6,0)</f>
        <v>110.88000000000001</v>
      </c>
      <c r="V9" s="1">
        <f>VLOOKUP(A9,Actual_RDQ!$A$2:$H$62,7,0)</f>
        <v>95.039999999999978</v>
      </c>
      <c r="W9" s="1">
        <f>VLOOKUP(A9,Actual_RDQ!$A$2:$H$62,8,0)</f>
        <v>202.75199999999995</v>
      </c>
      <c r="X9" s="109"/>
      <c r="Y9" s="109"/>
      <c r="Z9" s="109"/>
      <c r="AA9" s="109"/>
      <c r="AB9" s="109"/>
      <c r="AC9" s="109"/>
      <c r="AE9" s="88">
        <f t="shared" si="3"/>
        <v>1.1589784298740891</v>
      </c>
      <c r="AF9" s="88">
        <f t="shared" si="0"/>
        <v>0.60840616121057345</v>
      </c>
      <c r="AG9" s="88">
        <f t="shared" si="0"/>
        <v>0.55867891848358164</v>
      </c>
      <c r="AH9" s="88">
        <f t="shared" si="0"/>
        <v>1.0365849812827899</v>
      </c>
      <c r="AI9" s="88">
        <f t="shared" si="0"/>
        <v>0.49137430792578812</v>
      </c>
      <c r="AJ9" s="88">
        <f t="shared" si="0"/>
        <v>0.96353042069714556</v>
      </c>
      <c r="AK9" s="90">
        <f t="shared" si="0"/>
        <v>0</v>
      </c>
      <c r="AL9" s="90">
        <f t="shared" si="0"/>
        <v>0</v>
      </c>
      <c r="AM9" s="90">
        <f t="shared" si="0"/>
        <v>0</v>
      </c>
      <c r="AN9" s="90">
        <f t="shared" si="0"/>
        <v>0</v>
      </c>
      <c r="AO9" s="90">
        <f t="shared" si="0"/>
        <v>0</v>
      </c>
      <c r="AP9" s="90">
        <f t="shared" si="0"/>
        <v>0</v>
      </c>
      <c r="AQ9" s="88"/>
      <c r="AR9" s="90">
        <f t="shared" si="4"/>
        <v>1.159</v>
      </c>
      <c r="AS9" s="90">
        <f t="shared" si="1"/>
        <v>0.60840000000000005</v>
      </c>
      <c r="AT9" s="90">
        <f t="shared" si="1"/>
        <v>0.55869999999999997</v>
      </c>
      <c r="AU9" s="90">
        <f t="shared" si="1"/>
        <v>1.0366</v>
      </c>
      <c r="AV9" s="90">
        <f t="shared" si="1"/>
        <v>0.4914</v>
      </c>
      <c r="AW9" s="90">
        <f t="shared" si="1"/>
        <v>0.96350000000000002</v>
      </c>
      <c r="AX9" s="90">
        <f t="shared" si="1"/>
        <v>0</v>
      </c>
      <c r="AY9" s="90">
        <f t="shared" si="1"/>
        <v>0</v>
      </c>
      <c r="AZ9" s="90">
        <f t="shared" si="1"/>
        <v>0</v>
      </c>
      <c r="BA9" s="90">
        <f t="shared" si="1"/>
        <v>0</v>
      </c>
      <c r="BB9" s="90">
        <f t="shared" si="1"/>
        <v>0</v>
      </c>
      <c r="BC9" s="90">
        <f t="shared" si="1"/>
        <v>0</v>
      </c>
      <c r="BD9" s="88"/>
      <c r="BE9" s="108">
        <f>IFERROR(VLOOKUP(AR9,'Top WS'!$A$19:$C$28,3),0)</f>
        <v>480</v>
      </c>
      <c r="BF9" s="108">
        <f>IFERROR(VLOOKUP(AS9,'Top WS'!$A$19:$C$28,3),0)</f>
        <v>360</v>
      </c>
      <c r="BG9" s="108">
        <f>IFERROR(VLOOKUP(AT9,'Top WS'!$A$19:$C$28,3),0)</f>
        <v>360</v>
      </c>
      <c r="BH9" s="108">
        <f>IFERROR(VLOOKUP(AU9,'Top WS'!$A$19:$C$28,3),0)</f>
        <v>432</v>
      </c>
      <c r="BI9" s="108">
        <f>IFERROR(VLOOKUP(AV9,'Top WS'!$A$19:$C$28,3),0)</f>
        <v>360</v>
      </c>
      <c r="BJ9" s="108">
        <f>IFERROR(VLOOKUP(AW9,'Top WS'!$A$19:$C$28,3),0)</f>
        <v>400</v>
      </c>
      <c r="BK9" s="108">
        <f>IFERROR(VLOOKUP(AX9,'Top WS'!$A$19:$C$28,3),0)</f>
        <v>360</v>
      </c>
      <c r="BL9" s="108">
        <f>IFERROR(VLOOKUP(AY9,'Top WS'!$A$19:$C$28,3),0)</f>
        <v>360</v>
      </c>
      <c r="BM9" s="108">
        <f>IFERROR(VLOOKUP(AZ9,'Top WS'!$A$19:$C$28,3),0)</f>
        <v>360</v>
      </c>
      <c r="BN9" s="108">
        <f>IFERROR(VLOOKUP(BA9,'Top WS'!$A$19:$C$28,3),0)</f>
        <v>360</v>
      </c>
      <c r="BO9" s="108">
        <f>IFERROR(VLOOKUP(BB9,'Top WS'!$A$19:$C$28,3),0)</f>
        <v>360</v>
      </c>
      <c r="BP9" s="108">
        <f>IFERROR(VLOOKUP(BC9,'Top WS'!$A$19:$C$28,3),0)</f>
        <v>360</v>
      </c>
      <c r="BQ9" s="1">
        <f t="shared" si="5"/>
        <v>4552</v>
      </c>
    </row>
    <row r="10" spans="1:69" x14ac:dyDescent="0.4">
      <c r="A10">
        <v>1190017013</v>
      </c>
      <c r="B10">
        <f>VLOOKUP(A10,'Aji Plus'!$A$2:$D$58,2,0)</f>
        <v>76289</v>
      </c>
      <c r="C10" t="str">
        <f>VLOOKUP(A10,'Aji Plus'!$A$2:$D$58,3,0)</f>
        <v>นายเธียรกวิน ใจผ่อง</v>
      </c>
      <c r="D10" t="str">
        <f>VLOOKUP(A10,'Aji Plus'!$A$2:$D$58,4,0)</f>
        <v>Pathumthani</v>
      </c>
      <c r="E10" s="1">
        <v>11.860184268664531</v>
      </c>
      <c r="F10" s="1">
        <v>14.907493375088588</v>
      </c>
      <c r="G10" s="1">
        <v>13.963256750562826</v>
      </c>
      <c r="H10" s="1">
        <v>8.727035469101768</v>
      </c>
      <c r="I10" s="1">
        <v>15.780196921998769</v>
      </c>
      <c r="J10" s="1">
        <v>17.167938627741179</v>
      </c>
      <c r="K10" s="1">
        <v>13.162086281268234</v>
      </c>
      <c r="L10" s="1">
        <v>16.567060775770241</v>
      </c>
      <c r="M10" s="1">
        <v>11.888797499710764</v>
      </c>
      <c r="N10" s="1">
        <v>18.913345721561523</v>
      </c>
      <c r="O10" s="1">
        <v>17.239471705356767</v>
      </c>
      <c r="P10" s="1">
        <v>9.270686858980234</v>
      </c>
      <c r="R10" s="1">
        <f>VLOOKUP(A10,Actual_RDQ!$A$2:$H$62,3,0)</f>
        <v>73.728000000000009</v>
      </c>
      <c r="S10" s="1">
        <f>VLOOKUP(A10,Actual_RDQ!$A$2:$H$62,4,0)</f>
        <v>42.048000000000002</v>
      </c>
      <c r="T10" s="1">
        <f>VLOOKUP(A10,Actual_RDQ!$A$2:$H$62,5,0)</f>
        <v>140.54400000000001</v>
      </c>
      <c r="U10" s="1">
        <f>VLOOKUP(A10,Actual_RDQ!$A$2:$H$62,6,0)</f>
        <v>69.695999999999998</v>
      </c>
      <c r="V10" s="1">
        <f>VLOOKUP(A10,Actual_RDQ!$A$2:$H$62,7,0)</f>
        <v>171.648</v>
      </c>
      <c r="W10" s="1">
        <f>VLOOKUP(A10,Actual_RDQ!$A$2:$H$62,8,0)</f>
        <v>86.399999999999977</v>
      </c>
      <c r="X10" s="109"/>
      <c r="Y10" s="109"/>
      <c r="Z10" s="109"/>
      <c r="AA10" s="109"/>
      <c r="AB10" s="109"/>
      <c r="AC10" s="109"/>
      <c r="AE10" s="88">
        <f t="shared" si="3"/>
        <v>6.2164295536954466</v>
      </c>
      <c r="AF10" s="88">
        <f t="shared" si="0"/>
        <v>2.8205949143848019</v>
      </c>
      <c r="AG10" s="88">
        <f t="shared" si="0"/>
        <v>10.065273632838917</v>
      </c>
      <c r="AH10" s="88">
        <f t="shared" si="0"/>
        <v>7.9862171119574326</v>
      </c>
      <c r="AI10" s="88">
        <f t="shared" si="0"/>
        <v>10.877430798135979</v>
      </c>
      <c r="AJ10" s="88">
        <f t="shared" si="0"/>
        <v>5.0326368164194566</v>
      </c>
      <c r="AK10" s="90">
        <f t="shared" si="0"/>
        <v>0</v>
      </c>
      <c r="AL10" s="90">
        <f t="shared" si="0"/>
        <v>0</v>
      </c>
      <c r="AM10" s="90">
        <f t="shared" si="0"/>
        <v>0</v>
      </c>
      <c r="AN10" s="90">
        <f t="shared" si="0"/>
        <v>0</v>
      </c>
      <c r="AO10" s="90">
        <f t="shared" si="0"/>
        <v>0</v>
      </c>
      <c r="AP10" s="90">
        <f t="shared" si="0"/>
        <v>0</v>
      </c>
      <c r="AQ10" s="88"/>
      <c r="AR10" s="90">
        <f t="shared" si="4"/>
        <v>6.2164000000000001</v>
      </c>
      <c r="AS10" s="90">
        <f t="shared" si="1"/>
        <v>2.8206000000000002</v>
      </c>
      <c r="AT10" s="90">
        <f t="shared" si="1"/>
        <v>10.065300000000001</v>
      </c>
      <c r="AU10" s="90">
        <f t="shared" si="1"/>
        <v>7.9862000000000002</v>
      </c>
      <c r="AV10" s="90">
        <f t="shared" si="1"/>
        <v>10.8774</v>
      </c>
      <c r="AW10" s="90">
        <f t="shared" si="1"/>
        <v>5.0326000000000004</v>
      </c>
      <c r="AX10" s="90">
        <f t="shared" si="1"/>
        <v>0</v>
      </c>
      <c r="AY10" s="90">
        <f t="shared" si="1"/>
        <v>0</v>
      </c>
      <c r="AZ10" s="90">
        <f t="shared" si="1"/>
        <v>0</v>
      </c>
      <c r="BA10" s="90">
        <f t="shared" si="1"/>
        <v>0</v>
      </c>
      <c r="BB10" s="90">
        <f t="shared" si="1"/>
        <v>0</v>
      </c>
      <c r="BC10" s="90">
        <f t="shared" si="1"/>
        <v>0</v>
      </c>
      <c r="BD10" s="88"/>
      <c r="BE10" s="110">
        <f>IFERROR(VLOOKUP(AR10,' WS SF'!$A$19:$C$28,3),0)</f>
        <v>455</v>
      </c>
      <c r="BF10" s="110">
        <f>IFERROR(VLOOKUP(AS10,' WS SF'!$A$19:$C$28,3),0)</f>
        <v>455</v>
      </c>
      <c r="BG10" s="110">
        <f>IFERROR(VLOOKUP(AT10,' WS SF'!$A$19:$C$28,3),0)</f>
        <v>455</v>
      </c>
      <c r="BH10" s="110">
        <f>IFERROR(VLOOKUP(AU10,' WS SF'!$A$19:$C$28,3),0)</f>
        <v>455</v>
      </c>
      <c r="BI10" s="110">
        <f>IFERROR(VLOOKUP(AV10,' WS SF'!$A$19:$C$28,3),0)</f>
        <v>455</v>
      </c>
      <c r="BJ10" s="110">
        <f>IFERROR(VLOOKUP(AW10,' WS SF'!$A$19:$C$28,3),0)</f>
        <v>455</v>
      </c>
      <c r="BK10" s="110">
        <f>IFERROR(VLOOKUP(AX10,' WS SF'!$A$19:$C$28,3),0)</f>
        <v>315</v>
      </c>
      <c r="BL10" s="110">
        <f>IFERROR(VLOOKUP(AY10,' WS SF'!$A$19:$C$28,3),0)</f>
        <v>315</v>
      </c>
      <c r="BM10" s="110">
        <f>IFERROR(VLOOKUP(AZ10,' WS SF'!$A$19:$C$28,3),0)</f>
        <v>315</v>
      </c>
      <c r="BN10" s="110">
        <f>IFERROR(VLOOKUP(BA10,' WS SF'!$A$19:$C$28,3),0)</f>
        <v>315</v>
      </c>
      <c r="BO10" s="110">
        <f>IFERROR(VLOOKUP(BB10,' WS SF'!$A$19:$C$28,3),0)</f>
        <v>315</v>
      </c>
      <c r="BP10" s="110">
        <f>IFERROR(VLOOKUP(BC10,' WS SF'!$A$19:$C$28,3),0)</f>
        <v>315</v>
      </c>
      <c r="BQ10" s="1">
        <f t="shared" si="5"/>
        <v>4620</v>
      </c>
    </row>
    <row r="11" spans="1:69" x14ac:dyDescent="0.4">
      <c r="A11">
        <v>1190017014</v>
      </c>
      <c r="B11">
        <f>VLOOKUP(A11,'Aji Plus'!$A$2:$D$58,2,0)</f>
        <v>63668</v>
      </c>
      <c r="C11" t="str">
        <f>VLOOKUP(A11,'Aji Plus'!$A$2:$D$58,3,0)</f>
        <v>นายมานพ สุขเจริญ</v>
      </c>
      <c r="D11" t="str">
        <f>VLOOKUP(A11,'Aji Plus'!$A$2:$D$58,4,0)</f>
        <v>Pathumthani</v>
      </c>
      <c r="E11" s="1">
        <v>10.754204097603717</v>
      </c>
      <c r="F11" s="1">
        <v>13.517347008085732</v>
      </c>
      <c r="G11" s="1">
        <v>12.661161880894124</v>
      </c>
      <c r="H11" s="1">
        <v>7.9132261755588296</v>
      </c>
      <c r="I11" s="1">
        <v>14.308669625641619</v>
      </c>
      <c r="J11" s="1">
        <v>15.567002312574743</v>
      </c>
      <c r="K11" s="1">
        <v>11.934701772973966</v>
      </c>
      <c r="L11" s="1">
        <v>15.022157231634626</v>
      </c>
      <c r="M11" s="1">
        <v>10.780149101458006</v>
      </c>
      <c r="N11" s="1">
        <v>17.149647547686499</v>
      </c>
      <c r="O11" s="1">
        <v>15.631864822210469</v>
      </c>
      <c r="P11" s="1">
        <v>8.4061812487903591</v>
      </c>
      <c r="R11" s="1">
        <f>VLOOKUP(A11,Actual_RDQ!$A$2:$H$62,3,0)</f>
        <v>0</v>
      </c>
      <c r="S11" s="1">
        <f>VLOOKUP(A11,Actual_RDQ!$A$2:$H$62,4,0)</f>
        <v>0</v>
      </c>
      <c r="T11" s="1">
        <f>VLOOKUP(A11,Actual_RDQ!$A$2:$H$62,5,0)</f>
        <v>86.4</v>
      </c>
      <c r="U11" s="1">
        <f>VLOOKUP(A11,Actual_RDQ!$A$2:$H$62,6,0)</f>
        <v>0</v>
      </c>
      <c r="V11" s="1">
        <f>VLOOKUP(A11,Actual_RDQ!$A$2:$H$62,7,0)</f>
        <v>0</v>
      </c>
      <c r="W11" s="1">
        <f>VLOOKUP(A11,Actual_RDQ!$A$2:$H$62,8,0)</f>
        <v>0</v>
      </c>
      <c r="X11" s="109"/>
      <c r="Y11" s="109"/>
      <c r="Z11" s="109"/>
      <c r="AA11" s="109"/>
      <c r="AB11" s="109"/>
      <c r="AC11" s="109"/>
      <c r="AE11" s="88">
        <f t="shared" si="3"/>
        <v>0</v>
      </c>
      <c r="AF11" s="88">
        <f t="shared" si="0"/>
        <v>0</v>
      </c>
      <c r="AG11" s="88">
        <f t="shared" si="0"/>
        <v>6.8240182704226262</v>
      </c>
      <c r="AH11" s="88">
        <f t="shared" si="0"/>
        <v>0</v>
      </c>
      <c r="AI11" s="88">
        <f t="shared" si="0"/>
        <v>0</v>
      </c>
      <c r="AJ11" s="88">
        <f t="shared" si="0"/>
        <v>0</v>
      </c>
      <c r="AK11" s="90">
        <f t="shared" si="0"/>
        <v>0</v>
      </c>
      <c r="AL11" s="90">
        <f t="shared" si="0"/>
        <v>0</v>
      </c>
      <c r="AM11" s="90">
        <f t="shared" si="0"/>
        <v>0</v>
      </c>
      <c r="AN11" s="90">
        <f t="shared" si="0"/>
        <v>0</v>
      </c>
      <c r="AO11" s="90">
        <f t="shared" si="0"/>
        <v>0</v>
      </c>
      <c r="AP11" s="90">
        <f t="shared" si="0"/>
        <v>0</v>
      </c>
      <c r="AQ11" s="88"/>
      <c r="AR11" s="90">
        <f t="shared" si="4"/>
        <v>0</v>
      </c>
      <c r="AS11" s="90">
        <f t="shared" si="1"/>
        <v>0</v>
      </c>
      <c r="AT11" s="90">
        <f t="shared" si="1"/>
        <v>6.8239999999999998</v>
      </c>
      <c r="AU11" s="90">
        <f t="shared" si="1"/>
        <v>0</v>
      </c>
      <c r="AV11" s="90">
        <f t="shared" si="1"/>
        <v>0</v>
      </c>
      <c r="AW11" s="90">
        <f t="shared" si="1"/>
        <v>0</v>
      </c>
      <c r="AX11" s="90">
        <f t="shared" si="1"/>
        <v>0</v>
      </c>
      <c r="AY11" s="90">
        <f t="shared" si="1"/>
        <v>0</v>
      </c>
      <c r="AZ11" s="90">
        <f t="shared" si="1"/>
        <v>0</v>
      </c>
      <c r="BA11" s="90">
        <f t="shared" si="1"/>
        <v>0</v>
      </c>
      <c r="BB11" s="90">
        <f t="shared" si="1"/>
        <v>0</v>
      </c>
      <c r="BC11" s="90">
        <f t="shared" si="1"/>
        <v>0</v>
      </c>
      <c r="BD11" s="88"/>
      <c r="BE11" s="111">
        <f>IFERROR(VLOOKUP(AR11,'WS WH'!$A$19:$C$28,3),0)</f>
        <v>157.5</v>
      </c>
      <c r="BF11" s="111">
        <f>IFERROR(VLOOKUP(AS11,'WS WH'!$A$19:$C$28,3),0)</f>
        <v>157.5</v>
      </c>
      <c r="BG11" s="111">
        <f>IFERROR(VLOOKUP(AT11,'WS WH'!$A$19:$C$28,3),0)</f>
        <v>227.5</v>
      </c>
      <c r="BH11" s="111">
        <f>IFERROR(VLOOKUP(AU11,'WS WH'!$A$19:$C$28,3),0)</f>
        <v>157.5</v>
      </c>
      <c r="BI11" s="111">
        <f>IFERROR(VLOOKUP(AV11,'WS WH'!$A$19:$C$28,3),0)</f>
        <v>157.5</v>
      </c>
      <c r="BJ11" s="111">
        <f>IFERROR(VLOOKUP(AW11,'WS WH'!$A$19:$C$28,3),0)</f>
        <v>157.5</v>
      </c>
      <c r="BK11" s="111">
        <f>IFERROR(VLOOKUP(AX11,'WS WH'!$A$19:$C$28,3),0)</f>
        <v>157.5</v>
      </c>
      <c r="BL11" s="111">
        <f>IFERROR(VLOOKUP(AY11,'WS WH'!$A$19:$C$28,3),0)</f>
        <v>157.5</v>
      </c>
      <c r="BM11" s="111">
        <f>IFERROR(VLOOKUP(AZ11,'WS WH'!$A$19:$C$28,3),0)</f>
        <v>157.5</v>
      </c>
      <c r="BN11" s="111">
        <f>IFERROR(VLOOKUP(BA11,'WS WH'!$A$19:$C$28,3),0)</f>
        <v>157.5</v>
      </c>
      <c r="BO11" s="111">
        <f>IFERROR(VLOOKUP(BB11,'WS WH'!$A$19:$C$28,3),0)</f>
        <v>157.5</v>
      </c>
      <c r="BP11" s="111">
        <f>IFERROR(VLOOKUP(BC11,'WS WH'!$A$19:$C$28,3),0)</f>
        <v>157.5</v>
      </c>
      <c r="BQ11" s="1">
        <f t="shared" si="5"/>
        <v>1960</v>
      </c>
    </row>
    <row r="12" spans="1:69" x14ac:dyDescent="0.4">
      <c r="A12">
        <v>1190021901</v>
      </c>
      <c r="B12">
        <f>VLOOKUP(A12,'Aji Plus'!$A$2:$D$58,2,0)</f>
        <v>76043</v>
      </c>
      <c r="C12" t="str">
        <f>VLOOKUP(A12,'Aji Plus'!$A$2:$D$58,3,0)</f>
        <v>นายธนรัตน์ บัวสอด</v>
      </c>
      <c r="D12" t="str">
        <f>VLOOKUP(A12,'Aji Plus'!$A$2:$D$58,4,0)</f>
        <v>Chiangmai</v>
      </c>
      <c r="E12" s="1">
        <v>52.507052849351119</v>
      </c>
      <c r="F12" s="1">
        <v>44.551438781267613</v>
      </c>
      <c r="G12" s="1">
        <v>135.59902200488989</v>
      </c>
      <c r="H12" s="1">
        <v>57.987586985141988</v>
      </c>
      <c r="I12" s="1">
        <v>50.208764340793657</v>
      </c>
      <c r="J12" s="1">
        <v>176.08425804024816</v>
      </c>
      <c r="K12" s="1">
        <v>51.976678578145552</v>
      </c>
      <c r="L12" s="1">
        <v>125.52191085198415</v>
      </c>
      <c r="M12" s="1">
        <v>49.855181493323265</v>
      </c>
      <c r="N12" s="1">
        <v>79.202557833364637</v>
      </c>
      <c r="O12" s="1">
        <v>60.993041188640184</v>
      </c>
      <c r="P12" s="1">
        <v>55.512507052849308</v>
      </c>
      <c r="R12" s="1">
        <f>VLOOKUP(A12,Actual_RDQ!$A$2:$H$62,3,0)</f>
        <v>67.391999999999996</v>
      </c>
      <c r="S12" s="1">
        <f>VLOOKUP(A12,Actual_RDQ!$A$2:$H$62,4,0)</f>
        <v>48.96</v>
      </c>
      <c r="T12" s="1">
        <f>VLOOKUP(A12,Actual_RDQ!$A$2:$H$62,5,0)</f>
        <v>28.799999999999997</v>
      </c>
      <c r="U12" s="1">
        <f>VLOOKUP(A12,Actual_RDQ!$A$2:$H$62,6,0)</f>
        <v>74.88</v>
      </c>
      <c r="V12" s="1">
        <f>VLOOKUP(A12,Actual_RDQ!$A$2:$H$62,7,0)</f>
        <v>77.759999999999991</v>
      </c>
      <c r="W12" s="1">
        <f>VLOOKUP(A12,Actual_RDQ!$A$2:$H$62,8,0)</f>
        <v>81.216000000000022</v>
      </c>
      <c r="X12" s="109"/>
      <c r="Y12" s="109"/>
      <c r="Z12" s="109"/>
      <c r="AA12" s="109"/>
      <c r="AB12" s="109"/>
      <c r="AC12" s="109"/>
      <c r="AE12" s="88">
        <f t="shared" si="3"/>
        <v>1.2834847195357837</v>
      </c>
      <c r="AF12" s="88">
        <f t="shared" si="0"/>
        <v>1.0989544072948334</v>
      </c>
      <c r="AG12" s="88">
        <f t="shared" si="0"/>
        <v>0.21239091236927526</v>
      </c>
      <c r="AH12" s="88">
        <f t="shared" si="0"/>
        <v>1.2913108458744162</v>
      </c>
      <c r="AI12" s="88">
        <f t="shared" si="0"/>
        <v>1.5487335930476482</v>
      </c>
      <c r="AJ12" s="88">
        <f t="shared" si="0"/>
        <v>0.46123373493975944</v>
      </c>
      <c r="AK12" s="90">
        <f t="shared" si="0"/>
        <v>0</v>
      </c>
      <c r="AL12" s="90">
        <f t="shared" si="0"/>
        <v>0</v>
      </c>
      <c r="AM12" s="90">
        <f t="shared" si="0"/>
        <v>0</v>
      </c>
      <c r="AN12" s="90">
        <f t="shared" si="0"/>
        <v>0</v>
      </c>
      <c r="AO12" s="90">
        <f t="shared" si="0"/>
        <v>0</v>
      </c>
      <c r="AP12" s="90">
        <f t="shared" si="0"/>
        <v>0</v>
      </c>
      <c r="AQ12" s="88"/>
      <c r="AR12" s="90">
        <f t="shared" si="4"/>
        <v>1.2835000000000001</v>
      </c>
      <c r="AS12" s="90">
        <f t="shared" si="1"/>
        <v>1.099</v>
      </c>
      <c r="AT12" s="90">
        <f t="shared" si="1"/>
        <v>0.21240000000000001</v>
      </c>
      <c r="AU12" s="90">
        <f t="shared" si="1"/>
        <v>1.2912999999999999</v>
      </c>
      <c r="AV12" s="90">
        <f t="shared" si="1"/>
        <v>1.5487</v>
      </c>
      <c r="AW12" s="90">
        <f t="shared" si="1"/>
        <v>0.4612</v>
      </c>
      <c r="AX12" s="90">
        <f t="shared" si="1"/>
        <v>0</v>
      </c>
      <c r="AY12" s="90">
        <f t="shared" si="1"/>
        <v>0</v>
      </c>
      <c r="AZ12" s="90">
        <f t="shared" si="1"/>
        <v>0</v>
      </c>
      <c r="BA12" s="90">
        <f t="shared" si="1"/>
        <v>0</v>
      </c>
      <c r="BB12" s="90">
        <f t="shared" si="1"/>
        <v>0</v>
      </c>
      <c r="BC12" s="90">
        <f t="shared" si="1"/>
        <v>0</v>
      </c>
      <c r="BD12" s="88"/>
      <c r="BE12" s="1">
        <f>IFERROR(VLOOKUP(AR12,'Top WS'!$A$19:$C$28,3),0)</f>
        <v>520</v>
      </c>
      <c r="BF12" s="1">
        <f>IFERROR(VLOOKUP(AS12,'Top WS'!$A$19:$C$28,3),0)</f>
        <v>440</v>
      </c>
      <c r="BG12" s="1">
        <f>IFERROR(VLOOKUP(AT12,'Top WS'!$A$19:$C$28,3),0)</f>
        <v>360</v>
      </c>
      <c r="BH12" s="1">
        <f>IFERROR(VLOOKUP(AU12,'Top WS'!$A$19:$C$28,3),0)</f>
        <v>520</v>
      </c>
      <c r="BI12" s="1">
        <f>IFERROR(VLOOKUP(AV12,'Top WS'!$A$19:$C$28,3),0)</f>
        <v>520</v>
      </c>
      <c r="BJ12" s="1">
        <f>IFERROR(VLOOKUP(AW12,'Top WS'!$A$19:$C$28,3),0)</f>
        <v>360</v>
      </c>
      <c r="BK12" s="89">
        <f>IFERROR(VLOOKUP(AX12,'Top WS'!$A$19:$C$28,3),0)</f>
        <v>360</v>
      </c>
      <c r="BL12" s="89">
        <f>IFERROR(VLOOKUP(AY12,'Top WS'!$A$19:$C$28,3),0)</f>
        <v>360</v>
      </c>
      <c r="BM12" s="89">
        <f>IFERROR(VLOOKUP(AZ12,'Top WS'!$A$19:$C$28,3),0)</f>
        <v>360</v>
      </c>
      <c r="BN12" s="89">
        <f>IFERROR(VLOOKUP(BA12,'Top WS'!$A$19:$C$28,3),0)</f>
        <v>360</v>
      </c>
      <c r="BO12" s="89">
        <f>IFERROR(VLOOKUP(BB12,'Top WS'!$A$19:$C$28,3),0)</f>
        <v>360</v>
      </c>
      <c r="BP12" s="89">
        <f>IFERROR(VLOOKUP(BC12,'Top WS'!$A$19:$C$28,3),0)</f>
        <v>360</v>
      </c>
      <c r="BQ12" s="1">
        <f>SUM(BE12:BP12)</f>
        <v>4880</v>
      </c>
    </row>
    <row r="13" spans="1:69" x14ac:dyDescent="0.4">
      <c r="A13">
        <v>1190021902</v>
      </c>
      <c r="B13">
        <f>VLOOKUP(A13,'Aji Plus'!$A$2:$D$58,2,0)</f>
        <v>75835</v>
      </c>
      <c r="C13" t="str">
        <f>VLOOKUP(A13,'Aji Plus'!$A$2:$D$58,3,0)</f>
        <v>นายอนุวัฒน์ บุญจง</v>
      </c>
      <c r="D13" t="str">
        <f>VLOOKUP(A13,'Aji Plus'!$A$2:$D$58,4,0)</f>
        <v>Chiangmai</v>
      </c>
      <c r="E13" s="1">
        <v>63.678766221553488</v>
      </c>
      <c r="F13" s="1">
        <v>54.030468309196891</v>
      </c>
      <c r="G13" s="1">
        <v>164.44987775061114</v>
      </c>
      <c r="H13" s="1">
        <v>70.325371450065816</v>
      </c>
      <c r="I13" s="1">
        <v>60.8914801579838</v>
      </c>
      <c r="J13" s="1">
        <v>213.54899379349243</v>
      </c>
      <c r="K13" s="1">
        <v>63.035546360729711</v>
      </c>
      <c r="L13" s="1">
        <v>152.2287003949595</v>
      </c>
      <c r="M13" s="1">
        <v>60.462666917434603</v>
      </c>
      <c r="N13" s="1">
        <v>96.054165883016694</v>
      </c>
      <c r="O13" s="1">
        <v>73.970283994733833</v>
      </c>
      <c r="P13" s="1">
        <v>67.323678766221505</v>
      </c>
      <c r="R13" s="1">
        <f>VLOOKUP(A13,Actual_RDQ!$A$2:$H$62,3,0)</f>
        <v>28.799999999999997</v>
      </c>
      <c r="S13" s="1">
        <f>VLOOKUP(A13,Actual_RDQ!$A$2:$H$62,4,0)</f>
        <v>107.99999999999999</v>
      </c>
      <c r="T13" s="1">
        <f>VLOOKUP(A13,Actual_RDQ!$A$2:$H$62,5,0)</f>
        <v>107.136</v>
      </c>
      <c r="U13" s="1">
        <f>VLOOKUP(A13,Actual_RDQ!$A$2:$H$62,6,0)</f>
        <v>73.440000000000012</v>
      </c>
      <c r="V13" s="1">
        <f>VLOOKUP(A13,Actual_RDQ!$A$2:$H$62,7,0)</f>
        <v>149.47200000000001</v>
      </c>
      <c r="W13" s="1">
        <f>VLOOKUP(A13,Actual_RDQ!$A$2:$H$62,8,0)</f>
        <v>144</v>
      </c>
      <c r="X13" s="109"/>
      <c r="Y13" s="109"/>
      <c r="Z13" s="109"/>
      <c r="AA13" s="109"/>
      <c r="AB13" s="109"/>
      <c r="AC13" s="109"/>
      <c r="AE13" s="88">
        <f t="shared" si="3"/>
        <v>0.45227006911217449</v>
      </c>
      <c r="AF13" s="88">
        <f t="shared" si="0"/>
        <v>1.9988721804511285</v>
      </c>
      <c r="AG13" s="88">
        <f t="shared" si="0"/>
        <v>0.65148117752007173</v>
      </c>
      <c r="AH13" s="88">
        <f t="shared" si="0"/>
        <v>1.0442888318356871</v>
      </c>
      <c r="AI13" s="88">
        <f t="shared" si="0"/>
        <v>2.4547276501111948</v>
      </c>
      <c r="AJ13" s="88">
        <f t="shared" si="0"/>
        <v>0.67431832593532071</v>
      </c>
      <c r="AK13" s="90">
        <f t="shared" si="0"/>
        <v>0</v>
      </c>
      <c r="AL13" s="90">
        <f t="shared" si="0"/>
        <v>0</v>
      </c>
      <c r="AM13" s="90">
        <f t="shared" si="0"/>
        <v>0</v>
      </c>
      <c r="AN13" s="90">
        <f t="shared" si="0"/>
        <v>0</v>
      </c>
      <c r="AO13" s="90">
        <f t="shared" si="0"/>
        <v>0</v>
      </c>
      <c r="AP13" s="90">
        <f t="shared" si="0"/>
        <v>0</v>
      </c>
      <c r="AQ13" s="88"/>
      <c r="AR13" s="90">
        <f t="shared" si="4"/>
        <v>0.45229999999999998</v>
      </c>
      <c r="AS13" s="90">
        <f t="shared" si="1"/>
        <v>1.9988999999999999</v>
      </c>
      <c r="AT13" s="90">
        <f t="shared" si="1"/>
        <v>0.65149999999999997</v>
      </c>
      <c r="AU13" s="90">
        <f t="shared" si="1"/>
        <v>1.0443</v>
      </c>
      <c r="AV13" s="90">
        <f t="shared" si="1"/>
        <v>2.4546999999999999</v>
      </c>
      <c r="AW13" s="90">
        <f t="shared" si="1"/>
        <v>0.67430000000000001</v>
      </c>
      <c r="AX13" s="90">
        <f t="shared" si="1"/>
        <v>0</v>
      </c>
      <c r="AY13" s="90">
        <f t="shared" si="1"/>
        <v>0</v>
      </c>
      <c r="AZ13" s="90">
        <f t="shared" si="1"/>
        <v>0</v>
      </c>
      <c r="BA13" s="90">
        <f t="shared" si="1"/>
        <v>0</v>
      </c>
      <c r="BB13" s="90">
        <f t="shared" si="1"/>
        <v>0</v>
      </c>
      <c r="BC13" s="90">
        <f t="shared" si="1"/>
        <v>0</v>
      </c>
      <c r="BD13" s="88"/>
      <c r="BE13" s="1">
        <f>IFERROR(VLOOKUP(AR13,'Top WS'!$A$19:$C$28,3),0)</f>
        <v>360</v>
      </c>
      <c r="BF13" s="1">
        <f>IFERROR(VLOOKUP(AS13,'Top WS'!$A$19:$C$28,3),0)</f>
        <v>520</v>
      </c>
      <c r="BG13" s="1">
        <f>IFERROR(VLOOKUP(AT13,'Top WS'!$A$19:$C$28,3),0)</f>
        <v>360</v>
      </c>
      <c r="BH13" s="1">
        <f>IFERROR(VLOOKUP(AU13,'Top WS'!$A$19:$C$28,3),0)</f>
        <v>432</v>
      </c>
      <c r="BI13" s="1">
        <f>IFERROR(VLOOKUP(AV13,'Top WS'!$A$19:$C$28,3),0)</f>
        <v>520</v>
      </c>
      <c r="BJ13" s="1">
        <f>IFERROR(VLOOKUP(AW13,'Top WS'!$A$19:$C$28,3),0)</f>
        <v>360</v>
      </c>
      <c r="BK13" s="89">
        <f>IFERROR(VLOOKUP(AX13,'Top WS'!$A$19:$C$28,3),0)</f>
        <v>360</v>
      </c>
      <c r="BL13" s="89">
        <f>IFERROR(VLOOKUP(AY13,'Top WS'!$A$19:$C$28,3),0)</f>
        <v>360</v>
      </c>
      <c r="BM13" s="89">
        <f>IFERROR(VLOOKUP(AZ13,'Top WS'!$A$19:$C$28,3),0)</f>
        <v>360</v>
      </c>
      <c r="BN13" s="89">
        <f>IFERROR(VLOOKUP(BA13,'Top WS'!$A$19:$C$28,3),0)</f>
        <v>360</v>
      </c>
      <c r="BO13" s="89">
        <f>IFERROR(VLOOKUP(BB13,'Top WS'!$A$19:$C$28,3),0)</f>
        <v>360</v>
      </c>
      <c r="BP13" s="89">
        <f>IFERROR(VLOOKUP(BC13,'Top WS'!$A$19:$C$28,3),0)</f>
        <v>360</v>
      </c>
      <c r="BQ13" s="1">
        <f t="shared" si="5"/>
        <v>4712</v>
      </c>
    </row>
    <row r="14" spans="1:69" x14ac:dyDescent="0.4">
      <c r="A14">
        <v>1190022001</v>
      </c>
      <c r="B14">
        <f>VLOOKUP(A14,'Aji Plus'!$A$2:$D$58,2,0)</f>
        <v>100352</v>
      </c>
      <c r="C14" t="str">
        <f>VLOOKUP(A14,'Aji Plus'!$A$2:$D$58,3,0)</f>
        <v>นายชาตรี ขุนทอง</v>
      </c>
      <c r="D14" t="str">
        <f>VLOOKUP(A14,'Aji Plus'!$A$2:$D$58,4,0)</f>
        <v>Chiangrai</v>
      </c>
      <c r="E14" s="1">
        <v>708.84521346624012</v>
      </c>
      <c r="F14" s="1">
        <v>601.44442354711282</v>
      </c>
      <c r="G14" s="1">
        <v>1830.5867970660136</v>
      </c>
      <c r="H14" s="1">
        <v>782.83242429941686</v>
      </c>
      <c r="I14" s="1">
        <v>677.81831860071441</v>
      </c>
      <c r="J14" s="1">
        <v>2377.1374835433503</v>
      </c>
      <c r="K14" s="1">
        <v>701.68516080496499</v>
      </c>
      <c r="L14" s="1">
        <v>1694.5457965017861</v>
      </c>
      <c r="M14" s="1">
        <v>673.04495015986413</v>
      </c>
      <c r="N14" s="1">
        <v>1069.2345307504227</v>
      </c>
      <c r="O14" s="1">
        <v>823.40605604664245</v>
      </c>
      <c r="P14" s="1">
        <v>749.4188452134656</v>
      </c>
      <c r="R14" s="1">
        <f>VLOOKUP(A14,Actual_RDQ!$A$2:$H$62,3,0)</f>
        <v>474.91199999999986</v>
      </c>
      <c r="S14" s="1">
        <f>VLOOKUP(A14,Actual_RDQ!$A$2:$H$62,4,0)</f>
        <v>844.41600000000005</v>
      </c>
      <c r="T14" s="1">
        <f>VLOOKUP(A14,Actual_RDQ!$A$2:$H$62,5,0)</f>
        <v>630.43200000000013</v>
      </c>
      <c r="U14" s="1">
        <f>VLOOKUP(A14,Actual_RDQ!$A$2:$H$62,6,0)</f>
        <v>724.89600000000007</v>
      </c>
      <c r="V14" s="1">
        <f>VLOOKUP(A14,Actual_RDQ!$A$2:$H$62,7,0)</f>
        <v>724.03200000000004</v>
      </c>
      <c r="W14" s="1">
        <f>VLOOKUP(A14,Actual_RDQ!$A$2:$H$62,8,0)</f>
        <v>888.19199999999955</v>
      </c>
      <c r="X14" s="109"/>
      <c r="Y14" s="109"/>
      <c r="Z14" s="109"/>
      <c r="AA14" s="109"/>
      <c r="AB14" s="109"/>
      <c r="AC14" s="109"/>
      <c r="AE14" s="88">
        <f t="shared" si="3"/>
        <v>0.66997983618692847</v>
      </c>
      <c r="AF14" s="88">
        <f t="shared" si="0"/>
        <v>1.40398009681414</v>
      </c>
      <c r="AG14" s="88">
        <f t="shared" si="0"/>
        <v>0.34438793124173606</v>
      </c>
      <c r="AH14" s="88">
        <f t="shared" si="0"/>
        <v>0.92599128178515855</v>
      </c>
      <c r="AI14" s="88">
        <f t="shared" si="0"/>
        <v>1.0681800419538512</v>
      </c>
      <c r="AJ14" s="88">
        <f t="shared" si="0"/>
        <v>0.37363930616081348</v>
      </c>
      <c r="AK14" s="90">
        <f t="shared" si="0"/>
        <v>0</v>
      </c>
      <c r="AL14" s="90">
        <f t="shared" si="0"/>
        <v>0</v>
      </c>
      <c r="AM14" s="90">
        <f t="shared" si="0"/>
        <v>0</v>
      </c>
      <c r="AN14" s="90">
        <f t="shared" si="0"/>
        <v>0</v>
      </c>
      <c r="AO14" s="90">
        <f t="shared" si="0"/>
        <v>0</v>
      </c>
      <c r="AP14" s="90">
        <f t="shared" si="0"/>
        <v>0</v>
      </c>
      <c r="AQ14" s="88"/>
      <c r="AR14" s="90">
        <f t="shared" si="4"/>
        <v>0.67</v>
      </c>
      <c r="AS14" s="90">
        <f t="shared" si="1"/>
        <v>1.4039999999999999</v>
      </c>
      <c r="AT14" s="90">
        <f t="shared" si="1"/>
        <v>0.34439999999999998</v>
      </c>
      <c r="AU14" s="90">
        <f t="shared" si="1"/>
        <v>0.92600000000000005</v>
      </c>
      <c r="AV14" s="90">
        <f t="shared" si="1"/>
        <v>1.0682</v>
      </c>
      <c r="AW14" s="90">
        <f t="shared" si="1"/>
        <v>0.37359999999999999</v>
      </c>
      <c r="AX14" s="90">
        <f t="shared" si="1"/>
        <v>0</v>
      </c>
      <c r="AY14" s="90">
        <f t="shared" si="1"/>
        <v>0</v>
      </c>
      <c r="AZ14" s="90">
        <f t="shared" si="1"/>
        <v>0</v>
      </c>
      <c r="BA14" s="90">
        <f t="shared" si="1"/>
        <v>0</v>
      </c>
      <c r="BB14" s="90">
        <f t="shared" si="1"/>
        <v>0</v>
      </c>
      <c r="BC14" s="90">
        <f t="shared" si="1"/>
        <v>0</v>
      </c>
      <c r="BD14" s="88"/>
      <c r="BE14" s="1">
        <f>IFERROR(VLOOKUP(AR14,'Top WS'!$A$19:$C$28,3),0)</f>
        <v>360</v>
      </c>
      <c r="BF14" s="1">
        <f>IFERROR(VLOOKUP(AS14,'Top WS'!$A$19:$C$28,3),0)</f>
        <v>520</v>
      </c>
      <c r="BG14" s="1">
        <f>IFERROR(VLOOKUP(AT14,'Top WS'!$A$19:$C$28,3),0)</f>
        <v>360</v>
      </c>
      <c r="BH14" s="1">
        <f>IFERROR(VLOOKUP(AU14,'Top WS'!$A$19:$C$28,3),0)</f>
        <v>380</v>
      </c>
      <c r="BI14" s="1">
        <f>IFERROR(VLOOKUP(AV14,'Top WS'!$A$19:$C$28,3),0)</f>
        <v>440</v>
      </c>
      <c r="BJ14" s="1">
        <f>IFERROR(VLOOKUP(AW14,'Top WS'!$A$19:$C$28,3),0)</f>
        <v>360</v>
      </c>
      <c r="BK14" s="89">
        <f>IFERROR(VLOOKUP(AX14,'Top WS'!$A$19:$C$28,3),0)</f>
        <v>360</v>
      </c>
      <c r="BL14" s="89">
        <f>IFERROR(VLOOKUP(AY14,'Top WS'!$A$19:$C$28,3),0)</f>
        <v>360</v>
      </c>
      <c r="BM14" s="89">
        <f>IFERROR(VLOOKUP(AZ14,'Top WS'!$A$19:$C$28,3),0)</f>
        <v>360</v>
      </c>
      <c r="BN14" s="89">
        <f>IFERROR(VLOOKUP(BA14,'Top WS'!$A$19:$C$28,3),0)</f>
        <v>360</v>
      </c>
      <c r="BO14" s="89">
        <f>IFERROR(VLOOKUP(BB14,'Top WS'!$A$19:$C$28,3),0)</f>
        <v>360</v>
      </c>
      <c r="BP14" s="89">
        <f>IFERROR(VLOOKUP(BC14,'Top WS'!$A$19:$C$28,3),0)</f>
        <v>360</v>
      </c>
      <c r="BQ14" s="1">
        <f t="shared" si="5"/>
        <v>4580</v>
      </c>
    </row>
    <row r="15" spans="1:69" x14ac:dyDescent="0.4">
      <c r="A15">
        <v>1190022101</v>
      </c>
      <c r="B15">
        <f>VLOOKUP(A15,'Aji Plus'!$A$2:$D$58,2,0)</f>
        <v>61276</v>
      </c>
      <c r="C15" t="str">
        <f>VLOOKUP(A15,'Aji Plus'!$A$2:$D$58,3,0)</f>
        <v>นายพงษ์ศักดิ์ เวียงนาค</v>
      </c>
      <c r="D15" t="str">
        <f>VLOOKUP(A15,'Aji Plus'!$A$2:$D$58,4,0)</f>
        <v>Phrae</v>
      </c>
      <c r="E15" s="1">
        <v>181.54034229828844</v>
      </c>
      <c r="F15" s="1">
        <v>154.03422982885078</v>
      </c>
      <c r="G15" s="1">
        <v>468.82640586797038</v>
      </c>
      <c r="H15" s="1">
        <v>200.48899755501219</v>
      </c>
      <c r="I15" s="1">
        <v>173.59413202933979</v>
      </c>
      <c r="J15" s="1">
        <v>608.80195599021965</v>
      </c>
      <c r="K15" s="1">
        <v>179.70660146699259</v>
      </c>
      <c r="L15" s="1">
        <v>433.98533007334947</v>
      </c>
      <c r="M15" s="1">
        <v>172.37163814180917</v>
      </c>
      <c r="N15" s="1">
        <v>273.8386308068458</v>
      </c>
      <c r="O15" s="1">
        <v>210.8801955990219</v>
      </c>
      <c r="P15" s="1">
        <v>191.93154034229812</v>
      </c>
      <c r="R15" s="1">
        <f>VLOOKUP(A15,Actual_RDQ!$A$2:$H$62,3,0)</f>
        <v>419.3279999999998</v>
      </c>
      <c r="S15" s="1">
        <f>VLOOKUP(A15,Actual_RDQ!$A$2:$H$62,4,0)</f>
        <v>161.85600000000005</v>
      </c>
      <c r="T15" s="1">
        <f>VLOOKUP(A15,Actual_RDQ!$A$2:$H$62,5,0)</f>
        <v>252.86400000000003</v>
      </c>
      <c r="U15" s="1">
        <f>VLOOKUP(A15,Actual_RDQ!$A$2:$H$62,6,0)</f>
        <v>210.81600000000006</v>
      </c>
      <c r="V15" s="1">
        <f>VLOOKUP(A15,Actual_RDQ!$A$2:$H$62,7,0)</f>
        <v>204.48</v>
      </c>
      <c r="W15" s="1">
        <f>VLOOKUP(A15,Actual_RDQ!$A$2:$H$62,8,0)</f>
        <v>298.36799999999994</v>
      </c>
      <c r="X15" s="109"/>
      <c r="Y15" s="109"/>
      <c r="Z15" s="109"/>
      <c r="AA15" s="109"/>
      <c r="AB15" s="109"/>
      <c r="AC15" s="109"/>
      <c r="AE15" s="88">
        <f t="shared" si="3"/>
        <v>2.3098336969696969</v>
      </c>
      <c r="AF15" s="88">
        <f t="shared" si="0"/>
        <v>1.0507794285714294</v>
      </c>
      <c r="AG15" s="88">
        <f t="shared" si="0"/>
        <v>0.53935528552803169</v>
      </c>
      <c r="AH15" s="88">
        <f t="shared" si="0"/>
        <v>1.0515090731707322</v>
      </c>
      <c r="AI15" s="88">
        <f t="shared" si="0"/>
        <v>1.1779200000000003</v>
      </c>
      <c r="AJ15" s="88">
        <f t="shared" si="0"/>
        <v>0.49009040963855444</v>
      </c>
      <c r="AK15" s="90">
        <f t="shared" si="0"/>
        <v>0</v>
      </c>
      <c r="AL15" s="90">
        <f t="shared" si="0"/>
        <v>0</v>
      </c>
      <c r="AM15" s="90">
        <f t="shared" si="0"/>
        <v>0</v>
      </c>
      <c r="AN15" s="90">
        <f t="shared" si="0"/>
        <v>0</v>
      </c>
      <c r="AO15" s="90">
        <f t="shared" si="0"/>
        <v>0</v>
      </c>
      <c r="AP15" s="90">
        <f t="shared" si="0"/>
        <v>0</v>
      </c>
      <c r="AQ15" s="88"/>
      <c r="AR15" s="90">
        <f t="shared" si="4"/>
        <v>2.3098000000000001</v>
      </c>
      <c r="AS15" s="90">
        <f t="shared" si="1"/>
        <v>1.0508</v>
      </c>
      <c r="AT15" s="90">
        <f t="shared" si="1"/>
        <v>0.53939999999999999</v>
      </c>
      <c r="AU15" s="90">
        <f t="shared" si="1"/>
        <v>1.0515000000000001</v>
      </c>
      <c r="AV15" s="90">
        <f t="shared" si="1"/>
        <v>1.1778999999999999</v>
      </c>
      <c r="AW15" s="90">
        <f t="shared" si="1"/>
        <v>0.49009999999999998</v>
      </c>
      <c r="AX15" s="90">
        <f t="shared" si="1"/>
        <v>0</v>
      </c>
      <c r="AY15" s="90">
        <f t="shared" si="1"/>
        <v>0</v>
      </c>
      <c r="AZ15" s="90">
        <f t="shared" si="1"/>
        <v>0</v>
      </c>
      <c r="BA15" s="90">
        <f t="shared" si="1"/>
        <v>0</v>
      </c>
      <c r="BB15" s="90">
        <f t="shared" si="1"/>
        <v>0</v>
      </c>
      <c r="BC15" s="90">
        <f t="shared" si="1"/>
        <v>0</v>
      </c>
      <c r="BD15" s="88"/>
      <c r="BE15" s="1">
        <f>IFERROR(VLOOKUP(AR15,'Top WS'!$A$19:$C$28,3),0)</f>
        <v>520</v>
      </c>
      <c r="BF15" s="1">
        <f>IFERROR(VLOOKUP(AS15,'Top WS'!$A$19:$C$28,3),0)</f>
        <v>432</v>
      </c>
      <c r="BG15" s="1">
        <f>IFERROR(VLOOKUP(AT15,'Top WS'!$A$19:$C$28,3),0)</f>
        <v>360</v>
      </c>
      <c r="BH15" s="1">
        <f>IFERROR(VLOOKUP(AU15,'Top WS'!$A$19:$C$28,3),0)</f>
        <v>432</v>
      </c>
      <c r="BI15" s="1">
        <f>IFERROR(VLOOKUP(AV15,'Top WS'!$A$19:$C$28,3),0)</f>
        <v>480</v>
      </c>
      <c r="BJ15" s="1">
        <f>IFERROR(VLOOKUP(AW15,'Top WS'!$A$19:$C$28,3),0)</f>
        <v>360</v>
      </c>
      <c r="BK15" s="89">
        <f>IFERROR(VLOOKUP(AX15,'Top WS'!$A$19:$C$28,3),0)</f>
        <v>360</v>
      </c>
      <c r="BL15" s="89">
        <f>IFERROR(VLOOKUP(AY15,'Top WS'!$A$19:$C$28,3),0)</f>
        <v>360</v>
      </c>
      <c r="BM15" s="89">
        <f>IFERROR(VLOOKUP(AZ15,'Top WS'!$A$19:$C$28,3),0)</f>
        <v>360</v>
      </c>
      <c r="BN15" s="89">
        <f>IFERROR(VLOOKUP(BA15,'Top WS'!$A$19:$C$28,3),0)</f>
        <v>360</v>
      </c>
      <c r="BO15" s="89">
        <f>IFERROR(VLOOKUP(BB15,'Top WS'!$A$19:$C$28,3),0)</f>
        <v>360</v>
      </c>
      <c r="BP15" s="89">
        <f>IFERROR(VLOOKUP(BC15,'Top WS'!$A$19:$C$28,3),0)</f>
        <v>360</v>
      </c>
      <c r="BQ15" s="1">
        <f t="shared" si="5"/>
        <v>4744</v>
      </c>
    </row>
    <row r="16" spans="1:69" x14ac:dyDescent="0.4">
      <c r="A16">
        <v>1190022201</v>
      </c>
      <c r="B16">
        <f>VLOOKUP(A16,'Aji Plus'!$A$2:$D$58,2,0)</f>
        <v>61616</v>
      </c>
      <c r="C16" t="str">
        <f>VLOOKUP(A16,'Aji Plus'!$A$2:$D$58,3,0)</f>
        <v>นายฐิติพงศ์ ก๋าเมืองลือ</v>
      </c>
      <c r="D16" t="str">
        <f>VLOOKUP(A16,'Aji Plus'!$A$2:$D$58,4,0)</f>
        <v>Lampang</v>
      </c>
      <c r="E16" s="1">
        <v>385</v>
      </c>
      <c r="F16" s="1">
        <v>279</v>
      </c>
      <c r="G16" s="1">
        <v>285</v>
      </c>
      <c r="H16" s="1">
        <v>139</v>
      </c>
      <c r="I16" s="1">
        <v>392</v>
      </c>
      <c r="J16" s="1">
        <v>153</v>
      </c>
      <c r="K16" s="1">
        <v>236</v>
      </c>
      <c r="L16" s="1">
        <v>199</v>
      </c>
      <c r="M16" s="1">
        <v>189</v>
      </c>
      <c r="N16" s="1">
        <v>367</v>
      </c>
      <c r="O16" s="1">
        <v>178</v>
      </c>
      <c r="P16" s="1">
        <v>176</v>
      </c>
      <c r="R16" s="1">
        <f>VLOOKUP(A16,Actual_RDQ!$A$2:$H$62,3,0)</f>
        <v>199.29599999999999</v>
      </c>
      <c r="S16" s="1">
        <f>VLOOKUP(A16,Actual_RDQ!$A$2:$H$62,4,0)</f>
        <v>161.28</v>
      </c>
      <c r="T16" s="1">
        <f>VLOOKUP(A16,Actual_RDQ!$A$2:$H$62,5,0)</f>
        <v>285.69600000000003</v>
      </c>
      <c r="U16" s="1">
        <f>VLOOKUP(A16,Actual_RDQ!$A$2:$H$62,6,0)</f>
        <v>233.85599999999988</v>
      </c>
      <c r="V16" s="1">
        <f>VLOOKUP(A16,Actual_RDQ!$A$2:$H$62,7,0)</f>
        <v>296.35199999999992</v>
      </c>
      <c r="W16" s="1">
        <f>VLOOKUP(A16,Actual_RDQ!$A$2:$H$62,8,0)</f>
        <v>255.74399999999991</v>
      </c>
      <c r="X16" s="109"/>
      <c r="Y16" s="109"/>
      <c r="Z16" s="109"/>
      <c r="AA16" s="109"/>
      <c r="AB16" s="109"/>
      <c r="AC16" s="109"/>
      <c r="AE16" s="88">
        <f t="shared" si="3"/>
        <v>0.51765194805194803</v>
      </c>
      <c r="AF16" s="88">
        <f t="shared" si="0"/>
        <v>0.57806451612903231</v>
      </c>
      <c r="AG16" s="88">
        <f t="shared" si="0"/>
        <v>1.002442105263158</v>
      </c>
      <c r="AH16" s="88">
        <f t="shared" si="0"/>
        <v>1.6824172661870496</v>
      </c>
      <c r="AI16" s="88">
        <f t="shared" si="0"/>
        <v>0.75599999999999978</v>
      </c>
      <c r="AJ16" s="88">
        <f t="shared" si="0"/>
        <v>1.6715294117647053</v>
      </c>
      <c r="AK16" s="90">
        <f t="shared" si="0"/>
        <v>0</v>
      </c>
      <c r="AL16" s="90">
        <f t="shared" si="0"/>
        <v>0</v>
      </c>
      <c r="AM16" s="90">
        <f t="shared" si="0"/>
        <v>0</v>
      </c>
      <c r="AN16" s="90">
        <f t="shared" si="0"/>
        <v>0</v>
      </c>
      <c r="AO16" s="90">
        <f t="shared" si="0"/>
        <v>0</v>
      </c>
      <c r="AP16" s="90">
        <f t="shared" si="0"/>
        <v>0</v>
      </c>
      <c r="AQ16" s="88"/>
      <c r="AR16" s="90">
        <f t="shared" si="4"/>
        <v>0.51770000000000005</v>
      </c>
      <c r="AS16" s="90">
        <f t="shared" si="1"/>
        <v>0.57809999999999995</v>
      </c>
      <c r="AT16" s="90">
        <f t="shared" si="1"/>
        <v>1.0024</v>
      </c>
      <c r="AU16" s="90">
        <f t="shared" si="1"/>
        <v>1.6823999999999999</v>
      </c>
      <c r="AV16" s="90">
        <f t="shared" si="1"/>
        <v>0.75600000000000001</v>
      </c>
      <c r="AW16" s="90">
        <f t="shared" si="1"/>
        <v>1.6715</v>
      </c>
      <c r="AX16" s="90">
        <f t="shared" si="1"/>
        <v>0</v>
      </c>
      <c r="AY16" s="90">
        <f t="shared" si="1"/>
        <v>0</v>
      </c>
      <c r="AZ16" s="90">
        <f t="shared" si="1"/>
        <v>0</v>
      </c>
      <c r="BA16" s="90">
        <f t="shared" si="1"/>
        <v>0</v>
      </c>
      <c r="BB16" s="90">
        <f t="shared" si="1"/>
        <v>0</v>
      </c>
      <c r="BC16" s="90">
        <f t="shared" si="1"/>
        <v>0</v>
      </c>
      <c r="BD16" s="88"/>
      <c r="BE16" s="1">
        <f>IFERROR(VLOOKUP(AR16,'Top WS'!$A$19:$C$28,3),0)</f>
        <v>360</v>
      </c>
      <c r="BF16" s="1">
        <f>IFERROR(VLOOKUP(AS16,'Top WS'!$A$19:$C$28,3),0)</f>
        <v>360</v>
      </c>
      <c r="BG16" s="1">
        <f>IFERROR(VLOOKUP(AT16,'Top WS'!$A$19:$C$28,3),0)</f>
        <v>412</v>
      </c>
      <c r="BH16" s="1">
        <f>IFERROR(VLOOKUP(AU16,'Top WS'!$A$19:$C$28,3),0)</f>
        <v>520</v>
      </c>
      <c r="BI16" s="1">
        <f>IFERROR(VLOOKUP(AV16,'Top WS'!$A$19:$C$28,3),0)</f>
        <v>360</v>
      </c>
      <c r="BJ16" s="1">
        <f>IFERROR(VLOOKUP(AW16,'Top WS'!$A$19:$C$28,3),0)</f>
        <v>520</v>
      </c>
      <c r="BK16" s="89">
        <f>IFERROR(VLOOKUP(AX16,'Top WS'!$A$19:$C$28,3),0)</f>
        <v>360</v>
      </c>
      <c r="BL16" s="89">
        <f>IFERROR(VLOOKUP(AY16,'Top WS'!$A$19:$C$28,3),0)</f>
        <v>360</v>
      </c>
      <c r="BM16" s="89">
        <f>IFERROR(VLOOKUP(AZ16,'Top WS'!$A$19:$C$28,3),0)</f>
        <v>360</v>
      </c>
      <c r="BN16" s="89">
        <f>IFERROR(VLOOKUP(BA16,'Top WS'!$A$19:$C$28,3),0)</f>
        <v>360</v>
      </c>
      <c r="BO16" s="89">
        <f>IFERROR(VLOOKUP(BB16,'Top WS'!$A$19:$C$28,3),0)</f>
        <v>360</v>
      </c>
      <c r="BP16" s="89">
        <f>IFERROR(VLOOKUP(BC16,'Top WS'!$A$19:$C$28,3),0)</f>
        <v>360</v>
      </c>
      <c r="BQ16" s="1">
        <f t="shared" si="5"/>
        <v>4692</v>
      </c>
    </row>
    <row r="17" spans="1:69" x14ac:dyDescent="0.4">
      <c r="A17">
        <v>1190022301</v>
      </c>
      <c r="B17">
        <f>VLOOKUP(A17,'Aji Plus'!$A$2:$D$58,2,0)</f>
        <v>64151</v>
      </c>
      <c r="C17" t="str">
        <f>VLOOKUP(A17,'Aji Plus'!$A$2:$D$58,3,0)</f>
        <v>นายยุทธพร แผงไม้</v>
      </c>
      <c r="D17" t="str">
        <f>VLOOKUP(A17,'Aji Plus'!$A$2:$D$58,4,0)</f>
        <v>P.Sanulok</v>
      </c>
      <c r="E17" s="1">
        <v>200</v>
      </c>
      <c r="F17" s="1">
        <v>169</v>
      </c>
      <c r="G17" s="1">
        <v>172</v>
      </c>
      <c r="H17" s="1">
        <v>165</v>
      </c>
      <c r="I17" s="1">
        <v>308</v>
      </c>
      <c r="J17" s="1">
        <v>166</v>
      </c>
      <c r="K17" s="1">
        <v>285</v>
      </c>
      <c r="L17" s="1">
        <v>150</v>
      </c>
      <c r="M17" s="1">
        <v>184</v>
      </c>
      <c r="N17" s="1">
        <v>210</v>
      </c>
      <c r="O17" s="1">
        <v>175</v>
      </c>
      <c r="P17" s="1">
        <v>287</v>
      </c>
      <c r="R17" s="1">
        <f>VLOOKUP(A17,Actual_RDQ!$A$2:$H$62,3,0)</f>
        <v>203.32799999999997</v>
      </c>
      <c r="S17" s="1">
        <f>VLOOKUP(A17,Actual_RDQ!$A$2:$H$62,4,0)</f>
        <v>152.06399999999999</v>
      </c>
      <c r="T17" s="1">
        <f>VLOOKUP(A17,Actual_RDQ!$A$2:$H$62,5,0)</f>
        <v>142.55999999999997</v>
      </c>
      <c r="U17" s="1">
        <f>VLOOKUP(A17,Actual_RDQ!$A$2:$H$62,6,0)</f>
        <v>232.41599999999994</v>
      </c>
      <c r="V17" s="1">
        <f>VLOOKUP(A17,Actual_RDQ!$A$2:$H$62,7,0)</f>
        <v>381.88799999999981</v>
      </c>
      <c r="W17" s="1">
        <f>VLOOKUP(A17,Actual_RDQ!$A$2:$H$62,8,0)</f>
        <v>112.32000000000002</v>
      </c>
      <c r="X17" s="109"/>
      <c r="Y17" s="109"/>
      <c r="Z17" s="109"/>
      <c r="AA17" s="109"/>
      <c r="AB17" s="109"/>
      <c r="AC17" s="109"/>
      <c r="AE17" s="88">
        <f t="shared" si="3"/>
        <v>1.0166399999999998</v>
      </c>
      <c r="AF17" s="88">
        <f t="shared" si="0"/>
        <v>0.89978698224852072</v>
      </c>
      <c r="AG17" s="88">
        <f t="shared" si="0"/>
        <v>0.82883720930232541</v>
      </c>
      <c r="AH17" s="88">
        <f t="shared" si="0"/>
        <v>1.4085818181818177</v>
      </c>
      <c r="AI17" s="88">
        <f t="shared" si="0"/>
        <v>1.2398961038961032</v>
      </c>
      <c r="AJ17" s="88">
        <f t="shared" si="0"/>
        <v>0.67662650602409646</v>
      </c>
      <c r="AK17" s="90">
        <f t="shared" si="0"/>
        <v>0</v>
      </c>
      <c r="AL17" s="90">
        <f t="shared" si="0"/>
        <v>0</v>
      </c>
      <c r="AM17" s="90">
        <f t="shared" si="0"/>
        <v>0</v>
      </c>
      <c r="AN17" s="90">
        <f t="shared" si="0"/>
        <v>0</v>
      </c>
      <c r="AO17" s="90">
        <f t="shared" si="0"/>
        <v>0</v>
      </c>
      <c r="AP17" s="90">
        <f t="shared" si="0"/>
        <v>0</v>
      </c>
      <c r="AQ17" s="88"/>
      <c r="AR17" s="90">
        <f t="shared" si="4"/>
        <v>1.0165999999999999</v>
      </c>
      <c r="AS17" s="90">
        <f t="shared" si="1"/>
        <v>0.89980000000000004</v>
      </c>
      <c r="AT17" s="90">
        <f t="shared" si="1"/>
        <v>0.82879999999999998</v>
      </c>
      <c r="AU17" s="90">
        <f t="shared" si="1"/>
        <v>1.4086000000000001</v>
      </c>
      <c r="AV17" s="90">
        <f t="shared" si="1"/>
        <v>1.2399</v>
      </c>
      <c r="AW17" s="90">
        <f t="shared" si="1"/>
        <v>0.67659999999999998</v>
      </c>
      <c r="AX17" s="90">
        <f t="shared" si="1"/>
        <v>0</v>
      </c>
      <c r="AY17" s="90">
        <f t="shared" si="1"/>
        <v>0</v>
      </c>
      <c r="AZ17" s="90">
        <f t="shared" si="1"/>
        <v>0</v>
      </c>
      <c r="BA17" s="90">
        <f t="shared" si="1"/>
        <v>0</v>
      </c>
      <c r="BB17" s="90">
        <f t="shared" si="1"/>
        <v>0</v>
      </c>
      <c r="BC17" s="90">
        <f t="shared" si="1"/>
        <v>0</v>
      </c>
      <c r="BD17" s="88"/>
      <c r="BE17" s="1">
        <f>IFERROR(VLOOKUP(AR17,'Top WS'!$A$19:$C$28,3),0)</f>
        <v>412</v>
      </c>
      <c r="BF17" s="1">
        <f>IFERROR(VLOOKUP(AS17,'Top WS'!$A$19:$C$28,3),0)</f>
        <v>360</v>
      </c>
      <c r="BG17" s="1">
        <f>IFERROR(VLOOKUP(AT17,'Top WS'!$A$19:$C$28,3),0)</f>
        <v>360</v>
      </c>
      <c r="BH17" s="1">
        <f>IFERROR(VLOOKUP(AU17,'Top WS'!$A$19:$C$28,3),0)</f>
        <v>520</v>
      </c>
      <c r="BI17" s="1">
        <f>IFERROR(VLOOKUP(AV17,'Top WS'!$A$19:$C$28,3),0)</f>
        <v>520</v>
      </c>
      <c r="BJ17" s="1">
        <f>IFERROR(VLOOKUP(AW17,'Top WS'!$A$19:$C$28,3),0)</f>
        <v>360</v>
      </c>
      <c r="BK17" s="89">
        <f>IFERROR(VLOOKUP(AX17,'Top WS'!$A$19:$C$28,3),0)</f>
        <v>360</v>
      </c>
      <c r="BL17" s="89">
        <f>IFERROR(VLOOKUP(AY17,'Top WS'!$A$19:$C$28,3),0)</f>
        <v>360</v>
      </c>
      <c r="BM17" s="89">
        <f>IFERROR(VLOOKUP(AZ17,'Top WS'!$A$19:$C$28,3),0)</f>
        <v>360</v>
      </c>
      <c r="BN17" s="89">
        <f>IFERROR(VLOOKUP(BA17,'Top WS'!$A$19:$C$28,3),0)</f>
        <v>360</v>
      </c>
      <c r="BO17" s="89">
        <f>IFERROR(VLOOKUP(BB17,'Top WS'!$A$19:$C$28,3),0)</f>
        <v>360</v>
      </c>
      <c r="BP17" s="89">
        <f>IFERROR(VLOOKUP(BC17,'Top WS'!$A$19:$C$28,3),0)</f>
        <v>360</v>
      </c>
      <c r="BQ17" s="1">
        <f t="shared" si="5"/>
        <v>4692</v>
      </c>
    </row>
    <row r="18" spans="1:69" x14ac:dyDescent="0.4">
      <c r="A18">
        <v>1190022302</v>
      </c>
      <c r="B18">
        <f>VLOOKUP(A18,'Aji Plus'!$A$2:$D$58,2,0)</f>
        <v>65589</v>
      </c>
      <c r="C18" t="str">
        <f>VLOOKUP(A18,'Aji Plus'!$A$2:$D$58,3,0)</f>
        <v>นายไกรสร อิ่มเพ็ง</v>
      </c>
      <c r="D18" t="str">
        <f>VLOOKUP(A18,'Aji Plus'!$A$2:$D$58,4,0)</f>
        <v>P.Sanulok</v>
      </c>
      <c r="E18" s="1">
        <v>235</v>
      </c>
      <c r="F18" s="1">
        <v>199</v>
      </c>
      <c r="G18" s="1">
        <v>202</v>
      </c>
      <c r="H18" s="1">
        <v>194</v>
      </c>
      <c r="I18" s="1">
        <v>363</v>
      </c>
      <c r="J18" s="1">
        <v>195</v>
      </c>
      <c r="K18" s="1">
        <v>200</v>
      </c>
      <c r="L18" s="1">
        <v>177</v>
      </c>
      <c r="M18" s="1">
        <v>261</v>
      </c>
      <c r="N18" s="1">
        <v>247</v>
      </c>
      <c r="O18" s="1">
        <v>206</v>
      </c>
      <c r="P18" s="1">
        <v>217</v>
      </c>
      <c r="R18" s="1">
        <f>VLOOKUP(A18,Actual_RDQ!$A$2:$H$62,3,0)</f>
        <v>36.864000000000004</v>
      </c>
      <c r="S18" s="1">
        <f>VLOOKUP(A18,Actual_RDQ!$A$2:$H$62,4,0)</f>
        <v>357.12000000000006</v>
      </c>
      <c r="T18" s="1">
        <f>VLOOKUP(A18,Actual_RDQ!$A$2:$H$62,5,0)</f>
        <v>292.03199999999998</v>
      </c>
      <c r="U18" s="1">
        <f>VLOOKUP(A18,Actual_RDQ!$A$2:$H$62,6,0)</f>
        <v>124.992</v>
      </c>
      <c r="V18" s="1">
        <f>VLOOKUP(A18,Actual_RDQ!$A$2:$H$62,7,0)</f>
        <v>150.91200000000003</v>
      </c>
      <c r="W18" s="1">
        <f>VLOOKUP(A18,Actual_RDQ!$A$2:$H$62,8,0)</f>
        <v>310.46399999999983</v>
      </c>
      <c r="X18" s="109"/>
      <c r="Y18" s="109"/>
      <c r="Z18" s="109"/>
      <c r="AA18" s="109"/>
      <c r="AB18" s="109"/>
      <c r="AC18" s="109"/>
      <c r="AE18" s="88">
        <f t="shared" si="3"/>
        <v>0.156868085106383</v>
      </c>
      <c r="AF18" s="88">
        <f t="shared" si="3"/>
        <v>1.7945728643216083</v>
      </c>
      <c r="AG18" s="88">
        <f t="shared" si="3"/>
        <v>1.4457029702970297</v>
      </c>
      <c r="AH18" s="88">
        <f t="shared" si="3"/>
        <v>0.64428865979381444</v>
      </c>
      <c r="AI18" s="88">
        <f t="shared" si="3"/>
        <v>0.41573553719008272</v>
      </c>
      <c r="AJ18" s="88">
        <f t="shared" si="3"/>
        <v>1.5921230769230761</v>
      </c>
      <c r="AK18" s="90">
        <f t="shared" si="3"/>
        <v>0</v>
      </c>
      <c r="AL18" s="90">
        <f t="shared" si="3"/>
        <v>0</v>
      </c>
      <c r="AM18" s="90">
        <f t="shared" si="3"/>
        <v>0</v>
      </c>
      <c r="AN18" s="90">
        <f t="shared" si="3"/>
        <v>0</v>
      </c>
      <c r="AO18" s="90">
        <f t="shared" si="3"/>
        <v>0</v>
      </c>
      <c r="AP18" s="90">
        <f t="shared" si="3"/>
        <v>0</v>
      </c>
      <c r="AQ18" s="88"/>
      <c r="AR18" s="90">
        <f t="shared" si="4"/>
        <v>0.15690000000000001</v>
      </c>
      <c r="AS18" s="90">
        <f t="shared" si="4"/>
        <v>1.7946</v>
      </c>
      <c r="AT18" s="90">
        <f t="shared" si="4"/>
        <v>1.4457</v>
      </c>
      <c r="AU18" s="90">
        <f t="shared" si="4"/>
        <v>0.64429999999999998</v>
      </c>
      <c r="AV18" s="90">
        <f t="shared" si="4"/>
        <v>0.41570000000000001</v>
      </c>
      <c r="AW18" s="90">
        <f t="shared" si="4"/>
        <v>1.5921000000000001</v>
      </c>
      <c r="AX18" s="90">
        <f t="shared" si="4"/>
        <v>0</v>
      </c>
      <c r="AY18" s="90">
        <f t="shared" si="4"/>
        <v>0</v>
      </c>
      <c r="AZ18" s="90">
        <f t="shared" si="4"/>
        <v>0</v>
      </c>
      <c r="BA18" s="90">
        <f t="shared" si="4"/>
        <v>0</v>
      </c>
      <c r="BB18" s="90">
        <f t="shared" si="4"/>
        <v>0</v>
      </c>
      <c r="BC18" s="90">
        <f t="shared" si="4"/>
        <v>0</v>
      </c>
      <c r="BD18" s="88"/>
      <c r="BE18" s="1">
        <f>IFERROR(VLOOKUP(AR18,'Top WS'!$A$19:$C$28,3),0)</f>
        <v>360</v>
      </c>
      <c r="BF18" s="1">
        <f>IFERROR(VLOOKUP(AS18,'Top WS'!$A$19:$C$28,3),0)</f>
        <v>520</v>
      </c>
      <c r="BG18" s="1">
        <f>IFERROR(VLOOKUP(AT18,'Top WS'!$A$19:$C$28,3),0)</f>
        <v>520</v>
      </c>
      <c r="BH18" s="1">
        <f>IFERROR(VLOOKUP(AU18,'Top WS'!$A$19:$C$28,3),0)</f>
        <v>360</v>
      </c>
      <c r="BI18" s="1">
        <f>IFERROR(VLOOKUP(AV18,'Top WS'!$A$19:$C$28,3),0)</f>
        <v>360</v>
      </c>
      <c r="BJ18" s="1">
        <f>IFERROR(VLOOKUP(AW18,'Top WS'!$A$19:$C$28,3),0)</f>
        <v>520</v>
      </c>
      <c r="BK18" s="89">
        <f>IFERROR(VLOOKUP(AX18,'Top WS'!$A$19:$C$28,3),0)</f>
        <v>360</v>
      </c>
      <c r="BL18" s="89">
        <f>IFERROR(VLOOKUP(AY18,'Top WS'!$A$19:$C$28,3),0)</f>
        <v>360</v>
      </c>
      <c r="BM18" s="89">
        <f>IFERROR(VLOOKUP(AZ18,'Top WS'!$A$19:$C$28,3),0)</f>
        <v>360</v>
      </c>
      <c r="BN18" s="89">
        <f>IFERROR(VLOOKUP(BA18,'Top WS'!$A$19:$C$28,3),0)</f>
        <v>360</v>
      </c>
      <c r="BO18" s="89">
        <f>IFERROR(VLOOKUP(BB18,'Top WS'!$A$19:$C$28,3),0)</f>
        <v>360</v>
      </c>
      <c r="BP18" s="89">
        <f>IFERROR(VLOOKUP(BC18,'Top WS'!$A$19:$C$28,3),0)</f>
        <v>360</v>
      </c>
      <c r="BQ18" s="1">
        <f t="shared" si="5"/>
        <v>4800</v>
      </c>
    </row>
    <row r="19" spans="1:69" x14ac:dyDescent="0.4">
      <c r="A19">
        <v>1190022401</v>
      </c>
      <c r="B19">
        <f>VLOOKUP(A19,'Aji Plus'!$A$2:$D$58,2,0)</f>
        <v>75673</v>
      </c>
      <c r="C19" t="str">
        <f>VLOOKUP(A19,'Aji Plus'!$A$2:$D$58,3,0)</f>
        <v>นายพิเชษฐ เพชรสันทัด</v>
      </c>
      <c r="D19" t="str">
        <f>VLOOKUP(A19,'Aji Plus'!$A$2:$D$58,4,0)</f>
        <v>N.Sawan</v>
      </c>
      <c r="E19" s="1">
        <v>152.5010241900132</v>
      </c>
      <c r="F19" s="1">
        <v>129.44245008568123</v>
      </c>
      <c r="G19" s="1">
        <v>131.22424899374329</v>
      </c>
      <c r="H19" s="1">
        <v>125.94872673654002</v>
      </c>
      <c r="I19" s="1">
        <v>235.6167026660822</v>
      </c>
      <c r="J19" s="1">
        <v>126.61253417287685</v>
      </c>
      <c r="K19" s="1">
        <v>217.79871358546208</v>
      </c>
      <c r="L19" s="1">
        <v>114.62906308532257</v>
      </c>
      <c r="M19" s="1">
        <v>237.15394093970428</v>
      </c>
      <c r="N19" s="1">
        <v>160.50165065954647</v>
      </c>
      <c r="O19" s="1">
        <v>133.5650436376678</v>
      </c>
      <c r="P19" s="1">
        <v>140.83198820388154</v>
      </c>
      <c r="R19" s="1">
        <f>VLOOKUP(A19,Actual_RDQ!$A$2:$H$62,3,0)</f>
        <v>124.41600000000001</v>
      </c>
      <c r="S19" s="1">
        <f>VLOOKUP(A19,Actual_RDQ!$A$2:$H$62,4,0)</f>
        <v>83.52</v>
      </c>
      <c r="T19" s="1">
        <f>VLOOKUP(A19,Actual_RDQ!$A$2:$H$62,5,0)</f>
        <v>182.01600000000005</v>
      </c>
      <c r="U19" s="1">
        <f>VLOOKUP(A19,Actual_RDQ!$A$2:$H$62,6,0)</f>
        <v>138.816</v>
      </c>
      <c r="V19" s="1">
        <f>VLOOKUP(A19,Actual_RDQ!$A$2:$H$62,7,0)</f>
        <v>206.20800000000003</v>
      </c>
      <c r="W19" s="1">
        <f>VLOOKUP(A19,Actual_RDQ!$A$2:$H$62,8,0)</f>
        <v>286.84800000000001</v>
      </c>
      <c r="X19" s="109"/>
      <c r="Y19" s="109"/>
      <c r="Z19" s="109"/>
      <c r="AA19" s="109"/>
      <c r="AB19" s="109"/>
      <c r="AC19" s="109"/>
      <c r="AE19" s="88">
        <f t="shared" si="3"/>
        <v>0.81583714378849148</v>
      </c>
      <c r="AF19" s="88">
        <f t="shared" si="3"/>
        <v>0.64522882520159341</v>
      </c>
      <c r="AG19" s="88">
        <f t="shared" si="3"/>
        <v>1.3870607101640071</v>
      </c>
      <c r="AH19" s="88">
        <f t="shared" si="3"/>
        <v>1.1021627895482879</v>
      </c>
      <c r="AI19" s="88">
        <f t="shared" si="3"/>
        <v>0.87518413451460431</v>
      </c>
      <c r="AJ19" s="88">
        <f t="shared" si="3"/>
        <v>2.2655576864794251</v>
      </c>
      <c r="AK19" s="90">
        <f t="shared" si="3"/>
        <v>0</v>
      </c>
      <c r="AL19" s="90">
        <f t="shared" si="3"/>
        <v>0</v>
      </c>
      <c r="AM19" s="90">
        <f t="shared" si="3"/>
        <v>0</v>
      </c>
      <c r="AN19" s="90">
        <f t="shared" si="3"/>
        <v>0</v>
      </c>
      <c r="AO19" s="90">
        <f t="shared" si="3"/>
        <v>0</v>
      </c>
      <c r="AP19" s="90">
        <f t="shared" si="3"/>
        <v>0</v>
      </c>
      <c r="AQ19" s="88"/>
      <c r="AR19" s="90">
        <f t="shared" si="4"/>
        <v>0.81579999999999997</v>
      </c>
      <c r="AS19" s="90">
        <f t="shared" si="4"/>
        <v>0.6452</v>
      </c>
      <c r="AT19" s="90">
        <f t="shared" si="4"/>
        <v>1.3871</v>
      </c>
      <c r="AU19" s="90">
        <f t="shared" si="4"/>
        <v>1.1022000000000001</v>
      </c>
      <c r="AV19" s="90">
        <f t="shared" si="4"/>
        <v>0.87519999999999998</v>
      </c>
      <c r="AW19" s="90">
        <f t="shared" si="4"/>
        <v>2.2656000000000001</v>
      </c>
      <c r="AX19" s="90">
        <f t="shared" si="4"/>
        <v>0</v>
      </c>
      <c r="AY19" s="90">
        <f t="shared" si="4"/>
        <v>0</v>
      </c>
      <c r="AZ19" s="90">
        <f t="shared" si="4"/>
        <v>0</v>
      </c>
      <c r="BA19" s="90">
        <f t="shared" si="4"/>
        <v>0</v>
      </c>
      <c r="BB19" s="90">
        <f t="shared" si="4"/>
        <v>0</v>
      </c>
      <c r="BC19" s="90">
        <f t="shared" si="4"/>
        <v>0</v>
      </c>
      <c r="BD19" s="88"/>
      <c r="BE19" s="1">
        <f>IFERROR(VLOOKUP(AR19,'Top WS'!$A$19:$C$28,3),0)</f>
        <v>360</v>
      </c>
      <c r="BF19" s="1">
        <f>IFERROR(VLOOKUP(AS19,'Top WS'!$A$19:$C$28,3),0)</f>
        <v>360</v>
      </c>
      <c r="BG19" s="1">
        <f>IFERROR(VLOOKUP(AT19,'Top WS'!$A$19:$C$28,3),0)</f>
        <v>520</v>
      </c>
      <c r="BH19" s="1">
        <f>IFERROR(VLOOKUP(AU19,'Top WS'!$A$19:$C$28,3),0)</f>
        <v>460</v>
      </c>
      <c r="BI19" s="1">
        <f>IFERROR(VLOOKUP(AV19,'Top WS'!$A$19:$C$28,3),0)</f>
        <v>360</v>
      </c>
      <c r="BJ19" s="1">
        <f>IFERROR(VLOOKUP(AW19,'Top WS'!$A$19:$C$28,3),0)</f>
        <v>520</v>
      </c>
      <c r="BK19" s="89">
        <f>IFERROR(VLOOKUP(AX19,'Top WS'!$A$19:$C$28,3),0)</f>
        <v>360</v>
      </c>
      <c r="BL19" s="89">
        <f>IFERROR(VLOOKUP(AY19,'Top WS'!$A$19:$C$28,3),0)</f>
        <v>360</v>
      </c>
      <c r="BM19" s="89">
        <f>IFERROR(VLOOKUP(AZ19,'Top WS'!$A$19:$C$28,3),0)</f>
        <v>360</v>
      </c>
      <c r="BN19" s="89">
        <f>IFERROR(VLOOKUP(BA19,'Top WS'!$A$19:$C$28,3),0)</f>
        <v>360</v>
      </c>
      <c r="BO19" s="89">
        <f>IFERROR(VLOOKUP(BB19,'Top WS'!$A$19:$C$28,3),0)</f>
        <v>360</v>
      </c>
      <c r="BP19" s="89">
        <f>IFERROR(VLOOKUP(BC19,'Top WS'!$A$19:$C$28,3),0)</f>
        <v>360</v>
      </c>
      <c r="BQ19" s="1">
        <f t="shared" si="5"/>
        <v>4740</v>
      </c>
    </row>
    <row r="20" spans="1:69" x14ac:dyDescent="0.4">
      <c r="A20">
        <v>1190022402</v>
      </c>
      <c r="B20">
        <f>VLOOKUP(A20,'Aji Plus'!$A$2:$D$58,2,0)</f>
        <v>63074</v>
      </c>
      <c r="C20" t="str">
        <f>VLOOKUP(A20,'Aji Plus'!$A$2:$D$58,3,0)</f>
        <v>นายวีรยุทธ ตันพงษ์</v>
      </c>
      <c r="D20" t="str">
        <f>VLOOKUP(A20,'Aji Plus'!$A$2:$D$58,4,0)</f>
        <v>N.Sawan</v>
      </c>
      <c r="E20" s="1">
        <v>95.555804407603759</v>
      </c>
      <c r="F20" s="1">
        <v>81.107504084804518</v>
      </c>
      <c r="G20" s="1">
        <v>82.223963655202667</v>
      </c>
      <c r="H20" s="1">
        <v>78.91836767225918</v>
      </c>
      <c r="I20" s="1">
        <v>147.6353596620572</v>
      </c>
      <c r="J20" s="1">
        <v>79.33430359064279</v>
      </c>
      <c r="K20" s="1">
        <v>136.47076395807596</v>
      </c>
      <c r="L20" s="1">
        <v>71.825565695612312</v>
      </c>
      <c r="M20" s="1">
        <v>148.5985796835771</v>
      </c>
      <c r="N20" s="1">
        <v>100.56892679233253</v>
      </c>
      <c r="O20" s="1">
        <v>83.690685051607986</v>
      </c>
      <c r="P20" s="1">
        <v>88.244088789702303</v>
      </c>
      <c r="R20" s="1">
        <f>VLOOKUP(A20,Actual_RDQ!$A$2:$H$62,3,0)</f>
        <v>124.41600000000001</v>
      </c>
      <c r="S20" s="1">
        <f>VLOOKUP(A20,Actual_RDQ!$A$2:$H$62,4,0)</f>
        <v>84.095999999999989</v>
      </c>
      <c r="T20" s="1">
        <f>VLOOKUP(A20,Actual_RDQ!$A$2:$H$62,5,0)</f>
        <v>31.68</v>
      </c>
      <c r="U20" s="1">
        <f>VLOOKUP(A20,Actual_RDQ!$A$2:$H$62,6,0)</f>
        <v>103.68</v>
      </c>
      <c r="V20" s="1">
        <f>VLOOKUP(A20,Actual_RDQ!$A$2:$H$62,7,0)</f>
        <v>47.231999999999999</v>
      </c>
      <c r="W20" s="1">
        <f>VLOOKUP(A20,Actual_RDQ!$A$2:$H$62,8,0)</f>
        <v>81.215999999999994</v>
      </c>
      <c r="X20" s="109"/>
      <c r="Y20" s="109"/>
      <c r="Z20" s="109"/>
      <c r="AA20" s="109"/>
      <c r="AB20" s="109"/>
      <c r="AC20" s="109"/>
      <c r="AE20" s="88">
        <f t="shared" si="3"/>
        <v>1.3020245161590596</v>
      </c>
      <c r="AF20" s="88">
        <f t="shared" si="3"/>
        <v>1.0368461087406999</v>
      </c>
      <c r="AG20" s="88">
        <f t="shared" si="3"/>
        <v>0.38528913703122691</v>
      </c>
      <c r="AH20" s="88">
        <f t="shared" si="3"/>
        <v>1.3137626012561947</v>
      </c>
      <c r="AI20" s="88">
        <f t="shared" si="3"/>
        <v>0.31992335784676379</v>
      </c>
      <c r="AJ20" s="88">
        <f t="shared" si="3"/>
        <v>1.0237185722215016</v>
      </c>
      <c r="AK20" s="90">
        <f t="shared" si="3"/>
        <v>0</v>
      </c>
      <c r="AL20" s="90">
        <f t="shared" si="3"/>
        <v>0</v>
      </c>
      <c r="AM20" s="90">
        <f t="shared" si="3"/>
        <v>0</v>
      </c>
      <c r="AN20" s="90">
        <f t="shared" si="3"/>
        <v>0</v>
      </c>
      <c r="AO20" s="90">
        <f t="shared" si="3"/>
        <v>0</v>
      </c>
      <c r="AP20" s="90">
        <f t="shared" si="3"/>
        <v>0</v>
      </c>
      <c r="AQ20" s="88"/>
      <c r="AR20" s="90">
        <f t="shared" si="4"/>
        <v>1.302</v>
      </c>
      <c r="AS20" s="90">
        <f t="shared" si="4"/>
        <v>1.0367999999999999</v>
      </c>
      <c r="AT20" s="90">
        <f t="shared" si="4"/>
        <v>0.38529999999999998</v>
      </c>
      <c r="AU20" s="90">
        <f t="shared" si="4"/>
        <v>1.3138000000000001</v>
      </c>
      <c r="AV20" s="90">
        <f t="shared" si="4"/>
        <v>0.31990000000000002</v>
      </c>
      <c r="AW20" s="90">
        <f t="shared" si="4"/>
        <v>1.0237000000000001</v>
      </c>
      <c r="AX20" s="90">
        <f t="shared" si="4"/>
        <v>0</v>
      </c>
      <c r="AY20" s="90">
        <f t="shared" si="4"/>
        <v>0</v>
      </c>
      <c r="AZ20" s="90">
        <f t="shared" si="4"/>
        <v>0</v>
      </c>
      <c r="BA20" s="90">
        <f t="shared" si="4"/>
        <v>0</v>
      </c>
      <c r="BB20" s="90">
        <f t="shared" si="4"/>
        <v>0</v>
      </c>
      <c r="BC20" s="90">
        <f t="shared" si="4"/>
        <v>0</v>
      </c>
      <c r="BD20" s="88"/>
      <c r="BE20" s="1">
        <f>IFERROR(VLOOKUP(AR20,'Top WS'!$A$19:$C$28,3),0)</f>
        <v>520</v>
      </c>
      <c r="BF20" s="1">
        <f>IFERROR(VLOOKUP(AS20,'Top WS'!$A$19:$C$28,3),0)</f>
        <v>432</v>
      </c>
      <c r="BG20" s="1">
        <f>IFERROR(VLOOKUP(AT20,'Top WS'!$A$19:$C$28,3),0)</f>
        <v>360</v>
      </c>
      <c r="BH20" s="1">
        <f>IFERROR(VLOOKUP(AU20,'Top WS'!$A$19:$C$28,3),0)</f>
        <v>520</v>
      </c>
      <c r="BI20" s="1">
        <f>IFERROR(VLOOKUP(AV20,'Top WS'!$A$19:$C$28,3),0)</f>
        <v>360</v>
      </c>
      <c r="BJ20" s="1">
        <f>IFERROR(VLOOKUP(AW20,'Top WS'!$A$19:$C$28,3),0)</f>
        <v>412</v>
      </c>
      <c r="BK20" s="89">
        <f>IFERROR(VLOOKUP(AX20,'Top WS'!$A$19:$C$28,3),0)</f>
        <v>360</v>
      </c>
      <c r="BL20" s="89">
        <f>IFERROR(VLOOKUP(AY20,'Top WS'!$A$19:$C$28,3),0)</f>
        <v>360</v>
      </c>
      <c r="BM20" s="89">
        <f>IFERROR(VLOOKUP(AZ20,'Top WS'!$A$19:$C$28,3),0)</f>
        <v>360</v>
      </c>
      <c r="BN20" s="89">
        <f>IFERROR(VLOOKUP(BA20,'Top WS'!$A$19:$C$28,3),0)</f>
        <v>360</v>
      </c>
      <c r="BO20" s="89">
        <f>IFERROR(VLOOKUP(BB20,'Top WS'!$A$19:$C$28,3),0)</f>
        <v>360</v>
      </c>
      <c r="BP20" s="89">
        <f>IFERROR(VLOOKUP(BC20,'Top WS'!$A$19:$C$28,3),0)</f>
        <v>360</v>
      </c>
      <c r="BQ20" s="1">
        <f t="shared" si="5"/>
        <v>4764</v>
      </c>
    </row>
    <row r="21" spans="1:69" x14ac:dyDescent="0.4">
      <c r="A21">
        <v>1190022510</v>
      </c>
      <c r="B21">
        <f>VLOOKUP(A21,'Aji Plus'!$A$2:$D$58,2,0)</f>
        <v>60961</v>
      </c>
      <c r="C21" t="str">
        <f>VLOOKUP(A21,'Aji Plus'!$A$2:$D$58,3,0)</f>
        <v>นายสิงหา แสนโดด</v>
      </c>
      <c r="D21" t="str">
        <f>VLOOKUP(A21,'Aji Plus'!$A$2:$D$58,4,0)</f>
        <v>Kampeng.P</v>
      </c>
      <c r="E21" s="1">
        <v>164.83776351970673</v>
      </c>
      <c r="F21" s="1">
        <v>200</v>
      </c>
      <c r="G21" s="1">
        <v>200</v>
      </c>
      <c r="H21" s="1">
        <v>200</v>
      </c>
      <c r="I21" s="1">
        <v>254.67717690192487</v>
      </c>
      <c r="J21" s="1">
        <v>200</v>
      </c>
      <c r="K21" s="1">
        <v>235.41778185151236</v>
      </c>
      <c r="L21" s="1">
        <v>200</v>
      </c>
      <c r="M21" s="1">
        <v>238</v>
      </c>
      <c r="N21" s="1">
        <v>200</v>
      </c>
      <c r="O21" s="1">
        <v>144.36993583868002</v>
      </c>
      <c r="P21" s="1">
        <v>152.22474793767182</v>
      </c>
      <c r="R21" s="1">
        <f>VLOOKUP(A21,Actual_RDQ!$A$2:$H$62,3,0)</f>
        <v>157.82400000000001</v>
      </c>
      <c r="S21" s="1">
        <f>VLOOKUP(A21,Actual_RDQ!$A$2:$H$62,4,0)</f>
        <v>88.703999999999994</v>
      </c>
      <c r="T21" s="1">
        <f>VLOOKUP(A21,Actual_RDQ!$A$2:$H$62,5,0)</f>
        <v>206.208</v>
      </c>
      <c r="U21" s="1">
        <f>VLOOKUP(A21,Actual_RDQ!$A$2:$H$62,6,0)</f>
        <v>125.568</v>
      </c>
      <c r="V21" s="1">
        <f>VLOOKUP(A21,Actual_RDQ!$A$2:$H$62,7,0)</f>
        <v>188.92799999999994</v>
      </c>
      <c r="W21" s="1">
        <f>VLOOKUP(A21,Actual_RDQ!$A$2:$H$62,8,0)</f>
        <v>207.35999999999999</v>
      </c>
      <c r="X21" s="109"/>
      <c r="Y21" s="109"/>
      <c r="Z21" s="109"/>
      <c r="AA21" s="109"/>
      <c r="AB21" s="109"/>
      <c r="AC21" s="109"/>
      <c r="AE21" s="88">
        <f t="shared" si="3"/>
        <v>0.95745050545490928</v>
      </c>
      <c r="AF21" s="88">
        <f t="shared" si="3"/>
        <v>0.44351999999999997</v>
      </c>
      <c r="AG21" s="88">
        <f t="shared" si="3"/>
        <v>1.03104</v>
      </c>
      <c r="AH21" s="88">
        <f t="shared" si="3"/>
        <v>0.62783999999999995</v>
      </c>
      <c r="AI21" s="88">
        <f t="shared" si="3"/>
        <v>0.74183325847355119</v>
      </c>
      <c r="AJ21" s="88">
        <f t="shared" si="3"/>
        <v>1.0367999999999999</v>
      </c>
      <c r="AK21" s="90">
        <f t="shared" si="3"/>
        <v>0</v>
      </c>
      <c r="AL21" s="90">
        <f t="shared" si="3"/>
        <v>0</v>
      </c>
      <c r="AM21" s="90">
        <f t="shared" si="3"/>
        <v>0</v>
      </c>
      <c r="AN21" s="90">
        <f t="shared" si="3"/>
        <v>0</v>
      </c>
      <c r="AO21" s="90">
        <f t="shared" si="3"/>
        <v>0</v>
      </c>
      <c r="AP21" s="90">
        <f t="shared" si="3"/>
        <v>0</v>
      </c>
      <c r="AQ21" s="88"/>
      <c r="AR21" s="90">
        <f t="shared" si="4"/>
        <v>0.95750000000000002</v>
      </c>
      <c r="AS21" s="90">
        <f t="shared" si="4"/>
        <v>0.44350000000000001</v>
      </c>
      <c r="AT21" s="90">
        <f t="shared" si="4"/>
        <v>1.0309999999999999</v>
      </c>
      <c r="AU21" s="90">
        <f t="shared" si="4"/>
        <v>0.62780000000000002</v>
      </c>
      <c r="AV21" s="90">
        <f t="shared" si="4"/>
        <v>0.74180000000000001</v>
      </c>
      <c r="AW21" s="90">
        <f t="shared" si="4"/>
        <v>1.0367999999999999</v>
      </c>
      <c r="AX21" s="90">
        <f t="shared" si="4"/>
        <v>0</v>
      </c>
      <c r="AY21" s="90">
        <f t="shared" si="4"/>
        <v>0</v>
      </c>
      <c r="AZ21" s="90">
        <f t="shared" si="4"/>
        <v>0</v>
      </c>
      <c r="BA21" s="90">
        <f t="shared" si="4"/>
        <v>0</v>
      </c>
      <c r="BB21" s="90">
        <f t="shared" si="4"/>
        <v>0</v>
      </c>
      <c r="BC21" s="90">
        <f t="shared" si="4"/>
        <v>0</v>
      </c>
      <c r="BD21" s="88"/>
      <c r="BE21" s="1">
        <f>IFERROR(VLOOKUP(AR21,'Top WS'!$A$19:$C$28,3),0)</f>
        <v>400</v>
      </c>
      <c r="BF21" s="1">
        <f>IFERROR(VLOOKUP(AS21,'Top WS'!$A$19:$C$28,3),0)</f>
        <v>360</v>
      </c>
      <c r="BG21" s="1">
        <f>IFERROR(VLOOKUP(AT21,'Top WS'!$A$19:$C$28,3),0)</f>
        <v>432</v>
      </c>
      <c r="BH21" s="1">
        <f>IFERROR(VLOOKUP(AU21,'Top WS'!$A$19:$C$28,3),0)</f>
        <v>360</v>
      </c>
      <c r="BI21" s="1">
        <f>IFERROR(VLOOKUP(AV21,'Top WS'!$A$19:$C$28,3),0)</f>
        <v>360</v>
      </c>
      <c r="BJ21" s="1">
        <f>IFERROR(VLOOKUP(AW21,'Top WS'!$A$19:$C$28,3),0)</f>
        <v>432</v>
      </c>
      <c r="BK21" s="89">
        <f>IFERROR(VLOOKUP(AX21,'Top WS'!$A$19:$C$28,3),0)</f>
        <v>360</v>
      </c>
      <c r="BL21" s="89">
        <f>IFERROR(VLOOKUP(AY21,'Top WS'!$A$19:$C$28,3),0)</f>
        <v>360</v>
      </c>
      <c r="BM21" s="89">
        <f>IFERROR(VLOOKUP(AZ21,'Top WS'!$A$19:$C$28,3),0)</f>
        <v>360</v>
      </c>
      <c r="BN21" s="89">
        <f>IFERROR(VLOOKUP(BA21,'Top WS'!$A$19:$C$28,3),0)</f>
        <v>360</v>
      </c>
      <c r="BO21" s="89">
        <f>IFERROR(VLOOKUP(BB21,'Top WS'!$A$19:$C$28,3),0)</f>
        <v>360</v>
      </c>
      <c r="BP21" s="89">
        <f>IFERROR(VLOOKUP(BC21,'Top WS'!$A$19:$C$28,3),0)</f>
        <v>360</v>
      </c>
      <c r="BQ21" s="1">
        <f t="shared" si="5"/>
        <v>4504</v>
      </c>
    </row>
    <row r="22" spans="1:69" x14ac:dyDescent="0.4">
      <c r="A22">
        <v>1190027101</v>
      </c>
      <c r="B22">
        <f>VLOOKUP(A22,'Aji Plus'!$A$2:$D$58,2,0)</f>
        <v>70526</v>
      </c>
      <c r="C22" t="str">
        <f>VLOOKUP(A22,'Aji Plus'!$A$2:$D$58,3,0)</f>
        <v>นายสมฤกษ นิลสนธิ์</v>
      </c>
      <c r="D22" t="str">
        <f>VLOOKUP(A22,'Aji Plus'!$A$2:$D$58,4,0)</f>
        <v>Tak</v>
      </c>
      <c r="E22" s="1">
        <v>513</v>
      </c>
      <c r="F22" s="1">
        <v>435</v>
      </c>
      <c r="G22" s="1">
        <v>441</v>
      </c>
      <c r="H22" s="1">
        <v>424</v>
      </c>
      <c r="I22" s="1">
        <v>792</v>
      </c>
      <c r="J22" s="1">
        <v>426</v>
      </c>
      <c r="K22" s="1">
        <v>733</v>
      </c>
      <c r="L22" s="1">
        <v>386</v>
      </c>
      <c r="M22" s="1">
        <v>798</v>
      </c>
      <c r="N22" s="1">
        <v>540</v>
      </c>
      <c r="O22" s="1">
        <v>449</v>
      </c>
      <c r="P22" s="1">
        <v>473</v>
      </c>
      <c r="R22" s="1">
        <f>VLOOKUP(A22,Actual_RDQ!$A$2:$H$62,3,0)</f>
        <v>1380.6719999999996</v>
      </c>
      <c r="S22" s="1">
        <f>VLOOKUP(A22,Actual_RDQ!$A$2:$H$62,4,0)</f>
        <v>228.95999999999998</v>
      </c>
      <c r="T22" s="1">
        <f>VLOOKUP(A22,Actual_RDQ!$A$2:$H$62,5,0)</f>
        <v>260.35199999999998</v>
      </c>
      <c r="U22" s="1">
        <f>VLOOKUP(A22,Actual_RDQ!$A$2:$H$62,6,0)</f>
        <v>553.53599999999983</v>
      </c>
      <c r="V22" s="1">
        <f>VLOOKUP(A22,Actual_RDQ!$A$2:$H$62,7,0)</f>
        <v>176.54400000000001</v>
      </c>
      <c r="W22" s="1">
        <f>VLOOKUP(A22,Actual_RDQ!$A$2:$H$62,8,0)</f>
        <v>734.39999999999952</v>
      </c>
      <c r="X22" s="109"/>
      <c r="Y22" s="109"/>
      <c r="Z22" s="109"/>
      <c r="AA22" s="109"/>
      <c r="AB22" s="109"/>
      <c r="AC22" s="109"/>
      <c r="AE22" s="88">
        <f t="shared" si="3"/>
        <v>2.6913684210526307</v>
      </c>
      <c r="AF22" s="88">
        <f t="shared" si="3"/>
        <v>0.52634482758620682</v>
      </c>
      <c r="AG22" s="88">
        <f t="shared" si="3"/>
        <v>0.59036734693877546</v>
      </c>
      <c r="AH22" s="88">
        <f t="shared" si="3"/>
        <v>1.3055094339622637</v>
      </c>
      <c r="AI22" s="88">
        <f t="shared" si="3"/>
        <v>0.22290909090909092</v>
      </c>
      <c r="AJ22" s="88">
        <f t="shared" si="3"/>
        <v>1.7239436619718298</v>
      </c>
      <c r="AK22" s="90">
        <f t="shared" si="3"/>
        <v>0</v>
      </c>
      <c r="AL22" s="90">
        <f t="shared" si="3"/>
        <v>0</v>
      </c>
      <c r="AM22" s="90">
        <f t="shared" si="3"/>
        <v>0</v>
      </c>
      <c r="AN22" s="90">
        <f t="shared" si="3"/>
        <v>0</v>
      </c>
      <c r="AO22" s="90">
        <f t="shared" si="3"/>
        <v>0</v>
      </c>
      <c r="AP22" s="90">
        <f t="shared" si="3"/>
        <v>0</v>
      </c>
      <c r="AQ22" s="88"/>
      <c r="AR22" s="90">
        <f t="shared" si="4"/>
        <v>2.6913999999999998</v>
      </c>
      <c r="AS22" s="90">
        <f t="shared" si="4"/>
        <v>0.52629999999999999</v>
      </c>
      <c r="AT22" s="90">
        <f t="shared" si="4"/>
        <v>0.59040000000000004</v>
      </c>
      <c r="AU22" s="90">
        <f t="shared" si="4"/>
        <v>1.3055000000000001</v>
      </c>
      <c r="AV22" s="90">
        <f t="shared" si="4"/>
        <v>0.22289999999999999</v>
      </c>
      <c r="AW22" s="90">
        <f t="shared" si="4"/>
        <v>1.7239</v>
      </c>
      <c r="AX22" s="90">
        <f t="shared" si="4"/>
        <v>0</v>
      </c>
      <c r="AY22" s="90">
        <f t="shared" si="4"/>
        <v>0</v>
      </c>
      <c r="AZ22" s="90">
        <f t="shared" si="4"/>
        <v>0</v>
      </c>
      <c r="BA22" s="90">
        <f t="shared" si="4"/>
        <v>0</v>
      </c>
      <c r="BB22" s="90">
        <f t="shared" si="4"/>
        <v>0</v>
      </c>
      <c r="BC22" s="90">
        <f t="shared" si="4"/>
        <v>0</v>
      </c>
      <c r="BD22" s="88"/>
      <c r="BE22" s="1">
        <f>IFERROR(VLOOKUP(AR22,'Top WS'!$A$19:$C$28,3),0)</f>
        <v>520</v>
      </c>
      <c r="BF22" s="1">
        <f>IFERROR(VLOOKUP(AS22,'Top WS'!$A$19:$C$28,3),0)</f>
        <v>360</v>
      </c>
      <c r="BG22" s="1">
        <f>IFERROR(VLOOKUP(AT22,'Top WS'!$A$19:$C$28,3),0)</f>
        <v>360</v>
      </c>
      <c r="BH22" s="1">
        <f>IFERROR(VLOOKUP(AU22,'Top WS'!$A$19:$C$28,3),0)</f>
        <v>520</v>
      </c>
      <c r="BI22" s="1">
        <f>IFERROR(VLOOKUP(AV22,'Top WS'!$A$19:$C$28,3),0)</f>
        <v>360</v>
      </c>
      <c r="BJ22" s="1">
        <f>IFERROR(VLOOKUP(AW22,'Top WS'!$A$19:$C$28,3),0)</f>
        <v>520</v>
      </c>
      <c r="BK22" s="89">
        <f>IFERROR(VLOOKUP(AX22,'Top WS'!$A$19:$C$28,3),0)</f>
        <v>360</v>
      </c>
      <c r="BL22" s="89">
        <f>IFERROR(VLOOKUP(AY22,'Top WS'!$A$19:$C$28,3),0)</f>
        <v>360</v>
      </c>
      <c r="BM22" s="89">
        <f>IFERROR(VLOOKUP(AZ22,'Top WS'!$A$19:$C$28,3),0)</f>
        <v>360</v>
      </c>
      <c r="BN22" s="89">
        <f>IFERROR(VLOOKUP(BA22,'Top WS'!$A$19:$C$28,3),0)</f>
        <v>360</v>
      </c>
      <c r="BO22" s="89">
        <f>IFERROR(VLOOKUP(BB22,'Top WS'!$A$19:$C$28,3),0)</f>
        <v>360</v>
      </c>
      <c r="BP22" s="89">
        <f>IFERROR(VLOOKUP(BC22,'Top WS'!$A$19:$C$28,3),0)</f>
        <v>360</v>
      </c>
      <c r="BQ22" s="1">
        <f t="shared" si="5"/>
        <v>4800</v>
      </c>
    </row>
    <row r="23" spans="1:69" x14ac:dyDescent="0.4">
      <c r="A23">
        <v>1190032602</v>
      </c>
      <c r="B23">
        <f>VLOOKUP(A23,'Aji Plus'!$A$2:$D$58,2,0)</f>
        <v>66632</v>
      </c>
      <c r="C23" t="str">
        <f>VLOOKUP(A23,'Aji Plus'!$A$2:$D$58,3,0)</f>
        <v>นายสิทธิชัย ใจเย็น</v>
      </c>
      <c r="D23" t="str">
        <f>VLOOKUP(A23,'Aji Plus'!$A$2:$D$58,4,0)</f>
        <v>Rayong</v>
      </c>
      <c r="E23" s="1">
        <v>900</v>
      </c>
      <c r="F23" s="1">
        <v>450</v>
      </c>
      <c r="G23" s="1">
        <v>300</v>
      </c>
      <c r="H23" s="1">
        <v>900</v>
      </c>
      <c r="I23" s="1">
        <v>550</v>
      </c>
      <c r="J23" s="1">
        <v>900</v>
      </c>
      <c r="K23" s="1">
        <v>500</v>
      </c>
      <c r="L23" s="1">
        <v>1000</v>
      </c>
      <c r="M23" s="1">
        <v>500</v>
      </c>
      <c r="N23" s="1">
        <v>950</v>
      </c>
      <c r="O23" s="1">
        <v>750</v>
      </c>
      <c r="P23" s="1">
        <v>450</v>
      </c>
      <c r="R23" s="1">
        <f>VLOOKUP(A23,Actual_RDQ!$A$2:$H$62,3,0)</f>
        <v>392.83199999999999</v>
      </c>
      <c r="S23" s="1">
        <f>VLOOKUP(A23,Actual_RDQ!$A$2:$H$62,4,0)</f>
        <v>421.05599999999993</v>
      </c>
      <c r="T23" s="1">
        <f>VLOOKUP(A23,Actual_RDQ!$A$2:$H$62,5,0)</f>
        <v>215.42400000000001</v>
      </c>
      <c r="U23" s="1">
        <f>VLOOKUP(A23,Actual_RDQ!$A$2:$H$62,6,0)</f>
        <v>525.88800000000003</v>
      </c>
      <c r="V23" s="1">
        <f>VLOOKUP(A23,Actual_RDQ!$A$2:$H$62,7,0)</f>
        <v>934.27199999999993</v>
      </c>
      <c r="W23" s="1">
        <f>VLOOKUP(A23,Actual_RDQ!$A$2:$H$62,8,0)</f>
        <v>685.43999999999971</v>
      </c>
      <c r="X23" s="109"/>
      <c r="Y23" s="109"/>
      <c r="Z23" s="109"/>
      <c r="AA23" s="109"/>
      <c r="AB23" s="109"/>
      <c r="AC23" s="109"/>
      <c r="AE23" s="88">
        <f t="shared" si="3"/>
        <v>0.43647999999999998</v>
      </c>
      <c r="AF23" s="88">
        <f t="shared" si="3"/>
        <v>0.93567999999999985</v>
      </c>
      <c r="AG23" s="88">
        <f t="shared" si="3"/>
        <v>0.71808000000000005</v>
      </c>
      <c r="AH23" s="88">
        <f t="shared" si="3"/>
        <v>0.58432000000000006</v>
      </c>
      <c r="AI23" s="88">
        <f t="shared" si="3"/>
        <v>1.6986763636363635</v>
      </c>
      <c r="AJ23" s="88">
        <f t="shared" si="3"/>
        <v>0.76159999999999972</v>
      </c>
      <c r="AK23" s="90">
        <f t="shared" si="3"/>
        <v>0</v>
      </c>
      <c r="AL23" s="90">
        <f t="shared" si="3"/>
        <v>0</v>
      </c>
      <c r="AM23" s="90">
        <f t="shared" si="3"/>
        <v>0</v>
      </c>
      <c r="AN23" s="90">
        <f t="shared" si="3"/>
        <v>0</v>
      </c>
      <c r="AO23" s="90">
        <f t="shared" si="3"/>
        <v>0</v>
      </c>
      <c r="AP23" s="90">
        <f t="shared" si="3"/>
        <v>0</v>
      </c>
      <c r="AQ23" s="88"/>
      <c r="AR23" s="90">
        <f t="shared" si="4"/>
        <v>0.4365</v>
      </c>
      <c r="AS23" s="90">
        <f t="shared" si="4"/>
        <v>0.93569999999999998</v>
      </c>
      <c r="AT23" s="90">
        <f t="shared" si="4"/>
        <v>0.71809999999999996</v>
      </c>
      <c r="AU23" s="90">
        <f t="shared" si="4"/>
        <v>0.58430000000000004</v>
      </c>
      <c r="AV23" s="90">
        <f t="shared" si="4"/>
        <v>1.6987000000000001</v>
      </c>
      <c r="AW23" s="90">
        <f t="shared" si="4"/>
        <v>0.76160000000000005</v>
      </c>
      <c r="AX23" s="90">
        <f t="shared" si="4"/>
        <v>0</v>
      </c>
      <c r="AY23" s="90">
        <f t="shared" si="4"/>
        <v>0</v>
      </c>
      <c r="AZ23" s="90">
        <f t="shared" si="4"/>
        <v>0</v>
      </c>
      <c r="BA23" s="90">
        <f t="shared" si="4"/>
        <v>0</v>
      </c>
      <c r="BB23" s="90">
        <f t="shared" si="4"/>
        <v>0</v>
      </c>
      <c r="BC23" s="90">
        <f t="shared" si="4"/>
        <v>0</v>
      </c>
      <c r="BD23" s="88"/>
      <c r="BE23" s="1">
        <f>IFERROR(VLOOKUP(AR23,'Top WS'!$A$19:$C$28,3),0)</f>
        <v>360</v>
      </c>
      <c r="BF23" s="1">
        <f>IFERROR(VLOOKUP(AS23,'Top WS'!$A$19:$C$28,3),0)</f>
        <v>380</v>
      </c>
      <c r="BG23" s="1">
        <f>IFERROR(VLOOKUP(AT23,'Top WS'!$A$19:$C$28,3),0)</f>
        <v>360</v>
      </c>
      <c r="BH23" s="1">
        <f>IFERROR(VLOOKUP(AU23,'Top WS'!$A$19:$C$28,3),0)</f>
        <v>360</v>
      </c>
      <c r="BI23" s="1">
        <f>IFERROR(VLOOKUP(AV23,'Top WS'!$A$19:$C$28,3),0)</f>
        <v>520</v>
      </c>
      <c r="BJ23" s="1">
        <f>IFERROR(VLOOKUP(AW23,'Top WS'!$A$19:$C$28,3),0)</f>
        <v>360</v>
      </c>
      <c r="BK23" s="89">
        <f>IFERROR(VLOOKUP(AX23,'Top WS'!$A$19:$C$28,3),0)</f>
        <v>360</v>
      </c>
      <c r="BL23" s="89">
        <f>IFERROR(VLOOKUP(AY23,'Top WS'!$A$19:$C$28,3),0)</f>
        <v>360</v>
      </c>
      <c r="BM23" s="89">
        <f>IFERROR(VLOOKUP(AZ23,'Top WS'!$A$19:$C$28,3),0)</f>
        <v>360</v>
      </c>
      <c r="BN23" s="89">
        <f>IFERROR(VLOOKUP(BA23,'Top WS'!$A$19:$C$28,3),0)</f>
        <v>360</v>
      </c>
      <c r="BO23" s="89">
        <f>IFERROR(VLOOKUP(BB23,'Top WS'!$A$19:$C$28,3),0)</f>
        <v>360</v>
      </c>
      <c r="BP23" s="89">
        <f>IFERROR(VLOOKUP(BC23,'Top WS'!$A$19:$C$28,3),0)</f>
        <v>360</v>
      </c>
      <c r="BQ23" s="1">
        <f t="shared" si="5"/>
        <v>4500</v>
      </c>
    </row>
    <row r="24" spans="1:69" x14ac:dyDescent="0.4">
      <c r="A24">
        <v>1190032701</v>
      </c>
      <c r="B24">
        <f>VLOOKUP(A24,'Aji Plus'!$A$2:$D$58,2,0)</f>
        <v>70330</v>
      </c>
      <c r="C24" t="str">
        <f>VLOOKUP(A24,'Aji Plus'!$A$2:$D$58,3,0)</f>
        <v>นายสุรวรรณ ทวีสิน</v>
      </c>
      <c r="D24" t="str">
        <f>VLOOKUP(A24,'Aji Plus'!$A$2:$D$58,4,0)</f>
        <v>Chachoengsao</v>
      </c>
      <c r="E24" s="1">
        <v>149</v>
      </c>
      <c r="F24" s="1">
        <v>333</v>
      </c>
      <c r="G24" s="1">
        <v>107</v>
      </c>
      <c r="H24" s="1">
        <v>93</v>
      </c>
      <c r="I24" s="1">
        <v>103</v>
      </c>
      <c r="J24" s="1">
        <v>81</v>
      </c>
      <c r="K24" s="1">
        <v>165</v>
      </c>
      <c r="L24" s="1">
        <v>89</v>
      </c>
      <c r="M24" s="1">
        <v>69</v>
      </c>
      <c r="N24" s="1">
        <v>194</v>
      </c>
      <c r="O24" s="1">
        <v>93</v>
      </c>
      <c r="P24" s="1">
        <v>136</v>
      </c>
      <c r="R24" s="1">
        <f>VLOOKUP(A24,Actual_RDQ!$A$2:$H$62,3,0)</f>
        <v>127.29600000000001</v>
      </c>
      <c r="S24" s="1">
        <f>VLOOKUP(A24,Actual_RDQ!$A$2:$H$62,4,0)</f>
        <v>127.29599999999999</v>
      </c>
      <c r="T24" s="1">
        <f>VLOOKUP(A24,Actual_RDQ!$A$2:$H$62,5,0)</f>
        <v>73.727999999999994</v>
      </c>
      <c r="U24" s="1">
        <f>VLOOKUP(A24,Actual_RDQ!$A$2:$H$62,6,0)</f>
        <v>108.86399999999999</v>
      </c>
      <c r="V24" s="1">
        <f>VLOOKUP(A24,Actual_RDQ!$A$2:$H$62,7,0)</f>
        <v>55.295999999999992</v>
      </c>
      <c r="W24" s="1">
        <f>VLOOKUP(A24,Actual_RDQ!$A$2:$H$62,8,0)</f>
        <v>91.584000000000003</v>
      </c>
      <c r="X24" s="109"/>
      <c r="Y24" s="109"/>
      <c r="Z24" s="109"/>
      <c r="AA24" s="109"/>
      <c r="AB24" s="109"/>
      <c r="AC24" s="109"/>
      <c r="AE24" s="88">
        <f t="shared" si="3"/>
        <v>0.85433557046979869</v>
      </c>
      <c r="AF24" s="88">
        <f t="shared" si="3"/>
        <v>0.38227027027027027</v>
      </c>
      <c r="AG24" s="88">
        <f t="shared" si="3"/>
        <v>0.68904672897196262</v>
      </c>
      <c r="AH24" s="88">
        <f t="shared" si="3"/>
        <v>1.1705806451612901</v>
      </c>
      <c r="AI24" s="88">
        <f t="shared" si="3"/>
        <v>0.53685436893203875</v>
      </c>
      <c r="AJ24" s="88">
        <f t="shared" si="3"/>
        <v>1.1306666666666667</v>
      </c>
      <c r="AK24" s="90">
        <f t="shared" si="3"/>
        <v>0</v>
      </c>
      <c r="AL24" s="90">
        <f t="shared" si="3"/>
        <v>0</v>
      </c>
      <c r="AM24" s="90">
        <f t="shared" si="3"/>
        <v>0</v>
      </c>
      <c r="AN24" s="90">
        <f t="shared" si="3"/>
        <v>0</v>
      </c>
      <c r="AO24" s="90">
        <f t="shared" si="3"/>
        <v>0</v>
      </c>
      <c r="AP24" s="90">
        <f t="shared" si="3"/>
        <v>0</v>
      </c>
      <c r="AQ24" s="88"/>
      <c r="AR24" s="90">
        <f t="shared" si="4"/>
        <v>0.85429999999999995</v>
      </c>
      <c r="AS24" s="90">
        <f t="shared" si="4"/>
        <v>0.38229999999999997</v>
      </c>
      <c r="AT24" s="90">
        <f t="shared" si="4"/>
        <v>0.68899999999999995</v>
      </c>
      <c r="AU24" s="90">
        <f t="shared" si="4"/>
        <v>1.1706000000000001</v>
      </c>
      <c r="AV24" s="90">
        <f t="shared" si="4"/>
        <v>0.53690000000000004</v>
      </c>
      <c r="AW24" s="90">
        <f t="shared" si="4"/>
        <v>1.1307</v>
      </c>
      <c r="AX24" s="90">
        <f t="shared" si="4"/>
        <v>0</v>
      </c>
      <c r="AY24" s="90">
        <f t="shared" si="4"/>
        <v>0</v>
      </c>
      <c r="AZ24" s="90">
        <f t="shared" si="4"/>
        <v>0</v>
      </c>
      <c r="BA24" s="90">
        <f t="shared" si="4"/>
        <v>0</v>
      </c>
      <c r="BB24" s="90">
        <f t="shared" si="4"/>
        <v>0</v>
      </c>
      <c r="BC24" s="90">
        <f t="shared" si="4"/>
        <v>0</v>
      </c>
      <c r="BD24" s="88"/>
      <c r="BE24" s="1">
        <f>IFERROR(VLOOKUP(AR24,'Top WS'!$A$19:$C$28,3),0)</f>
        <v>360</v>
      </c>
      <c r="BF24" s="1">
        <f>IFERROR(VLOOKUP(AS24,'Top WS'!$A$19:$C$28,3),0)</f>
        <v>360</v>
      </c>
      <c r="BG24" s="1">
        <f>IFERROR(VLOOKUP(AT24,'Top WS'!$A$19:$C$28,3),0)</f>
        <v>360</v>
      </c>
      <c r="BH24" s="1">
        <f>IFERROR(VLOOKUP(AU24,'Top WS'!$A$19:$C$28,3),0)</f>
        <v>480</v>
      </c>
      <c r="BI24" s="1">
        <f>IFERROR(VLOOKUP(AV24,'Top WS'!$A$19:$C$28,3),0)</f>
        <v>360</v>
      </c>
      <c r="BJ24" s="1">
        <f>IFERROR(VLOOKUP(AW24,'Top WS'!$A$19:$C$28,3),0)</f>
        <v>460</v>
      </c>
      <c r="BK24" s="89">
        <f>IFERROR(VLOOKUP(AX24,'Top WS'!$A$19:$C$28,3),0)</f>
        <v>360</v>
      </c>
      <c r="BL24" s="89">
        <f>IFERROR(VLOOKUP(AY24,'Top WS'!$A$19:$C$28,3),0)</f>
        <v>360</v>
      </c>
      <c r="BM24" s="89">
        <f>IFERROR(VLOOKUP(AZ24,'Top WS'!$A$19:$C$28,3),0)</f>
        <v>360</v>
      </c>
      <c r="BN24" s="89">
        <f>IFERROR(VLOOKUP(BA24,'Top WS'!$A$19:$C$28,3),0)</f>
        <v>360</v>
      </c>
      <c r="BO24" s="89">
        <f>IFERROR(VLOOKUP(BB24,'Top WS'!$A$19:$C$28,3),0)</f>
        <v>360</v>
      </c>
      <c r="BP24" s="89">
        <f>IFERROR(VLOOKUP(BC24,'Top WS'!$A$19:$C$28,3),0)</f>
        <v>360</v>
      </c>
      <c r="BQ24" s="1">
        <f t="shared" si="5"/>
        <v>4540</v>
      </c>
    </row>
    <row r="25" spans="1:69" x14ac:dyDescent="0.4">
      <c r="A25">
        <v>1190032801</v>
      </c>
      <c r="B25">
        <f>VLOOKUP(A25,'Aji Plus'!$A$2:$D$58,2,0)</f>
        <v>71360</v>
      </c>
      <c r="C25" t="str">
        <f>VLOOKUP(A25,'Aji Plus'!$A$2:$D$58,3,0)</f>
        <v>นายทนงศักดิ์ เวชมณีศรี</v>
      </c>
      <c r="D25" t="str">
        <f>VLOOKUP(A25,'Aji Plus'!$A$2:$D$58,4,0)</f>
        <v>Chantaburi</v>
      </c>
      <c r="E25" s="1">
        <v>624.7886688000001</v>
      </c>
      <c r="F25" s="1">
        <v>757.78070399999967</v>
      </c>
      <c r="G25" s="1">
        <v>488.75333759999978</v>
      </c>
      <c r="H25" s="1">
        <v>648.22204799999952</v>
      </c>
      <c r="I25" s="1">
        <v>643.35277439999948</v>
      </c>
      <c r="J25" s="1">
        <v>495.75291839999977</v>
      </c>
      <c r="K25" s="1">
        <v>658.26492479999945</v>
      </c>
      <c r="L25" s="1">
        <v>460.45068479999992</v>
      </c>
      <c r="M25" s="1">
        <v>622.35403199999939</v>
      </c>
      <c r="N25" s="1">
        <v>752.30277119999948</v>
      </c>
      <c r="O25" s="1">
        <v>644.26576319999992</v>
      </c>
      <c r="P25" s="1">
        <v>664.04718719999948</v>
      </c>
      <c r="R25" s="1">
        <f>VLOOKUP(A25,Actual_RDQ!$A$2:$H$62,3,0)</f>
        <v>581.47199999999953</v>
      </c>
      <c r="S25" s="1">
        <f>VLOOKUP(A25,Actual_RDQ!$A$2:$H$62,4,0)</f>
        <v>879.83999999999969</v>
      </c>
      <c r="T25" s="1">
        <f>VLOOKUP(A25,Actual_RDQ!$A$2:$H$62,5,0)</f>
        <v>591.55199999999945</v>
      </c>
      <c r="U25" s="1">
        <f>VLOOKUP(A25,Actual_RDQ!$A$2:$H$62,6,0)</f>
        <v>626.68799999999965</v>
      </c>
      <c r="V25" s="1">
        <f>VLOOKUP(A25,Actual_RDQ!$A$2:$H$62,7,0)</f>
        <v>527.32799999999975</v>
      </c>
      <c r="W25" s="1">
        <f>VLOOKUP(A25,Actual_RDQ!$A$2:$H$62,8,0)</f>
        <v>503.42399999999975</v>
      </c>
      <c r="X25" s="109"/>
      <c r="Y25" s="109"/>
      <c r="Z25" s="109"/>
      <c r="AA25" s="109"/>
      <c r="AB25" s="109"/>
      <c r="AC25" s="109"/>
      <c r="AE25" s="88">
        <f t="shared" si="3"/>
        <v>0.93066988733454992</v>
      </c>
      <c r="AF25" s="88">
        <f t="shared" si="3"/>
        <v>1.1610746952986548</v>
      </c>
      <c r="AG25" s="88">
        <f t="shared" si="3"/>
        <v>1.2103283077406441</v>
      </c>
      <c r="AH25" s="88">
        <f t="shared" si="3"/>
        <v>0.96677982789008765</v>
      </c>
      <c r="AI25" s="88">
        <f t="shared" si="3"/>
        <v>0.81965605960399224</v>
      </c>
      <c r="AJ25" s="88">
        <f t="shared" si="3"/>
        <v>1.0154735984707013</v>
      </c>
      <c r="AK25" s="90">
        <f t="shared" si="3"/>
        <v>0</v>
      </c>
      <c r="AL25" s="90">
        <f t="shared" si="3"/>
        <v>0</v>
      </c>
      <c r="AM25" s="90">
        <f t="shared" si="3"/>
        <v>0</v>
      </c>
      <c r="AN25" s="90">
        <f t="shared" si="3"/>
        <v>0</v>
      </c>
      <c r="AO25" s="90">
        <f t="shared" si="3"/>
        <v>0</v>
      </c>
      <c r="AP25" s="90">
        <f t="shared" si="3"/>
        <v>0</v>
      </c>
      <c r="AQ25" s="88"/>
      <c r="AR25" s="90">
        <f t="shared" si="4"/>
        <v>0.93069999999999997</v>
      </c>
      <c r="AS25" s="90">
        <f t="shared" si="4"/>
        <v>1.1611</v>
      </c>
      <c r="AT25" s="90">
        <f t="shared" si="4"/>
        <v>1.2102999999999999</v>
      </c>
      <c r="AU25" s="90">
        <f t="shared" si="4"/>
        <v>0.96679999999999999</v>
      </c>
      <c r="AV25" s="90">
        <f t="shared" si="4"/>
        <v>0.81969999999999998</v>
      </c>
      <c r="AW25" s="90">
        <f t="shared" si="4"/>
        <v>1.0155000000000001</v>
      </c>
      <c r="AX25" s="90">
        <f t="shared" si="4"/>
        <v>0</v>
      </c>
      <c r="AY25" s="90">
        <f t="shared" si="4"/>
        <v>0</v>
      </c>
      <c r="AZ25" s="90">
        <f t="shared" si="4"/>
        <v>0</v>
      </c>
      <c r="BA25" s="90">
        <f t="shared" si="4"/>
        <v>0</v>
      </c>
      <c r="BB25" s="90">
        <f t="shared" si="4"/>
        <v>0</v>
      </c>
      <c r="BC25" s="90">
        <f t="shared" si="4"/>
        <v>0</v>
      </c>
      <c r="BD25" s="88"/>
      <c r="BE25" s="1">
        <f>IFERROR(VLOOKUP(AR25,'Top WS'!$A$19:$C$28,3),0)</f>
        <v>380</v>
      </c>
      <c r="BF25" s="1">
        <f>IFERROR(VLOOKUP(AS25,'Top WS'!$A$19:$C$28,3),0)</f>
        <v>480</v>
      </c>
      <c r="BG25" s="1">
        <f>IFERROR(VLOOKUP(AT25,'Top WS'!$A$19:$C$28,3),0)</f>
        <v>520</v>
      </c>
      <c r="BH25" s="1">
        <f>IFERROR(VLOOKUP(AU25,'Top WS'!$A$19:$C$28,3),0)</f>
        <v>400</v>
      </c>
      <c r="BI25" s="1">
        <f>IFERROR(VLOOKUP(AV25,'Top WS'!$A$19:$C$28,3),0)</f>
        <v>360</v>
      </c>
      <c r="BJ25" s="1">
        <f>IFERROR(VLOOKUP(AW25,'Top WS'!$A$19:$C$28,3),0)</f>
        <v>412</v>
      </c>
      <c r="BK25" s="89">
        <f>IFERROR(VLOOKUP(AX25,'Top WS'!$A$19:$C$28,3),0)</f>
        <v>360</v>
      </c>
      <c r="BL25" s="89">
        <f>IFERROR(VLOOKUP(AY25,'Top WS'!$A$19:$C$28,3),0)</f>
        <v>360</v>
      </c>
      <c r="BM25" s="89">
        <f>IFERROR(VLOOKUP(AZ25,'Top WS'!$A$19:$C$28,3),0)</f>
        <v>360</v>
      </c>
      <c r="BN25" s="89">
        <f>IFERROR(VLOOKUP(BA25,'Top WS'!$A$19:$C$28,3),0)</f>
        <v>360</v>
      </c>
      <c r="BO25" s="89">
        <f>IFERROR(VLOOKUP(BB25,'Top WS'!$A$19:$C$28,3),0)</f>
        <v>360</v>
      </c>
      <c r="BP25" s="89">
        <f>IFERROR(VLOOKUP(BC25,'Top WS'!$A$19:$C$28,3),0)</f>
        <v>360</v>
      </c>
      <c r="BQ25" s="1">
        <f t="shared" si="5"/>
        <v>4712</v>
      </c>
    </row>
    <row r="26" spans="1:69" x14ac:dyDescent="0.4">
      <c r="A26">
        <v>1190032901</v>
      </c>
      <c r="B26">
        <f>VLOOKUP(A26,'Aji Plus'!$A$2:$D$58,2,0)</f>
        <v>70259</v>
      </c>
      <c r="C26" t="str">
        <f>VLOOKUP(A26,'Aji Plus'!$A$2:$D$58,3,0)</f>
        <v>นายจิรศักดิ์ งามสม</v>
      </c>
      <c r="D26" t="str">
        <f>VLOOKUP(A26,'Aji Plus'!$A$2:$D$58,4,0)</f>
        <v>Lopburi</v>
      </c>
      <c r="E26" s="1">
        <v>156.08377029952598</v>
      </c>
      <c r="F26" s="1">
        <v>244.86536441485279</v>
      </c>
      <c r="G26" s="1">
        <v>132.69507077452062</v>
      </c>
      <c r="H26" s="1">
        <v>158.47037229187356</v>
      </c>
      <c r="I26" s="1">
        <v>341.28408490569154</v>
      </c>
      <c r="J26" s="1">
        <v>194.26940217708591</v>
      </c>
      <c r="K26" s="1">
        <v>102.1465652724727</v>
      </c>
      <c r="L26" s="1">
        <v>246.77464600873077</v>
      </c>
      <c r="M26" s="1">
        <v>114.07957523421017</v>
      </c>
      <c r="N26" s="1">
        <v>280.18707390159562</v>
      </c>
      <c r="O26" s="1">
        <v>218.13542210056079</v>
      </c>
      <c r="P26" s="1">
        <v>115.98885682808813</v>
      </c>
      <c r="R26" s="1">
        <f>VLOOKUP(A26,Actual_RDQ!$A$2:$H$62,3,0)</f>
        <v>129.60000000000005</v>
      </c>
      <c r="S26" s="1">
        <f>VLOOKUP(A26,Actual_RDQ!$A$2:$H$62,4,0)</f>
        <v>119.80799999999999</v>
      </c>
      <c r="T26" s="1">
        <f>VLOOKUP(A26,Actual_RDQ!$A$2:$H$62,5,0)</f>
        <v>130.17600000000002</v>
      </c>
      <c r="U26" s="1">
        <f>VLOOKUP(A26,Actual_RDQ!$A$2:$H$62,6,0)</f>
        <v>112.32000000000001</v>
      </c>
      <c r="V26" s="1">
        <f>VLOOKUP(A26,Actual_RDQ!$A$2:$H$62,7,0)</f>
        <v>231.55199999999999</v>
      </c>
      <c r="W26" s="1">
        <f>VLOOKUP(A26,Actual_RDQ!$A$2:$H$62,8,0)</f>
        <v>293.18399999999997</v>
      </c>
      <c r="X26" s="109"/>
      <c r="Y26" s="109"/>
      <c r="Z26" s="109"/>
      <c r="AA26" s="109"/>
      <c r="AB26" s="109"/>
      <c r="AC26" s="109"/>
      <c r="AE26" s="88">
        <f t="shared" si="3"/>
        <v>0.83032335617788211</v>
      </c>
      <c r="AF26" s="88">
        <f t="shared" si="3"/>
        <v>0.4892811210205309</v>
      </c>
      <c r="AG26" s="88">
        <f t="shared" si="3"/>
        <v>0.98101609381707122</v>
      </c>
      <c r="AH26" s="88">
        <f t="shared" si="3"/>
        <v>0.70877602150846863</v>
      </c>
      <c r="AI26" s="88">
        <f t="shared" si="3"/>
        <v>0.67847289176694459</v>
      </c>
      <c r="AJ26" s="88">
        <f t="shared" si="3"/>
        <v>1.5091620024276837</v>
      </c>
      <c r="AK26" s="90">
        <f t="shared" si="3"/>
        <v>0</v>
      </c>
      <c r="AL26" s="90">
        <f t="shared" si="3"/>
        <v>0</v>
      </c>
      <c r="AM26" s="90">
        <f t="shared" si="3"/>
        <v>0</v>
      </c>
      <c r="AN26" s="90">
        <f t="shared" si="3"/>
        <v>0</v>
      </c>
      <c r="AO26" s="90">
        <f t="shared" si="3"/>
        <v>0</v>
      </c>
      <c r="AP26" s="90">
        <f t="shared" si="3"/>
        <v>0</v>
      </c>
      <c r="AQ26" s="88"/>
      <c r="AR26" s="90">
        <f t="shared" si="4"/>
        <v>0.83030000000000004</v>
      </c>
      <c r="AS26" s="90">
        <f t="shared" si="4"/>
        <v>0.48930000000000001</v>
      </c>
      <c r="AT26" s="90">
        <f t="shared" si="4"/>
        <v>0.98099999999999998</v>
      </c>
      <c r="AU26" s="90">
        <f t="shared" si="4"/>
        <v>0.70879999999999999</v>
      </c>
      <c r="AV26" s="90">
        <f t="shared" si="4"/>
        <v>0.67849999999999999</v>
      </c>
      <c r="AW26" s="90">
        <f t="shared" si="4"/>
        <v>1.5092000000000001</v>
      </c>
      <c r="AX26" s="90">
        <f t="shared" si="4"/>
        <v>0</v>
      </c>
      <c r="AY26" s="90">
        <f t="shared" si="4"/>
        <v>0</v>
      </c>
      <c r="AZ26" s="90">
        <f t="shared" si="4"/>
        <v>0</v>
      </c>
      <c r="BA26" s="90">
        <f t="shared" si="4"/>
        <v>0</v>
      </c>
      <c r="BB26" s="90">
        <f t="shared" si="4"/>
        <v>0</v>
      </c>
      <c r="BC26" s="90">
        <f t="shared" si="4"/>
        <v>0</v>
      </c>
      <c r="BD26" s="88"/>
      <c r="BE26" s="1">
        <f>IFERROR(VLOOKUP(AR26,'Top WS'!$A$19:$C$28,3),0)</f>
        <v>360</v>
      </c>
      <c r="BF26" s="1">
        <f>IFERROR(VLOOKUP(AS26,'Top WS'!$A$19:$C$28,3),0)</f>
        <v>360</v>
      </c>
      <c r="BG26" s="1">
        <f>IFERROR(VLOOKUP(AT26,'Top WS'!$A$19:$C$28,3),0)</f>
        <v>400</v>
      </c>
      <c r="BH26" s="1">
        <f>IFERROR(VLOOKUP(AU26,'Top WS'!$A$19:$C$28,3),0)</f>
        <v>360</v>
      </c>
      <c r="BI26" s="1">
        <f>IFERROR(VLOOKUP(AV26,'Top WS'!$A$19:$C$28,3),0)</f>
        <v>360</v>
      </c>
      <c r="BJ26" s="1">
        <f>IFERROR(VLOOKUP(AW26,'Top WS'!$A$19:$C$28,3),0)</f>
        <v>520</v>
      </c>
      <c r="BK26" s="89">
        <f>IFERROR(VLOOKUP(AX26,'Top WS'!$A$19:$C$28,3),0)</f>
        <v>360</v>
      </c>
      <c r="BL26" s="89">
        <f>IFERROR(VLOOKUP(AY26,'Top WS'!$A$19:$C$28,3),0)</f>
        <v>360</v>
      </c>
      <c r="BM26" s="89">
        <f>IFERROR(VLOOKUP(AZ26,'Top WS'!$A$19:$C$28,3),0)</f>
        <v>360</v>
      </c>
      <c r="BN26" s="89">
        <f>IFERROR(VLOOKUP(BA26,'Top WS'!$A$19:$C$28,3),0)</f>
        <v>360</v>
      </c>
      <c r="BO26" s="89">
        <f>IFERROR(VLOOKUP(BB26,'Top WS'!$A$19:$C$28,3),0)</f>
        <v>360</v>
      </c>
      <c r="BP26" s="89">
        <f>IFERROR(VLOOKUP(BC26,'Top WS'!$A$19:$C$28,3),0)</f>
        <v>360</v>
      </c>
      <c r="BQ26" s="1">
        <f t="shared" si="5"/>
        <v>4520</v>
      </c>
    </row>
    <row r="27" spans="1:69" x14ac:dyDescent="0.4">
      <c r="A27">
        <v>1190032902</v>
      </c>
      <c r="B27">
        <f>VLOOKUP(A27,'Aji Plus'!$A$2:$D$58,2,0)</f>
        <v>71996</v>
      </c>
      <c r="C27" t="str">
        <f>VLOOKUP(A27,'Aji Plus'!$A$2:$D$58,3,0)</f>
        <v>นายสุนทร ม่วงกุน</v>
      </c>
      <c r="D27" t="str">
        <f>VLOOKUP(A27,'Aji Plus'!$A$2:$D$58,4,0)</f>
        <v>Lopburi</v>
      </c>
      <c r="E27" s="1">
        <v>67.37864427906149</v>
      </c>
      <c r="F27" s="1">
        <v>105.70411166715155</v>
      </c>
      <c r="G27" s="1">
        <v>57.282150182199082</v>
      </c>
      <c r="H27" s="1">
        <v>68.40889877874136</v>
      </c>
      <c r="I27" s="1">
        <v>147.32639345421708</v>
      </c>
      <c r="J27" s="1">
        <v>83.862716273938943</v>
      </c>
      <c r="K27" s="1">
        <v>44.094892586297135</v>
      </c>
      <c r="L27" s="1">
        <v>106.52831526689542</v>
      </c>
      <c r="M27" s="1">
        <v>49.246165084696337</v>
      </c>
      <c r="N27" s="1">
        <v>120.95187826241315</v>
      </c>
      <c r="O27" s="1">
        <v>94.165261270737304</v>
      </c>
      <c r="P27" s="1">
        <v>50.07036868444019</v>
      </c>
      <c r="R27" s="1">
        <f>VLOOKUP(A27,Actual_RDQ!$A$2:$H$62,3,0)</f>
        <v>61.632000000000005</v>
      </c>
      <c r="S27" s="1">
        <f>VLOOKUP(A27,Actual_RDQ!$A$2:$H$62,4,0)</f>
        <v>207.93599999999998</v>
      </c>
      <c r="T27" s="1">
        <f>VLOOKUP(A27,Actual_RDQ!$A$2:$H$62,5,0)</f>
        <v>14.975999999999999</v>
      </c>
      <c r="U27" s="1">
        <f>VLOOKUP(A27,Actual_RDQ!$A$2:$H$62,6,0)</f>
        <v>35.712000000000003</v>
      </c>
      <c r="V27" s="1">
        <f>VLOOKUP(A27,Actual_RDQ!$A$2:$H$62,7,0)</f>
        <v>184.89600000000002</v>
      </c>
      <c r="W27" s="1">
        <f>VLOOKUP(A27,Actual_RDQ!$A$2:$H$62,8,0)</f>
        <v>50.111999999999995</v>
      </c>
      <c r="X27" s="109"/>
      <c r="Y27" s="109"/>
      <c r="Z27" s="109"/>
      <c r="AA27" s="109"/>
      <c r="AB27" s="109"/>
      <c r="AC27" s="109"/>
      <c r="AE27" s="88">
        <f t="shared" si="3"/>
        <v>0.9147111916461147</v>
      </c>
      <c r="AF27" s="88">
        <f t="shared" si="3"/>
        <v>1.9671514827612695</v>
      </c>
      <c r="AG27" s="88">
        <f t="shared" si="3"/>
        <v>0.2614426999050381</v>
      </c>
      <c r="AH27" s="88">
        <f t="shared" si="3"/>
        <v>0.52203734656664003</v>
      </c>
      <c r="AI27" s="88">
        <f t="shared" si="3"/>
        <v>1.2550093412655079</v>
      </c>
      <c r="AJ27" s="88">
        <f t="shared" si="3"/>
        <v>0.59754801926887657</v>
      </c>
      <c r="AK27" s="90">
        <f t="shared" si="3"/>
        <v>0</v>
      </c>
      <c r="AL27" s="90">
        <f t="shared" si="3"/>
        <v>0</v>
      </c>
      <c r="AM27" s="90">
        <f t="shared" si="3"/>
        <v>0</v>
      </c>
      <c r="AN27" s="90">
        <f t="shared" si="3"/>
        <v>0</v>
      </c>
      <c r="AO27" s="90">
        <f t="shared" si="3"/>
        <v>0</v>
      </c>
      <c r="AP27" s="90">
        <f t="shared" si="3"/>
        <v>0</v>
      </c>
      <c r="AQ27" s="88"/>
      <c r="AR27" s="90">
        <f t="shared" si="4"/>
        <v>0.91469999999999996</v>
      </c>
      <c r="AS27" s="90">
        <f t="shared" si="4"/>
        <v>1.9672000000000001</v>
      </c>
      <c r="AT27" s="90">
        <f t="shared" si="4"/>
        <v>0.26140000000000002</v>
      </c>
      <c r="AU27" s="90">
        <f t="shared" si="4"/>
        <v>0.52200000000000002</v>
      </c>
      <c r="AV27" s="90">
        <f t="shared" si="4"/>
        <v>1.2549999999999999</v>
      </c>
      <c r="AW27" s="90">
        <f t="shared" si="4"/>
        <v>0.59750000000000003</v>
      </c>
      <c r="AX27" s="90">
        <f t="shared" si="4"/>
        <v>0</v>
      </c>
      <c r="AY27" s="90">
        <f t="shared" si="4"/>
        <v>0</v>
      </c>
      <c r="AZ27" s="90">
        <f t="shared" si="4"/>
        <v>0</v>
      </c>
      <c r="BA27" s="90">
        <f t="shared" si="4"/>
        <v>0</v>
      </c>
      <c r="BB27" s="90">
        <f t="shared" si="4"/>
        <v>0</v>
      </c>
      <c r="BC27" s="90">
        <f t="shared" si="4"/>
        <v>0</v>
      </c>
      <c r="BD27" s="88"/>
      <c r="BE27" s="1">
        <f>IFERROR(VLOOKUP(AR27,'Top WS'!$A$19:$C$28,3),0)</f>
        <v>380</v>
      </c>
      <c r="BF27" s="1">
        <f>IFERROR(VLOOKUP(AS27,'Top WS'!$A$19:$C$28,3),0)</f>
        <v>520</v>
      </c>
      <c r="BG27" s="1">
        <f>IFERROR(VLOOKUP(AT27,'Top WS'!$A$19:$C$28,3),0)</f>
        <v>360</v>
      </c>
      <c r="BH27" s="1">
        <f>IFERROR(VLOOKUP(AU27,'Top WS'!$A$19:$C$28,3),0)</f>
        <v>360</v>
      </c>
      <c r="BI27" s="1">
        <f>IFERROR(VLOOKUP(AV27,'Top WS'!$A$19:$C$28,3),0)</f>
        <v>520</v>
      </c>
      <c r="BJ27" s="1">
        <f>IFERROR(VLOOKUP(AW27,'Top WS'!$A$19:$C$28,3),0)</f>
        <v>360</v>
      </c>
      <c r="BK27" s="89">
        <f>IFERROR(VLOOKUP(AX27,'Top WS'!$A$19:$C$28,3),0)</f>
        <v>360</v>
      </c>
      <c r="BL27" s="89">
        <f>IFERROR(VLOOKUP(AY27,'Top WS'!$A$19:$C$28,3),0)</f>
        <v>360</v>
      </c>
      <c r="BM27" s="89">
        <f>IFERROR(VLOOKUP(AZ27,'Top WS'!$A$19:$C$28,3),0)</f>
        <v>360</v>
      </c>
      <c r="BN27" s="89">
        <f>IFERROR(VLOOKUP(BA27,'Top WS'!$A$19:$C$28,3),0)</f>
        <v>360</v>
      </c>
      <c r="BO27" s="89">
        <f>IFERROR(VLOOKUP(BB27,'Top WS'!$A$19:$C$28,3),0)</f>
        <v>360</v>
      </c>
      <c r="BP27" s="89">
        <f>IFERROR(VLOOKUP(BC27,'Top WS'!$A$19:$C$28,3),0)</f>
        <v>360</v>
      </c>
      <c r="BQ27" s="1">
        <f t="shared" si="5"/>
        <v>4660</v>
      </c>
    </row>
    <row r="28" spans="1:69" x14ac:dyDescent="0.4">
      <c r="A28">
        <v>1190033001</v>
      </c>
      <c r="B28">
        <f>VLOOKUP(A28,'Aji Plus'!$A$2:$D$58,2,0)</f>
        <v>75518</v>
      </c>
      <c r="C28" t="str">
        <f>VLOOKUP(A28,'Aji Plus'!$A$2:$D$58,3,0)</f>
        <v>นายธนพันธ์ นิยมทัศน์</v>
      </c>
      <c r="D28" t="str">
        <f>VLOOKUP(A28,'Aji Plus'!$A$2:$D$58,4,0)</f>
        <v>Ratchaburi</v>
      </c>
      <c r="E28" s="1">
        <v>233.29717235445892</v>
      </c>
      <c r="F28" s="1">
        <v>183.30492113564631</v>
      </c>
      <c r="G28" s="1">
        <v>182.8984800688267</v>
      </c>
      <c r="H28" s="1">
        <v>195.09171207341515</v>
      </c>
      <c r="I28" s="1">
        <v>246.70972755950621</v>
      </c>
      <c r="J28" s="1">
        <v>271.09619156868314</v>
      </c>
      <c r="K28" s="1">
        <v>269.4704273014047</v>
      </c>
      <c r="L28" s="1">
        <v>194.2788299397759</v>
      </c>
      <c r="M28" s="1">
        <v>216.6330886148547</v>
      </c>
      <c r="N28" s="1">
        <v>230.04564381990204</v>
      </c>
      <c r="O28" s="1">
        <v>381.24172067679876</v>
      </c>
      <c r="P28" s="1">
        <v>230.45208488672165</v>
      </c>
      <c r="R28" s="1">
        <f>VLOOKUP(A28,Actual_RDQ!$A$2:$H$62,3,0)</f>
        <v>198.14400000000001</v>
      </c>
      <c r="S28" s="1">
        <f>VLOOKUP(A28,Actual_RDQ!$A$2:$H$62,4,0)</f>
        <v>191.23199999999997</v>
      </c>
      <c r="T28" s="1">
        <f>VLOOKUP(A28,Actual_RDQ!$A$2:$H$62,5,0)</f>
        <v>111.74400000000001</v>
      </c>
      <c r="U28" s="1">
        <f>VLOOKUP(A28,Actual_RDQ!$A$2:$H$62,6,0)</f>
        <v>130.17599999999999</v>
      </c>
      <c r="V28" s="1">
        <f>VLOOKUP(A28,Actual_RDQ!$A$2:$H$62,7,0)</f>
        <v>214.84800000000004</v>
      </c>
      <c r="W28" s="1">
        <f>VLOOKUP(A28,Actual_RDQ!$A$2:$H$62,8,0)</f>
        <v>311.04000000000002</v>
      </c>
      <c r="X28" s="109"/>
      <c r="Y28" s="109"/>
      <c r="Z28" s="109"/>
      <c r="AA28" s="109"/>
      <c r="AB28" s="109"/>
      <c r="AC28" s="109"/>
      <c r="AE28" s="88">
        <f t="shared" si="3"/>
        <v>0.84932019535560799</v>
      </c>
      <c r="AF28" s="88">
        <f t="shared" si="3"/>
        <v>1.0432453139568882</v>
      </c>
      <c r="AG28" s="88">
        <f t="shared" si="3"/>
        <v>0.6109618841990897</v>
      </c>
      <c r="AH28" s="88">
        <f t="shared" si="3"/>
        <v>0.66725540832310359</v>
      </c>
      <c r="AI28" s="88">
        <f t="shared" si="3"/>
        <v>0.87085337949708064</v>
      </c>
      <c r="AJ28" s="88">
        <f t="shared" si="3"/>
        <v>1.1473418280064513</v>
      </c>
      <c r="AK28" s="90">
        <f t="shared" si="3"/>
        <v>0</v>
      </c>
      <c r="AL28" s="90">
        <f t="shared" si="3"/>
        <v>0</v>
      </c>
      <c r="AM28" s="90">
        <f t="shared" si="3"/>
        <v>0</v>
      </c>
      <c r="AN28" s="90">
        <f t="shared" si="3"/>
        <v>0</v>
      </c>
      <c r="AO28" s="90">
        <f t="shared" si="3"/>
        <v>0</v>
      </c>
      <c r="AP28" s="90">
        <f t="shared" si="3"/>
        <v>0</v>
      </c>
      <c r="AQ28" s="88"/>
      <c r="AR28" s="90">
        <f t="shared" si="4"/>
        <v>0.84930000000000005</v>
      </c>
      <c r="AS28" s="90">
        <f t="shared" si="4"/>
        <v>1.0431999999999999</v>
      </c>
      <c r="AT28" s="90">
        <f t="shared" si="4"/>
        <v>0.61099999999999999</v>
      </c>
      <c r="AU28" s="90">
        <f t="shared" si="4"/>
        <v>0.6673</v>
      </c>
      <c r="AV28" s="90">
        <f t="shared" si="4"/>
        <v>0.87090000000000001</v>
      </c>
      <c r="AW28" s="90">
        <f t="shared" si="4"/>
        <v>1.1473</v>
      </c>
      <c r="AX28" s="90">
        <f t="shared" si="4"/>
        <v>0</v>
      </c>
      <c r="AY28" s="90">
        <f t="shared" si="4"/>
        <v>0</v>
      </c>
      <c r="AZ28" s="90">
        <f t="shared" si="4"/>
        <v>0</v>
      </c>
      <c r="BA28" s="90">
        <f t="shared" si="4"/>
        <v>0</v>
      </c>
      <c r="BB28" s="90">
        <f t="shared" si="4"/>
        <v>0</v>
      </c>
      <c r="BC28" s="90">
        <f t="shared" si="4"/>
        <v>0</v>
      </c>
      <c r="BD28" s="88"/>
      <c r="BE28" s="1">
        <f>IFERROR(VLOOKUP(AR28,'Top WS'!$A$19:$C$28,3),0)</f>
        <v>360</v>
      </c>
      <c r="BF28" s="1">
        <f>IFERROR(VLOOKUP(AS28,'Top WS'!$A$19:$C$28,3),0)</f>
        <v>432</v>
      </c>
      <c r="BG28" s="1">
        <f>IFERROR(VLOOKUP(AT28,'Top WS'!$A$19:$C$28,3),0)</f>
        <v>360</v>
      </c>
      <c r="BH28" s="1">
        <f>IFERROR(VLOOKUP(AU28,'Top WS'!$A$19:$C$28,3),0)</f>
        <v>360</v>
      </c>
      <c r="BI28" s="1">
        <f>IFERROR(VLOOKUP(AV28,'Top WS'!$A$19:$C$28,3),0)</f>
        <v>360</v>
      </c>
      <c r="BJ28" s="1">
        <f>IFERROR(VLOOKUP(AW28,'Top WS'!$A$19:$C$28,3),0)</f>
        <v>460</v>
      </c>
      <c r="BK28" s="89">
        <f>IFERROR(VLOOKUP(AX28,'Top WS'!$A$19:$C$28,3),0)</f>
        <v>360</v>
      </c>
      <c r="BL28" s="89">
        <f>IFERROR(VLOOKUP(AY28,'Top WS'!$A$19:$C$28,3),0)</f>
        <v>360</v>
      </c>
      <c r="BM28" s="89">
        <f>IFERROR(VLOOKUP(AZ28,'Top WS'!$A$19:$C$28,3),0)</f>
        <v>360</v>
      </c>
      <c r="BN28" s="89">
        <f>IFERROR(VLOOKUP(BA28,'Top WS'!$A$19:$C$28,3),0)</f>
        <v>360</v>
      </c>
      <c r="BO28" s="89">
        <f>IFERROR(VLOOKUP(BB28,'Top WS'!$A$19:$C$28,3),0)</f>
        <v>360</v>
      </c>
      <c r="BP28" s="89">
        <f>IFERROR(VLOOKUP(BC28,'Top WS'!$A$19:$C$28,3),0)</f>
        <v>360</v>
      </c>
      <c r="BQ28" s="1">
        <f t="shared" si="5"/>
        <v>4492</v>
      </c>
    </row>
    <row r="29" spans="1:69" x14ac:dyDescent="0.4">
      <c r="A29">
        <v>1190033002</v>
      </c>
      <c r="B29">
        <f>VLOOKUP(A29,'Aji Plus'!$A$2:$D$58,2,0)</f>
        <v>27905</v>
      </c>
      <c r="C29" t="str">
        <f>VLOOKUP(A29,'Aji Plus'!$A$2:$D$58,3,0)</f>
        <v>นายปัญญา ธนาโภคาสิน</v>
      </c>
      <c r="D29" t="str">
        <f>VLOOKUP(A29,'Aji Plus'!$A$2:$D$58,4,0)</f>
        <v>Ratchaburi</v>
      </c>
      <c r="E29" s="1">
        <v>145.30907943791192</v>
      </c>
      <c r="F29" s="1">
        <v>114.17141955835939</v>
      </c>
      <c r="G29" s="1">
        <v>113.91826785202157</v>
      </c>
      <c r="H29" s="1">
        <v>121.51281904215632</v>
      </c>
      <c r="I29" s="1">
        <v>153.66308574706017</v>
      </c>
      <c r="J29" s="1">
        <v>168.85218812732973</v>
      </c>
      <c r="K29" s="1">
        <v>167.83958130197846</v>
      </c>
      <c r="L29" s="1">
        <v>121.00651562948067</v>
      </c>
      <c r="M29" s="1">
        <v>134.92985947806108</v>
      </c>
      <c r="N29" s="1">
        <v>143.28386578720935</v>
      </c>
      <c r="O29" s="1">
        <v>237.45630054488049</v>
      </c>
      <c r="P29" s="1">
        <v>143.53701749354718</v>
      </c>
      <c r="R29" s="1">
        <f>VLOOKUP(A29,Actual_RDQ!$A$2:$H$62,3,0)</f>
        <v>169.92000000000002</v>
      </c>
      <c r="S29" s="1">
        <f>VLOOKUP(A29,Actual_RDQ!$A$2:$H$62,4,0)</f>
        <v>119.80799999999999</v>
      </c>
      <c r="T29" s="1">
        <f>VLOOKUP(A29,Actual_RDQ!$A$2:$H$62,5,0)</f>
        <v>111.74399999999999</v>
      </c>
      <c r="U29" s="1">
        <f>VLOOKUP(A29,Actual_RDQ!$A$2:$H$62,6,0)</f>
        <v>144.00000000000003</v>
      </c>
      <c r="V29" s="1">
        <f>VLOOKUP(A29,Actual_RDQ!$A$2:$H$62,7,0)</f>
        <v>167.04000000000002</v>
      </c>
      <c r="W29" s="1">
        <f>VLOOKUP(A29,Actual_RDQ!$A$2:$H$62,8,0)</f>
        <v>167.04000000000002</v>
      </c>
      <c r="X29" s="109"/>
      <c r="Y29" s="109"/>
      <c r="Z29" s="109"/>
      <c r="AA29" s="109"/>
      <c r="AB29" s="109"/>
      <c r="AC29" s="109"/>
      <c r="AE29" s="88">
        <f t="shared" si="3"/>
        <v>1.1693694616832524</v>
      </c>
      <c r="AF29" s="88">
        <f t="shared" si="3"/>
        <v>1.0493694522100554</v>
      </c>
      <c r="AG29" s="88">
        <f t="shared" si="3"/>
        <v>0.98091379115028388</v>
      </c>
      <c r="AH29" s="88">
        <f t="shared" si="3"/>
        <v>1.185060153612618</v>
      </c>
      <c r="AI29" s="88">
        <f t="shared" si="3"/>
        <v>1.0870535313533867</v>
      </c>
      <c r="AJ29" s="88">
        <f t="shared" si="3"/>
        <v>0.98926760649401146</v>
      </c>
      <c r="AK29" s="90">
        <f t="shared" si="3"/>
        <v>0</v>
      </c>
      <c r="AL29" s="90">
        <f t="shared" si="3"/>
        <v>0</v>
      </c>
      <c r="AM29" s="90">
        <f t="shared" si="3"/>
        <v>0</v>
      </c>
      <c r="AN29" s="90">
        <f t="shared" si="3"/>
        <v>0</v>
      </c>
      <c r="AO29" s="90">
        <f t="shared" si="3"/>
        <v>0</v>
      </c>
      <c r="AP29" s="90">
        <f t="shared" si="3"/>
        <v>0</v>
      </c>
      <c r="AQ29" s="88"/>
      <c r="AR29" s="90">
        <f t="shared" si="4"/>
        <v>1.1694</v>
      </c>
      <c r="AS29" s="90">
        <f t="shared" si="4"/>
        <v>1.0494000000000001</v>
      </c>
      <c r="AT29" s="90">
        <f t="shared" si="4"/>
        <v>0.98089999999999999</v>
      </c>
      <c r="AU29" s="90">
        <f t="shared" si="4"/>
        <v>1.1851</v>
      </c>
      <c r="AV29" s="90">
        <f t="shared" si="4"/>
        <v>1.0871</v>
      </c>
      <c r="AW29" s="90">
        <f t="shared" si="4"/>
        <v>0.98929999999999996</v>
      </c>
      <c r="AX29" s="90">
        <f t="shared" si="4"/>
        <v>0</v>
      </c>
      <c r="AY29" s="90">
        <f t="shared" si="4"/>
        <v>0</v>
      </c>
      <c r="AZ29" s="90">
        <f t="shared" si="4"/>
        <v>0</v>
      </c>
      <c r="BA29" s="90">
        <f t="shared" si="4"/>
        <v>0</v>
      </c>
      <c r="BB29" s="90">
        <f t="shared" si="4"/>
        <v>0</v>
      </c>
      <c r="BC29" s="90">
        <f t="shared" si="4"/>
        <v>0</v>
      </c>
      <c r="BD29" s="88"/>
      <c r="BE29" s="1">
        <f>IFERROR(VLOOKUP(AR29,'Top WS'!$A$19:$C$28,3),0)</f>
        <v>480</v>
      </c>
      <c r="BF29" s="1">
        <f>IFERROR(VLOOKUP(AS29,'Top WS'!$A$19:$C$28,3),0)</f>
        <v>432</v>
      </c>
      <c r="BG29" s="1">
        <f>IFERROR(VLOOKUP(AT29,'Top WS'!$A$19:$C$28,3),0)</f>
        <v>400</v>
      </c>
      <c r="BH29" s="1">
        <f>IFERROR(VLOOKUP(AU29,'Top WS'!$A$19:$C$28,3),0)</f>
        <v>480</v>
      </c>
      <c r="BI29" s="1">
        <f>IFERROR(VLOOKUP(AV29,'Top WS'!$A$19:$C$28,3),0)</f>
        <v>440</v>
      </c>
      <c r="BJ29" s="1">
        <f>IFERROR(VLOOKUP(AW29,'Top WS'!$A$19:$C$28,3),0)</f>
        <v>400</v>
      </c>
      <c r="BK29" s="89">
        <f>IFERROR(VLOOKUP(AX29,'Top WS'!$A$19:$C$28,3),0)</f>
        <v>360</v>
      </c>
      <c r="BL29" s="89">
        <f>IFERROR(VLOOKUP(AY29,'Top WS'!$A$19:$C$28,3),0)</f>
        <v>360</v>
      </c>
      <c r="BM29" s="89">
        <f>IFERROR(VLOOKUP(AZ29,'Top WS'!$A$19:$C$28,3),0)</f>
        <v>360</v>
      </c>
      <c r="BN29" s="89">
        <f>IFERROR(VLOOKUP(BA29,'Top WS'!$A$19:$C$28,3),0)</f>
        <v>360</v>
      </c>
      <c r="BO29" s="89">
        <f>IFERROR(VLOOKUP(BB29,'Top WS'!$A$19:$C$28,3),0)</f>
        <v>360</v>
      </c>
      <c r="BP29" s="89">
        <f>IFERROR(VLOOKUP(BC29,'Top WS'!$A$19:$C$28,3),0)</f>
        <v>360</v>
      </c>
      <c r="BQ29" s="1">
        <f t="shared" si="5"/>
        <v>4792</v>
      </c>
    </row>
    <row r="30" spans="1:69" x14ac:dyDescent="0.4">
      <c r="A30">
        <v>1190033101</v>
      </c>
      <c r="B30">
        <f>VLOOKUP(A30,'Aji Plus'!$A$2:$D$58,2,0)</f>
        <v>66381</v>
      </c>
      <c r="C30" t="str">
        <f>VLOOKUP(A30,'Aji Plus'!$A$2:$D$58,3,0)</f>
        <v>นายเอกศักดิ์ แซ่ลิ้ม</v>
      </c>
      <c r="D30" t="str">
        <f>VLOOKUP(A30,'Aji Plus'!$A$2:$D$58,4,0)</f>
        <v>Huahin</v>
      </c>
      <c r="E30" s="1">
        <v>93.486903648269475</v>
      </c>
      <c r="F30" s="1">
        <v>93.030869971936426</v>
      </c>
      <c r="G30" s="1">
        <v>43.323199251637071</v>
      </c>
      <c r="H30" s="1">
        <v>39.674929840972887</v>
      </c>
      <c r="I30" s="1">
        <v>169.64452759588409</v>
      </c>
      <c r="J30" s="1">
        <v>60.652478952291887</v>
      </c>
      <c r="K30" s="1">
        <v>125.40926099158096</v>
      </c>
      <c r="L30" s="1">
        <v>71.14125350795139</v>
      </c>
      <c r="M30" s="1">
        <v>110.36014967259125</v>
      </c>
      <c r="N30" s="1">
        <v>63.388681010290036</v>
      </c>
      <c r="O30" s="1">
        <v>80.717960710944851</v>
      </c>
      <c r="P30" s="1">
        <v>24.169784845650153</v>
      </c>
      <c r="R30" s="1">
        <f>VLOOKUP(A30,Actual_RDQ!$A$2:$H$62,3,0)</f>
        <v>163.00799999999998</v>
      </c>
      <c r="S30" s="1">
        <f>VLOOKUP(A30,Actual_RDQ!$A$2:$H$62,4,0)</f>
        <v>57.600000000000009</v>
      </c>
      <c r="T30" s="1">
        <f>VLOOKUP(A30,Actual_RDQ!$A$2:$H$62,5,0)</f>
        <v>77.184000000000012</v>
      </c>
      <c r="U30" s="1">
        <f>VLOOKUP(A30,Actual_RDQ!$A$2:$H$62,6,0)</f>
        <v>139.392</v>
      </c>
      <c r="V30" s="1">
        <f>VLOOKUP(A30,Actual_RDQ!$A$2:$H$62,7,0)</f>
        <v>36.287999999999997</v>
      </c>
      <c r="W30" s="1">
        <f>VLOOKUP(A30,Actual_RDQ!$A$2:$H$62,8,0)</f>
        <v>59.32800000000001</v>
      </c>
      <c r="X30" s="109"/>
      <c r="Y30" s="109"/>
      <c r="Z30" s="109"/>
      <c r="AA30" s="109"/>
      <c r="AB30" s="109"/>
      <c r="AC30" s="109"/>
      <c r="AE30" s="88">
        <f t="shared" si="3"/>
        <v>1.7436452983114432</v>
      </c>
      <c r="AF30" s="88">
        <f t="shared" si="3"/>
        <v>0.6191493212669682</v>
      </c>
      <c r="AG30" s="88">
        <f t="shared" si="3"/>
        <v>1.7815858785425094</v>
      </c>
      <c r="AH30" s="88">
        <f t="shared" si="3"/>
        <v>3.5133521485411126</v>
      </c>
      <c r="AI30" s="88">
        <f t="shared" si="3"/>
        <v>0.21390610421836215</v>
      </c>
      <c r="AJ30" s="88">
        <f t="shared" si="3"/>
        <v>0.97816282244071695</v>
      </c>
      <c r="AK30" s="90">
        <f t="shared" si="3"/>
        <v>0</v>
      </c>
      <c r="AL30" s="90">
        <f t="shared" si="3"/>
        <v>0</v>
      </c>
      <c r="AM30" s="90">
        <f t="shared" si="3"/>
        <v>0</v>
      </c>
      <c r="AN30" s="90">
        <f t="shared" si="3"/>
        <v>0</v>
      </c>
      <c r="AO30" s="90">
        <f t="shared" si="3"/>
        <v>0</v>
      </c>
      <c r="AP30" s="90">
        <f t="shared" si="3"/>
        <v>0</v>
      </c>
      <c r="AQ30" s="88"/>
      <c r="AR30" s="90">
        <f t="shared" si="4"/>
        <v>1.7436</v>
      </c>
      <c r="AS30" s="90">
        <f t="shared" si="4"/>
        <v>0.61909999999999998</v>
      </c>
      <c r="AT30" s="90">
        <f t="shared" si="4"/>
        <v>1.7816000000000001</v>
      </c>
      <c r="AU30" s="90">
        <f t="shared" si="4"/>
        <v>3.5133999999999999</v>
      </c>
      <c r="AV30" s="90">
        <f t="shared" si="4"/>
        <v>0.21390000000000001</v>
      </c>
      <c r="AW30" s="90">
        <f t="shared" si="4"/>
        <v>0.97819999999999996</v>
      </c>
      <c r="AX30" s="90">
        <f t="shared" si="4"/>
        <v>0</v>
      </c>
      <c r="AY30" s="90">
        <f t="shared" si="4"/>
        <v>0</v>
      </c>
      <c r="AZ30" s="90">
        <f t="shared" si="4"/>
        <v>0</v>
      </c>
      <c r="BA30" s="90">
        <f t="shared" si="4"/>
        <v>0</v>
      </c>
      <c r="BB30" s="90">
        <f t="shared" si="4"/>
        <v>0</v>
      </c>
      <c r="BC30" s="90">
        <f t="shared" si="4"/>
        <v>0</v>
      </c>
      <c r="BD30" s="88"/>
      <c r="BE30" s="1">
        <f>IFERROR(VLOOKUP(AR30,'Top WS'!$A$19:$C$28,3),0)</f>
        <v>520</v>
      </c>
      <c r="BF30" s="1">
        <f>IFERROR(VLOOKUP(AS30,'Top WS'!$A$19:$C$28,3),0)</f>
        <v>360</v>
      </c>
      <c r="BG30" s="1">
        <f>IFERROR(VLOOKUP(AT30,'Top WS'!$A$19:$C$28,3),0)</f>
        <v>520</v>
      </c>
      <c r="BH30" s="1">
        <f>IFERROR(VLOOKUP(AU30,'Top WS'!$A$19:$C$28,3),0)</f>
        <v>520</v>
      </c>
      <c r="BI30" s="1">
        <f>IFERROR(VLOOKUP(AV30,'Top WS'!$A$19:$C$28,3),0)</f>
        <v>360</v>
      </c>
      <c r="BJ30" s="1">
        <f>IFERROR(VLOOKUP(AW30,'Top WS'!$A$19:$C$28,3),0)</f>
        <v>400</v>
      </c>
      <c r="BK30" s="89">
        <f>IFERROR(VLOOKUP(AX30,'Top WS'!$A$19:$C$28,3),0)</f>
        <v>360</v>
      </c>
      <c r="BL30" s="89">
        <f>IFERROR(VLOOKUP(AY30,'Top WS'!$A$19:$C$28,3),0)</f>
        <v>360</v>
      </c>
      <c r="BM30" s="89">
        <f>IFERROR(VLOOKUP(AZ30,'Top WS'!$A$19:$C$28,3),0)</f>
        <v>360</v>
      </c>
      <c r="BN30" s="89">
        <f>IFERROR(VLOOKUP(BA30,'Top WS'!$A$19:$C$28,3),0)</f>
        <v>360</v>
      </c>
      <c r="BO30" s="89">
        <f>IFERROR(VLOOKUP(BB30,'Top WS'!$A$19:$C$28,3),0)</f>
        <v>360</v>
      </c>
      <c r="BP30" s="89">
        <f>IFERROR(VLOOKUP(BC30,'Top WS'!$A$19:$C$28,3),0)</f>
        <v>360</v>
      </c>
      <c r="BQ30" s="1">
        <f t="shared" si="5"/>
        <v>4840</v>
      </c>
    </row>
    <row r="31" spans="1:69" x14ac:dyDescent="0.4">
      <c r="A31">
        <v>1190033102</v>
      </c>
      <c r="B31">
        <f>VLOOKUP(A31,'Aji Plus'!$A$2:$D$58,2,0)</f>
        <v>28090</v>
      </c>
      <c r="C31" t="str">
        <f>VLOOKUP(A31,'Aji Plus'!$A$2:$D$58,3,0)</f>
        <v>นายนิกร กิจเถกิง</v>
      </c>
      <c r="D31" t="str">
        <f>VLOOKUP(A31,'Aji Plus'!$A$2:$D$58,4,0)</f>
        <v>Huahin</v>
      </c>
      <c r="E31" s="1">
        <v>50.339101964452794</v>
      </c>
      <c r="F31" s="1">
        <v>50.093545369504227</v>
      </c>
      <c r="G31" s="1">
        <v>23.327876520112266</v>
      </c>
      <c r="H31" s="1">
        <v>21.363423760523862</v>
      </c>
      <c r="I31" s="1">
        <v>91.347053320860653</v>
      </c>
      <c r="J31" s="1">
        <v>32.659027128157163</v>
      </c>
      <c r="K31" s="1">
        <v>67.528063610851291</v>
      </c>
      <c r="L31" s="1">
        <v>38.306828811973823</v>
      </c>
      <c r="M31" s="1">
        <v>59.424695977549128</v>
      </c>
      <c r="N31" s="1">
        <v>34.132366697848475</v>
      </c>
      <c r="O31" s="1">
        <v>43.463517305893376</v>
      </c>
      <c r="P31" s="1">
        <v>13.014499532273158</v>
      </c>
      <c r="R31" s="1">
        <f>VLOOKUP(A31,Actual_RDQ!$A$2:$H$62,3,0)</f>
        <v>44.352000000000004</v>
      </c>
      <c r="S31" s="1">
        <f>VLOOKUP(A31,Actual_RDQ!$A$2:$H$62,4,0)</f>
        <v>38.591999999999999</v>
      </c>
      <c r="T31" s="1">
        <f>VLOOKUP(A31,Actual_RDQ!$A$2:$H$62,5,0)</f>
        <v>60.48</v>
      </c>
      <c r="U31" s="1">
        <f>VLOOKUP(A31,Actual_RDQ!$A$2:$H$62,6,0)</f>
        <v>23.04</v>
      </c>
      <c r="V31" s="1">
        <f>VLOOKUP(A31,Actual_RDQ!$A$2:$H$62,7,0)</f>
        <v>58.752000000000002</v>
      </c>
      <c r="W31" s="1">
        <f>VLOOKUP(A31,Actual_RDQ!$A$2:$H$62,8,0)</f>
        <v>19.584</v>
      </c>
      <c r="X31" s="109"/>
      <c r="Y31" s="109"/>
      <c r="Z31" s="109"/>
      <c r="AA31" s="109"/>
      <c r="AB31" s="109"/>
      <c r="AC31" s="109"/>
      <c r="AE31" s="88">
        <f t="shared" si="3"/>
        <v>0.88106458536585308</v>
      </c>
      <c r="AF31" s="88">
        <f t="shared" si="3"/>
        <v>0.77039865546218456</v>
      </c>
      <c r="AG31" s="88">
        <f t="shared" si="3"/>
        <v>2.5926063157894723</v>
      </c>
      <c r="AH31" s="88">
        <f t="shared" si="3"/>
        <v>1.0784788177339897</v>
      </c>
      <c r="AI31" s="88">
        <f t="shared" si="3"/>
        <v>0.64317345622119793</v>
      </c>
      <c r="AJ31" s="88">
        <f t="shared" si="3"/>
        <v>0.59965044038668081</v>
      </c>
      <c r="AK31" s="90">
        <f t="shared" si="3"/>
        <v>0</v>
      </c>
      <c r="AL31" s="90">
        <f t="shared" si="3"/>
        <v>0</v>
      </c>
      <c r="AM31" s="90">
        <f t="shared" si="3"/>
        <v>0</v>
      </c>
      <c r="AN31" s="90">
        <f t="shared" si="3"/>
        <v>0</v>
      </c>
      <c r="AO31" s="90">
        <f t="shared" si="3"/>
        <v>0</v>
      </c>
      <c r="AP31" s="90">
        <f t="shared" si="3"/>
        <v>0</v>
      </c>
      <c r="AQ31" s="88"/>
      <c r="AR31" s="90">
        <f t="shared" si="4"/>
        <v>0.88109999999999999</v>
      </c>
      <c r="AS31" s="90">
        <f t="shared" si="4"/>
        <v>0.77039999999999997</v>
      </c>
      <c r="AT31" s="90">
        <f t="shared" si="4"/>
        <v>2.5926</v>
      </c>
      <c r="AU31" s="90">
        <f t="shared" si="4"/>
        <v>1.0785</v>
      </c>
      <c r="AV31" s="90">
        <f t="shared" si="4"/>
        <v>0.64319999999999999</v>
      </c>
      <c r="AW31" s="90">
        <f t="shared" si="4"/>
        <v>0.59970000000000001</v>
      </c>
      <c r="AX31" s="90">
        <f t="shared" si="4"/>
        <v>0</v>
      </c>
      <c r="AY31" s="90">
        <f t="shared" si="4"/>
        <v>0</v>
      </c>
      <c r="AZ31" s="90">
        <f t="shared" si="4"/>
        <v>0</v>
      </c>
      <c r="BA31" s="90">
        <f t="shared" si="4"/>
        <v>0</v>
      </c>
      <c r="BB31" s="90">
        <f t="shared" si="4"/>
        <v>0</v>
      </c>
      <c r="BC31" s="90">
        <f t="shared" si="4"/>
        <v>0</v>
      </c>
      <c r="BD31" s="88"/>
      <c r="BE31" s="1">
        <f>IFERROR(VLOOKUP(AR31,'Top WS'!$A$19:$C$28,3),0)</f>
        <v>360</v>
      </c>
      <c r="BF31" s="1">
        <f>IFERROR(VLOOKUP(AS31,'Top WS'!$A$19:$C$28,3),0)</f>
        <v>360</v>
      </c>
      <c r="BG31" s="1">
        <f>IFERROR(VLOOKUP(AT31,'Top WS'!$A$19:$C$28,3),0)</f>
        <v>520</v>
      </c>
      <c r="BH31" s="1">
        <f>IFERROR(VLOOKUP(AU31,'Top WS'!$A$19:$C$28,3),0)</f>
        <v>440</v>
      </c>
      <c r="BI31" s="1">
        <f>IFERROR(VLOOKUP(AV31,'Top WS'!$A$19:$C$28,3),0)</f>
        <v>360</v>
      </c>
      <c r="BJ31" s="1">
        <f>IFERROR(VLOOKUP(AW31,'Top WS'!$A$19:$C$28,3),0)</f>
        <v>360</v>
      </c>
      <c r="BK31" s="89">
        <f>IFERROR(VLOOKUP(AX31,'Top WS'!$A$19:$C$28,3),0)</f>
        <v>360</v>
      </c>
      <c r="BL31" s="89">
        <f>IFERROR(VLOOKUP(AY31,'Top WS'!$A$19:$C$28,3),0)</f>
        <v>360</v>
      </c>
      <c r="BM31" s="89">
        <f>IFERROR(VLOOKUP(AZ31,'Top WS'!$A$19:$C$28,3),0)</f>
        <v>360</v>
      </c>
      <c r="BN31" s="89">
        <f>IFERROR(VLOOKUP(BA31,'Top WS'!$A$19:$C$28,3),0)</f>
        <v>360</v>
      </c>
      <c r="BO31" s="89">
        <f>IFERROR(VLOOKUP(BB31,'Top WS'!$A$19:$C$28,3),0)</f>
        <v>360</v>
      </c>
      <c r="BP31" s="89">
        <f>IFERROR(VLOOKUP(BC31,'Top WS'!$A$19:$C$28,3),0)</f>
        <v>360</v>
      </c>
      <c r="BQ31" s="1">
        <f t="shared" si="5"/>
        <v>4560</v>
      </c>
    </row>
    <row r="32" spans="1:69" x14ac:dyDescent="0.4">
      <c r="A32">
        <v>1190033201</v>
      </c>
      <c r="B32">
        <f>VLOOKUP(A32,'Aji Plus'!$A$2:$D$58,2,0)</f>
        <v>76475</v>
      </c>
      <c r="C32" t="str">
        <f>VLOOKUP(A32,'Aji Plus'!$A$2:$D$58,3,0)</f>
        <v>นายดานุกาญจน์ ตั้งพัฒนารุ่งเรือง</v>
      </c>
      <c r="D32" t="str">
        <f>VLOOKUP(A32,'Aji Plus'!$A$2:$D$58,4,0)</f>
        <v>Suphanburi</v>
      </c>
      <c r="E32" s="1">
        <v>130.80467235710884</v>
      </c>
      <c r="F32" s="1">
        <v>164.4131104898762</v>
      </c>
      <c r="G32" s="1">
        <v>153.99922825155397</v>
      </c>
      <c r="H32" s="1">
        <v>96.249517657221247</v>
      </c>
      <c r="I32" s="1">
        <v>174.03806225559839</v>
      </c>
      <c r="J32" s="1">
        <v>189.34331342404178</v>
      </c>
      <c r="K32" s="1">
        <v>145.16320695843197</v>
      </c>
      <c r="L32" s="1">
        <v>182.71629745420029</v>
      </c>
      <c r="M32" s="1">
        <v>131.12024454614891</v>
      </c>
      <c r="N32" s="1">
        <v>208.59321695548593</v>
      </c>
      <c r="O32" s="1">
        <v>190.13224389664191</v>
      </c>
      <c r="P32" s="1">
        <v>102.24538924898252</v>
      </c>
      <c r="R32" s="1">
        <f>VLOOKUP(A32,Actual_RDQ!$A$2:$H$62,3,0)</f>
        <v>161.28</v>
      </c>
      <c r="S32" s="1">
        <f>VLOOKUP(A32,Actual_RDQ!$A$2:$H$62,4,0)</f>
        <v>158.976</v>
      </c>
      <c r="T32" s="1">
        <f>VLOOKUP(A32,Actual_RDQ!$A$2:$H$62,5,0)</f>
        <v>240.768</v>
      </c>
      <c r="U32" s="1">
        <f>VLOOKUP(A32,Actual_RDQ!$A$2:$H$62,6,0)</f>
        <v>78.335999999999999</v>
      </c>
      <c r="V32" s="1">
        <f>VLOOKUP(A32,Actual_RDQ!$A$2:$H$62,7,0)</f>
        <v>142.84799999999998</v>
      </c>
      <c r="W32" s="1">
        <f>VLOOKUP(A32,Actual_RDQ!$A$2:$H$62,8,0)</f>
        <v>133.63200000000001</v>
      </c>
      <c r="X32" s="109"/>
      <c r="Y32" s="109"/>
      <c r="Z32" s="109"/>
      <c r="AA32" s="109"/>
      <c r="AB32" s="109"/>
      <c r="AC32" s="109"/>
      <c r="AE32" s="88">
        <f t="shared" si="3"/>
        <v>1.2329834790586891</v>
      </c>
      <c r="AF32" s="88">
        <f t="shared" si="3"/>
        <v>0.96693018899967231</v>
      </c>
      <c r="AG32" s="88">
        <f t="shared" si="3"/>
        <v>1.5634364063611499</v>
      </c>
      <c r="AH32" s="88">
        <f t="shared" si="3"/>
        <v>0.81388459814398595</v>
      </c>
      <c r="AI32" s="88">
        <f t="shared" si="3"/>
        <v>0.82078597146300336</v>
      </c>
      <c r="AJ32" s="88">
        <f t="shared" si="3"/>
        <v>0.70576561476309385</v>
      </c>
      <c r="AK32" s="90">
        <f t="shared" si="3"/>
        <v>0</v>
      </c>
      <c r="AL32" s="90">
        <f t="shared" si="3"/>
        <v>0</v>
      </c>
      <c r="AM32" s="90">
        <f t="shared" si="3"/>
        <v>0</v>
      </c>
      <c r="AN32" s="90">
        <f t="shared" si="3"/>
        <v>0</v>
      </c>
      <c r="AO32" s="90">
        <f t="shared" si="3"/>
        <v>0</v>
      </c>
      <c r="AP32" s="90">
        <f t="shared" si="3"/>
        <v>0</v>
      </c>
      <c r="AQ32" s="88"/>
      <c r="AR32" s="90">
        <f t="shared" si="4"/>
        <v>1.2330000000000001</v>
      </c>
      <c r="AS32" s="90">
        <f t="shared" si="4"/>
        <v>0.96689999999999998</v>
      </c>
      <c r="AT32" s="90">
        <f t="shared" si="4"/>
        <v>1.5633999999999999</v>
      </c>
      <c r="AU32" s="90">
        <f t="shared" si="4"/>
        <v>0.81389999999999996</v>
      </c>
      <c r="AV32" s="90">
        <f t="shared" si="4"/>
        <v>0.82079999999999997</v>
      </c>
      <c r="AW32" s="90">
        <f t="shared" si="4"/>
        <v>0.70579999999999998</v>
      </c>
      <c r="AX32" s="90">
        <f t="shared" si="4"/>
        <v>0</v>
      </c>
      <c r="AY32" s="90">
        <f t="shared" si="4"/>
        <v>0</v>
      </c>
      <c r="AZ32" s="90">
        <f t="shared" si="4"/>
        <v>0</v>
      </c>
      <c r="BA32" s="90">
        <f t="shared" si="4"/>
        <v>0</v>
      </c>
      <c r="BB32" s="90">
        <f t="shared" si="4"/>
        <v>0</v>
      </c>
      <c r="BC32" s="90">
        <f t="shared" si="4"/>
        <v>0</v>
      </c>
      <c r="BD32" s="88"/>
      <c r="BE32" s="1">
        <f>IFERROR(VLOOKUP(AR32,'Top WS'!$A$19:$C$28,3),0)</f>
        <v>520</v>
      </c>
      <c r="BF32" s="1">
        <f>IFERROR(VLOOKUP(AS32,'Top WS'!$A$19:$C$28,3),0)</f>
        <v>400</v>
      </c>
      <c r="BG32" s="1">
        <f>IFERROR(VLOOKUP(AT32,'Top WS'!$A$19:$C$28,3),0)</f>
        <v>520</v>
      </c>
      <c r="BH32" s="1">
        <f>IFERROR(VLOOKUP(AU32,'Top WS'!$A$19:$C$28,3),0)</f>
        <v>360</v>
      </c>
      <c r="BI32" s="1">
        <f>IFERROR(VLOOKUP(AV32,'Top WS'!$A$19:$C$28,3),0)</f>
        <v>360</v>
      </c>
      <c r="BJ32" s="1">
        <f>IFERROR(VLOOKUP(AW32,'Top WS'!$A$19:$C$28,3),0)</f>
        <v>360</v>
      </c>
      <c r="BK32" s="89">
        <f>IFERROR(VLOOKUP(AX32,'Top WS'!$A$19:$C$28,3),0)</f>
        <v>360</v>
      </c>
      <c r="BL32" s="89">
        <f>IFERROR(VLOOKUP(AY32,'Top WS'!$A$19:$C$28,3),0)</f>
        <v>360</v>
      </c>
      <c r="BM32" s="89">
        <f>IFERROR(VLOOKUP(AZ32,'Top WS'!$A$19:$C$28,3),0)</f>
        <v>360</v>
      </c>
      <c r="BN32" s="89">
        <f>IFERROR(VLOOKUP(BA32,'Top WS'!$A$19:$C$28,3),0)</f>
        <v>360</v>
      </c>
      <c r="BO32" s="89">
        <f>IFERROR(VLOOKUP(BB32,'Top WS'!$A$19:$C$28,3),0)</f>
        <v>360</v>
      </c>
      <c r="BP32" s="89">
        <f>IFERROR(VLOOKUP(BC32,'Top WS'!$A$19:$C$28,3),0)</f>
        <v>360</v>
      </c>
      <c r="BQ32" s="1">
        <f t="shared" si="5"/>
        <v>4680</v>
      </c>
    </row>
    <row r="33" spans="1:69" x14ac:dyDescent="0.4">
      <c r="A33">
        <v>1190033202</v>
      </c>
      <c r="B33">
        <f>VLOOKUP(A33,'Aji Plus'!$A$2:$D$58,2,0)</f>
        <v>63537</v>
      </c>
      <c r="C33" t="str">
        <f>VLOOKUP(A33,'Aji Plus'!$A$2:$D$58,3,0)</f>
        <v>นายอำนาจ แตงสี</v>
      </c>
      <c r="D33" t="str">
        <f>VLOOKUP(A33,'Aji Plus'!$A$2:$D$58,4,0)</f>
        <v>Suphanburi</v>
      </c>
      <c r="E33" s="1">
        <v>149.86824219878378</v>
      </c>
      <c r="F33" s="1">
        <v>188.37479900016004</v>
      </c>
      <c r="G33" s="1">
        <v>176.44318985043785</v>
      </c>
      <c r="H33" s="1">
        <v>110.27699365652369</v>
      </c>
      <c r="I33" s="1">
        <v>199.40249836581248</v>
      </c>
      <c r="J33" s="1">
        <v>216.93834817676787</v>
      </c>
      <c r="K33" s="1">
        <v>166.3194002688553</v>
      </c>
      <c r="L33" s="1">
        <v>209.34550599058096</v>
      </c>
      <c r="M33" s="1">
        <v>150.22980611241172</v>
      </c>
      <c r="N33" s="1">
        <v>238.9937469080725</v>
      </c>
      <c r="O33" s="1">
        <v>217.84225796083769</v>
      </c>
      <c r="P33" s="1">
        <v>117.14670801545459</v>
      </c>
      <c r="R33" s="1">
        <f>VLOOKUP(A33,Actual_RDQ!$A$2:$H$62,3,0)</f>
        <v>209.08799999999997</v>
      </c>
      <c r="S33" s="1">
        <f>VLOOKUP(A33,Actual_RDQ!$A$2:$H$62,4,0)</f>
        <v>144.57599999999999</v>
      </c>
      <c r="T33" s="1">
        <f>VLOOKUP(A33,Actual_RDQ!$A$2:$H$62,5,0)</f>
        <v>131.61599999999999</v>
      </c>
      <c r="U33" s="1">
        <f>VLOOKUP(A33,Actual_RDQ!$A$2:$H$62,6,0)</f>
        <v>121.824</v>
      </c>
      <c r="V33" s="1">
        <f>VLOOKUP(A33,Actual_RDQ!$A$2:$H$62,7,0)</f>
        <v>135.93600000000004</v>
      </c>
      <c r="W33" s="1">
        <f>VLOOKUP(A33,Actual_RDQ!$A$2:$H$62,8,0)</f>
        <v>139.68</v>
      </c>
      <c r="X33" s="109"/>
      <c r="Y33" s="109"/>
      <c r="Z33" s="109"/>
      <c r="AA33" s="109"/>
      <c r="AB33" s="109"/>
      <c r="AC33" s="109"/>
      <c r="AE33" s="88">
        <f t="shared" si="3"/>
        <v>1.3951454753347121</v>
      </c>
      <c r="AF33" s="88">
        <f t="shared" si="3"/>
        <v>0.76749119716314684</v>
      </c>
      <c r="AG33" s="88">
        <f t="shared" si="3"/>
        <v>0.74593981276106125</v>
      </c>
      <c r="AH33" s="88">
        <f t="shared" si="3"/>
        <v>1.1047091143909982</v>
      </c>
      <c r="AI33" s="88">
        <f t="shared" si="3"/>
        <v>0.68171663401438221</v>
      </c>
      <c r="AJ33" s="88">
        <f t="shared" si="3"/>
        <v>0.64386956558821284</v>
      </c>
      <c r="AK33" s="90">
        <f t="shared" si="3"/>
        <v>0</v>
      </c>
      <c r="AL33" s="90">
        <f t="shared" si="3"/>
        <v>0</v>
      </c>
      <c r="AM33" s="90">
        <f t="shared" si="3"/>
        <v>0</v>
      </c>
      <c r="AN33" s="90">
        <f t="shared" si="3"/>
        <v>0</v>
      </c>
      <c r="AO33" s="90">
        <f t="shared" si="3"/>
        <v>0</v>
      </c>
      <c r="AP33" s="90">
        <f t="shared" si="3"/>
        <v>0</v>
      </c>
      <c r="AQ33" s="88"/>
      <c r="AR33" s="90">
        <f t="shared" si="4"/>
        <v>1.3951</v>
      </c>
      <c r="AS33" s="90">
        <f t="shared" si="4"/>
        <v>0.76749999999999996</v>
      </c>
      <c r="AT33" s="90">
        <f t="shared" si="4"/>
        <v>0.74590000000000001</v>
      </c>
      <c r="AU33" s="90">
        <f t="shared" si="4"/>
        <v>1.1047</v>
      </c>
      <c r="AV33" s="90">
        <f t="shared" si="4"/>
        <v>0.68169999999999997</v>
      </c>
      <c r="AW33" s="90">
        <f t="shared" si="4"/>
        <v>0.64390000000000003</v>
      </c>
      <c r="AX33" s="90">
        <f t="shared" si="4"/>
        <v>0</v>
      </c>
      <c r="AY33" s="90">
        <f t="shared" si="4"/>
        <v>0</v>
      </c>
      <c r="AZ33" s="90">
        <f t="shared" si="4"/>
        <v>0</v>
      </c>
      <c r="BA33" s="90">
        <f t="shared" si="4"/>
        <v>0</v>
      </c>
      <c r="BB33" s="90">
        <f t="shared" si="4"/>
        <v>0</v>
      </c>
      <c r="BC33" s="90">
        <f t="shared" si="4"/>
        <v>0</v>
      </c>
      <c r="BD33" s="88"/>
      <c r="BE33" s="1">
        <f>IFERROR(VLOOKUP(AR33,'Top WS'!$A$19:$C$28,3),0)</f>
        <v>520</v>
      </c>
      <c r="BF33" s="1">
        <f>IFERROR(VLOOKUP(AS33,'Top WS'!$A$19:$C$28,3),0)</f>
        <v>360</v>
      </c>
      <c r="BG33" s="1">
        <f>IFERROR(VLOOKUP(AT33,'Top WS'!$A$19:$C$28,3),0)</f>
        <v>360</v>
      </c>
      <c r="BH33" s="1">
        <f>IFERROR(VLOOKUP(AU33,'Top WS'!$A$19:$C$28,3),0)</f>
        <v>460</v>
      </c>
      <c r="BI33" s="1">
        <f>IFERROR(VLOOKUP(AV33,'Top WS'!$A$19:$C$28,3),0)</f>
        <v>360</v>
      </c>
      <c r="BJ33" s="1">
        <f>IFERROR(VLOOKUP(AW33,'Top WS'!$A$19:$C$28,3),0)</f>
        <v>360</v>
      </c>
      <c r="BK33" s="89">
        <f>IFERROR(VLOOKUP(AX33,'Top WS'!$A$19:$C$28,3),0)</f>
        <v>360</v>
      </c>
      <c r="BL33" s="89">
        <f>IFERROR(VLOOKUP(AY33,'Top WS'!$A$19:$C$28,3),0)</f>
        <v>360</v>
      </c>
      <c r="BM33" s="89">
        <f>IFERROR(VLOOKUP(AZ33,'Top WS'!$A$19:$C$28,3),0)</f>
        <v>360</v>
      </c>
      <c r="BN33" s="89">
        <f>IFERROR(VLOOKUP(BA33,'Top WS'!$A$19:$C$28,3),0)</f>
        <v>360</v>
      </c>
      <c r="BO33" s="89">
        <f>IFERROR(VLOOKUP(BB33,'Top WS'!$A$19:$C$28,3),0)</f>
        <v>360</v>
      </c>
      <c r="BP33" s="89">
        <f>IFERROR(VLOOKUP(BC33,'Top WS'!$A$19:$C$28,3),0)</f>
        <v>360</v>
      </c>
      <c r="BQ33" s="1">
        <f t="shared" si="5"/>
        <v>4580</v>
      </c>
    </row>
    <row r="34" spans="1:69" x14ac:dyDescent="0.4">
      <c r="A34">
        <v>1190033301</v>
      </c>
      <c r="B34">
        <f>VLOOKUP(A34,'Aji Plus'!$A$2:$D$58,2,0)</f>
        <v>63139</v>
      </c>
      <c r="C34" t="str">
        <f>VLOOKUP(A34,'Aji Plus'!$A$2:$D$58,3,0)</f>
        <v>นายเมธา กันทสัง</v>
      </c>
      <c r="D34" t="str">
        <f>VLOOKUP(A34,'Aji Plus'!$A$2:$D$58,4,0)</f>
        <v>Nakornpathom</v>
      </c>
      <c r="E34" s="1">
        <v>96.095056610870756</v>
      </c>
      <c r="F34" s="1">
        <v>81.535199548617612</v>
      </c>
      <c r="G34" s="1">
        <v>248.16467481662576</v>
      </c>
      <c r="H34" s="1">
        <v>106.12518036486739</v>
      </c>
      <c r="I34" s="1">
        <v>91.888875681775403</v>
      </c>
      <c r="J34" s="1">
        <v>322.25816964453622</v>
      </c>
      <c r="K34" s="1">
        <v>95.124399473387214</v>
      </c>
      <c r="L34" s="1">
        <v>229.72218920443851</v>
      </c>
      <c r="M34" s="1">
        <v>91.241770923453004</v>
      </c>
      <c r="N34" s="1">
        <v>144.95146586420904</v>
      </c>
      <c r="O34" s="1">
        <v>111.62557081060744</v>
      </c>
      <c r="P34" s="1">
        <v>101.59544705661079</v>
      </c>
      <c r="R34" s="1">
        <f>VLOOKUP(A34,Actual_RDQ!$A$2:$H$62,3,0)</f>
        <v>57.6</v>
      </c>
      <c r="S34" s="1">
        <f>VLOOKUP(A34,Actual_RDQ!$A$2:$H$62,4,0)</f>
        <v>249.98399999999998</v>
      </c>
      <c r="T34" s="1">
        <f>VLOOKUP(A34,Actual_RDQ!$A$2:$H$62,5,0)</f>
        <v>81.215999999999994</v>
      </c>
      <c r="U34" s="1">
        <f>VLOOKUP(A34,Actual_RDQ!$A$2:$H$62,6,0)</f>
        <v>187.20000000000005</v>
      </c>
      <c r="V34" s="1">
        <f>VLOOKUP(A34,Actual_RDQ!$A$2:$H$62,7,0)</f>
        <v>73.152000000000001</v>
      </c>
      <c r="W34" s="1">
        <f>VLOOKUP(A34,Actual_RDQ!$A$2:$H$62,8,0)</f>
        <v>123.26400000000001</v>
      </c>
      <c r="X34" s="109"/>
      <c r="Y34" s="109"/>
      <c r="Z34" s="109"/>
      <c r="AA34" s="109"/>
      <c r="AB34" s="109"/>
      <c r="AC34" s="109"/>
      <c r="AE34" s="88">
        <f t="shared" si="3"/>
        <v>0.59940648386572681</v>
      </c>
      <c r="AF34" s="88">
        <f t="shared" si="3"/>
        <v>3.0659641649731921</v>
      </c>
      <c r="AG34" s="88">
        <f t="shared" si="3"/>
        <v>0.3272665622535208</v>
      </c>
      <c r="AH34" s="88">
        <f t="shared" si="3"/>
        <v>1.7639545992420511</v>
      </c>
      <c r="AI34" s="88">
        <f t="shared" si="3"/>
        <v>0.79609201284969533</v>
      </c>
      <c r="AJ34" s="88">
        <f t="shared" si="3"/>
        <v>0.38250077611985811</v>
      </c>
      <c r="AK34" s="90">
        <f t="shared" si="3"/>
        <v>0</v>
      </c>
      <c r="AL34" s="90">
        <f t="shared" si="3"/>
        <v>0</v>
      </c>
      <c r="AM34" s="90">
        <f t="shared" si="3"/>
        <v>0</v>
      </c>
      <c r="AN34" s="90">
        <f t="shared" si="3"/>
        <v>0</v>
      </c>
      <c r="AO34" s="90">
        <f t="shared" si="3"/>
        <v>0</v>
      </c>
      <c r="AP34" s="90">
        <f t="shared" si="3"/>
        <v>0</v>
      </c>
      <c r="AQ34" s="88"/>
      <c r="AR34" s="90">
        <f t="shared" si="4"/>
        <v>0.59940000000000004</v>
      </c>
      <c r="AS34" s="90">
        <f t="shared" si="4"/>
        <v>3.0659999999999998</v>
      </c>
      <c r="AT34" s="90">
        <f t="shared" si="4"/>
        <v>0.32729999999999998</v>
      </c>
      <c r="AU34" s="90">
        <f t="shared" si="4"/>
        <v>1.764</v>
      </c>
      <c r="AV34" s="90">
        <f t="shared" si="4"/>
        <v>0.79610000000000003</v>
      </c>
      <c r="AW34" s="90">
        <f t="shared" si="4"/>
        <v>0.38250000000000001</v>
      </c>
      <c r="AX34" s="90">
        <f t="shared" si="4"/>
        <v>0</v>
      </c>
      <c r="AY34" s="90">
        <f t="shared" si="4"/>
        <v>0</v>
      </c>
      <c r="AZ34" s="90">
        <f t="shared" si="4"/>
        <v>0</v>
      </c>
      <c r="BA34" s="90">
        <f t="shared" si="4"/>
        <v>0</v>
      </c>
      <c r="BB34" s="90">
        <f t="shared" si="4"/>
        <v>0</v>
      </c>
      <c r="BC34" s="90">
        <f t="shared" si="4"/>
        <v>0</v>
      </c>
      <c r="BD34" s="88"/>
      <c r="BE34" s="1">
        <f>IFERROR(VLOOKUP(AR34,'Top WS'!$A$19:$C$28,3),0)</f>
        <v>360</v>
      </c>
      <c r="BF34" s="1">
        <f>IFERROR(VLOOKUP(AS34,'Top WS'!$A$19:$C$28,3),0)</f>
        <v>520</v>
      </c>
      <c r="BG34" s="1">
        <f>IFERROR(VLOOKUP(AT34,'Top WS'!$A$19:$C$28,3),0)</f>
        <v>360</v>
      </c>
      <c r="BH34" s="1">
        <f>IFERROR(VLOOKUP(AU34,'Top WS'!$A$19:$C$28,3),0)</f>
        <v>520</v>
      </c>
      <c r="BI34" s="1">
        <f>IFERROR(VLOOKUP(AV34,'Top WS'!$A$19:$C$28,3),0)</f>
        <v>360</v>
      </c>
      <c r="BJ34" s="1">
        <f>IFERROR(VLOOKUP(AW34,'Top WS'!$A$19:$C$28,3),0)</f>
        <v>360</v>
      </c>
      <c r="BK34" s="89">
        <f>IFERROR(VLOOKUP(AX34,'Top WS'!$A$19:$C$28,3),0)</f>
        <v>360</v>
      </c>
      <c r="BL34" s="89">
        <f>IFERROR(VLOOKUP(AY34,'Top WS'!$A$19:$C$28,3),0)</f>
        <v>360</v>
      </c>
      <c r="BM34" s="89">
        <f>IFERROR(VLOOKUP(AZ34,'Top WS'!$A$19:$C$28,3),0)</f>
        <v>360</v>
      </c>
      <c r="BN34" s="89">
        <f>IFERROR(VLOOKUP(BA34,'Top WS'!$A$19:$C$28,3),0)</f>
        <v>360</v>
      </c>
      <c r="BO34" s="89">
        <f>IFERROR(VLOOKUP(BB34,'Top WS'!$A$19:$C$28,3),0)</f>
        <v>360</v>
      </c>
      <c r="BP34" s="89">
        <f>IFERROR(VLOOKUP(BC34,'Top WS'!$A$19:$C$28,3),0)</f>
        <v>360</v>
      </c>
      <c r="BQ34" s="1">
        <f t="shared" si="5"/>
        <v>4640</v>
      </c>
    </row>
    <row r="35" spans="1:69" x14ac:dyDescent="0.4">
      <c r="A35">
        <v>1190033302</v>
      </c>
      <c r="B35">
        <f>VLOOKUP(A35,'Aji Plus'!$A$2:$D$58,2,0)</f>
        <v>101039</v>
      </c>
      <c r="C35" t="str">
        <f>VLOOKUP(A35,'Aji Plus'!$A$2:$D$58,3,0)</f>
        <v>นายสุชล ลีลากิจทรัพย์</v>
      </c>
      <c r="D35" t="str">
        <f>VLOOKUP(A35,'Aji Plus'!$A$2:$D$58,4,0)</f>
        <v>Nakornpathom</v>
      </c>
      <c r="E35" s="1">
        <v>104.43719842016172</v>
      </c>
      <c r="F35" s="1">
        <v>88.613380477712965</v>
      </c>
      <c r="G35" s="1">
        <v>269.70818581907076</v>
      </c>
      <c r="H35" s="1">
        <v>115.33805078051532</v>
      </c>
      <c r="I35" s="1">
        <v>99.865873236787635</v>
      </c>
      <c r="J35" s="1">
        <v>350.23383712619881</v>
      </c>
      <c r="K35" s="1">
        <v>103.38227722399847</v>
      </c>
      <c r="L35" s="1">
        <v>249.66468309196907</v>
      </c>
      <c r="M35" s="1">
        <v>99.162592439345431</v>
      </c>
      <c r="N35" s="1">
        <v>157.53489862704524</v>
      </c>
      <c r="O35" s="1">
        <v>121.3159375587737</v>
      </c>
      <c r="P35" s="1">
        <v>110.41508519842007</v>
      </c>
      <c r="R35" s="1">
        <f>VLOOKUP(A35,Actual_RDQ!$A$2:$H$62,3,0)</f>
        <v>147.45599999999996</v>
      </c>
      <c r="S35" s="1">
        <f>VLOOKUP(A35,Actual_RDQ!$A$2:$H$62,4,0)</f>
        <v>196.99200000000002</v>
      </c>
      <c r="T35" s="1">
        <f>VLOOKUP(A35,Actual_RDQ!$A$2:$H$62,5,0)</f>
        <v>124.416</v>
      </c>
      <c r="U35" s="1">
        <f>VLOOKUP(A35,Actual_RDQ!$A$2:$H$62,6,0)</f>
        <v>278.20800000000003</v>
      </c>
      <c r="V35" s="1">
        <f>VLOOKUP(A35,Actual_RDQ!$A$2:$H$62,7,0)</f>
        <v>143.42400000000004</v>
      </c>
      <c r="W35" s="1">
        <f>VLOOKUP(A35,Actual_RDQ!$A$2:$H$62,8,0)</f>
        <v>173.37599999999998</v>
      </c>
      <c r="X35" s="109"/>
      <c r="Y35" s="109"/>
      <c r="Z35" s="109"/>
      <c r="AA35" s="109"/>
      <c r="AB35" s="109"/>
      <c r="AC35" s="109"/>
      <c r="AE35" s="88">
        <f t="shared" si="3"/>
        <v>1.4119107198449456</v>
      </c>
      <c r="AF35" s="88">
        <f t="shared" si="3"/>
        <v>2.22305027680944</v>
      </c>
      <c r="AG35" s="88">
        <f t="shared" si="3"/>
        <v>0.46129856838480382</v>
      </c>
      <c r="AH35" s="88">
        <f t="shared" si="3"/>
        <v>2.4121094306459288</v>
      </c>
      <c r="AI35" s="88">
        <f t="shared" si="3"/>
        <v>1.4361662833502054</v>
      </c>
      <c r="AJ35" s="88">
        <f t="shared" si="3"/>
        <v>0.4950292679388596</v>
      </c>
      <c r="AK35" s="90">
        <f t="shared" si="3"/>
        <v>0</v>
      </c>
      <c r="AL35" s="90">
        <f t="shared" si="3"/>
        <v>0</v>
      </c>
      <c r="AM35" s="90">
        <f t="shared" si="3"/>
        <v>0</v>
      </c>
      <c r="AN35" s="90">
        <f t="shared" si="3"/>
        <v>0</v>
      </c>
      <c r="AO35" s="90">
        <f t="shared" si="3"/>
        <v>0</v>
      </c>
      <c r="AP35" s="90">
        <f t="shared" si="3"/>
        <v>0</v>
      </c>
      <c r="AQ35" s="88"/>
      <c r="AR35" s="90">
        <f t="shared" si="4"/>
        <v>1.4118999999999999</v>
      </c>
      <c r="AS35" s="90">
        <f t="shared" si="4"/>
        <v>2.2231000000000001</v>
      </c>
      <c r="AT35" s="90">
        <f t="shared" si="4"/>
        <v>0.46129999999999999</v>
      </c>
      <c r="AU35" s="90">
        <f t="shared" si="4"/>
        <v>2.4121000000000001</v>
      </c>
      <c r="AV35" s="90">
        <f t="shared" si="4"/>
        <v>1.4361999999999999</v>
      </c>
      <c r="AW35" s="90">
        <f t="shared" si="4"/>
        <v>0.495</v>
      </c>
      <c r="AX35" s="90">
        <f t="shared" si="4"/>
        <v>0</v>
      </c>
      <c r="AY35" s="90">
        <f t="shared" si="4"/>
        <v>0</v>
      </c>
      <c r="AZ35" s="90">
        <f t="shared" si="4"/>
        <v>0</v>
      </c>
      <c r="BA35" s="90">
        <f t="shared" si="4"/>
        <v>0</v>
      </c>
      <c r="BB35" s="90">
        <f t="shared" si="4"/>
        <v>0</v>
      </c>
      <c r="BC35" s="90">
        <f t="shared" si="4"/>
        <v>0</v>
      </c>
      <c r="BD35" s="88"/>
      <c r="BE35" s="1">
        <f>IFERROR(VLOOKUP(AR35,'Top WS'!$A$19:$C$28,3),0)</f>
        <v>520</v>
      </c>
      <c r="BF35" s="1">
        <f>IFERROR(VLOOKUP(AS35,'Top WS'!$A$19:$C$28,3),0)</f>
        <v>520</v>
      </c>
      <c r="BG35" s="1">
        <f>IFERROR(VLOOKUP(AT35,'Top WS'!$A$19:$C$28,3),0)</f>
        <v>360</v>
      </c>
      <c r="BH35" s="1">
        <f>IFERROR(VLOOKUP(AU35,'Top WS'!$A$19:$C$28,3),0)</f>
        <v>520</v>
      </c>
      <c r="BI35" s="1">
        <f>IFERROR(VLOOKUP(AV35,'Top WS'!$A$19:$C$28,3),0)</f>
        <v>520</v>
      </c>
      <c r="BJ35" s="1">
        <f>IFERROR(VLOOKUP(AW35,'Top WS'!$A$19:$C$28,3),0)</f>
        <v>360</v>
      </c>
      <c r="BK35" s="89">
        <f>IFERROR(VLOOKUP(AX35,'Top WS'!$A$19:$C$28,3),0)</f>
        <v>360</v>
      </c>
      <c r="BL35" s="89">
        <f>IFERROR(VLOOKUP(AY35,'Top WS'!$A$19:$C$28,3),0)</f>
        <v>360</v>
      </c>
      <c r="BM35" s="89">
        <f>IFERROR(VLOOKUP(AZ35,'Top WS'!$A$19:$C$28,3),0)</f>
        <v>360</v>
      </c>
      <c r="BN35" s="89">
        <f>IFERROR(VLOOKUP(BA35,'Top WS'!$A$19:$C$28,3),0)</f>
        <v>360</v>
      </c>
      <c r="BO35" s="89">
        <f>IFERROR(VLOOKUP(BB35,'Top WS'!$A$19:$C$28,3),0)</f>
        <v>360</v>
      </c>
      <c r="BP35" s="89">
        <f>IFERROR(VLOOKUP(BC35,'Top WS'!$A$19:$C$28,3),0)</f>
        <v>360</v>
      </c>
      <c r="BQ35" s="1">
        <f t="shared" si="5"/>
        <v>4960</v>
      </c>
    </row>
    <row r="36" spans="1:69" x14ac:dyDescent="0.4">
      <c r="A36">
        <v>1190037301</v>
      </c>
      <c r="B36">
        <f>VLOOKUP(A36,'Aji Plus'!$A$2:$D$58,2,0)</f>
        <v>100570</v>
      </c>
      <c r="C36" t="str">
        <f>VLOOKUP(A36,'Aji Plus'!$A$2:$D$58,3,0)</f>
        <v>นายอดิเรก ศรีนุกูล</v>
      </c>
      <c r="D36" t="str">
        <f>VLOOKUP(A36,'Aji Plus'!$A$2:$D$58,4,0)</f>
        <v>Chonburi</v>
      </c>
      <c r="E36" s="1">
        <v>109</v>
      </c>
      <c r="F36" s="1">
        <v>51</v>
      </c>
      <c r="G36" s="1">
        <v>208</v>
      </c>
      <c r="H36" s="1">
        <v>128</v>
      </c>
      <c r="I36" s="1">
        <v>95</v>
      </c>
      <c r="J36" s="1">
        <v>111</v>
      </c>
      <c r="K36" s="1">
        <v>138</v>
      </c>
      <c r="L36" s="1">
        <v>116</v>
      </c>
      <c r="M36" s="1">
        <v>148</v>
      </c>
      <c r="N36" s="1">
        <v>106</v>
      </c>
      <c r="O36" s="1">
        <v>112</v>
      </c>
      <c r="P36" s="1">
        <v>97</v>
      </c>
      <c r="R36" s="1">
        <f>VLOOKUP(A36,Actual_RDQ!$A$2:$H$62,3,0)</f>
        <v>107.42400000000002</v>
      </c>
      <c r="S36" s="1">
        <f>VLOOKUP(A36,Actual_RDQ!$A$2:$H$62,4,0)</f>
        <v>171.93599999999995</v>
      </c>
      <c r="T36" s="1">
        <f>VLOOKUP(A36,Actual_RDQ!$A$2:$H$62,5,0)</f>
        <v>130.17600000000002</v>
      </c>
      <c r="U36" s="1">
        <f>VLOOKUP(A36,Actual_RDQ!$A$2:$H$62,6,0)</f>
        <v>49.536000000000008</v>
      </c>
      <c r="V36" s="1">
        <f>VLOOKUP(A36,Actual_RDQ!$A$2:$H$62,7,0)</f>
        <v>20.736000000000001</v>
      </c>
      <c r="W36" s="1">
        <f>VLOOKUP(A36,Actual_RDQ!$A$2:$H$62,8,0)</f>
        <v>14.975999999999999</v>
      </c>
      <c r="X36" s="109"/>
      <c r="Y36" s="109"/>
      <c r="Z36" s="109"/>
      <c r="AA36" s="109"/>
      <c r="AB36" s="109"/>
      <c r="AC36" s="109"/>
      <c r="AE36" s="88">
        <f t="shared" si="3"/>
        <v>0.98554128440366995</v>
      </c>
      <c r="AF36" s="88">
        <f t="shared" si="3"/>
        <v>3.3712941176470577</v>
      </c>
      <c r="AG36" s="88">
        <f t="shared" si="3"/>
        <v>0.62584615384615394</v>
      </c>
      <c r="AH36" s="88">
        <f t="shared" si="3"/>
        <v>0.38700000000000007</v>
      </c>
      <c r="AI36" s="88">
        <f t="shared" si="3"/>
        <v>0.21827368421052631</v>
      </c>
      <c r="AJ36" s="88">
        <f t="shared" si="3"/>
        <v>0.13491891891891891</v>
      </c>
      <c r="AK36" s="90">
        <f t="shared" si="3"/>
        <v>0</v>
      </c>
      <c r="AL36" s="90">
        <f t="shared" si="3"/>
        <v>0</v>
      </c>
      <c r="AM36" s="90">
        <f t="shared" si="3"/>
        <v>0</v>
      </c>
      <c r="AN36" s="90">
        <f t="shared" si="3"/>
        <v>0</v>
      </c>
      <c r="AO36" s="90">
        <f t="shared" si="3"/>
        <v>0</v>
      </c>
      <c r="AP36" s="90">
        <f t="shared" si="3"/>
        <v>0</v>
      </c>
      <c r="AQ36" s="88"/>
      <c r="AR36" s="90">
        <f t="shared" si="4"/>
        <v>0.98550000000000004</v>
      </c>
      <c r="AS36" s="90">
        <f t="shared" si="4"/>
        <v>3.3713000000000002</v>
      </c>
      <c r="AT36" s="90">
        <f t="shared" si="4"/>
        <v>0.62580000000000002</v>
      </c>
      <c r="AU36" s="90">
        <f t="shared" si="4"/>
        <v>0.38700000000000001</v>
      </c>
      <c r="AV36" s="90">
        <f t="shared" si="4"/>
        <v>0.21829999999999999</v>
      </c>
      <c r="AW36" s="90">
        <f t="shared" si="4"/>
        <v>0.13489999999999999</v>
      </c>
      <c r="AX36" s="90">
        <f t="shared" si="4"/>
        <v>0</v>
      </c>
      <c r="AY36" s="90">
        <f t="shared" si="4"/>
        <v>0</v>
      </c>
      <c r="AZ36" s="90">
        <f t="shared" si="4"/>
        <v>0</v>
      </c>
      <c r="BA36" s="90">
        <f t="shared" si="4"/>
        <v>0</v>
      </c>
      <c r="BB36" s="90">
        <f t="shared" si="4"/>
        <v>0</v>
      </c>
      <c r="BC36" s="90">
        <f t="shared" si="4"/>
        <v>0</v>
      </c>
      <c r="BD36" s="88"/>
      <c r="BE36" s="1">
        <f>IFERROR(VLOOKUP(AR36,'Top WS'!$A$19:$C$28,3),0)</f>
        <v>400</v>
      </c>
      <c r="BF36" s="1">
        <f>IFERROR(VLOOKUP(AS36,'Top WS'!$A$19:$C$28,3),0)</f>
        <v>520</v>
      </c>
      <c r="BG36" s="1">
        <f>IFERROR(VLOOKUP(AT36,'Top WS'!$A$19:$C$28,3),0)</f>
        <v>360</v>
      </c>
      <c r="BH36" s="1">
        <f>IFERROR(VLOOKUP(AU36,'Top WS'!$A$19:$C$28,3),0)</f>
        <v>360</v>
      </c>
      <c r="BI36" s="1">
        <f>IFERROR(VLOOKUP(AV36,'Top WS'!$A$19:$C$28,3),0)</f>
        <v>360</v>
      </c>
      <c r="BJ36" s="1">
        <f>IFERROR(VLOOKUP(AW36,'Top WS'!$A$19:$C$28,3),0)</f>
        <v>360</v>
      </c>
      <c r="BK36" s="89">
        <f>IFERROR(VLOOKUP(AX36,'Top WS'!$A$19:$C$28,3),0)</f>
        <v>360</v>
      </c>
      <c r="BL36" s="89">
        <f>IFERROR(VLOOKUP(AY36,'Top WS'!$A$19:$C$28,3),0)</f>
        <v>360</v>
      </c>
      <c r="BM36" s="89">
        <f>IFERROR(VLOOKUP(AZ36,'Top WS'!$A$19:$C$28,3),0)</f>
        <v>360</v>
      </c>
      <c r="BN36" s="89">
        <f>IFERROR(VLOOKUP(BA36,'Top WS'!$A$19:$C$28,3),0)</f>
        <v>360</v>
      </c>
      <c r="BO36" s="89">
        <f>IFERROR(VLOOKUP(BB36,'Top WS'!$A$19:$C$28,3),0)</f>
        <v>360</v>
      </c>
      <c r="BP36" s="89">
        <f>IFERROR(VLOOKUP(BC36,'Top WS'!$A$19:$C$28,3),0)</f>
        <v>360</v>
      </c>
      <c r="BQ36" s="1">
        <f t="shared" si="5"/>
        <v>4520</v>
      </c>
    </row>
    <row r="37" spans="1:69" x14ac:dyDescent="0.4">
      <c r="A37">
        <v>1190037401</v>
      </c>
      <c r="B37">
        <f>VLOOKUP(A37,'Aji Plus'!$A$2:$D$58,2,0)</f>
        <v>28171</v>
      </c>
      <c r="C37" t="str">
        <f>VLOOKUP(A37,'Aji Plus'!$A$2:$D$58,3,0)</f>
        <v>นายไพฑูรย์ ไกรลาศ</v>
      </c>
      <c r="D37" t="str">
        <f>VLOOKUP(A37,'Aji Plus'!$A$2:$D$58,4,0)</f>
        <v>Sa Kaeo</v>
      </c>
      <c r="E37" s="1">
        <v>15.417142289939946</v>
      </c>
      <c r="F37" s="1">
        <v>27.995434016576503</v>
      </c>
      <c r="G37" s="1">
        <v>17.786490644697007</v>
      </c>
      <c r="H37" s="1">
        <v>19.462504342647279</v>
      </c>
      <c r="I37" s="1">
        <v>10.443694476152663</v>
      </c>
      <c r="J37" s="1">
        <v>11.901335053848825</v>
      </c>
      <c r="K37" s="1">
        <v>23.223981339024267</v>
      </c>
      <c r="L37" s="1">
        <v>18.288748821281452</v>
      </c>
      <c r="M37" s="1">
        <v>21.498833689016823</v>
      </c>
      <c r="N37" s="1">
        <v>18.059457045014639</v>
      </c>
      <c r="O37" s="1">
        <v>21.891905305474218</v>
      </c>
      <c r="P37" s="1">
        <v>14.030472976326369</v>
      </c>
      <c r="R37" s="1">
        <f>VLOOKUP(A37,Actual_RDQ!$A$2:$H$62,3,0)</f>
        <v>40.32</v>
      </c>
      <c r="S37" s="1">
        <f>VLOOKUP(A37,Actual_RDQ!$A$2:$H$62,4,0)</f>
        <v>5.76</v>
      </c>
      <c r="T37" s="1">
        <f>VLOOKUP(A37,Actual_RDQ!$A$2:$H$62,5,0)</f>
        <v>2.88</v>
      </c>
      <c r="U37" s="1">
        <f>VLOOKUP(A37,Actual_RDQ!$A$2:$H$62,6,0)</f>
        <v>25.92</v>
      </c>
      <c r="V37" s="1">
        <f>VLOOKUP(A37,Actual_RDQ!$A$2:$H$62,7,0)</f>
        <v>31.679999999999993</v>
      </c>
      <c r="W37" s="1">
        <f>VLOOKUP(A37,Actual_RDQ!$A$2:$H$62,8,0)</f>
        <v>28.799999999999997</v>
      </c>
      <c r="X37" s="109"/>
      <c r="Y37" s="109"/>
      <c r="Z37" s="109"/>
      <c r="AA37" s="109"/>
      <c r="AB37" s="109"/>
      <c r="AC37" s="109"/>
      <c r="AE37" s="88">
        <f t="shared" si="3"/>
        <v>2.6152706670100438</v>
      </c>
      <c r="AF37" s="88">
        <f t="shared" si="3"/>
        <v>0.20574783718621473</v>
      </c>
      <c r="AG37" s="88">
        <f t="shared" si="3"/>
        <v>0.16192064289301858</v>
      </c>
      <c r="AH37" s="88">
        <f t="shared" si="3"/>
        <v>1.3317916103531813</v>
      </c>
      <c r="AI37" s="88">
        <f t="shared" si="3"/>
        <v>3.0334093047569257</v>
      </c>
      <c r="AJ37" s="88">
        <f t="shared" si="3"/>
        <v>2.4198965804837362</v>
      </c>
      <c r="AK37" s="90">
        <f t="shared" si="3"/>
        <v>0</v>
      </c>
      <c r="AL37" s="90">
        <f t="shared" si="3"/>
        <v>0</v>
      </c>
      <c r="AM37" s="90">
        <f t="shared" si="3"/>
        <v>0</v>
      </c>
      <c r="AN37" s="90">
        <f t="shared" si="3"/>
        <v>0</v>
      </c>
      <c r="AO37" s="90">
        <f t="shared" si="3"/>
        <v>0</v>
      </c>
      <c r="AP37" s="90">
        <f t="shared" si="3"/>
        <v>0</v>
      </c>
      <c r="AQ37" s="88"/>
      <c r="AR37" s="90">
        <f t="shared" si="4"/>
        <v>2.6153</v>
      </c>
      <c r="AS37" s="90">
        <f t="shared" si="4"/>
        <v>0.20569999999999999</v>
      </c>
      <c r="AT37" s="90">
        <f t="shared" si="4"/>
        <v>0.16189999999999999</v>
      </c>
      <c r="AU37" s="90">
        <f t="shared" si="4"/>
        <v>1.3318000000000001</v>
      </c>
      <c r="AV37" s="90">
        <f t="shared" si="4"/>
        <v>3.0333999999999999</v>
      </c>
      <c r="AW37" s="90">
        <f t="shared" si="4"/>
        <v>2.4199000000000002</v>
      </c>
      <c r="AX37" s="90">
        <f t="shared" si="4"/>
        <v>0</v>
      </c>
      <c r="AY37" s="90">
        <f t="shared" si="4"/>
        <v>0</v>
      </c>
      <c r="AZ37" s="90">
        <f t="shared" si="4"/>
        <v>0</v>
      </c>
      <c r="BA37" s="90">
        <f t="shared" si="4"/>
        <v>0</v>
      </c>
      <c r="BB37" s="90">
        <f t="shared" si="4"/>
        <v>0</v>
      </c>
      <c r="BC37" s="90">
        <f t="shared" si="4"/>
        <v>0</v>
      </c>
      <c r="BD37" s="88"/>
      <c r="BE37" s="1">
        <f>IFERROR(VLOOKUP(AR37,'Top WS'!$A$19:$C$28,3),0)</f>
        <v>520</v>
      </c>
      <c r="BF37" s="1">
        <f>IFERROR(VLOOKUP(AS37,'Top WS'!$A$19:$C$28,3),0)</f>
        <v>360</v>
      </c>
      <c r="BG37" s="1">
        <f>IFERROR(VLOOKUP(AT37,'Top WS'!$A$19:$C$28,3),0)</f>
        <v>360</v>
      </c>
      <c r="BH37" s="1">
        <f>IFERROR(VLOOKUP(AU37,'Top WS'!$A$19:$C$28,3),0)</f>
        <v>520</v>
      </c>
      <c r="BI37" s="1">
        <f>IFERROR(VLOOKUP(AV37,'Top WS'!$A$19:$C$28,3),0)</f>
        <v>520</v>
      </c>
      <c r="BJ37" s="1">
        <f>IFERROR(VLOOKUP(AW37,'Top WS'!$A$19:$C$28,3),0)</f>
        <v>520</v>
      </c>
      <c r="BK37" s="89">
        <f>IFERROR(VLOOKUP(AX37,'Top WS'!$A$19:$C$28,3),0)</f>
        <v>360</v>
      </c>
      <c r="BL37" s="89">
        <f>IFERROR(VLOOKUP(AY37,'Top WS'!$A$19:$C$28,3),0)</f>
        <v>360</v>
      </c>
      <c r="BM37" s="89">
        <f>IFERROR(VLOOKUP(AZ37,'Top WS'!$A$19:$C$28,3),0)</f>
        <v>360</v>
      </c>
      <c r="BN37" s="89">
        <f>IFERROR(VLOOKUP(BA37,'Top WS'!$A$19:$C$28,3),0)</f>
        <v>360</v>
      </c>
      <c r="BO37" s="89">
        <f>IFERROR(VLOOKUP(BB37,'Top WS'!$A$19:$C$28,3),0)</f>
        <v>360</v>
      </c>
      <c r="BP37" s="89">
        <f>IFERROR(VLOOKUP(BC37,'Top WS'!$A$19:$C$28,3),0)</f>
        <v>360</v>
      </c>
      <c r="BQ37" s="1">
        <f t="shared" si="5"/>
        <v>4960</v>
      </c>
    </row>
    <row r="38" spans="1:69" x14ac:dyDescent="0.4">
      <c r="A38">
        <v>1190043401</v>
      </c>
      <c r="B38">
        <f>VLOOKUP(A38,'Aji Plus'!$A$2:$D$58,2,0)</f>
        <v>75885</v>
      </c>
      <c r="C38" t="str">
        <f>VLOOKUP(A38,'Aji Plus'!$A$2:$D$58,3,0)</f>
        <v>นายมารุต ปราสัย</v>
      </c>
      <c r="D38" t="str">
        <f>VLOOKUP(A38,'Aji Plus'!$A$2:$D$58,4,0)</f>
        <v>Korat</v>
      </c>
      <c r="E38" s="1">
        <v>139.42484581817126</v>
      </c>
      <c r="F38" s="1">
        <v>150.60095578340187</v>
      </c>
      <c r="G38" s="1">
        <v>131.92422049156636</v>
      </c>
      <c r="H38" s="1">
        <v>149.62622218648801</v>
      </c>
      <c r="I38" s="1">
        <v>164.78783959189437</v>
      </c>
      <c r="J38" s="1">
        <v>137.13849318548901</v>
      </c>
      <c r="K38" s="1">
        <v>143.13385219417415</v>
      </c>
      <c r="L38" s="1">
        <v>141.78256902134947</v>
      </c>
      <c r="M38" s="1">
        <v>119.35180997718588</v>
      </c>
      <c r="N38" s="1">
        <v>192.74101150555583</v>
      </c>
      <c r="O38" s="1">
        <v>134.61300285290656</v>
      </c>
      <c r="P38" s="1">
        <v>141.12581947016014</v>
      </c>
      <c r="R38" s="1">
        <f>VLOOKUP(A38,Actual_RDQ!$A$2:$H$62,3,0)</f>
        <v>182.59200000000001</v>
      </c>
      <c r="S38" s="1">
        <f>VLOOKUP(A38,Actual_RDQ!$A$2:$H$62,4,0)</f>
        <v>138.24</v>
      </c>
      <c r="T38" s="1">
        <f>VLOOKUP(A38,Actual_RDQ!$A$2:$H$62,5,0)</f>
        <v>139.39200000000002</v>
      </c>
      <c r="U38" s="1">
        <f>VLOOKUP(A38,Actual_RDQ!$A$2:$H$62,6,0)</f>
        <v>177.98400000000001</v>
      </c>
      <c r="V38" s="1">
        <f>VLOOKUP(A38,Actual_RDQ!$A$2:$H$62,7,0)</f>
        <v>230.40000000000003</v>
      </c>
      <c r="W38" s="1">
        <f>VLOOKUP(A38,Actual_RDQ!$A$2:$H$62,8,0)</f>
        <v>167.328</v>
      </c>
      <c r="X38" s="109"/>
      <c r="Y38" s="109"/>
      <c r="Z38" s="109"/>
      <c r="AA38" s="109"/>
      <c r="AB38" s="109"/>
      <c r="AC38" s="109"/>
      <c r="AE38" s="88">
        <f t="shared" ref="AE38:AP58" si="6">R38/E38</f>
        <v>1.3096087639797322</v>
      </c>
      <c r="AF38" s="88">
        <f t="shared" si="6"/>
        <v>0.9179224612546304</v>
      </c>
      <c r="AG38" s="88">
        <f t="shared" si="6"/>
        <v>1.0566065842997425</v>
      </c>
      <c r="AH38" s="88">
        <f t="shared" si="6"/>
        <v>1.1895241181600376</v>
      </c>
      <c r="AI38" s="88">
        <f t="shared" si="6"/>
        <v>1.3981614211982971</v>
      </c>
      <c r="AJ38" s="88">
        <f t="shared" si="6"/>
        <v>1.2201388254549193</v>
      </c>
      <c r="AK38" s="90">
        <f t="shared" si="6"/>
        <v>0</v>
      </c>
      <c r="AL38" s="90">
        <f t="shared" si="6"/>
        <v>0</v>
      </c>
      <c r="AM38" s="90">
        <f t="shared" si="6"/>
        <v>0</v>
      </c>
      <c r="AN38" s="90">
        <f t="shared" si="6"/>
        <v>0</v>
      </c>
      <c r="AO38" s="90">
        <f t="shared" si="6"/>
        <v>0</v>
      </c>
      <c r="AP38" s="90">
        <f t="shared" si="6"/>
        <v>0</v>
      </c>
      <c r="AQ38" s="88"/>
      <c r="AR38" s="90">
        <f t="shared" ref="AR38:BC58" si="7">ROUND(AE38,4)</f>
        <v>1.3096000000000001</v>
      </c>
      <c r="AS38" s="90">
        <f t="shared" si="7"/>
        <v>0.91790000000000005</v>
      </c>
      <c r="AT38" s="90">
        <f t="shared" si="7"/>
        <v>1.0566</v>
      </c>
      <c r="AU38" s="90">
        <f t="shared" si="7"/>
        <v>1.1895</v>
      </c>
      <c r="AV38" s="90">
        <f t="shared" si="7"/>
        <v>1.3982000000000001</v>
      </c>
      <c r="AW38" s="90">
        <f t="shared" si="7"/>
        <v>1.2201</v>
      </c>
      <c r="AX38" s="90">
        <f t="shared" si="7"/>
        <v>0</v>
      </c>
      <c r="AY38" s="90">
        <f t="shared" si="7"/>
        <v>0</v>
      </c>
      <c r="AZ38" s="90">
        <f t="shared" si="7"/>
        <v>0</v>
      </c>
      <c r="BA38" s="90">
        <f t="shared" si="7"/>
        <v>0</v>
      </c>
      <c r="BB38" s="90">
        <f t="shared" si="7"/>
        <v>0</v>
      </c>
      <c r="BC38" s="90">
        <f t="shared" si="7"/>
        <v>0</v>
      </c>
      <c r="BD38" s="88"/>
      <c r="BE38" s="1">
        <f>IFERROR(VLOOKUP(AR38,'Top WS'!$A$19:$C$28,3),0)</f>
        <v>520</v>
      </c>
      <c r="BF38" s="1">
        <f>IFERROR(VLOOKUP(AS38,'Top WS'!$A$19:$C$28,3),0)</f>
        <v>380</v>
      </c>
      <c r="BG38" s="1">
        <f>IFERROR(VLOOKUP(AT38,'Top WS'!$A$19:$C$28,3),0)</f>
        <v>432</v>
      </c>
      <c r="BH38" s="1">
        <f>IFERROR(VLOOKUP(AU38,'Top WS'!$A$19:$C$28,3),0)</f>
        <v>480</v>
      </c>
      <c r="BI38" s="1">
        <f>IFERROR(VLOOKUP(AV38,'Top WS'!$A$19:$C$28,3),0)</f>
        <v>520</v>
      </c>
      <c r="BJ38" s="1">
        <f>IFERROR(VLOOKUP(AW38,'Top WS'!$A$19:$C$28,3),0)</f>
        <v>520</v>
      </c>
      <c r="BK38" s="89">
        <f>IFERROR(VLOOKUP(AX38,'Top WS'!$A$19:$C$28,3),0)</f>
        <v>360</v>
      </c>
      <c r="BL38" s="89">
        <f>IFERROR(VLOOKUP(AY38,'Top WS'!$A$19:$C$28,3),0)</f>
        <v>360</v>
      </c>
      <c r="BM38" s="89">
        <f>IFERROR(VLOOKUP(AZ38,'Top WS'!$A$19:$C$28,3),0)</f>
        <v>360</v>
      </c>
      <c r="BN38" s="89">
        <f>IFERROR(VLOOKUP(BA38,'Top WS'!$A$19:$C$28,3),0)</f>
        <v>360</v>
      </c>
      <c r="BO38" s="89">
        <f>IFERROR(VLOOKUP(BB38,'Top WS'!$A$19:$C$28,3),0)</f>
        <v>360</v>
      </c>
      <c r="BP38" s="89">
        <f>IFERROR(VLOOKUP(BC38,'Top WS'!$A$19:$C$28,3),0)</f>
        <v>360</v>
      </c>
      <c r="BQ38" s="1">
        <f t="shared" si="5"/>
        <v>5012</v>
      </c>
    </row>
    <row r="39" spans="1:69" x14ac:dyDescent="0.4">
      <c r="A39">
        <v>1190043402</v>
      </c>
      <c r="B39">
        <f>VLOOKUP(A39,'Aji Plus'!$A$2:$D$58,2,0)</f>
        <v>63707</v>
      </c>
      <c r="C39" t="str">
        <f>VLOOKUP(A39,'Aji Plus'!$A$2:$D$58,3,0)</f>
        <v>นายเกิดศักดิ์ คำศรี</v>
      </c>
      <c r="D39" t="str">
        <f>VLOOKUP(A39,'Aji Plus'!$A$2:$D$58,4,0)</f>
        <v>Korat</v>
      </c>
      <c r="E39" s="1">
        <v>104.62318242537268</v>
      </c>
      <c r="F39" s="1">
        <v>113.00963739928201</v>
      </c>
      <c r="G39" s="1">
        <v>98.994778913468053</v>
      </c>
      <c r="H39" s="1">
        <v>112.27820585042413</v>
      </c>
      <c r="I39" s="1">
        <v>123.65535067967663</v>
      </c>
      <c r="J39" s="1">
        <v>102.90752344670109</v>
      </c>
      <c r="K39" s="1">
        <v>107.40638830533101</v>
      </c>
      <c r="L39" s="1">
        <v>106.39239725467462</v>
      </c>
      <c r="M39" s="1">
        <v>89.560552244226358</v>
      </c>
      <c r="N39" s="1">
        <v>144.63116591066361</v>
      </c>
      <c r="O39" s="1">
        <v>101.01241763375386</v>
      </c>
      <c r="P39" s="1">
        <v>105.89957814701378</v>
      </c>
      <c r="R39" s="1">
        <f>VLOOKUP(A39,Actual_RDQ!$A$2:$H$62,3,0)</f>
        <v>144</v>
      </c>
      <c r="S39" s="1">
        <f>VLOOKUP(A39,Actual_RDQ!$A$2:$H$62,4,0)</f>
        <v>40.32</v>
      </c>
      <c r="T39" s="1">
        <f>VLOOKUP(A39,Actual_RDQ!$A$2:$H$62,5,0)</f>
        <v>158.976</v>
      </c>
      <c r="U39" s="1">
        <f>VLOOKUP(A39,Actual_RDQ!$A$2:$H$62,6,0)</f>
        <v>40.32</v>
      </c>
      <c r="V39" s="1">
        <f>VLOOKUP(A39,Actual_RDQ!$A$2:$H$62,7,0)</f>
        <v>88.703999999999994</v>
      </c>
      <c r="W39" s="1">
        <f>VLOOKUP(A39,Actual_RDQ!$A$2:$H$62,8,0)</f>
        <v>69.12</v>
      </c>
      <c r="X39" s="109"/>
      <c r="Y39" s="109"/>
      <c r="Z39" s="109"/>
      <c r="AA39" s="109"/>
      <c r="AB39" s="109"/>
      <c r="AC39" s="109"/>
      <c r="AE39" s="88">
        <f t="shared" si="6"/>
        <v>1.3763679966695208</v>
      </c>
      <c r="AF39" s="88">
        <f t="shared" si="6"/>
        <v>0.3567837303781683</v>
      </c>
      <c r="AG39" s="88">
        <f t="shared" si="6"/>
        <v>1.6059028743219064</v>
      </c>
      <c r="AH39" s="88">
        <f t="shared" si="6"/>
        <v>0.35910798266329524</v>
      </c>
      <c r="AI39" s="88">
        <f t="shared" si="6"/>
        <v>0.71734865909509682</v>
      </c>
      <c r="AJ39" s="88">
        <f t="shared" si="6"/>
        <v>0.67167100795890144</v>
      </c>
      <c r="AK39" s="90">
        <f t="shared" si="6"/>
        <v>0</v>
      </c>
      <c r="AL39" s="90">
        <f t="shared" si="6"/>
        <v>0</v>
      </c>
      <c r="AM39" s="90">
        <f t="shared" si="6"/>
        <v>0</v>
      </c>
      <c r="AN39" s="90">
        <f t="shared" si="6"/>
        <v>0</v>
      </c>
      <c r="AO39" s="90">
        <f t="shared" si="6"/>
        <v>0</v>
      </c>
      <c r="AP39" s="90">
        <f t="shared" si="6"/>
        <v>0</v>
      </c>
      <c r="AQ39" s="88"/>
      <c r="AR39" s="90">
        <f t="shared" si="7"/>
        <v>1.3764000000000001</v>
      </c>
      <c r="AS39" s="90">
        <f t="shared" si="7"/>
        <v>0.35680000000000001</v>
      </c>
      <c r="AT39" s="90">
        <f t="shared" si="7"/>
        <v>1.6059000000000001</v>
      </c>
      <c r="AU39" s="90">
        <f t="shared" si="7"/>
        <v>0.35909999999999997</v>
      </c>
      <c r="AV39" s="90">
        <f t="shared" si="7"/>
        <v>0.71730000000000005</v>
      </c>
      <c r="AW39" s="90">
        <f t="shared" si="7"/>
        <v>0.67169999999999996</v>
      </c>
      <c r="AX39" s="90">
        <f t="shared" si="7"/>
        <v>0</v>
      </c>
      <c r="AY39" s="90">
        <f t="shared" si="7"/>
        <v>0</v>
      </c>
      <c r="AZ39" s="90">
        <f t="shared" si="7"/>
        <v>0</v>
      </c>
      <c r="BA39" s="90">
        <f t="shared" si="7"/>
        <v>0</v>
      </c>
      <c r="BB39" s="90">
        <f t="shared" si="7"/>
        <v>0</v>
      </c>
      <c r="BC39" s="90">
        <f t="shared" si="7"/>
        <v>0</v>
      </c>
      <c r="BD39" s="88"/>
      <c r="BE39" s="1">
        <f>IFERROR(VLOOKUP(AR39,'Top WS'!$A$19:$C$28,3),0)</f>
        <v>520</v>
      </c>
      <c r="BF39" s="1">
        <f>IFERROR(VLOOKUP(AS39,'Top WS'!$A$19:$C$28,3),0)</f>
        <v>360</v>
      </c>
      <c r="BG39" s="1">
        <f>IFERROR(VLOOKUP(AT39,'Top WS'!$A$19:$C$28,3),0)</f>
        <v>520</v>
      </c>
      <c r="BH39" s="1">
        <f>IFERROR(VLOOKUP(AU39,'Top WS'!$A$19:$C$28,3),0)</f>
        <v>360</v>
      </c>
      <c r="BI39" s="1">
        <f>IFERROR(VLOOKUP(AV39,'Top WS'!$A$19:$C$28,3),0)</f>
        <v>360</v>
      </c>
      <c r="BJ39" s="1">
        <f>IFERROR(VLOOKUP(AW39,'Top WS'!$A$19:$C$28,3),0)</f>
        <v>360</v>
      </c>
      <c r="BK39" s="89">
        <f>IFERROR(VLOOKUP(AX39,'Top WS'!$A$19:$C$28,3),0)</f>
        <v>360</v>
      </c>
      <c r="BL39" s="89">
        <f>IFERROR(VLOOKUP(AY39,'Top WS'!$A$19:$C$28,3),0)</f>
        <v>360</v>
      </c>
      <c r="BM39" s="89">
        <f>IFERROR(VLOOKUP(AZ39,'Top WS'!$A$19:$C$28,3),0)</f>
        <v>360</v>
      </c>
      <c r="BN39" s="89">
        <f>IFERROR(VLOOKUP(BA39,'Top WS'!$A$19:$C$28,3),0)</f>
        <v>360</v>
      </c>
      <c r="BO39" s="89">
        <f>IFERROR(VLOOKUP(BB39,'Top WS'!$A$19:$C$28,3),0)</f>
        <v>360</v>
      </c>
      <c r="BP39" s="89">
        <f>IFERROR(VLOOKUP(BC39,'Top WS'!$A$19:$C$28,3),0)</f>
        <v>360</v>
      </c>
      <c r="BQ39" s="1">
        <f t="shared" si="5"/>
        <v>4640</v>
      </c>
    </row>
    <row r="40" spans="1:69" x14ac:dyDescent="0.4">
      <c r="A40">
        <v>1190043501</v>
      </c>
      <c r="B40">
        <f>VLOOKUP(A40,'Aji Plus'!$A$2:$D$58,2,0)</f>
        <v>76645</v>
      </c>
      <c r="C40" t="str">
        <f>VLOOKUP(A40,'Aji Plus'!$A$2:$D$58,3,0)</f>
        <v>นายอัครวินท์ เปลื้องทุกข์</v>
      </c>
      <c r="D40" t="str">
        <f>VLOOKUP(A40,'Aji Plus'!$A$2:$D$58,4,0)</f>
        <v>Ubolratchathani</v>
      </c>
      <c r="E40" s="1">
        <v>284.27509539578386</v>
      </c>
      <c r="F40" s="1">
        <v>307.06220846645601</v>
      </c>
      <c r="G40" s="1">
        <v>268.98197480643518</v>
      </c>
      <c r="H40" s="1">
        <v>305.07481171071902</v>
      </c>
      <c r="I40" s="1">
        <v>335.98802670467484</v>
      </c>
      <c r="J40" s="1">
        <v>279.61342186872992</v>
      </c>
      <c r="K40" s="1">
        <v>291.83743577474934</v>
      </c>
      <c r="L40" s="1">
        <v>289.08228728878709</v>
      </c>
      <c r="M40" s="1">
        <v>243.34792674737204</v>
      </c>
      <c r="N40" s="1">
        <v>392.98210524024677</v>
      </c>
      <c r="O40" s="1">
        <v>274.4641674370464</v>
      </c>
      <c r="P40" s="1">
        <v>287.74323225724009</v>
      </c>
      <c r="R40" s="1">
        <f>VLOOKUP(A40,Actual_RDQ!$A$2:$H$62,3,0)</f>
        <v>466.55999999999983</v>
      </c>
      <c r="S40" s="1">
        <f>VLOOKUP(A40,Actual_RDQ!$A$2:$H$62,4,0)</f>
        <v>277.05600000000004</v>
      </c>
      <c r="T40" s="1">
        <f>VLOOKUP(A40,Actual_RDQ!$A$2:$H$62,5,0)</f>
        <v>202.464</v>
      </c>
      <c r="U40" s="1">
        <f>VLOOKUP(A40,Actual_RDQ!$A$2:$H$62,6,0)</f>
        <v>151.48800000000003</v>
      </c>
      <c r="V40" s="1">
        <f>VLOOKUP(A40,Actual_RDQ!$A$2:$H$62,7,0)</f>
        <v>228.096</v>
      </c>
      <c r="W40" s="1">
        <f>VLOOKUP(A40,Actual_RDQ!$A$2:$H$62,8,0)</f>
        <v>262.36799999999999</v>
      </c>
      <c r="X40" s="109"/>
      <c r="Y40" s="109"/>
      <c r="Z40" s="109"/>
      <c r="AA40" s="109"/>
      <c r="AB40" s="109"/>
      <c r="AC40" s="109"/>
      <c r="AE40" s="88">
        <f t="shared" si="6"/>
        <v>1.6412271337045148</v>
      </c>
      <c r="AF40" s="88">
        <f t="shared" si="6"/>
        <v>0.90227970867429652</v>
      </c>
      <c r="AG40" s="88">
        <f t="shared" si="6"/>
        <v>0.75270471244661341</v>
      </c>
      <c r="AH40" s="88">
        <f t="shared" si="6"/>
        <v>0.49656016880097409</v>
      </c>
      <c r="AI40" s="88">
        <f t="shared" si="6"/>
        <v>0.67888133466282941</v>
      </c>
      <c r="AJ40" s="88">
        <f t="shared" si="6"/>
        <v>0.93832405557117304</v>
      </c>
      <c r="AK40" s="90">
        <f t="shared" si="6"/>
        <v>0</v>
      </c>
      <c r="AL40" s="90">
        <f t="shared" si="6"/>
        <v>0</v>
      </c>
      <c r="AM40" s="90">
        <f t="shared" si="6"/>
        <v>0</v>
      </c>
      <c r="AN40" s="90">
        <f t="shared" si="6"/>
        <v>0</v>
      </c>
      <c r="AO40" s="90">
        <f t="shared" si="6"/>
        <v>0</v>
      </c>
      <c r="AP40" s="90">
        <f t="shared" si="6"/>
        <v>0</v>
      </c>
      <c r="AQ40" s="88"/>
      <c r="AR40" s="90">
        <f t="shared" si="7"/>
        <v>1.6412</v>
      </c>
      <c r="AS40" s="90">
        <f t="shared" si="7"/>
        <v>0.90229999999999999</v>
      </c>
      <c r="AT40" s="90">
        <f t="shared" si="7"/>
        <v>0.75270000000000004</v>
      </c>
      <c r="AU40" s="90">
        <f t="shared" si="7"/>
        <v>0.49659999999999999</v>
      </c>
      <c r="AV40" s="90">
        <f t="shared" si="7"/>
        <v>0.67889999999999995</v>
      </c>
      <c r="AW40" s="90">
        <f t="shared" si="7"/>
        <v>0.93830000000000002</v>
      </c>
      <c r="AX40" s="90">
        <f t="shared" si="7"/>
        <v>0</v>
      </c>
      <c r="AY40" s="90">
        <f t="shared" si="7"/>
        <v>0</v>
      </c>
      <c r="AZ40" s="90">
        <f t="shared" si="7"/>
        <v>0</v>
      </c>
      <c r="BA40" s="90">
        <f t="shared" si="7"/>
        <v>0</v>
      </c>
      <c r="BB40" s="90">
        <f t="shared" si="7"/>
        <v>0</v>
      </c>
      <c r="BC40" s="90">
        <f t="shared" si="7"/>
        <v>0</v>
      </c>
      <c r="BD40" s="88"/>
      <c r="BE40" s="1">
        <f>IFERROR(VLOOKUP(AR40,'Top WS'!$A$19:$C$28,3),0)</f>
        <v>520</v>
      </c>
      <c r="BF40" s="1">
        <f>IFERROR(VLOOKUP(AS40,'Top WS'!$A$19:$C$28,3),0)</f>
        <v>380</v>
      </c>
      <c r="BG40" s="1">
        <f>IFERROR(VLOOKUP(AT40,'Top WS'!$A$19:$C$28,3),0)</f>
        <v>360</v>
      </c>
      <c r="BH40" s="1">
        <f>IFERROR(VLOOKUP(AU40,'Top WS'!$A$19:$C$28,3),0)</f>
        <v>360</v>
      </c>
      <c r="BI40" s="1">
        <f>IFERROR(VLOOKUP(AV40,'Top WS'!$A$19:$C$28,3),0)</f>
        <v>360</v>
      </c>
      <c r="BJ40" s="1">
        <f>IFERROR(VLOOKUP(AW40,'Top WS'!$A$19:$C$28,3),0)</f>
        <v>380</v>
      </c>
      <c r="BK40" s="89">
        <f>IFERROR(VLOOKUP(AX40,'Top WS'!$A$19:$C$28,3),0)</f>
        <v>360</v>
      </c>
      <c r="BL40" s="89">
        <f>IFERROR(VLOOKUP(AY40,'Top WS'!$A$19:$C$28,3),0)</f>
        <v>360</v>
      </c>
      <c r="BM40" s="89">
        <f>IFERROR(VLOOKUP(AZ40,'Top WS'!$A$19:$C$28,3),0)</f>
        <v>360</v>
      </c>
      <c r="BN40" s="89">
        <f>IFERROR(VLOOKUP(BA40,'Top WS'!$A$19:$C$28,3),0)</f>
        <v>360</v>
      </c>
      <c r="BO40" s="89">
        <f>IFERROR(VLOOKUP(BB40,'Top WS'!$A$19:$C$28,3),0)</f>
        <v>360</v>
      </c>
      <c r="BP40" s="89">
        <f>IFERROR(VLOOKUP(BC40,'Top WS'!$A$19:$C$28,3),0)</f>
        <v>360</v>
      </c>
      <c r="BQ40" s="1">
        <f t="shared" si="5"/>
        <v>4520</v>
      </c>
    </row>
    <row r="41" spans="1:69" x14ac:dyDescent="0.4">
      <c r="A41">
        <v>1190043502</v>
      </c>
      <c r="B41">
        <f>VLOOKUP(A41,'Aji Plus'!$A$2:$D$58,2,0)</f>
        <v>26006</v>
      </c>
      <c r="C41" t="str">
        <f>VLOOKUP(A41,'Aji Plus'!$A$2:$D$58,3,0)</f>
        <v>นายกสิณวัชรฒ์ วงศ์กุลโชติ</v>
      </c>
      <c r="D41" t="str">
        <f>VLOOKUP(A41,'Aji Plus'!$A$2:$D$58,4,0)</f>
        <v>Ubolratchathani</v>
      </c>
      <c r="E41" s="1">
        <v>188.30805446424461</v>
      </c>
      <c r="F41" s="1">
        <v>203.40257733555299</v>
      </c>
      <c r="G41" s="1">
        <v>178.17766375640616</v>
      </c>
      <c r="H41" s="1">
        <v>202.08609614327568</v>
      </c>
      <c r="I41" s="1">
        <v>222.56346988100012</v>
      </c>
      <c r="J41" s="1">
        <v>185.22009253354912</v>
      </c>
      <c r="K41" s="1">
        <v>193.31746129243243</v>
      </c>
      <c r="L41" s="1">
        <v>191.49240992650348</v>
      </c>
      <c r="M41" s="1">
        <v>161.19728877376983</v>
      </c>
      <c r="N41" s="1">
        <v>260.31719582759985</v>
      </c>
      <c r="O41" s="1">
        <v>181.80914975426094</v>
      </c>
      <c r="P41" s="1">
        <v>190.60539994252966</v>
      </c>
      <c r="R41" s="1">
        <f>VLOOKUP(A41,Actual_RDQ!$A$2:$H$62,3,0)</f>
        <v>212.54399999999995</v>
      </c>
      <c r="S41" s="1">
        <f>VLOOKUP(A41,Actual_RDQ!$A$2:$H$62,4,0)</f>
        <v>277.91999999999996</v>
      </c>
      <c r="T41" s="1">
        <f>VLOOKUP(A41,Actual_RDQ!$A$2:$H$62,5,0)</f>
        <v>252.86400000000006</v>
      </c>
      <c r="U41" s="1">
        <f>VLOOKUP(A41,Actual_RDQ!$A$2:$H$62,6,0)</f>
        <v>41.759999999999991</v>
      </c>
      <c r="V41" s="1">
        <f>VLOOKUP(A41,Actual_RDQ!$A$2:$H$62,7,0)</f>
        <v>228.67200000000005</v>
      </c>
      <c r="W41" s="1">
        <f>VLOOKUP(A41,Actual_RDQ!$A$2:$H$62,8,0)</f>
        <v>184.31999999999996</v>
      </c>
      <c r="X41" s="109"/>
      <c r="Y41" s="109"/>
      <c r="Z41" s="109"/>
      <c r="AA41" s="109"/>
      <c r="AB41" s="109"/>
      <c r="AC41" s="109"/>
      <c r="AE41" s="88">
        <f t="shared" si="6"/>
        <v>1.1287037116107914</v>
      </c>
      <c r="AF41" s="88">
        <f t="shared" si="6"/>
        <v>1.3663543679759558</v>
      </c>
      <c r="AG41" s="88">
        <f t="shared" si="6"/>
        <v>1.4191677827008697</v>
      </c>
      <c r="AH41" s="88">
        <f t="shared" si="6"/>
        <v>0.20664459751052267</v>
      </c>
      <c r="AI41" s="88">
        <f t="shared" si="6"/>
        <v>1.0274462386943646</v>
      </c>
      <c r="AJ41" s="88">
        <f t="shared" si="6"/>
        <v>0.99514041634880346</v>
      </c>
      <c r="AK41" s="90">
        <f t="shared" si="6"/>
        <v>0</v>
      </c>
      <c r="AL41" s="90">
        <f t="shared" si="6"/>
        <v>0</v>
      </c>
      <c r="AM41" s="90">
        <f t="shared" si="6"/>
        <v>0</v>
      </c>
      <c r="AN41" s="90">
        <f t="shared" si="6"/>
        <v>0</v>
      </c>
      <c r="AO41" s="90">
        <f t="shared" si="6"/>
        <v>0</v>
      </c>
      <c r="AP41" s="90">
        <f t="shared" si="6"/>
        <v>0</v>
      </c>
      <c r="AQ41" s="88"/>
      <c r="AR41" s="90">
        <f t="shared" si="7"/>
        <v>1.1287</v>
      </c>
      <c r="AS41" s="90">
        <f t="shared" si="7"/>
        <v>1.3664000000000001</v>
      </c>
      <c r="AT41" s="90">
        <f t="shared" si="7"/>
        <v>1.4192</v>
      </c>
      <c r="AU41" s="90">
        <f t="shared" si="7"/>
        <v>0.20660000000000001</v>
      </c>
      <c r="AV41" s="90">
        <f t="shared" si="7"/>
        <v>1.0274000000000001</v>
      </c>
      <c r="AW41" s="90">
        <f t="shared" si="7"/>
        <v>0.99509999999999998</v>
      </c>
      <c r="AX41" s="90">
        <f t="shared" si="7"/>
        <v>0</v>
      </c>
      <c r="AY41" s="90">
        <f t="shared" si="7"/>
        <v>0</v>
      </c>
      <c r="AZ41" s="90">
        <f t="shared" si="7"/>
        <v>0</v>
      </c>
      <c r="BA41" s="90">
        <f t="shared" si="7"/>
        <v>0</v>
      </c>
      <c r="BB41" s="90">
        <f t="shared" si="7"/>
        <v>0</v>
      </c>
      <c r="BC41" s="90">
        <f t="shared" si="7"/>
        <v>0</v>
      </c>
      <c r="BD41" s="88"/>
      <c r="BE41" s="1">
        <f>IFERROR(VLOOKUP(AR41,'Top WS'!$A$19:$C$28,3),0)</f>
        <v>460</v>
      </c>
      <c r="BF41" s="1">
        <f>IFERROR(VLOOKUP(AS41,'Top WS'!$A$19:$C$28,3),0)</f>
        <v>520</v>
      </c>
      <c r="BG41" s="1">
        <f>IFERROR(VLOOKUP(AT41,'Top WS'!$A$19:$C$28,3),0)</f>
        <v>520</v>
      </c>
      <c r="BH41" s="1">
        <f>IFERROR(VLOOKUP(AU41,'Top WS'!$A$19:$C$28,3),0)</f>
        <v>360</v>
      </c>
      <c r="BI41" s="1">
        <f>IFERROR(VLOOKUP(AV41,'Top WS'!$A$19:$C$28,3),0)</f>
        <v>412</v>
      </c>
      <c r="BJ41" s="1">
        <f>IFERROR(VLOOKUP(AW41,'Top WS'!$A$19:$C$28,3),0)</f>
        <v>400</v>
      </c>
      <c r="BK41" s="89">
        <f>IFERROR(VLOOKUP(AX41,'Top WS'!$A$19:$C$28,3),0)</f>
        <v>360</v>
      </c>
      <c r="BL41" s="89">
        <f>IFERROR(VLOOKUP(AY41,'Top WS'!$A$19:$C$28,3),0)</f>
        <v>360</v>
      </c>
      <c r="BM41" s="89">
        <f>IFERROR(VLOOKUP(AZ41,'Top WS'!$A$19:$C$28,3),0)</f>
        <v>360</v>
      </c>
      <c r="BN41" s="89">
        <f>IFERROR(VLOOKUP(BA41,'Top WS'!$A$19:$C$28,3),0)</f>
        <v>360</v>
      </c>
      <c r="BO41" s="89">
        <f>IFERROR(VLOOKUP(BB41,'Top WS'!$A$19:$C$28,3),0)</f>
        <v>360</v>
      </c>
      <c r="BP41" s="89">
        <f>IFERROR(VLOOKUP(BC41,'Top WS'!$A$19:$C$28,3),0)</f>
        <v>360</v>
      </c>
      <c r="BQ41" s="1">
        <f t="shared" si="5"/>
        <v>4832</v>
      </c>
    </row>
    <row r="42" spans="1:69" x14ac:dyDescent="0.4">
      <c r="A42">
        <v>1190043601</v>
      </c>
      <c r="B42">
        <f>VLOOKUP(A42,'Aji Plus'!$A$2:$D$58,2,0)</f>
        <v>77489</v>
      </c>
      <c r="C42" t="str">
        <f>VLOOKUP(A42,'Aji Plus'!$A$2:$D$58,3,0)</f>
        <v>นายสุริยันต์ จันทร์คำพา</v>
      </c>
      <c r="D42" t="str">
        <f>VLOOKUP(A42,'Aji Plus'!$A$2:$D$58,4,0)</f>
        <v>Roi-et</v>
      </c>
      <c r="E42" s="1">
        <v>120.36939521320687</v>
      </c>
      <c r="F42" s="1">
        <v>130.01804563456363</v>
      </c>
      <c r="G42" s="1">
        <v>113.89389417186645</v>
      </c>
      <c r="H42" s="1">
        <v>129.17653067454333</v>
      </c>
      <c r="I42" s="1">
        <v>142.26598188988004</v>
      </c>
      <c r="J42" s="1">
        <v>118.39552260804011</v>
      </c>
      <c r="K42" s="1">
        <v>123.57148485298043</v>
      </c>
      <c r="L42" s="1">
        <v>122.40488404148081</v>
      </c>
      <c r="M42" s="1">
        <v>103.03977817046356</v>
      </c>
      <c r="N42" s="1">
        <v>166.39874228702089</v>
      </c>
      <c r="O42" s="1">
        <v>116.21519569309271</v>
      </c>
      <c r="P42" s="1">
        <v>121.83789366168654</v>
      </c>
      <c r="R42" s="1">
        <f>VLOOKUP(A42,Actual_RDQ!$A$2:$H$62,3,0)</f>
        <v>138.816</v>
      </c>
      <c r="S42" s="1">
        <f>VLOOKUP(A42,Actual_RDQ!$A$2:$H$62,4,0)</f>
        <v>112.32000000000001</v>
      </c>
      <c r="T42" s="1">
        <f>VLOOKUP(A42,Actual_RDQ!$A$2:$H$62,5,0)</f>
        <v>79.488</v>
      </c>
      <c r="U42" s="1">
        <f>VLOOKUP(A42,Actual_RDQ!$A$2:$H$62,6,0)</f>
        <v>35.712000000000003</v>
      </c>
      <c r="V42" s="1">
        <f>VLOOKUP(A42,Actual_RDQ!$A$2:$H$62,7,0)</f>
        <v>145.15200000000002</v>
      </c>
      <c r="W42" s="1">
        <f>VLOOKUP(A42,Actual_RDQ!$A$2:$H$62,8,0)</f>
        <v>112.32000000000002</v>
      </c>
      <c r="X42" s="109"/>
      <c r="Y42" s="109"/>
      <c r="Z42" s="109"/>
      <c r="AA42" s="109"/>
      <c r="AB42" s="109"/>
      <c r="AC42" s="109"/>
      <c r="AE42" s="88">
        <f t="shared" si="6"/>
        <v>1.1532499582150362</v>
      </c>
      <c r="AF42" s="88">
        <f t="shared" si="6"/>
        <v>0.86388008258248405</v>
      </c>
      <c r="AG42" s="88">
        <f t="shared" si="6"/>
        <v>0.69791274218837596</v>
      </c>
      <c r="AH42" s="88">
        <f t="shared" si="6"/>
        <v>0.27645888779886335</v>
      </c>
      <c r="AI42" s="88">
        <f t="shared" si="6"/>
        <v>1.0202860731130643</v>
      </c>
      <c r="AJ42" s="88">
        <f t="shared" si="6"/>
        <v>0.94868452392280322</v>
      </c>
      <c r="AK42" s="90">
        <f t="shared" si="6"/>
        <v>0</v>
      </c>
      <c r="AL42" s="90">
        <f t="shared" si="6"/>
        <v>0</v>
      </c>
      <c r="AM42" s="90">
        <f t="shared" si="6"/>
        <v>0</v>
      </c>
      <c r="AN42" s="90">
        <f t="shared" si="6"/>
        <v>0</v>
      </c>
      <c r="AO42" s="90">
        <f t="shared" si="6"/>
        <v>0</v>
      </c>
      <c r="AP42" s="90">
        <f t="shared" si="6"/>
        <v>0</v>
      </c>
      <c r="AQ42" s="88"/>
      <c r="AR42" s="90">
        <f t="shared" si="7"/>
        <v>1.1532</v>
      </c>
      <c r="AS42" s="90">
        <f t="shared" si="7"/>
        <v>0.8639</v>
      </c>
      <c r="AT42" s="90">
        <f t="shared" si="7"/>
        <v>0.69789999999999996</v>
      </c>
      <c r="AU42" s="90">
        <f t="shared" si="7"/>
        <v>0.27650000000000002</v>
      </c>
      <c r="AV42" s="90">
        <f t="shared" si="7"/>
        <v>1.0203</v>
      </c>
      <c r="AW42" s="90">
        <f t="shared" si="7"/>
        <v>0.94869999999999999</v>
      </c>
      <c r="AX42" s="90">
        <f t="shared" si="7"/>
        <v>0</v>
      </c>
      <c r="AY42" s="90">
        <f t="shared" si="7"/>
        <v>0</v>
      </c>
      <c r="AZ42" s="90">
        <f t="shared" si="7"/>
        <v>0</v>
      </c>
      <c r="BA42" s="90">
        <f t="shared" si="7"/>
        <v>0</v>
      </c>
      <c r="BB42" s="90">
        <f t="shared" si="7"/>
        <v>0</v>
      </c>
      <c r="BC42" s="90">
        <f t="shared" si="7"/>
        <v>0</v>
      </c>
      <c r="BD42" s="88"/>
      <c r="BE42" s="1">
        <f>IFERROR(VLOOKUP(AR42,'Top WS'!$A$19:$C$28,3),0)</f>
        <v>480</v>
      </c>
      <c r="BF42" s="1">
        <f>IFERROR(VLOOKUP(AS42,'Top WS'!$A$19:$C$28,3),0)</f>
        <v>360</v>
      </c>
      <c r="BG42" s="1">
        <f>IFERROR(VLOOKUP(AT42,'Top WS'!$A$19:$C$28,3),0)</f>
        <v>360</v>
      </c>
      <c r="BH42" s="1">
        <f>IFERROR(VLOOKUP(AU42,'Top WS'!$A$19:$C$28,3),0)</f>
        <v>360</v>
      </c>
      <c r="BI42" s="1">
        <f>IFERROR(VLOOKUP(AV42,'Top WS'!$A$19:$C$28,3),0)</f>
        <v>412</v>
      </c>
      <c r="BJ42" s="1">
        <f>IFERROR(VLOOKUP(AW42,'Top WS'!$A$19:$C$28,3),0)</f>
        <v>380</v>
      </c>
      <c r="BK42" s="89">
        <f>IFERROR(VLOOKUP(AX42,'Top WS'!$A$19:$C$28,3),0)</f>
        <v>360</v>
      </c>
      <c r="BL42" s="89">
        <f>IFERROR(VLOOKUP(AY42,'Top WS'!$A$19:$C$28,3),0)</f>
        <v>360</v>
      </c>
      <c r="BM42" s="89">
        <f>IFERROR(VLOOKUP(AZ42,'Top WS'!$A$19:$C$28,3),0)</f>
        <v>360</v>
      </c>
      <c r="BN42" s="89">
        <f>IFERROR(VLOOKUP(BA42,'Top WS'!$A$19:$C$28,3),0)</f>
        <v>360</v>
      </c>
      <c r="BO42" s="89">
        <f>IFERROR(VLOOKUP(BB42,'Top WS'!$A$19:$C$28,3),0)</f>
        <v>360</v>
      </c>
      <c r="BP42" s="89">
        <f>IFERROR(VLOOKUP(BC42,'Top WS'!$A$19:$C$28,3),0)</f>
        <v>360</v>
      </c>
      <c r="BQ42" s="1">
        <f t="shared" si="5"/>
        <v>4512</v>
      </c>
    </row>
    <row r="43" spans="1:69" x14ac:dyDescent="0.4">
      <c r="A43">
        <v>1190043602</v>
      </c>
      <c r="B43">
        <f>VLOOKUP(A43,'Aji Plus'!$A$2:$D$58,2,0)</f>
        <v>70403</v>
      </c>
      <c r="C43" t="str">
        <f>VLOOKUP(A43,'Aji Plus'!$A$2:$D$58,3,0)</f>
        <v>นายเดชา ปะโพธิ์ชะกัง</v>
      </c>
      <c r="D43" t="str">
        <f>VLOOKUP(A43,'Aji Plus'!$A$2:$D$58,4,0)</f>
        <v>Roi-et</v>
      </c>
      <c r="E43" s="1">
        <v>173.4506442744875</v>
      </c>
      <c r="F43" s="1">
        <v>187.35421693096967</v>
      </c>
      <c r="G43" s="1">
        <v>164.11953626625041</v>
      </c>
      <c r="H43" s="1">
        <v>186.14160543845858</v>
      </c>
      <c r="I43" s="1">
        <v>205.00332475239364</v>
      </c>
      <c r="J43" s="1">
        <v>170.60632097722822</v>
      </c>
      <c r="K43" s="1">
        <v>178.06481143931885</v>
      </c>
      <c r="L43" s="1">
        <v>176.38375570245702</v>
      </c>
      <c r="M43" s="1">
        <v>148.4789042755466</v>
      </c>
      <c r="N43" s="1">
        <v>239.77830082992276</v>
      </c>
      <c r="O43" s="1">
        <v>167.46449985686141</v>
      </c>
      <c r="P43" s="1">
        <v>175.56673035728056</v>
      </c>
      <c r="R43" s="1">
        <f>VLOOKUP(A43,Actual_RDQ!$A$2:$H$62,3,0)</f>
        <v>184.89599999999999</v>
      </c>
      <c r="S43" s="1">
        <f>VLOOKUP(A43,Actual_RDQ!$A$2:$H$62,4,0)</f>
        <v>219.45599999999999</v>
      </c>
      <c r="T43" s="1">
        <f>VLOOKUP(A43,Actual_RDQ!$A$2:$H$62,5,0)</f>
        <v>304.70400000000006</v>
      </c>
      <c r="U43" s="1">
        <f>VLOOKUP(A43,Actual_RDQ!$A$2:$H$62,6,0)</f>
        <v>156.09599999999998</v>
      </c>
      <c r="V43" s="1">
        <f>VLOOKUP(A43,Actual_RDQ!$A$2:$H$62,7,0)</f>
        <v>139.96799999999999</v>
      </c>
      <c r="W43" s="1">
        <f>VLOOKUP(A43,Actual_RDQ!$A$2:$H$62,8,0)</f>
        <v>131.328</v>
      </c>
      <c r="X43" s="109"/>
      <c r="Y43" s="109"/>
      <c r="Z43" s="109"/>
      <c r="AA43" s="109"/>
      <c r="AB43" s="109"/>
      <c r="AC43" s="109"/>
      <c r="AE43" s="88">
        <f t="shared" si="6"/>
        <v>1.0659862393327297</v>
      </c>
      <c r="AF43" s="88">
        <f t="shared" si="6"/>
        <v>1.1713427303366124</v>
      </c>
      <c r="AG43" s="88">
        <f t="shared" si="6"/>
        <v>1.856597982982843</v>
      </c>
      <c r="AH43" s="88">
        <f t="shared" si="6"/>
        <v>0.83858737348006718</v>
      </c>
      <c r="AI43" s="88">
        <f t="shared" si="6"/>
        <v>0.68275965850337117</v>
      </c>
      <c r="AJ43" s="88">
        <f t="shared" si="6"/>
        <v>0.76977218222488419</v>
      </c>
      <c r="AK43" s="90">
        <f t="shared" si="6"/>
        <v>0</v>
      </c>
      <c r="AL43" s="90">
        <f t="shared" si="6"/>
        <v>0</v>
      </c>
      <c r="AM43" s="90">
        <f t="shared" si="6"/>
        <v>0</v>
      </c>
      <c r="AN43" s="90">
        <f t="shared" si="6"/>
        <v>0</v>
      </c>
      <c r="AO43" s="90">
        <f t="shared" si="6"/>
        <v>0</v>
      </c>
      <c r="AP43" s="90">
        <f t="shared" si="6"/>
        <v>0</v>
      </c>
      <c r="AQ43" s="88"/>
      <c r="AR43" s="90">
        <f t="shared" si="7"/>
        <v>1.0660000000000001</v>
      </c>
      <c r="AS43" s="90">
        <f t="shared" si="7"/>
        <v>1.1713</v>
      </c>
      <c r="AT43" s="90">
        <f t="shared" si="7"/>
        <v>1.8566</v>
      </c>
      <c r="AU43" s="90">
        <f t="shared" si="7"/>
        <v>0.83860000000000001</v>
      </c>
      <c r="AV43" s="90">
        <f t="shared" si="7"/>
        <v>0.68279999999999996</v>
      </c>
      <c r="AW43" s="90">
        <f t="shared" si="7"/>
        <v>0.76980000000000004</v>
      </c>
      <c r="AX43" s="90">
        <f t="shared" si="7"/>
        <v>0</v>
      </c>
      <c r="AY43" s="90">
        <f t="shared" si="7"/>
        <v>0</v>
      </c>
      <c r="AZ43" s="90">
        <f t="shared" si="7"/>
        <v>0</v>
      </c>
      <c r="BA43" s="90">
        <f t="shared" si="7"/>
        <v>0</v>
      </c>
      <c r="BB43" s="90">
        <f t="shared" si="7"/>
        <v>0</v>
      </c>
      <c r="BC43" s="90">
        <f t="shared" si="7"/>
        <v>0</v>
      </c>
      <c r="BD43" s="88"/>
      <c r="BE43" s="1">
        <f>IFERROR(VLOOKUP(AR43,'Top WS'!$A$19:$C$28,3),0)</f>
        <v>440</v>
      </c>
      <c r="BF43" s="1">
        <f>IFERROR(VLOOKUP(AS43,'Top WS'!$A$19:$C$28,3),0)</f>
        <v>480</v>
      </c>
      <c r="BG43" s="1">
        <f>IFERROR(VLOOKUP(AT43,'Top WS'!$A$19:$C$28,3),0)</f>
        <v>520</v>
      </c>
      <c r="BH43" s="1">
        <f>IFERROR(VLOOKUP(AU43,'Top WS'!$A$19:$C$28,3),0)</f>
        <v>360</v>
      </c>
      <c r="BI43" s="1">
        <f>IFERROR(VLOOKUP(AV43,'Top WS'!$A$19:$C$28,3),0)</f>
        <v>360</v>
      </c>
      <c r="BJ43" s="1">
        <f>IFERROR(VLOOKUP(AW43,'Top WS'!$A$19:$C$28,3),0)</f>
        <v>360</v>
      </c>
      <c r="BK43" s="89">
        <f>IFERROR(VLOOKUP(AX43,'Top WS'!$A$19:$C$28,3),0)</f>
        <v>360</v>
      </c>
      <c r="BL43" s="89">
        <f>IFERROR(VLOOKUP(AY43,'Top WS'!$A$19:$C$28,3),0)</f>
        <v>360</v>
      </c>
      <c r="BM43" s="89">
        <f>IFERROR(VLOOKUP(AZ43,'Top WS'!$A$19:$C$28,3),0)</f>
        <v>360</v>
      </c>
      <c r="BN43" s="89">
        <f>IFERROR(VLOOKUP(BA43,'Top WS'!$A$19:$C$28,3),0)</f>
        <v>360</v>
      </c>
      <c r="BO43" s="89">
        <f>IFERROR(VLOOKUP(BB43,'Top WS'!$A$19:$C$28,3),0)</f>
        <v>360</v>
      </c>
      <c r="BP43" s="89">
        <f>IFERROR(VLOOKUP(BC43,'Top WS'!$A$19:$C$28,3),0)</f>
        <v>360</v>
      </c>
      <c r="BQ43" s="1">
        <f t="shared" si="5"/>
        <v>4680</v>
      </c>
    </row>
    <row r="44" spans="1:69" x14ac:dyDescent="0.4">
      <c r="A44">
        <v>1190043701</v>
      </c>
      <c r="B44">
        <f>VLOOKUP(A44,'Aji Plus'!$A$2:$D$58,2,0)</f>
        <v>63286</v>
      </c>
      <c r="C44" t="str">
        <f>VLOOKUP(A44,'Aji Plus'!$A$2:$D$58,3,0)</f>
        <v>นายมานพ ประจวบสุข</v>
      </c>
      <c r="D44" t="str">
        <f>VLOOKUP(A44,'Aji Plus'!$A$2:$D$58,4,0)</f>
        <v>Surin</v>
      </c>
      <c r="E44" s="1">
        <v>236</v>
      </c>
      <c r="F44" s="1">
        <v>255</v>
      </c>
      <c r="G44" s="1">
        <v>224</v>
      </c>
      <c r="H44" s="1">
        <v>254</v>
      </c>
      <c r="I44" s="1">
        <v>280</v>
      </c>
      <c r="J44" s="1">
        <v>232</v>
      </c>
      <c r="K44" s="1">
        <v>243</v>
      </c>
      <c r="L44" s="1">
        <v>240</v>
      </c>
      <c r="M44" s="1">
        <v>202</v>
      </c>
      <c r="N44" s="1">
        <v>327</v>
      </c>
      <c r="O44" s="1">
        <v>228</v>
      </c>
      <c r="P44" s="1">
        <v>239</v>
      </c>
      <c r="R44" s="1">
        <f>VLOOKUP(A44,Actual_RDQ!$A$2:$H$62,3,0)</f>
        <v>134.78400000000002</v>
      </c>
      <c r="S44" s="1">
        <f>VLOOKUP(A44,Actual_RDQ!$A$2:$H$62,4,0)</f>
        <v>199.87199999999999</v>
      </c>
      <c r="T44" s="1">
        <f>VLOOKUP(A44,Actual_RDQ!$A$2:$H$62,5,0)</f>
        <v>277.05599999999993</v>
      </c>
      <c r="U44" s="1">
        <f>VLOOKUP(A44,Actual_RDQ!$A$2:$H$62,6,0)</f>
        <v>203.32799999999997</v>
      </c>
      <c r="V44" s="1">
        <f>VLOOKUP(A44,Actual_RDQ!$A$2:$H$62,7,0)</f>
        <v>479.80799999999994</v>
      </c>
      <c r="W44" s="1">
        <f>VLOOKUP(A44,Actual_RDQ!$A$2:$H$62,8,0)</f>
        <v>244.80000000000004</v>
      </c>
      <c r="X44" s="109"/>
      <c r="Y44" s="109"/>
      <c r="Z44" s="109"/>
      <c r="AA44" s="109"/>
      <c r="AB44" s="109"/>
      <c r="AC44" s="109"/>
      <c r="AE44" s="88">
        <f t="shared" si="6"/>
        <v>0.57111864406779667</v>
      </c>
      <c r="AF44" s="88">
        <f t="shared" si="6"/>
        <v>0.78381176470588232</v>
      </c>
      <c r="AG44" s="88">
        <f t="shared" si="6"/>
        <v>1.2368571428571424</v>
      </c>
      <c r="AH44" s="88">
        <f t="shared" si="6"/>
        <v>0.80050393700787392</v>
      </c>
      <c r="AI44" s="88">
        <f t="shared" si="6"/>
        <v>1.7135999999999998</v>
      </c>
      <c r="AJ44" s="88">
        <f t="shared" si="6"/>
        <v>1.0551724137931036</v>
      </c>
      <c r="AK44" s="90">
        <f t="shared" si="6"/>
        <v>0</v>
      </c>
      <c r="AL44" s="90">
        <f t="shared" si="6"/>
        <v>0</v>
      </c>
      <c r="AM44" s="90">
        <f t="shared" si="6"/>
        <v>0</v>
      </c>
      <c r="AN44" s="90">
        <f t="shared" si="6"/>
        <v>0</v>
      </c>
      <c r="AO44" s="90">
        <f t="shared" si="6"/>
        <v>0</v>
      </c>
      <c r="AP44" s="90">
        <f t="shared" si="6"/>
        <v>0</v>
      </c>
      <c r="AQ44" s="88"/>
      <c r="AR44" s="90">
        <f t="shared" si="7"/>
        <v>0.57110000000000005</v>
      </c>
      <c r="AS44" s="90">
        <f t="shared" si="7"/>
        <v>0.78380000000000005</v>
      </c>
      <c r="AT44" s="90">
        <f t="shared" si="7"/>
        <v>1.2369000000000001</v>
      </c>
      <c r="AU44" s="90">
        <f t="shared" si="7"/>
        <v>0.80049999999999999</v>
      </c>
      <c r="AV44" s="90">
        <f t="shared" si="7"/>
        <v>1.7136</v>
      </c>
      <c r="AW44" s="90">
        <f t="shared" si="7"/>
        <v>1.0551999999999999</v>
      </c>
      <c r="AX44" s="90">
        <f t="shared" si="7"/>
        <v>0</v>
      </c>
      <c r="AY44" s="90">
        <f t="shared" si="7"/>
        <v>0</v>
      </c>
      <c r="AZ44" s="90">
        <f t="shared" si="7"/>
        <v>0</v>
      </c>
      <c r="BA44" s="90">
        <f t="shared" si="7"/>
        <v>0</v>
      </c>
      <c r="BB44" s="90">
        <f t="shared" si="7"/>
        <v>0</v>
      </c>
      <c r="BC44" s="90">
        <f t="shared" si="7"/>
        <v>0</v>
      </c>
      <c r="BD44" s="88"/>
      <c r="BE44" s="1">
        <f>IFERROR(VLOOKUP(AR44,'Top WS'!$A$19:$C$28,3),0)</f>
        <v>360</v>
      </c>
      <c r="BF44" s="1">
        <f>IFERROR(VLOOKUP(AS44,'Top WS'!$A$19:$C$28,3),0)</f>
        <v>360</v>
      </c>
      <c r="BG44" s="1">
        <f>IFERROR(VLOOKUP(AT44,'Top WS'!$A$19:$C$28,3),0)</f>
        <v>520</v>
      </c>
      <c r="BH44" s="1">
        <f>IFERROR(VLOOKUP(AU44,'Top WS'!$A$19:$C$28,3),0)</f>
        <v>360</v>
      </c>
      <c r="BI44" s="1">
        <f>IFERROR(VLOOKUP(AV44,'Top WS'!$A$19:$C$28,3),0)</f>
        <v>520</v>
      </c>
      <c r="BJ44" s="1">
        <f>IFERROR(VLOOKUP(AW44,'Top WS'!$A$19:$C$28,3),0)</f>
        <v>432</v>
      </c>
      <c r="BK44" s="89">
        <f>IFERROR(VLOOKUP(AX44,'Top WS'!$A$19:$C$28,3),0)</f>
        <v>360</v>
      </c>
      <c r="BL44" s="89">
        <f>IFERROR(VLOOKUP(AY44,'Top WS'!$A$19:$C$28,3),0)</f>
        <v>360</v>
      </c>
      <c r="BM44" s="89">
        <f>IFERROR(VLOOKUP(AZ44,'Top WS'!$A$19:$C$28,3),0)</f>
        <v>360</v>
      </c>
      <c r="BN44" s="89">
        <f>IFERROR(VLOOKUP(BA44,'Top WS'!$A$19:$C$28,3),0)</f>
        <v>360</v>
      </c>
      <c r="BO44" s="89">
        <f>IFERROR(VLOOKUP(BB44,'Top WS'!$A$19:$C$28,3),0)</f>
        <v>360</v>
      </c>
      <c r="BP44" s="89">
        <f>IFERROR(VLOOKUP(BC44,'Top WS'!$A$19:$C$28,3),0)</f>
        <v>360</v>
      </c>
      <c r="BQ44" s="1">
        <f t="shared" si="5"/>
        <v>4712</v>
      </c>
    </row>
    <row r="45" spans="1:69" x14ac:dyDescent="0.4">
      <c r="A45">
        <v>1190043702</v>
      </c>
      <c r="B45">
        <f>VLOOKUP(A45,'Aji Plus'!$A$2:$D$58,2,0)</f>
        <v>70479</v>
      </c>
      <c r="C45" t="str">
        <f>VLOOKUP(A45,'Aji Plus'!$A$2:$D$58,3,0)</f>
        <v>นายภูริต มาตย์วิเศษ</v>
      </c>
      <c r="D45" t="str">
        <f>VLOOKUP(A45,'Aji Plus'!$A$2:$D$58,4,0)</f>
        <v>Surin</v>
      </c>
      <c r="E45" s="1">
        <v>117</v>
      </c>
      <c r="F45" s="1">
        <v>126</v>
      </c>
      <c r="G45" s="1">
        <v>110</v>
      </c>
      <c r="H45" s="1">
        <v>125</v>
      </c>
      <c r="I45" s="1">
        <v>138</v>
      </c>
      <c r="J45" s="1">
        <v>115</v>
      </c>
      <c r="K45" s="1">
        <v>120</v>
      </c>
      <c r="L45" s="1">
        <v>119</v>
      </c>
      <c r="M45" s="1">
        <v>100</v>
      </c>
      <c r="N45" s="1">
        <v>161</v>
      </c>
      <c r="O45" s="1">
        <v>113</v>
      </c>
      <c r="P45" s="1">
        <v>116</v>
      </c>
      <c r="R45" s="1">
        <f>VLOOKUP(A45,Actual_RDQ!$A$2:$H$62,3,0)</f>
        <v>154.36799999999999</v>
      </c>
      <c r="S45" s="1">
        <f>VLOOKUP(A45,Actual_RDQ!$A$2:$H$62,4,0)</f>
        <v>106.56</v>
      </c>
      <c r="T45" s="1">
        <f>VLOOKUP(A45,Actual_RDQ!$A$2:$H$62,5,0)</f>
        <v>100.80000000000001</v>
      </c>
      <c r="U45" s="1">
        <f>VLOOKUP(A45,Actual_RDQ!$A$2:$H$62,6,0)</f>
        <v>174.52799999999999</v>
      </c>
      <c r="V45" s="1">
        <f>VLOOKUP(A45,Actual_RDQ!$A$2:$H$62,7,0)</f>
        <v>37.44</v>
      </c>
      <c r="W45" s="1">
        <f>VLOOKUP(A45,Actual_RDQ!$A$2:$H$62,8,0)</f>
        <v>168.768</v>
      </c>
      <c r="X45" s="109"/>
      <c r="Y45" s="109"/>
      <c r="Z45" s="109"/>
      <c r="AA45" s="109"/>
      <c r="AB45" s="109"/>
      <c r="AC45" s="109"/>
      <c r="AE45" s="88">
        <f t="shared" si="6"/>
        <v>1.3193846153846154</v>
      </c>
      <c r="AF45" s="88">
        <f t="shared" si="6"/>
        <v>0.84571428571428575</v>
      </c>
      <c r="AG45" s="88">
        <f t="shared" si="6"/>
        <v>0.91636363636363649</v>
      </c>
      <c r="AH45" s="88">
        <f t="shared" si="6"/>
        <v>1.3962239999999999</v>
      </c>
      <c r="AI45" s="88">
        <f t="shared" si="6"/>
        <v>0.27130434782608692</v>
      </c>
      <c r="AJ45" s="88">
        <f t="shared" si="6"/>
        <v>1.4675478260869566</v>
      </c>
      <c r="AK45" s="90">
        <f t="shared" si="6"/>
        <v>0</v>
      </c>
      <c r="AL45" s="90">
        <f t="shared" si="6"/>
        <v>0</v>
      </c>
      <c r="AM45" s="90">
        <f t="shared" si="6"/>
        <v>0</v>
      </c>
      <c r="AN45" s="90">
        <f t="shared" si="6"/>
        <v>0</v>
      </c>
      <c r="AO45" s="90">
        <f t="shared" si="6"/>
        <v>0</v>
      </c>
      <c r="AP45" s="90">
        <f t="shared" si="6"/>
        <v>0</v>
      </c>
      <c r="AQ45" s="88"/>
      <c r="AR45" s="90">
        <f t="shared" si="7"/>
        <v>1.3193999999999999</v>
      </c>
      <c r="AS45" s="90">
        <f t="shared" si="7"/>
        <v>0.84570000000000001</v>
      </c>
      <c r="AT45" s="90">
        <f t="shared" si="7"/>
        <v>0.91639999999999999</v>
      </c>
      <c r="AU45" s="90">
        <f t="shared" si="7"/>
        <v>1.3962000000000001</v>
      </c>
      <c r="AV45" s="90">
        <f t="shared" si="7"/>
        <v>0.27129999999999999</v>
      </c>
      <c r="AW45" s="90">
        <f t="shared" si="7"/>
        <v>1.4675</v>
      </c>
      <c r="AX45" s="90">
        <f t="shared" si="7"/>
        <v>0</v>
      </c>
      <c r="AY45" s="90">
        <f t="shared" si="7"/>
        <v>0</v>
      </c>
      <c r="AZ45" s="90">
        <f t="shared" si="7"/>
        <v>0</v>
      </c>
      <c r="BA45" s="90">
        <f t="shared" si="7"/>
        <v>0</v>
      </c>
      <c r="BB45" s="90">
        <f t="shared" si="7"/>
        <v>0</v>
      </c>
      <c r="BC45" s="90">
        <f t="shared" si="7"/>
        <v>0</v>
      </c>
      <c r="BD45" s="88"/>
      <c r="BE45" s="1">
        <f>IFERROR(VLOOKUP(AR45,'Top WS'!$A$19:$C$28,3),0)</f>
        <v>520</v>
      </c>
      <c r="BF45" s="1">
        <f>IFERROR(VLOOKUP(AS45,'Top WS'!$A$19:$C$28,3),0)</f>
        <v>360</v>
      </c>
      <c r="BG45" s="1">
        <f>IFERROR(VLOOKUP(AT45,'Top WS'!$A$19:$C$28,3),0)</f>
        <v>380</v>
      </c>
      <c r="BH45" s="1">
        <f>IFERROR(VLOOKUP(AU45,'Top WS'!$A$19:$C$28,3),0)</f>
        <v>520</v>
      </c>
      <c r="BI45" s="1">
        <f>IFERROR(VLOOKUP(AV45,'Top WS'!$A$19:$C$28,3),0)</f>
        <v>360</v>
      </c>
      <c r="BJ45" s="1">
        <f>IFERROR(VLOOKUP(AW45,'Top WS'!$A$19:$C$28,3),0)</f>
        <v>520</v>
      </c>
      <c r="BK45" s="89">
        <f>IFERROR(VLOOKUP(AX45,'Top WS'!$A$19:$C$28,3),0)</f>
        <v>360</v>
      </c>
      <c r="BL45" s="89">
        <f>IFERROR(VLOOKUP(AY45,'Top WS'!$A$19:$C$28,3),0)</f>
        <v>360</v>
      </c>
      <c r="BM45" s="89">
        <f>IFERROR(VLOOKUP(AZ45,'Top WS'!$A$19:$C$28,3),0)</f>
        <v>360</v>
      </c>
      <c r="BN45" s="89">
        <f>IFERROR(VLOOKUP(BA45,'Top WS'!$A$19:$C$28,3),0)</f>
        <v>360</v>
      </c>
      <c r="BO45" s="89">
        <f>IFERROR(VLOOKUP(BB45,'Top WS'!$A$19:$C$28,3),0)</f>
        <v>360</v>
      </c>
      <c r="BP45" s="89">
        <f>IFERROR(VLOOKUP(BC45,'Top WS'!$A$19:$C$28,3),0)</f>
        <v>360</v>
      </c>
      <c r="BQ45" s="1">
        <f t="shared" si="5"/>
        <v>4820</v>
      </c>
    </row>
    <row r="46" spans="1:69" x14ac:dyDescent="0.4">
      <c r="A46">
        <v>1190043801</v>
      </c>
      <c r="B46">
        <f>VLOOKUP(A46,'Aji Plus'!$A$2:$D$58,2,0)</f>
        <v>75712</v>
      </c>
      <c r="C46" t="str">
        <f>VLOOKUP(A46,'Aji Plus'!$A$2:$D$58,3,0)</f>
        <v>นายวุฒิพงษ์ วงศ์วณิชชากร</v>
      </c>
      <c r="D46" t="str">
        <f>VLOOKUP(A46,'Aji Plus'!$A$2:$D$58,4,0)</f>
        <v>Khonkaen</v>
      </c>
      <c r="E46" s="1">
        <v>268.40786811581597</v>
      </c>
      <c r="F46" s="1">
        <v>268.8093599670363</v>
      </c>
      <c r="G46" s="1">
        <v>263.90693315213559</v>
      </c>
      <c r="H46" s="1">
        <v>261.49798204481363</v>
      </c>
      <c r="I46" s="1">
        <v>277.06318718212356</v>
      </c>
      <c r="J46" s="1">
        <v>266.02004815855827</v>
      </c>
      <c r="K46" s="1">
        <v>265.99046454846837</v>
      </c>
      <c r="L46" s="1">
        <v>271.08307171394722</v>
      </c>
      <c r="M46" s="1">
        <v>271.92409148650341</v>
      </c>
      <c r="N46" s="1">
        <v>276.34472807993978</v>
      </c>
      <c r="O46" s="1">
        <v>256.33775519912928</v>
      </c>
      <c r="P46" s="1">
        <v>265.39456611665719</v>
      </c>
      <c r="R46" s="1">
        <f>VLOOKUP(A46,Actual_RDQ!$A$2:$H$62,3,0)</f>
        <v>86.4</v>
      </c>
      <c r="S46" s="1">
        <f>VLOOKUP(A46,Actual_RDQ!$A$2:$H$62,4,0)</f>
        <v>330.04800000000006</v>
      </c>
      <c r="T46" s="1">
        <f>VLOOKUP(A46,Actual_RDQ!$A$2:$H$62,5,0)</f>
        <v>92.73599999999999</v>
      </c>
      <c r="U46" s="1">
        <f>VLOOKUP(A46,Actual_RDQ!$A$2:$H$62,6,0)</f>
        <v>179.71199999999999</v>
      </c>
      <c r="V46" s="1">
        <f>VLOOKUP(A46,Actual_RDQ!$A$2:$H$62,7,0)</f>
        <v>218.88000000000005</v>
      </c>
      <c r="W46" s="1">
        <f>VLOOKUP(A46,Actual_RDQ!$A$2:$H$62,8,0)</f>
        <v>291.45600000000002</v>
      </c>
      <c r="X46" s="109"/>
      <c r="Y46" s="109"/>
      <c r="Z46" s="109"/>
      <c r="AA46" s="109"/>
      <c r="AB46" s="109"/>
      <c r="AC46" s="109"/>
      <c r="AE46" s="88">
        <f t="shared" si="6"/>
        <v>0.32189816418764244</v>
      </c>
      <c r="AF46" s="88">
        <f t="shared" si="6"/>
        <v>1.2278143887566764</v>
      </c>
      <c r="AG46" s="88">
        <f t="shared" si="6"/>
        <v>0.35139660369036252</v>
      </c>
      <c r="AH46" s="88">
        <f t="shared" si="6"/>
        <v>0.68724048497323487</v>
      </c>
      <c r="AI46" s="88">
        <f t="shared" si="6"/>
        <v>0.79000029641658021</v>
      </c>
      <c r="AJ46" s="88">
        <f t="shared" si="6"/>
        <v>1.0956166725685312</v>
      </c>
      <c r="AK46" s="90">
        <f t="shared" si="6"/>
        <v>0</v>
      </c>
      <c r="AL46" s="90">
        <f t="shared" si="6"/>
        <v>0</v>
      </c>
      <c r="AM46" s="90">
        <f t="shared" si="6"/>
        <v>0</v>
      </c>
      <c r="AN46" s="90">
        <f t="shared" si="6"/>
        <v>0</v>
      </c>
      <c r="AO46" s="90">
        <f t="shared" si="6"/>
        <v>0</v>
      </c>
      <c r="AP46" s="90">
        <f t="shared" si="6"/>
        <v>0</v>
      </c>
      <c r="AQ46" s="88"/>
      <c r="AR46" s="90">
        <f t="shared" si="7"/>
        <v>0.32190000000000002</v>
      </c>
      <c r="AS46" s="90">
        <f t="shared" si="7"/>
        <v>1.2278</v>
      </c>
      <c r="AT46" s="90">
        <f t="shared" si="7"/>
        <v>0.35139999999999999</v>
      </c>
      <c r="AU46" s="90">
        <f t="shared" si="7"/>
        <v>0.68720000000000003</v>
      </c>
      <c r="AV46" s="90">
        <f t="shared" si="7"/>
        <v>0.79</v>
      </c>
      <c r="AW46" s="90">
        <f t="shared" si="7"/>
        <v>1.0955999999999999</v>
      </c>
      <c r="AX46" s="90">
        <f t="shared" si="7"/>
        <v>0</v>
      </c>
      <c r="AY46" s="90">
        <f t="shared" si="7"/>
        <v>0</v>
      </c>
      <c r="AZ46" s="90">
        <f t="shared" si="7"/>
        <v>0</v>
      </c>
      <c r="BA46" s="90">
        <f t="shared" si="7"/>
        <v>0</v>
      </c>
      <c r="BB46" s="90">
        <f t="shared" si="7"/>
        <v>0</v>
      </c>
      <c r="BC46" s="90">
        <f t="shared" si="7"/>
        <v>0</v>
      </c>
      <c r="BD46" s="88"/>
      <c r="BE46" s="1">
        <f>IFERROR(VLOOKUP(AR46,'Top WS'!$A$19:$C$28,3),0)</f>
        <v>360</v>
      </c>
      <c r="BF46" s="1">
        <f>IFERROR(VLOOKUP(AS46,'Top WS'!$A$19:$C$28,3),0)</f>
        <v>520</v>
      </c>
      <c r="BG46" s="1">
        <f>IFERROR(VLOOKUP(AT46,'Top WS'!$A$19:$C$28,3),0)</f>
        <v>360</v>
      </c>
      <c r="BH46" s="1">
        <f>IFERROR(VLOOKUP(AU46,'Top WS'!$A$19:$C$28,3),0)</f>
        <v>360</v>
      </c>
      <c r="BI46" s="1">
        <f>IFERROR(VLOOKUP(AV46,'Top WS'!$A$19:$C$28,3),0)</f>
        <v>360</v>
      </c>
      <c r="BJ46" s="1">
        <f>IFERROR(VLOOKUP(AW46,'Top WS'!$A$19:$C$28,3),0)</f>
        <v>440</v>
      </c>
      <c r="BK46" s="89">
        <f>IFERROR(VLOOKUP(AX46,'Top WS'!$A$19:$C$28,3),0)</f>
        <v>360</v>
      </c>
      <c r="BL46" s="89">
        <f>IFERROR(VLOOKUP(AY46,'Top WS'!$A$19:$C$28,3),0)</f>
        <v>360</v>
      </c>
      <c r="BM46" s="89">
        <f>IFERROR(VLOOKUP(AZ46,'Top WS'!$A$19:$C$28,3),0)</f>
        <v>360</v>
      </c>
      <c r="BN46" s="89">
        <f>IFERROR(VLOOKUP(BA46,'Top WS'!$A$19:$C$28,3),0)</f>
        <v>360</v>
      </c>
      <c r="BO46" s="89">
        <f>IFERROR(VLOOKUP(BB46,'Top WS'!$A$19:$C$28,3),0)</f>
        <v>360</v>
      </c>
      <c r="BP46" s="89">
        <f>IFERROR(VLOOKUP(BC46,'Top WS'!$A$19:$C$28,3),0)</f>
        <v>360</v>
      </c>
      <c r="BQ46" s="1">
        <f t="shared" si="5"/>
        <v>4560</v>
      </c>
    </row>
    <row r="47" spans="1:69" x14ac:dyDescent="0.4">
      <c r="A47">
        <v>1190043802</v>
      </c>
      <c r="B47">
        <f>VLOOKUP(A47,'Aji Plus'!$A$2:$D$58,2,0)</f>
        <v>62573</v>
      </c>
      <c r="C47" t="str">
        <f>VLOOKUP(A47,'Aji Plus'!$A$2:$D$58,3,0)</f>
        <v>นายวิฑูรย์ ระวันประโคน</v>
      </c>
      <c r="D47" t="str">
        <f>VLOOKUP(A47,'Aji Plus'!$A$2:$D$58,4,0)</f>
        <v>Khonkaen</v>
      </c>
      <c r="E47" s="1">
        <v>37.362455483236715</v>
      </c>
      <c r="F47" s="1">
        <v>37.418343268954054</v>
      </c>
      <c r="G47" s="1">
        <v>36.735923990721425</v>
      </c>
      <c r="H47" s="1">
        <v>36.40059727641745</v>
      </c>
      <c r="I47" s="1">
        <v>38.567278484806067</v>
      </c>
      <c r="J47" s="1">
        <v>37.030070231338925</v>
      </c>
      <c r="K47" s="1">
        <v>37.025952183970283</v>
      </c>
      <c r="L47" s="1">
        <v>37.7348446238585</v>
      </c>
      <c r="M47" s="1">
        <v>37.851914827624263</v>
      </c>
      <c r="N47" s="1">
        <v>38.467268762996106</v>
      </c>
      <c r="O47" s="1">
        <v>35.682292156829469</v>
      </c>
      <c r="P47" s="1">
        <v>36.943002944116145</v>
      </c>
      <c r="R47" s="1">
        <f>VLOOKUP(A47,Actual_RDQ!$A$2:$H$62,3,0)</f>
        <v>55.871999999999993</v>
      </c>
      <c r="S47" s="1">
        <f>VLOOKUP(A47,Actual_RDQ!$A$2:$H$62,4,0)</f>
        <v>23.04</v>
      </c>
      <c r="T47" s="1">
        <f>VLOOKUP(A47,Actual_RDQ!$A$2:$H$62,5,0)</f>
        <v>0</v>
      </c>
      <c r="U47" s="1">
        <f>VLOOKUP(A47,Actual_RDQ!$A$2:$H$62,6,0)</f>
        <v>11.52</v>
      </c>
      <c r="V47" s="1">
        <f>VLOOKUP(A47,Actual_RDQ!$A$2:$H$62,7,0)</f>
        <v>17.855999999999998</v>
      </c>
      <c r="W47" s="1">
        <f>VLOOKUP(A47,Actual_RDQ!$A$2:$H$62,8,0)</f>
        <v>20.736000000000001</v>
      </c>
      <c r="X47" s="109"/>
      <c r="Y47" s="109"/>
      <c r="Z47" s="109"/>
      <c r="AA47" s="109"/>
      <c r="AB47" s="109"/>
      <c r="AC47" s="109"/>
      <c r="AE47" s="88">
        <f t="shared" si="6"/>
        <v>1.4954049266132385</v>
      </c>
      <c r="AF47" s="88">
        <f t="shared" si="6"/>
        <v>0.61574078345462868</v>
      </c>
      <c r="AG47" s="88">
        <f t="shared" si="6"/>
        <v>0</v>
      </c>
      <c r="AH47" s="88">
        <f t="shared" si="6"/>
        <v>0.31647832348793259</v>
      </c>
      <c r="AI47" s="88">
        <f t="shared" si="6"/>
        <v>0.46298314793029882</v>
      </c>
      <c r="AJ47" s="88">
        <f t="shared" si="6"/>
        <v>0.55997733383856541</v>
      </c>
      <c r="AK47" s="90">
        <f t="shared" si="6"/>
        <v>0</v>
      </c>
      <c r="AL47" s="90">
        <f t="shared" si="6"/>
        <v>0</v>
      </c>
      <c r="AM47" s="90">
        <f t="shared" si="6"/>
        <v>0</v>
      </c>
      <c r="AN47" s="90">
        <f t="shared" si="6"/>
        <v>0</v>
      </c>
      <c r="AO47" s="90">
        <f t="shared" si="6"/>
        <v>0</v>
      </c>
      <c r="AP47" s="90">
        <f t="shared" si="6"/>
        <v>0</v>
      </c>
      <c r="AQ47" s="88"/>
      <c r="AR47" s="90">
        <f t="shared" si="7"/>
        <v>1.4954000000000001</v>
      </c>
      <c r="AS47" s="90">
        <f t="shared" si="7"/>
        <v>0.61570000000000003</v>
      </c>
      <c r="AT47" s="90">
        <f t="shared" si="7"/>
        <v>0</v>
      </c>
      <c r="AU47" s="90">
        <f t="shared" si="7"/>
        <v>0.3165</v>
      </c>
      <c r="AV47" s="90">
        <f t="shared" si="7"/>
        <v>0.46300000000000002</v>
      </c>
      <c r="AW47" s="90">
        <f t="shared" si="7"/>
        <v>0.56000000000000005</v>
      </c>
      <c r="AX47" s="90">
        <f t="shared" si="7"/>
        <v>0</v>
      </c>
      <c r="AY47" s="90">
        <f t="shared" si="7"/>
        <v>0</v>
      </c>
      <c r="AZ47" s="90">
        <f t="shared" si="7"/>
        <v>0</v>
      </c>
      <c r="BA47" s="90">
        <f t="shared" si="7"/>
        <v>0</v>
      </c>
      <c r="BB47" s="90">
        <f t="shared" si="7"/>
        <v>0</v>
      </c>
      <c r="BC47" s="90">
        <f t="shared" si="7"/>
        <v>0</v>
      </c>
      <c r="BD47" s="88"/>
      <c r="BE47" s="1">
        <f>IFERROR(VLOOKUP(AR47,'Top WS'!$A$19:$C$28,3),0)</f>
        <v>520</v>
      </c>
      <c r="BF47" s="1">
        <f>IFERROR(VLOOKUP(AS47,'Top WS'!$A$19:$C$28,3),0)</f>
        <v>360</v>
      </c>
      <c r="BG47" s="1">
        <f>IFERROR(VLOOKUP(AT47,'Top WS'!$A$19:$C$28,3),0)</f>
        <v>360</v>
      </c>
      <c r="BH47" s="1">
        <f>IFERROR(VLOOKUP(AU47,'Top WS'!$A$19:$C$28,3),0)</f>
        <v>360</v>
      </c>
      <c r="BI47" s="1">
        <f>IFERROR(VLOOKUP(AV47,'Top WS'!$A$19:$C$28,3),0)</f>
        <v>360</v>
      </c>
      <c r="BJ47" s="1">
        <f>IFERROR(VLOOKUP(AW47,'Top WS'!$A$19:$C$28,3),0)</f>
        <v>360</v>
      </c>
      <c r="BK47" s="89">
        <f>IFERROR(VLOOKUP(AX47,'Top WS'!$A$19:$C$28,3),0)</f>
        <v>360</v>
      </c>
      <c r="BL47" s="89">
        <f>IFERROR(VLOOKUP(AY47,'Top WS'!$A$19:$C$28,3),0)</f>
        <v>360</v>
      </c>
      <c r="BM47" s="89">
        <f>IFERROR(VLOOKUP(AZ47,'Top WS'!$A$19:$C$28,3),0)</f>
        <v>360</v>
      </c>
      <c r="BN47" s="89">
        <f>IFERROR(VLOOKUP(BA47,'Top WS'!$A$19:$C$28,3),0)</f>
        <v>360</v>
      </c>
      <c r="BO47" s="89">
        <f>IFERROR(VLOOKUP(BB47,'Top WS'!$A$19:$C$28,3),0)</f>
        <v>360</v>
      </c>
      <c r="BP47" s="89">
        <f>IFERROR(VLOOKUP(BC47,'Top WS'!$A$19:$C$28,3),0)</f>
        <v>360</v>
      </c>
      <c r="BQ47" s="1">
        <f t="shared" si="5"/>
        <v>4480</v>
      </c>
    </row>
    <row r="48" spans="1:69" x14ac:dyDescent="0.4">
      <c r="A48">
        <v>1190043901</v>
      </c>
      <c r="B48">
        <f>VLOOKUP(A48,'Aji Plus'!$A$2:$D$58,2,0)</f>
        <v>63244</v>
      </c>
      <c r="C48" t="str">
        <f>VLOOKUP(A48,'Aji Plus'!$A$2:$D$58,3,0)</f>
        <v>นายทรงเกียรติ กล้าหาญ</v>
      </c>
      <c r="D48" t="str">
        <f>VLOOKUP(A48,'Aji Plus'!$A$2:$D$58,4,0)</f>
        <v>Udonthani</v>
      </c>
      <c r="E48" s="1">
        <v>167.21399558376828</v>
      </c>
      <c r="F48" s="1">
        <v>167.46411886483364</v>
      </c>
      <c r="G48" s="1">
        <v>164.40998195919403</v>
      </c>
      <c r="H48" s="1">
        <v>162.90924227280212</v>
      </c>
      <c r="I48" s="1">
        <v>172.6061269482079</v>
      </c>
      <c r="J48" s="1">
        <v>165.72642028059039</v>
      </c>
      <c r="K48" s="1">
        <v>165.70799014409084</v>
      </c>
      <c r="L48" s="1">
        <v>168.88060649865614</v>
      </c>
      <c r="M48" s="1">
        <v>169.40454895057186</v>
      </c>
      <c r="N48" s="1">
        <v>172.15853791893312</v>
      </c>
      <c r="O48" s="1">
        <v>159.69449989195212</v>
      </c>
      <c r="P48" s="1">
        <v>165.33675453745707</v>
      </c>
      <c r="R48" s="1">
        <f>VLOOKUP(A48,Actual_RDQ!$A$2:$H$62,3,0)</f>
        <v>281.08800000000008</v>
      </c>
      <c r="S48" s="1">
        <f>VLOOKUP(A48,Actual_RDQ!$A$2:$H$62,4,0)</f>
        <v>208.51200000000006</v>
      </c>
      <c r="T48" s="1">
        <f>VLOOKUP(A48,Actual_RDQ!$A$2:$H$62,5,0)</f>
        <v>130.17599999999999</v>
      </c>
      <c r="U48" s="1">
        <f>VLOOKUP(A48,Actual_RDQ!$A$2:$H$62,6,0)</f>
        <v>45.504000000000005</v>
      </c>
      <c r="V48" s="1">
        <f>VLOOKUP(A48,Actual_RDQ!$A$2:$H$62,7,0)</f>
        <v>177.98400000000001</v>
      </c>
      <c r="W48" s="1">
        <f>VLOOKUP(A48,Actual_RDQ!$A$2:$H$62,8,0)</f>
        <v>173.37599999999998</v>
      </c>
      <c r="X48" s="109"/>
      <c r="Y48" s="109"/>
      <c r="Z48" s="109"/>
      <c r="AA48" s="109"/>
      <c r="AB48" s="109"/>
      <c r="AC48" s="109"/>
      <c r="AE48" s="88">
        <f t="shared" si="6"/>
        <v>1.6810076155329052</v>
      </c>
      <c r="AF48" s="88">
        <f t="shared" si="6"/>
        <v>1.2451144843051285</v>
      </c>
      <c r="AG48" s="88">
        <f t="shared" si="6"/>
        <v>0.79177674280330013</v>
      </c>
      <c r="AH48" s="88">
        <f t="shared" si="6"/>
        <v>0.27932116904577209</v>
      </c>
      <c r="AI48" s="88">
        <f t="shared" si="6"/>
        <v>1.0311569070396081</v>
      </c>
      <c r="AJ48" s="88">
        <f t="shared" si="6"/>
        <v>1.0461578769785658</v>
      </c>
      <c r="AK48" s="90">
        <f t="shared" si="6"/>
        <v>0</v>
      </c>
      <c r="AL48" s="90">
        <f t="shared" si="6"/>
        <v>0</v>
      </c>
      <c r="AM48" s="90">
        <f t="shared" si="6"/>
        <v>0</v>
      </c>
      <c r="AN48" s="90">
        <f t="shared" si="6"/>
        <v>0</v>
      </c>
      <c r="AO48" s="90">
        <f t="shared" si="6"/>
        <v>0</v>
      </c>
      <c r="AP48" s="90">
        <f t="shared" si="6"/>
        <v>0</v>
      </c>
      <c r="AQ48" s="88"/>
      <c r="AR48" s="90">
        <f t="shared" si="7"/>
        <v>1.681</v>
      </c>
      <c r="AS48" s="90">
        <f t="shared" si="7"/>
        <v>1.2451000000000001</v>
      </c>
      <c r="AT48" s="90">
        <f t="shared" si="7"/>
        <v>0.79179999999999995</v>
      </c>
      <c r="AU48" s="90">
        <f t="shared" si="7"/>
        <v>0.27929999999999999</v>
      </c>
      <c r="AV48" s="90">
        <f t="shared" si="7"/>
        <v>1.0311999999999999</v>
      </c>
      <c r="AW48" s="90">
        <f t="shared" si="7"/>
        <v>1.0462</v>
      </c>
      <c r="AX48" s="90">
        <f t="shared" si="7"/>
        <v>0</v>
      </c>
      <c r="AY48" s="90">
        <f t="shared" si="7"/>
        <v>0</v>
      </c>
      <c r="AZ48" s="90">
        <f t="shared" si="7"/>
        <v>0</v>
      </c>
      <c r="BA48" s="90">
        <f t="shared" si="7"/>
        <v>0</v>
      </c>
      <c r="BB48" s="90">
        <f t="shared" si="7"/>
        <v>0</v>
      </c>
      <c r="BC48" s="90">
        <f t="shared" si="7"/>
        <v>0</v>
      </c>
      <c r="BD48" s="88"/>
      <c r="BE48" s="1">
        <f>IFERROR(VLOOKUP(AR48,'Top WS'!$A$19:$C$28,3),0)</f>
        <v>520</v>
      </c>
      <c r="BF48" s="1">
        <f>IFERROR(VLOOKUP(AS48,'Top WS'!$A$19:$C$28,3),0)</f>
        <v>520</v>
      </c>
      <c r="BG48" s="1">
        <f>IFERROR(VLOOKUP(AT48,'Top WS'!$A$19:$C$28,3),0)</f>
        <v>360</v>
      </c>
      <c r="BH48" s="1">
        <f>IFERROR(VLOOKUP(AU48,'Top WS'!$A$19:$C$28,3),0)</f>
        <v>360</v>
      </c>
      <c r="BI48" s="1">
        <f>IFERROR(VLOOKUP(AV48,'Top WS'!$A$19:$C$28,3),0)</f>
        <v>432</v>
      </c>
      <c r="BJ48" s="1">
        <f>IFERROR(VLOOKUP(AW48,'Top WS'!$A$19:$C$28,3),0)</f>
        <v>432</v>
      </c>
      <c r="BK48" s="89">
        <f>IFERROR(VLOOKUP(AX48,'Top WS'!$A$19:$C$28,3),0)</f>
        <v>360</v>
      </c>
      <c r="BL48" s="89">
        <f>IFERROR(VLOOKUP(AY48,'Top WS'!$A$19:$C$28,3),0)</f>
        <v>360</v>
      </c>
      <c r="BM48" s="89">
        <f>IFERROR(VLOOKUP(AZ48,'Top WS'!$A$19:$C$28,3),0)</f>
        <v>360</v>
      </c>
      <c r="BN48" s="89">
        <f>IFERROR(VLOOKUP(BA48,'Top WS'!$A$19:$C$28,3),0)</f>
        <v>360</v>
      </c>
      <c r="BO48" s="89">
        <f>IFERROR(VLOOKUP(BB48,'Top WS'!$A$19:$C$28,3),0)</f>
        <v>360</v>
      </c>
      <c r="BP48" s="89">
        <f>IFERROR(VLOOKUP(BC48,'Top WS'!$A$19:$C$28,3),0)</f>
        <v>360</v>
      </c>
      <c r="BQ48" s="1">
        <f t="shared" si="5"/>
        <v>4784</v>
      </c>
    </row>
    <row r="49" spans="1:69" x14ac:dyDescent="0.4">
      <c r="A49">
        <v>1190043902</v>
      </c>
      <c r="B49">
        <f>VLOOKUP(A49,'Aji Plus'!$A$2:$D$58,2,0)</f>
        <v>63553</v>
      </c>
      <c r="C49" t="str">
        <f>VLOOKUP(A49,'Aji Plus'!$A$2:$D$58,3,0)</f>
        <v>นายภัทรพล สงฆ์เจริญ</v>
      </c>
      <c r="D49" t="str">
        <f>VLOOKUP(A49,'Aji Plus'!$A$2:$D$58,4,0)</f>
        <v>Udonthani</v>
      </c>
      <c r="E49" s="1">
        <v>205.39137142491279</v>
      </c>
      <c r="F49" s="1">
        <v>205.69860147191909</v>
      </c>
      <c r="G49" s="1">
        <v>201.94716089794809</v>
      </c>
      <c r="H49" s="1">
        <v>200.10378061591058</v>
      </c>
      <c r="I49" s="1">
        <v>212.01460443826858</v>
      </c>
      <c r="J49" s="1">
        <v>203.56416114534935</v>
      </c>
      <c r="K49" s="1">
        <v>203.54152314188573</v>
      </c>
      <c r="L49" s="1">
        <v>207.4384937381229</v>
      </c>
      <c r="M49" s="1">
        <v>208.08205983658857</v>
      </c>
      <c r="N49" s="1">
        <v>211.46482435415211</v>
      </c>
      <c r="O49" s="1">
        <v>196.15506601175656</v>
      </c>
      <c r="P49" s="1">
        <v>203.08552907211859</v>
      </c>
      <c r="R49" s="1">
        <f>VLOOKUP(A49,Actual_RDQ!$A$2:$H$62,3,0)</f>
        <v>268.99199999999996</v>
      </c>
      <c r="S49" s="1">
        <f>VLOOKUP(A49,Actual_RDQ!$A$2:$H$62,4,0)</f>
        <v>236.16</v>
      </c>
      <c r="T49" s="1">
        <f>VLOOKUP(A49,Actual_RDQ!$A$2:$H$62,5,0)</f>
        <v>214.27200000000002</v>
      </c>
      <c r="U49" s="1">
        <f>VLOOKUP(A49,Actual_RDQ!$A$2:$H$62,6,0)</f>
        <v>344.44799999999998</v>
      </c>
      <c r="V49" s="1">
        <f>VLOOKUP(A49,Actual_RDQ!$A$2:$H$62,7,0)</f>
        <v>176.25599999999994</v>
      </c>
      <c r="W49" s="1">
        <f>VLOOKUP(A49,Actual_RDQ!$A$2:$H$62,8,0)</f>
        <v>51.839999999999996</v>
      </c>
      <c r="X49" s="109"/>
      <c r="Y49" s="109"/>
      <c r="Z49" s="109"/>
      <c r="AA49" s="109"/>
      <c r="AB49" s="109"/>
      <c r="AC49" s="109"/>
      <c r="AE49" s="88">
        <f t="shared" si="6"/>
        <v>1.3096557958294677</v>
      </c>
      <c r="AF49" s="88">
        <f t="shared" si="6"/>
        <v>1.1480875334596736</v>
      </c>
      <c r="AG49" s="88">
        <f t="shared" si="6"/>
        <v>1.0610300191755613</v>
      </c>
      <c r="AH49" s="88">
        <f t="shared" si="6"/>
        <v>1.7213467878508055</v>
      </c>
      <c r="AI49" s="88">
        <f t="shared" si="6"/>
        <v>0.83133895642231415</v>
      </c>
      <c r="AJ49" s="88">
        <f t="shared" si="6"/>
        <v>0.25466172290998257</v>
      </c>
      <c r="AK49" s="90">
        <f t="shared" si="6"/>
        <v>0</v>
      </c>
      <c r="AL49" s="90">
        <f t="shared" si="6"/>
        <v>0</v>
      </c>
      <c r="AM49" s="90">
        <f t="shared" si="6"/>
        <v>0</v>
      </c>
      <c r="AN49" s="90">
        <f t="shared" si="6"/>
        <v>0</v>
      </c>
      <c r="AO49" s="90">
        <f t="shared" si="6"/>
        <v>0</v>
      </c>
      <c r="AP49" s="90">
        <f t="shared" si="6"/>
        <v>0</v>
      </c>
      <c r="AQ49" s="88"/>
      <c r="AR49" s="90">
        <f t="shared" si="7"/>
        <v>1.3097000000000001</v>
      </c>
      <c r="AS49" s="90">
        <f t="shared" si="7"/>
        <v>1.1480999999999999</v>
      </c>
      <c r="AT49" s="90">
        <f t="shared" si="7"/>
        <v>1.0609999999999999</v>
      </c>
      <c r="AU49" s="90">
        <f t="shared" si="7"/>
        <v>1.7213000000000001</v>
      </c>
      <c r="AV49" s="90">
        <f t="shared" si="7"/>
        <v>0.83130000000000004</v>
      </c>
      <c r="AW49" s="90">
        <f t="shared" si="7"/>
        <v>0.25469999999999998</v>
      </c>
      <c r="AX49" s="90">
        <f t="shared" si="7"/>
        <v>0</v>
      </c>
      <c r="AY49" s="90">
        <f t="shared" si="7"/>
        <v>0</v>
      </c>
      <c r="AZ49" s="90">
        <f t="shared" si="7"/>
        <v>0</v>
      </c>
      <c r="BA49" s="90">
        <f t="shared" si="7"/>
        <v>0</v>
      </c>
      <c r="BB49" s="90">
        <f t="shared" si="7"/>
        <v>0</v>
      </c>
      <c r="BC49" s="90">
        <f t="shared" si="7"/>
        <v>0</v>
      </c>
      <c r="BD49" s="88"/>
      <c r="BE49" s="1">
        <f>IFERROR(VLOOKUP(AR49,'Top WS'!$A$19:$C$28,3),0)</f>
        <v>520</v>
      </c>
      <c r="BF49" s="1">
        <f>IFERROR(VLOOKUP(AS49,'Top WS'!$A$19:$C$28,3),0)</f>
        <v>460</v>
      </c>
      <c r="BG49" s="1">
        <f>IFERROR(VLOOKUP(AT49,'Top WS'!$A$19:$C$28,3),0)</f>
        <v>440</v>
      </c>
      <c r="BH49" s="1">
        <f>IFERROR(VLOOKUP(AU49,'Top WS'!$A$19:$C$28,3),0)</f>
        <v>520</v>
      </c>
      <c r="BI49" s="1">
        <f>IFERROR(VLOOKUP(AV49,'Top WS'!$A$19:$C$28,3),0)</f>
        <v>360</v>
      </c>
      <c r="BJ49" s="1">
        <f>IFERROR(VLOOKUP(AW49,'Top WS'!$A$19:$C$28,3),0)</f>
        <v>360</v>
      </c>
      <c r="BK49" s="89">
        <f>IFERROR(VLOOKUP(AX49,'Top WS'!$A$19:$C$28,3),0)</f>
        <v>360</v>
      </c>
      <c r="BL49" s="89">
        <f>IFERROR(VLOOKUP(AY49,'Top WS'!$A$19:$C$28,3),0)</f>
        <v>360</v>
      </c>
      <c r="BM49" s="89">
        <f>IFERROR(VLOOKUP(AZ49,'Top WS'!$A$19:$C$28,3),0)</f>
        <v>360</v>
      </c>
      <c r="BN49" s="89">
        <f>IFERROR(VLOOKUP(BA49,'Top WS'!$A$19:$C$28,3),0)</f>
        <v>360</v>
      </c>
      <c r="BO49" s="89">
        <f>IFERROR(VLOOKUP(BB49,'Top WS'!$A$19:$C$28,3),0)</f>
        <v>360</v>
      </c>
      <c r="BP49" s="89">
        <f>IFERROR(VLOOKUP(BC49,'Top WS'!$A$19:$C$28,3),0)</f>
        <v>360</v>
      </c>
      <c r="BQ49" s="1">
        <f t="shared" si="5"/>
        <v>4820</v>
      </c>
    </row>
    <row r="50" spans="1:69" x14ac:dyDescent="0.4">
      <c r="A50">
        <v>1190044001</v>
      </c>
      <c r="B50">
        <f>VLOOKUP(A50,'Aji Plus'!$A$2:$D$58,2,0)</f>
        <v>78443</v>
      </c>
      <c r="C50" t="str">
        <f>VLOOKUP(A50,'Aji Plus'!$A$2:$D$58,3,0)</f>
        <v>นายจิตติพงศ์ สุระสา</v>
      </c>
      <c r="D50" t="str">
        <f>VLOOKUP(A50,'Aji Plus'!$A$2:$D$58,4,0)</f>
        <v>S.Nakon</v>
      </c>
      <c r="E50" s="1">
        <v>161.91792925335375</v>
      </c>
      <c r="F50" s="1">
        <v>162.16013053313759</v>
      </c>
      <c r="G50" s="1">
        <v>159.20272543261973</v>
      </c>
      <c r="H50" s="1">
        <v>157.74951775391693</v>
      </c>
      <c r="I50" s="1">
        <v>167.13927894806122</v>
      </c>
      <c r="J50" s="1">
        <v>160.4774690104291</v>
      </c>
      <c r="K50" s="1">
        <v>160.45962260033977</v>
      </c>
      <c r="L50" s="1">
        <v>163.53175462286052</v>
      </c>
      <c r="M50" s="1">
        <v>164.03910256682866</v>
      </c>
      <c r="N50" s="1">
        <v>166.705866131606</v>
      </c>
      <c r="O50" s="1">
        <v>154.63659393690628</v>
      </c>
      <c r="P50" s="1">
        <v>160.10014491139754</v>
      </c>
      <c r="R50" s="1">
        <f>VLOOKUP(A50,Actual_RDQ!$A$2:$H$62,3,0)</f>
        <v>179.71200000000002</v>
      </c>
      <c r="S50" s="1">
        <f>VLOOKUP(A50,Actual_RDQ!$A$2:$H$62,4,0)</f>
        <v>129.60000000000002</v>
      </c>
      <c r="T50" s="1">
        <f>VLOOKUP(A50,Actual_RDQ!$A$2:$H$62,5,0)</f>
        <v>69.11999999999999</v>
      </c>
      <c r="U50" s="1">
        <f>VLOOKUP(A50,Actual_RDQ!$A$2:$H$62,6,0)</f>
        <v>218.88000000000002</v>
      </c>
      <c r="V50" s="1">
        <f>VLOOKUP(A50,Actual_RDQ!$A$2:$H$62,7,0)</f>
        <v>434.30400000000003</v>
      </c>
      <c r="W50" s="1">
        <f>VLOOKUP(A50,Actual_RDQ!$A$2:$H$62,8,0)</f>
        <v>179.71199999999999</v>
      </c>
      <c r="X50" s="109"/>
      <c r="Y50" s="109"/>
      <c r="Z50" s="109"/>
      <c r="AA50" s="109"/>
      <c r="AB50" s="109"/>
      <c r="AC50" s="109"/>
      <c r="AE50" s="88">
        <f t="shared" si="6"/>
        <v>1.109895617049325</v>
      </c>
      <c r="AF50" s="88">
        <f t="shared" si="6"/>
        <v>0.79921001280592907</v>
      </c>
      <c r="AG50" s="88">
        <f t="shared" si="6"/>
        <v>0.43416342158824434</v>
      </c>
      <c r="AH50" s="88">
        <f t="shared" si="6"/>
        <v>1.3875161275703185</v>
      </c>
      <c r="AI50" s="88">
        <f t="shared" si="6"/>
        <v>2.5984556277460107</v>
      </c>
      <c r="AJ50" s="88">
        <f t="shared" si="6"/>
        <v>1.1198581402621752</v>
      </c>
      <c r="AK50" s="90">
        <f t="shared" si="6"/>
        <v>0</v>
      </c>
      <c r="AL50" s="90">
        <f t="shared" si="6"/>
        <v>0</v>
      </c>
      <c r="AM50" s="90">
        <f t="shared" si="6"/>
        <v>0</v>
      </c>
      <c r="AN50" s="90">
        <f t="shared" si="6"/>
        <v>0</v>
      </c>
      <c r="AO50" s="90">
        <f t="shared" si="6"/>
        <v>0</v>
      </c>
      <c r="AP50" s="90">
        <f t="shared" si="6"/>
        <v>0</v>
      </c>
      <c r="AQ50" s="88"/>
      <c r="AR50" s="90">
        <f t="shared" si="7"/>
        <v>1.1099000000000001</v>
      </c>
      <c r="AS50" s="90">
        <f t="shared" si="7"/>
        <v>0.79920000000000002</v>
      </c>
      <c r="AT50" s="90">
        <f t="shared" si="7"/>
        <v>0.43419999999999997</v>
      </c>
      <c r="AU50" s="90">
        <f t="shared" si="7"/>
        <v>1.3875</v>
      </c>
      <c r="AV50" s="90">
        <f t="shared" si="7"/>
        <v>2.5985</v>
      </c>
      <c r="AW50" s="90">
        <f t="shared" si="7"/>
        <v>1.1198999999999999</v>
      </c>
      <c r="AX50" s="90">
        <f t="shared" si="7"/>
        <v>0</v>
      </c>
      <c r="AY50" s="90">
        <f t="shared" si="7"/>
        <v>0</v>
      </c>
      <c r="AZ50" s="90">
        <f t="shared" si="7"/>
        <v>0</v>
      </c>
      <c r="BA50" s="90">
        <f t="shared" si="7"/>
        <v>0</v>
      </c>
      <c r="BB50" s="90">
        <f t="shared" si="7"/>
        <v>0</v>
      </c>
      <c r="BC50" s="90">
        <f t="shared" si="7"/>
        <v>0</v>
      </c>
      <c r="BD50" s="88"/>
      <c r="BE50" s="1">
        <f>IFERROR(VLOOKUP(AR50,'Top WS'!$A$19:$C$28,3),0)</f>
        <v>460</v>
      </c>
      <c r="BF50" s="1">
        <f>IFERROR(VLOOKUP(AS50,'Top WS'!$A$19:$C$28,3),0)</f>
        <v>360</v>
      </c>
      <c r="BG50" s="1">
        <f>IFERROR(VLOOKUP(AT50,'Top WS'!$A$19:$C$28,3),0)</f>
        <v>360</v>
      </c>
      <c r="BH50" s="1">
        <f>IFERROR(VLOOKUP(AU50,'Top WS'!$A$19:$C$28,3),0)</f>
        <v>520</v>
      </c>
      <c r="BI50" s="1">
        <f>IFERROR(VLOOKUP(AV50,'Top WS'!$A$19:$C$28,3),0)</f>
        <v>520</v>
      </c>
      <c r="BJ50" s="1">
        <f>IFERROR(VLOOKUP(AW50,'Top WS'!$A$19:$C$28,3),0)</f>
        <v>460</v>
      </c>
      <c r="BK50" s="89">
        <f>IFERROR(VLOOKUP(AX50,'Top WS'!$A$19:$C$28,3),0)</f>
        <v>360</v>
      </c>
      <c r="BL50" s="89">
        <f>IFERROR(VLOOKUP(AY50,'Top WS'!$A$19:$C$28,3),0)</f>
        <v>360</v>
      </c>
      <c r="BM50" s="89">
        <f>IFERROR(VLOOKUP(AZ50,'Top WS'!$A$19:$C$28,3),0)</f>
        <v>360</v>
      </c>
      <c r="BN50" s="89">
        <f>IFERROR(VLOOKUP(BA50,'Top WS'!$A$19:$C$28,3),0)</f>
        <v>360</v>
      </c>
      <c r="BO50" s="89">
        <f>IFERROR(VLOOKUP(BB50,'Top WS'!$A$19:$C$28,3),0)</f>
        <v>360</v>
      </c>
      <c r="BP50" s="89">
        <f>IFERROR(VLOOKUP(BC50,'Top WS'!$A$19:$C$28,3),0)</f>
        <v>360</v>
      </c>
      <c r="BQ50" s="1">
        <f t="shared" si="5"/>
        <v>4840</v>
      </c>
    </row>
    <row r="51" spans="1:69" x14ac:dyDescent="0.4">
      <c r="A51">
        <v>1190044002</v>
      </c>
      <c r="B51">
        <f>VLOOKUP(A51,'Aji Plus'!$A$2:$D$58,2,0)</f>
        <v>62434</v>
      </c>
      <c r="C51" t="str">
        <f>VLOOKUP(A51,'Aji Plus'!$A$2:$D$58,3,0)</f>
        <v>นายธนาวัฒน์ กงลีมา</v>
      </c>
      <c r="D51" t="str">
        <f>VLOOKUP(A51,'Aji Plus'!$A$2:$D$58,4,0)</f>
        <v>S.Nakon</v>
      </c>
      <c r="E51" s="1">
        <v>82.029979191792236</v>
      </c>
      <c r="F51" s="1">
        <v>82.152681884647237</v>
      </c>
      <c r="G51" s="1">
        <v>80.654417424523189</v>
      </c>
      <c r="H51" s="1">
        <v>79.918201267393243</v>
      </c>
      <c r="I51" s="1">
        <v>84.675190928287137</v>
      </c>
      <c r="J51" s="1">
        <v>81.300221071128362</v>
      </c>
      <c r="K51" s="1">
        <v>81.291179820075897</v>
      </c>
      <c r="L51" s="1">
        <v>82.84756660839443</v>
      </c>
      <c r="M51" s="1">
        <v>83.104596459743291</v>
      </c>
      <c r="N51" s="1">
        <v>84.455617688441365</v>
      </c>
      <c r="O51" s="1">
        <v>78.341148762383327</v>
      </c>
      <c r="P51" s="1">
        <v>81.109063191733227</v>
      </c>
      <c r="R51" s="1">
        <f>VLOOKUP(A51,Actual_RDQ!$A$2:$H$62,3,0)</f>
        <v>110.592</v>
      </c>
      <c r="S51" s="1">
        <f>VLOOKUP(A51,Actual_RDQ!$A$2:$H$62,4,0)</f>
        <v>74.88</v>
      </c>
      <c r="T51" s="1">
        <f>VLOOKUP(A51,Actual_RDQ!$A$2:$H$62,5,0)</f>
        <v>105.98400000000001</v>
      </c>
      <c r="U51" s="1">
        <f>VLOOKUP(A51,Actual_RDQ!$A$2:$H$62,6,0)</f>
        <v>78.335999999999999</v>
      </c>
      <c r="V51" s="1">
        <f>VLOOKUP(A51,Actual_RDQ!$A$2:$H$62,7,0)</f>
        <v>17.28</v>
      </c>
      <c r="W51" s="1">
        <f>VLOOKUP(A51,Actual_RDQ!$A$2:$H$62,8,0)</f>
        <v>245.37599999999995</v>
      </c>
      <c r="X51" s="109"/>
      <c r="Y51" s="109"/>
      <c r="Z51" s="109"/>
      <c r="AA51" s="109"/>
      <c r="AB51" s="109"/>
      <c r="AC51" s="109"/>
      <c r="AE51" s="88">
        <f t="shared" si="6"/>
        <v>1.3481900286897259</v>
      </c>
      <c r="AF51" s="88">
        <f t="shared" si="6"/>
        <v>0.911473591393413</v>
      </c>
      <c r="AG51" s="88">
        <f t="shared" si="6"/>
        <v>1.3140507784236415</v>
      </c>
      <c r="AH51" s="88">
        <f t="shared" si="6"/>
        <v>0.9802022412629201</v>
      </c>
      <c r="AI51" s="88">
        <f t="shared" si="6"/>
        <v>0.20407394197238632</v>
      </c>
      <c r="AJ51" s="88">
        <f t="shared" si="6"/>
        <v>3.0181467745988551</v>
      </c>
      <c r="AK51" s="90">
        <f t="shared" si="6"/>
        <v>0</v>
      </c>
      <c r="AL51" s="90">
        <f t="shared" si="6"/>
        <v>0</v>
      </c>
      <c r="AM51" s="90">
        <f t="shared" si="6"/>
        <v>0</v>
      </c>
      <c r="AN51" s="90">
        <f t="shared" si="6"/>
        <v>0</v>
      </c>
      <c r="AO51" s="90">
        <f t="shared" si="6"/>
        <v>0</v>
      </c>
      <c r="AP51" s="90">
        <f t="shared" si="6"/>
        <v>0</v>
      </c>
      <c r="AQ51" s="88"/>
      <c r="AR51" s="90">
        <f t="shared" si="7"/>
        <v>1.3482000000000001</v>
      </c>
      <c r="AS51" s="90">
        <f t="shared" si="7"/>
        <v>0.91149999999999998</v>
      </c>
      <c r="AT51" s="90">
        <f t="shared" si="7"/>
        <v>1.3141</v>
      </c>
      <c r="AU51" s="90">
        <f t="shared" si="7"/>
        <v>0.98019999999999996</v>
      </c>
      <c r="AV51" s="90">
        <f t="shared" si="7"/>
        <v>0.2041</v>
      </c>
      <c r="AW51" s="90">
        <f t="shared" si="7"/>
        <v>3.0181</v>
      </c>
      <c r="AX51" s="90">
        <f t="shared" si="7"/>
        <v>0</v>
      </c>
      <c r="AY51" s="90">
        <f t="shared" si="7"/>
        <v>0</v>
      </c>
      <c r="AZ51" s="90">
        <f t="shared" si="7"/>
        <v>0</v>
      </c>
      <c r="BA51" s="90">
        <f t="shared" si="7"/>
        <v>0</v>
      </c>
      <c r="BB51" s="90">
        <f t="shared" si="7"/>
        <v>0</v>
      </c>
      <c r="BC51" s="90">
        <f t="shared" si="7"/>
        <v>0</v>
      </c>
      <c r="BD51" s="88"/>
      <c r="BE51" s="1">
        <f>IFERROR(VLOOKUP(AR51,'Top WS'!$A$19:$C$28,3),0)</f>
        <v>520</v>
      </c>
      <c r="BF51" s="1">
        <f>IFERROR(VLOOKUP(AS51,'Top WS'!$A$19:$C$28,3),0)</f>
        <v>380</v>
      </c>
      <c r="BG51" s="1">
        <f>IFERROR(VLOOKUP(AT51,'Top WS'!$A$19:$C$28,3),0)</f>
        <v>520</v>
      </c>
      <c r="BH51" s="1">
        <f>IFERROR(VLOOKUP(AU51,'Top WS'!$A$19:$C$28,3),0)</f>
        <v>400</v>
      </c>
      <c r="BI51" s="1">
        <f>IFERROR(VLOOKUP(AV51,'Top WS'!$A$19:$C$28,3),0)</f>
        <v>360</v>
      </c>
      <c r="BJ51" s="1">
        <f>IFERROR(VLOOKUP(AW51,'Top WS'!$A$19:$C$28,3),0)</f>
        <v>520</v>
      </c>
      <c r="BK51" s="89">
        <f>IFERROR(VLOOKUP(AX51,'Top WS'!$A$19:$C$28,3),0)</f>
        <v>360</v>
      </c>
      <c r="BL51" s="89">
        <f>IFERROR(VLOOKUP(AY51,'Top WS'!$A$19:$C$28,3),0)</f>
        <v>360</v>
      </c>
      <c r="BM51" s="89">
        <f>IFERROR(VLOOKUP(AZ51,'Top WS'!$A$19:$C$28,3),0)</f>
        <v>360</v>
      </c>
      <c r="BN51" s="89">
        <f>IFERROR(VLOOKUP(BA51,'Top WS'!$A$19:$C$28,3),0)</f>
        <v>360</v>
      </c>
      <c r="BO51" s="89">
        <f>IFERROR(VLOOKUP(BB51,'Top WS'!$A$19:$C$28,3),0)</f>
        <v>360</v>
      </c>
      <c r="BP51" s="89">
        <f>IFERROR(VLOOKUP(BC51,'Top WS'!$A$19:$C$28,3),0)</f>
        <v>360</v>
      </c>
      <c r="BQ51" s="1">
        <f t="shared" si="5"/>
        <v>4860</v>
      </c>
    </row>
    <row r="52" spans="1:69" x14ac:dyDescent="0.4">
      <c r="A52">
        <v>1190044101</v>
      </c>
      <c r="B52">
        <f>VLOOKUP(A52,'Aji Plus'!$A$2:$D$58,2,0)</f>
        <v>61187</v>
      </c>
      <c r="C52" t="str">
        <f>VLOOKUP(A52,'Aji Plus'!$A$2:$D$58,3,0)</f>
        <v>นายสามารถ กิจกรองกาญ</v>
      </c>
      <c r="D52" t="str">
        <f>VLOOKUP(A52,'Aji Plus'!$A$2:$D$58,4,0)</f>
        <v>Chumphae</v>
      </c>
      <c r="E52" s="1">
        <v>372</v>
      </c>
      <c r="F52" s="1">
        <v>373</v>
      </c>
      <c r="G52" s="1">
        <v>366</v>
      </c>
      <c r="H52" s="1">
        <v>363</v>
      </c>
      <c r="I52" s="1">
        <v>384</v>
      </c>
      <c r="J52" s="1">
        <v>369</v>
      </c>
      <c r="K52" s="1">
        <v>369</v>
      </c>
      <c r="L52" s="1">
        <v>376</v>
      </c>
      <c r="M52" s="1">
        <v>377</v>
      </c>
      <c r="N52" s="1">
        <v>383</v>
      </c>
      <c r="O52" s="1">
        <v>360</v>
      </c>
      <c r="P52" s="1">
        <v>368</v>
      </c>
      <c r="R52" s="1">
        <f>VLOOKUP(A52,Actual_RDQ!$A$2:$H$62,3,0)</f>
        <v>542.5920000000001</v>
      </c>
      <c r="S52" s="1">
        <f>VLOOKUP(A52,Actual_RDQ!$A$2:$H$62,4,0)</f>
        <v>375.55200000000002</v>
      </c>
      <c r="T52" s="1">
        <f>VLOOKUP(A52,Actual_RDQ!$A$2:$H$62,5,0)</f>
        <v>114.048</v>
      </c>
      <c r="U52" s="1">
        <f>VLOOKUP(A52,Actual_RDQ!$A$2:$H$62,6,0)</f>
        <v>205.63200000000001</v>
      </c>
      <c r="V52" s="1">
        <f>VLOOKUP(A52,Actual_RDQ!$A$2:$H$62,7,0)</f>
        <v>260.928</v>
      </c>
      <c r="W52" s="1">
        <f>VLOOKUP(A52,Actual_RDQ!$A$2:$H$62,8,0)</f>
        <v>155.52000000000001</v>
      </c>
      <c r="X52" s="109"/>
      <c r="Y52" s="109"/>
      <c r="Z52" s="109"/>
      <c r="AA52" s="109"/>
      <c r="AB52" s="109"/>
      <c r="AC52" s="109"/>
      <c r="AE52" s="88">
        <f t="shared" si="6"/>
        <v>1.4585806451612906</v>
      </c>
      <c r="AF52" s="88">
        <f t="shared" si="6"/>
        <v>1.0068418230563003</v>
      </c>
      <c r="AG52" s="88">
        <f t="shared" si="6"/>
        <v>0.31160655737704918</v>
      </c>
      <c r="AH52" s="88">
        <f t="shared" si="6"/>
        <v>0.56647933884297519</v>
      </c>
      <c r="AI52" s="88">
        <f t="shared" si="6"/>
        <v>0.67949999999999999</v>
      </c>
      <c r="AJ52" s="88">
        <f t="shared" si="6"/>
        <v>0.42146341463414638</v>
      </c>
      <c r="AK52" s="90">
        <f t="shared" si="6"/>
        <v>0</v>
      </c>
      <c r="AL52" s="90">
        <f t="shared" si="6"/>
        <v>0</v>
      </c>
      <c r="AM52" s="90">
        <f t="shared" si="6"/>
        <v>0</v>
      </c>
      <c r="AN52" s="90">
        <f t="shared" si="6"/>
        <v>0</v>
      </c>
      <c r="AO52" s="90">
        <f t="shared" si="6"/>
        <v>0</v>
      </c>
      <c r="AP52" s="90">
        <f t="shared" si="6"/>
        <v>0</v>
      </c>
      <c r="AQ52" s="88"/>
      <c r="AR52" s="90">
        <f t="shared" si="7"/>
        <v>1.4585999999999999</v>
      </c>
      <c r="AS52" s="90">
        <f t="shared" si="7"/>
        <v>1.0067999999999999</v>
      </c>
      <c r="AT52" s="90">
        <f t="shared" si="7"/>
        <v>0.31159999999999999</v>
      </c>
      <c r="AU52" s="90">
        <f t="shared" si="7"/>
        <v>0.5665</v>
      </c>
      <c r="AV52" s="90">
        <f t="shared" si="7"/>
        <v>0.67949999999999999</v>
      </c>
      <c r="AW52" s="90">
        <f t="shared" si="7"/>
        <v>0.42149999999999999</v>
      </c>
      <c r="AX52" s="90">
        <f t="shared" si="7"/>
        <v>0</v>
      </c>
      <c r="AY52" s="90">
        <f t="shared" si="7"/>
        <v>0</v>
      </c>
      <c r="AZ52" s="90">
        <f t="shared" si="7"/>
        <v>0</v>
      </c>
      <c r="BA52" s="90">
        <f t="shared" si="7"/>
        <v>0</v>
      </c>
      <c r="BB52" s="90">
        <f t="shared" si="7"/>
        <v>0</v>
      </c>
      <c r="BC52" s="90">
        <f t="shared" si="7"/>
        <v>0</v>
      </c>
      <c r="BD52" s="88"/>
      <c r="BE52" s="1">
        <f>IFERROR(VLOOKUP(AR52,'Top WS'!$A$19:$C$28,3),0)</f>
        <v>520</v>
      </c>
      <c r="BF52" s="1">
        <f>IFERROR(VLOOKUP(AS52,'Top WS'!$A$19:$C$28,3),0)</f>
        <v>412</v>
      </c>
      <c r="BG52" s="1">
        <f>IFERROR(VLOOKUP(AT52,'Top WS'!$A$19:$C$28,3),0)</f>
        <v>360</v>
      </c>
      <c r="BH52" s="1">
        <f>IFERROR(VLOOKUP(AU52,'Top WS'!$A$19:$C$28,3),0)</f>
        <v>360</v>
      </c>
      <c r="BI52" s="1">
        <f>IFERROR(VLOOKUP(AV52,'Top WS'!$A$19:$C$28,3),0)</f>
        <v>360</v>
      </c>
      <c r="BJ52" s="1">
        <f>IFERROR(VLOOKUP(AW52,'Top WS'!$A$19:$C$28,3),0)</f>
        <v>360</v>
      </c>
      <c r="BK52" s="89">
        <f>IFERROR(VLOOKUP(AX52,'Top WS'!$A$19:$C$28,3),0)</f>
        <v>360</v>
      </c>
      <c r="BL52" s="89">
        <f>IFERROR(VLOOKUP(AY52,'Top WS'!$A$19:$C$28,3),0)</f>
        <v>360</v>
      </c>
      <c r="BM52" s="89">
        <f>IFERROR(VLOOKUP(AZ52,'Top WS'!$A$19:$C$28,3),0)</f>
        <v>360</v>
      </c>
      <c r="BN52" s="89">
        <f>IFERROR(VLOOKUP(BA52,'Top WS'!$A$19:$C$28,3),0)</f>
        <v>360</v>
      </c>
      <c r="BO52" s="89">
        <f>IFERROR(VLOOKUP(BB52,'Top WS'!$A$19:$C$28,3),0)</f>
        <v>360</v>
      </c>
      <c r="BP52" s="89">
        <f>IFERROR(VLOOKUP(BC52,'Top WS'!$A$19:$C$28,3),0)</f>
        <v>360</v>
      </c>
      <c r="BQ52" s="1">
        <f t="shared" si="5"/>
        <v>4532</v>
      </c>
    </row>
    <row r="53" spans="1:69" x14ac:dyDescent="0.4">
      <c r="A53">
        <v>1190054201</v>
      </c>
      <c r="B53">
        <f>VLOOKUP(A53,'Aji Plus'!$A$2:$D$58,2,0)</f>
        <v>75411</v>
      </c>
      <c r="C53" t="str">
        <f>VLOOKUP(A53,'Aji Plus'!$A$2:$D$58,3,0)</f>
        <v>นายจักรภัทร เซ่งสวัสดิ์</v>
      </c>
      <c r="D53" t="str">
        <f>VLOOKUP(A53,'Aji Plus'!$A$2:$D$58,4,0)</f>
        <v>Hat-yai</v>
      </c>
      <c r="E53" s="1">
        <v>168.28234622511167</v>
      </c>
      <c r="F53" s="1">
        <v>162.74507652102912</v>
      </c>
      <c r="G53" s="1">
        <v>171.73594479314653</v>
      </c>
      <c r="H53" s="1">
        <v>189.57953739465992</v>
      </c>
      <c r="I53" s="1">
        <v>210.4392727455905</v>
      </c>
      <c r="J53" s="1">
        <v>139.87074200541161</v>
      </c>
      <c r="K53" s="1">
        <v>206.12227453554686</v>
      </c>
      <c r="L53" s="1">
        <v>137.40717502688008</v>
      </c>
      <c r="M53" s="1">
        <v>131.30581755668516</v>
      </c>
      <c r="N53" s="1">
        <v>247.151025523801</v>
      </c>
      <c r="O53" s="1">
        <v>150.85318545176233</v>
      </c>
      <c r="P53" s="1">
        <v>162.66449255444161</v>
      </c>
      <c r="R53" s="1">
        <f>VLOOKUP(A53,Actual_RDQ!$A$2:$H$62,3,0)</f>
        <v>203.90400000000005</v>
      </c>
      <c r="S53" s="1">
        <f>VLOOKUP(A53,Actual_RDQ!$A$2:$H$62,4,0)</f>
        <v>127.29600000000001</v>
      </c>
      <c r="T53" s="1">
        <f>VLOOKUP(A53,Actual_RDQ!$A$2:$H$62,5,0)</f>
        <v>179.13600000000002</v>
      </c>
      <c r="U53" s="1">
        <f>VLOOKUP(A53,Actual_RDQ!$A$2:$H$62,6,0)</f>
        <v>115.2</v>
      </c>
      <c r="V53" s="1">
        <f>VLOOKUP(A53,Actual_RDQ!$A$2:$H$62,7,0)</f>
        <v>138.24</v>
      </c>
      <c r="W53" s="1">
        <f>VLOOKUP(A53,Actual_RDQ!$A$2:$H$62,8,0)</f>
        <v>254.59200000000004</v>
      </c>
      <c r="X53" s="109"/>
      <c r="Y53" s="109"/>
      <c r="Z53" s="109"/>
      <c r="AA53" s="109"/>
      <c r="AB53" s="109"/>
      <c r="AC53" s="109"/>
      <c r="AE53" s="88">
        <f t="shared" si="6"/>
        <v>1.2116779007064544</v>
      </c>
      <c r="AF53" s="88">
        <f t="shared" si="6"/>
        <v>0.7821803443838834</v>
      </c>
      <c r="AG53" s="88">
        <f t="shared" si="6"/>
        <v>1.0430897283371094</v>
      </c>
      <c r="AH53" s="88">
        <f t="shared" si="6"/>
        <v>0.60766051855153935</v>
      </c>
      <c r="AI53" s="88">
        <f t="shared" si="6"/>
        <v>0.65691160303107754</v>
      </c>
      <c r="AJ53" s="88">
        <f t="shared" si="6"/>
        <v>1.8201948195152196</v>
      </c>
      <c r="AK53" s="90">
        <f t="shared" si="6"/>
        <v>0</v>
      </c>
      <c r="AL53" s="90">
        <f t="shared" si="6"/>
        <v>0</v>
      </c>
      <c r="AM53" s="90">
        <f t="shared" si="6"/>
        <v>0</v>
      </c>
      <c r="AN53" s="90">
        <f t="shared" si="6"/>
        <v>0</v>
      </c>
      <c r="AO53" s="90">
        <f t="shared" si="6"/>
        <v>0</v>
      </c>
      <c r="AP53" s="90">
        <f t="shared" si="6"/>
        <v>0</v>
      </c>
      <c r="AQ53" s="88"/>
      <c r="AR53" s="90">
        <f t="shared" si="7"/>
        <v>1.2117</v>
      </c>
      <c r="AS53" s="90">
        <f t="shared" si="7"/>
        <v>0.78220000000000001</v>
      </c>
      <c r="AT53" s="90">
        <f t="shared" si="7"/>
        <v>1.0430999999999999</v>
      </c>
      <c r="AU53" s="90">
        <f t="shared" si="7"/>
        <v>0.60770000000000002</v>
      </c>
      <c r="AV53" s="90">
        <f t="shared" si="7"/>
        <v>0.65690000000000004</v>
      </c>
      <c r="AW53" s="90">
        <f t="shared" si="7"/>
        <v>1.8202</v>
      </c>
      <c r="AX53" s="90">
        <f t="shared" si="7"/>
        <v>0</v>
      </c>
      <c r="AY53" s="90">
        <f t="shared" si="7"/>
        <v>0</v>
      </c>
      <c r="AZ53" s="90">
        <f t="shared" si="7"/>
        <v>0</v>
      </c>
      <c r="BA53" s="90">
        <f t="shared" si="7"/>
        <v>0</v>
      </c>
      <c r="BB53" s="90">
        <f t="shared" si="7"/>
        <v>0</v>
      </c>
      <c r="BC53" s="90">
        <f t="shared" si="7"/>
        <v>0</v>
      </c>
      <c r="BD53" s="88"/>
      <c r="BE53" s="1">
        <f>IFERROR(VLOOKUP(AR53,'Top WS'!$A$19:$C$28,3),0)</f>
        <v>520</v>
      </c>
      <c r="BF53" s="1">
        <f>IFERROR(VLOOKUP(AS53,'Top WS'!$A$19:$C$28,3),0)</f>
        <v>360</v>
      </c>
      <c r="BG53" s="1">
        <f>IFERROR(VLOOKUP(AT53,'Top WS'!$A$19:$C$28,3),0)</f>
        <v>432</v>
      </c>
      <c r="BH53" s="1">
        <f>IFERROR(VLOOKUP(AU53,'Top WS'!$A$19:$C$28,3),0)</f>
        <v>360</v>
      </c>
      <c r="BI53" s="1">
        <f>IFERROR(VLOOKUP(AV53,'Top WS'!$A$19:$C$28,3),0)</f>
        <v>360</v>
      </c>
      <c r="BJ53" s="1">
        <f>IFERROR(VLOOKUP(AW53,'Top WS'!$A$19:$C$28,3),0)</f>
        <v>520</v>
      </c>
      <c r="BK53" s="89">
        <f>IFERROR(VLOOKUP(AX53,'Top WS'!$A$19:$C$28,3),0)</f>
        <v>360</v>
      </c>
      <c r="BL53" s="89">
        <f>IFERROR(VLOOKUP(AY53,'Top WS'!$A$19:$C$28,3),0)</f>
        <v>360</v>
      </c>
      <c r="BM53" s="89">
        <f>IFERROR(VLOOKUP(AZ53,'Top WS'!$A$19:$C$28,3),0)</f>
        <v>360</v>
      </c>
      <c r="BN53" s="89">
        <f>IFERROR(VLOOKUP(BA53,'Top WS'!$A$19:$C$28,3),0)</f>
        <v>360</v>
      </c>
      <c r="BO53" s="89">
        <f>IFERROR(VLOOKUP(BB53,'Top WS'!$A$19:$C$28,3),0)</f>
        <v>360</v>
      </c>
      <c r="BP53" s="89">
        <f>IFERROR(VLOOKUP(BC53,'Top WS'!$A$19:$C$28,3),0)</f>
        <v>360</v>
      </c>
      <c r="BQ53" s="1">
        <f t="shared" si="5"/>
        <v>4712</v>
      </c>
    </row>
    <row r="54" spans="1:69" x14ac:dyDescent="0.4">
      <c r="A54">
        <v>1190054202</v>
      </c>
      <c r="B54">
        <f>VLOOKUP(A54,'Aji Plus'!$A$2:$D$58,2,0)</f>
        <v>65181</v>
      </c>
      <c r="C54" t="str">
        <f>VLOOKUP(A54,'Aji Plus'!$A$2:$D$58,3,0)</f>
        <v>นายอวิรุทธ์ บัวหลวง</v>
      </c>
      <c r="D54" t="str">
        <f>VLOOKUP(A54,'Aji Plus'!$A$2:$D$58,4,0)</f>
        <v>Hat-yai</v>
      </c>
      <c r="E54" s="1">
        <v>118.38797702206311</v>
      </c>
      <c r="F54" s="1">
        <v>114.49246348070231</v>
      </c>
      <c r="G54" s="1">
        <v>120.81761124744409</v>
      </c>
      <c r="H54" s="1">
        <v>133.3707214119124</v>
      </c>
      <c r="I54" s="1">
        <v>148.04571213321347</v>
      </c>
      <c r="J54" s="1">
        <v>98.400186127929075</v>
      </c>
      <c r="K54" s="1">
        <v>145.00866935148719</v>
      </c>
      <c r="L54" s="1">
        <v>96.667047047157311</v>
      </c>
      <c r="M54" s="1">
        <v>92.374693248984258</v>
      </c>
      <c r="N54" s="1">
        <v>173.87272394901311</v>
      </c>
      <c r="O54" s="1">
        <v>106.12642296464045</v>
      </c>
      <c r="P54" s="1">
        <v>114.4357720154434</v>
      </c>
      <c r="R54" s="1">
        <f>VLOOKUP(A54,Actual_RDQ!$A$2:$H$62,3,0)</f>
        <v>152.06399999999999</v>
      </c>
      <c r="S54" s="1">
        <f>VLOOKUP(A54,Actual_RDQ!$A$2:$H$62,4,0)</f>
        <v>61.632000000000005</v>
      </c>
      <c r="T54" s="1">
        <f>VLOOKUP(A54,Actual_RDQ!$A$2:$H$62,5,0)</f>
        <v>87.552000000000021</v>
      </c>
      <c r="U54" s="1">
        <f>VLOOKUP(A54,Actual_RDQ!$A$2:$H$62,6,0)</f>
        <v>118.08000000000001</v>
      </c>
      <c r="V54" s="1">
        <f>VLOOKUP(A54,Actual_RDQ!$A$2:$H$62,7,0)</f>
        <v>153.21599999999998</v>
      </c>
      <c r="W54" s="1">
        <f>VLOOKUP(A54,Actual_RDQ!$A$2:$H$62,8,0)</f>
        <v>179.71199999999996</v>
      </c>
      <c r="X54" s="109"/>
      <c r="Y54" s="109"/>
      <c r="Z54" s="109"/>
      <c r="AA54" s="109"/>
      <c r="AB54" s="109"/>
      <c r="AC54" s="109"/>
      <c r="AE54" s="88">
        <f t="shared" si="6"/>
        <v>1.2844547548241401</v>
      </c>
      <c r="AF54" s="88">
        <f t="shared" si="6"/>
        <v>0.53830617427834515</v>
      </c>
      <c r="AG54" s="88">
        <f t="shared" si="6"/>
        <v>0.72466256447238098</v>
      </c>
      <c r="AH54" s="88">
        <f t="shared" si="6"/>
        <v>0.88535173799737243</v>
      </c>
      <c r="AI54" s="88">
        <f t="shared" si="6"/>
        <v>1.0349235907767069</v>
      </c>
      <c r="AJ54" s="88">
        <f t="shared" si="6"/>
        <v>1.8263380088159409</v>
      </c>
      <c r="AK54" s="90">
        <f t="shared" si="6"/>
        <v>0</v>
      </c>
      <c r="AL54" s="90">
        <f t="shared" si="6"/>
        <v>0</v>
      </c>
      <c r="AM54" s="90">
        <f t="shared" si="6"/>
        <v>0</v>
      </c>
      <c r="AN54" s="90">
        <f t="shared" si="6"/>
        <v>0</v>
      </c>
      <c r="AO54" s="90">
        <f t="shared" si="6"/>
        <v>0</v>
      </c>
      <c r="AP54" s="90">
        <f t="shared" si="6"/>
        <v>0</v>
      </c>
      <c r="AQ54" s="88"/>
      <c r="AR54" s="90">
        <f t="shared" si="7"/>
        <v>1.2845</v>
      </c>
      <c r="AS54" s="90">
        <f t="shared" si="7"/>
        <v>0.5383</v>
      </c>
      <c r="AT54" s="90">
        <f t="shared" si="7"/>
        <v>0.72470000000000001</v>
      </c>
      <c r="AU54" s="90">
        <f t="shared" si="7"/>
        <v>0.88539999999999996</v>
      </c>
      <c r="AV54" s="90">
        <f t="shared" si="7"/>
        <v>1.0348999999999999</v>
      </c>
      <c r="AW54" s="90">
        <f t="shared" si="7"/>
        <v>1.8263</v>
      </c>
      <c r="AX54" s="90">
        <f t="shared" si="7"/>
        <v>0</v>
      </c>
      <c r="AY54" s="90">
        <f t="shared" si="7"/>
        <v>0</v>
      </c>
      <c r="AZ54" s="90">
        <f t="shared" si="7"/>
        <v>0</v>
      </c>
      <c r="BA54" s="90">
        <f t="shared" si="7"/>
        <v>0</v>
      </c>
      <c r="BB54" s="90">
        <f t="shared" si="7"/>
        <v>0</v>
      </c>
      <c r="BC54" s="90">
        <f t="shared" si="7"/>
        <v>0</v>
      </c>
      <c r="BD54" s="88"/>
      <c r="BE54" s="1">
        <f>IFERROR(VLOOKUP(AR54,'Top WS'!$A$19:$C$28,3),0)</f>
        <v>520</v>
      </c>
      <c r="BF54" s="1">
        <f>IFERROR(VLOOKUP(AS54,'Top WS'!$A$19:$C$28,3),0)</f>
        <v>360</v>
      </c>
      <c r="BG54" s="1">
        <f>IFERROR(VLOOKUP(AT54,'Top WS'!$A$19:$C$28,3),0)</f>
        <v>360</v>
      </c>
      <c r="BH54" s="1">
        <f>IFERROR(VLOOKUP(AU54,'Top WS'!$A$19:$C$28,3),0)</f>
        <v>360</v>
      </c>
      <c r="BI54" s="1">
        <f>IFERROR(VLOOKUP(AV54,'Top WS'!$A$19:$C$28,3),0)</f>
        <v>432</v>
      </c>
      <c r="BJ54" s="1">
        <f>IFERROR(VLOOKUP(AW54,'Top WS'!$A$19:$C$28,3),0)</f>
        <v>520</v>
      </c>
      <c r="BK54" s="89">
        <f>IFERROR(VLOOKUP(AX54,'Top WS'!$A$19:$C$28,3),0)</f>
        <v>360</v>
      </c>
      <c r="BL54" s="89">
        <f>IFERROR(VLOOKUP(AY54,'Top WS'!$A$19:$C$28,3),0)</f>
        <v>360</v>
      </c>
      <c r="BM54" s="89">
        <f>IFERROR(VLOOKUP(AZ54,'Top WS'!$A$19:$C$28,3),0)</f>
        <v>360</v>
      </c>
      <c r="BN54" s="89">
        <f>IFERROR(VLOOKUP(BA54,'Top WS'!$A$19:$C$28,3),0)</f>
        <v>360</v>
      </c>
      <c r="BO54" s="89">
        <f>IFERROR(VLOOKUP(BB54,'Top WS'!$A$19:$C$28,3),0)</f>
        <v>360</v>
      </c>
      <c r="BP54" s="89">
        <f>IFERROR(VLOOKUP(BC54,'Top WS'!$A$19:$C$28,3),0)</f>
        <v>360</v>
      </c>
      <c r="BQ54" s="1">
        <f t="shared" si="5"/>
        <v>4712</v>
      </c>
    </row>
    <row r="55" spans="1:69" x14ac:dyDescent="0.4">
      <c r="A55">
        <v>1190054301</v>
      </c>
      <c r="B55">
        <f>VLOOKUP(A55,'Aji Plus'!$A$2:$D$58,2,0)</f>
        <v>61802</v>
      </c>
      <c r="C55" t="str">
        <f>VLOOKUP(A55,'Aji Plus'!$A$2:$D$58,3,0)</f>
        <v>นายภาคภูมิ รักท้วม</v>
      </c>
      <c r="D55" t="str">
        <f>VLOOKUP(A55,'Aji Plus'!$A$2:$D$58,4,0)</f>
        <v>Suratthani</v>
      </c>
      <c r="E55" s="1">
        <v>80</v>
      </c>
      <c r="F55" s="1">
        <v>90</v>
      </c>
      <c r="G55" s="1">
        <v>50</v>
      </c>
      <c r="H55" s="1">
        <v>70</v>
      </c>
      <c r="I55" s="1">
        <v>60</v>
      </c>
      <c r="J55" s="1">
        <v>80</v>
      </c>
      <c r="K55" s="1">
        <v>80</v>
      </c>
      <c r="L55" s="1">
        <v>70</v>
      </c>
      <c r="M55" s="1">
        <v>50</v>
      </c>
      <c r="N55" s="1">
        <v>90</v>
      </c>
      <c r="O55" s="1">
        <v>70</v>
      </c>
      <c r="P55" s="1">
        <v>80</v>
      </c>
      <c r="R55" s="1">
        <f>VLOOKUP(A55,Actual_RDQ!$A$2:$H$62,3,0)</f>
        <v>60.48</v>
      </c>
      <c r="S55" s="1">
        <f>VLOOKUP(A55,Actual_RDQ!$A$2:$H$62,4,0)</f>
        <v>72.575999999999993</v>
      </c>
      <c r="T55" s="1">
        <f>VLOOKUP(A55,Actual_RDQ!$A$2:$H$62,5,0)</f>
        <v>52.415999999999997</v>
      </c>
      <c r="U55" s="1">
        <f>VLOOKUP(A55,Actual_RDQ!$A$2:$H$62,6,0)</f>
        <v>110.592</v>
      </c>
      <c r="V55" s="1">
        <f>VLOOKUP(A55,Actual_RDQ!$A$2:$H$62,7,0)</f>
        <v>40.32</v>
      </c>
      <c r="W55" s="1">
        <f>VLOOKUP(A55,Actual_RDQ!$A$2:$H$62,8,0)</f>
        <v>221.75999999999996</v>
      </c>
      <c r="X55" s="109"/>
      <c r="Y55" s="109"/>
      <c r="Z55" s="109"/>
      <c r="AA55" s="109"/>
      <c r="AB55" s="109"/>
      <c r="AC55" s="109"/>
      <c r="AE55" s="88">
        <f t="shared" si="6"/>
        <v>0.75600000000000001</v>
      </c>
      <c r="AF55" s="88">
        <f t="shared" si="6"/>
        <v>0.80639999999999989</v>
      </c>
      <c r="AG55" s="88">
        <f t="shared" si="6"/>
        <v>1.0483199999999999</v>
      </c>
      <c r="AH55" s="88">
        <f t="shared" si="6"/>
        <v>1.5798857142857143</v>
      </c>
      <c r="AI55" s="88">
        <f t="shared" si="6"/>
        <v>0.67200000000000004</v>
      </c>
      <c r="AJ55" s="88">
        <f t="shared" si="6"/>
        <v>2.7719999999999994</v>
      </c>
      <c r="AK55" s="90">
        <f t="shared" si="6"/>
        <v>0</v>
      </c>
      <c r="AL55" s="90">
        <f t="shared" si="6"/>
        <v>0</v>
      </c>
      <c r="AM55" s="90">
        <f t="shared" si="6"/>
        <v>0</v>
      </c>
      <c r="AN55" s="90">
        <f t="shared" si="6"/>
        <v>0</v>
      </c>
      <c r="AO55" s="90">
        <f t="shared" si="6"/>
        <v>0</v>
      </c>
      <c r="AP55" s="90">
        <f t="shared" si="6"/>
        <v>0</v>
      </c>
      <c r="AQ55" s="88"/>
      <c r="AR55" s="90">
        <f t="shared" si="7"/>
        <v>0.75600000000000001</v>
      </c>
      <c r="AS55" s="90">
        <f t="shared" si="7"/>
        <v>0.80640000000000001</v>
      </c>
      <c r="AT55" s="90">
        <f t="shared" si="7"/>
        <v>1.0483</v>
      </c>
      <c r="AU55" s="90">
        <f t="shared" si="7"/>
        <v>1.5799000000000001</v>
      </c>
      <c r="AV55" s="90">
        <f t="shared" si="7"/>
        <v>0.67200000000000004</v>
      </c>
      <c r="AW55" s="90">
        <f t="shared" si="7"/>
        <v>2.7719999999999998</v>
      </c>
      <c r="AX55" s="90">
        <f t="shared" si="7"/>
        <v>0</v>
      </c>
      <c r="AY55" s="90">
        <f t="shared" si="7"/>
        <v>0</v>
      </c>
      <c r="AZ55" s="90">
        <f t="shared" si="7"/>
        <v>0</v>
      </c>
      <c r="BA55" s="90">
        <f t="shared" si="7"/>
        <v>0</v>
      </c>
      <c r="BB55" s="90">
        <f t="shared" si="7"/>
        <v>0</v>
      </c>
      <c r="BC55" s="90">
        <f t="shared" si="7"/>
        <v>0</v>
      </c>
      <c r="BD55" s="88"/>
      <c r="BE55" s="1">
        <f>IFERROR(VLOOKUP(AR55,'Top WS'!$A$19:$C$28,3),0)</f>
        <v>360</v>
      </c>
      <c r="BF55" s="1">
        <f>IFERROR(VLOOKUP(AS55,'Top WS'!$A$19:$C$28,3),0)</f>
        <v>360</v>
      </c>
      <c r="BG55" s="1">
        <f>IFERROR(VLOOKUP(AT55,'Top WS'!$A$19:$C$28,3),0)</f>
        <v>432</v>
      </c>
      <c r="BH55" s="1">
        <f>IFERROR(VLOOKUP(AU55,'Top WS'!$A$19:$C$28,3),0)</f>
        <v>520</v>
      </c>
      <c r="BI55" s="1">
        <f>IFERROR(VLOOKUP(AV55,'Top WS'!$A$19:$C$28,3),0)</f>
        <v>360</v>
      </c>
      <c r="BJ55" s="1">
        <f>IFERROR(VLOOKUP(AW55,'Top WS'!$A$19:$C$28,3),0)</f>
        <v>520</v>
      </c>
      <c r="BK55" s="89">
        <f>IFERROR(VLOOKUP(AX55,'Top WS'!$A$19:$C$28,3),0)</f>
        <v>360</v>
      </c>
      <c r="BL55" s="89">
        <f>IFERROR(VLOOKUP(AY55,'Top WS'!$A$19:$C$28,3),0)</f>
        <v>360</v>
      </c>
      <c r="BM55" s="89">
        <f>IFERROR(VLOOKUP(AZ55,'Top WS'!$A$19:$C$28,3),0)</f>
        <v>360</v>
      </c>
      <c r="BN55" s="89">
        <f>IFERROR(VLOOKUP(BA55,'Top WS'!$A$19:$C$28,3),0)</f>
        <v>360</v>
      </c>
      <c r="BO55" s="89">
        <f>IFERROR(VLOOKUP(BB55,'Top WS'!$A$19:$C$28,3),0)</f>
        <v>360</v>
      </c>
      <c r="BP55" s="89">
        <f>IFERROR(VLOOKUP(BC55,'Top WS'!$A$19:$C$28,3),0)</f>
        <v>360</v>
      </c>
      <c r="BQ55" s="1">
        <f t="shared" si="5"/>
        <v>4712</v>
      </c>
    </row>
    <row r="56" spans="1:69" x14ac:dyDescent="0.4">
      <c r="A56">
        <v>1190054401</v>
      </c>
      <c r="B56">
        <f>VLOOKUP(A56,'Aji Plus'!$A$2:$D$58,2,0)</f>
        <v>75194</v>
      </c>
      <c r="C56" t="str">
        <f>VLOOKUP(A56,'Aji Plus'!$A$2:$D$58,3,0)</f>
        <v>นายพรชัย แซ่อือ</v>
      </c>
      <c r="D56" t="str">
        <f>VLOOKUP(A56,'Aji Plus'!$A$2:$D$58,4,0)</f>
        <v>N.Thamarat</v>
      </c>
      <c r="E56" s="1">
        <v>340</v>
      </c>
      <c r="F56" s="1">
        <v>370</v>
      </c>
      <c r="G56" s="1">
        <v>320</v>
      </c>
      <c r="H56" s="1">
        <v>370</v>
      </c>
      <c r="I56" s="1">
        <v>360</v>
      </c>
      <c r="J56" s="1">
        <v>340</v>
      </c>
      <c r="K56" s="1">
        <v>350</v>
      </c>
      <c r="L56" s="1">
        <v>350</v>
      </c>
      <c r="M56" s="1">
        <v>290</v>
      </c>
      <c r="N56" s="1">
        <v>270</v>
      </c>
      <c r="O56" s="1">
        <v>330</v>
      </c>
      <c r="P56" s="1">
        <v>350</v>
      </c>
      <c r="R56" s="1">
        <f>VLOOKUP(A56,Actual_RDQ!$A$2:$H$62,3,0)</f>
        <v>279.93599999999998</v>
      </c>
      <c r="S56" s="1">
        <f>VLOOKUP(A56,Actual_RDQ!$A$2:$H$62,4,0)</f>
        <v>183.16800000000001</v>
      </c>
      <c r="T56" s="1">
        <f>VLOOKUP(A56,Actual_RDQ!$A$2:$H$62,5,0)</f>
        <v>275.90400000000005</v>
      </c>
      <c r="U56" s="1">
        <f>VLOOKUP(A56,Actual_RDQ!$A$2:$H$62,6,0)</f>
        <v>292.03199999999998</v>
      </c>
      <c r="V56" s="1">
        <f>VLOOKUP(A56,Actual_RDQ!$A$2:$H$62,7,0)</f>
        <v>361.15200000000004</v>
      </c>
      <c r="W56" s="1">
        <f>VLOOKUP(A56,Actual_RDQ!$A$2:$H$62,8,0)</f>
        <v>317.95199999999994</v>
      </c>
      <c r="X56" s="109"/>
      <c r="Y56" s="109"/>
      <c r="Z56" s="109"/>
      <c r="AA56" s="109"/>
      <c r="AB56" s="109"/>
      <c r="AC56" s="109"/>
      <c r="AE56" s="88">
        <f t="shared" si="6"/>
        <v>0.82334117647058813</v>
      </c>
      <c r="AF56" s="88">
        <f t="shared" si="6"/>
        <v>0.49504864864864867</v>
      </c>
      <c r="AG56" s="88">
        <f t="shared" si="6"/>
        <v>0.86220000000000019</v>
      </c>
      <c r="AH56" s="88">
        <f t="shared" si="6"/>
        <v>0.78927567567567558</v>
      </c>
      <c r="AI56" s="88">
        <f t="shared" si="6"/>
        <v>1.0032000000000001</v>
      </c>
      <c r="AJ56" s="88">
        <f t="shared" si="6"/>
        <v>0.93515294117647041</v>
      </c>
      <c r="AK56" s="90">
        <f t="shared" si="6"/>
        <v>0</v>
      </c>
      <c r="AL56" s="90">
        <f t="shared" si="6"/>
        <v>0</v>
      </c>
      <c r="AM56" s="90">
        <f t="shared" si="6"/>
        <v>0</v>
      </c>
      <c r="AN56" s="90">
        <f t="shared" si="6"/>
        <v>0</v>
      </c>
      <c r="AO56" s="90">
        <f t="shared" si="6"/>
        <v>0</v>
      </c>
      <c r="AP56" s="90">
        <f t="shared" si="6"/>
        <v>0</v>
      </c>
      <c r="AQ56" s="88"/>
      <c r="AR56" s="90">
        <f t="shared" si="7"/>
        <v>0.82330000000000003</v>
      </c>
      <c r="AS56" s="90">
        <f t="shared" si="7"/>
        <v>0.495</v>
      </c>
      <c r="AT56" s="90">
        <f t="shared" si="7"/>
        <v>0.86219999999999997</v>
      </c>
      <c r="AU56" s="90">
        <f t="shared" si="7"/>
        <v>0.7893</v>
      </c>
      <c r="AV56" s="90">
        <f t="shared" si="7"/>
        <v>1.0032000000000001</v>
      </c>
      <c r="AW56" s="90">
        <f t="shared" si="7"/>
        <v>0.93520000000000003</v>
      </c>
      <c r="AX56" s="90">
        <f t="shared" si="7"/>
        <v>0</v>
      </c>
      <c r="AY56" s="90">
        <f t="shared" si="7"/>
        <v>0</v>
      </c>
      <c r="AZ56" s="90">
        <f t="shared" si="7"/>
        <v>0</v>
      </c>
      <c r="BA56" s="90">
        <f t="shared" si="7"/>
        <v>0</v>
      </c>
      <c r="BB56" s="90">
        <f t="shared" si="7"/>
        <v>0</v>
      </c>
      <c r="BC56" s="90">
        <f t="shared" si="7"/>
        <v>0</v>
      </c>
      <c r="BD56" s="88"/>
      <c r="BE56" s="1">
        <f>IFERROR(VLOOKUP(AR56,'Top WS'!$A$19:$C$28,3),0)</f>
        <v>360</v>
      </c>
      <c r="BF56" s="1">
        <f>IFERROR(VLOOKUP(AS56,'Top WS'!$A$19:$C$28,3),0)</f>
        <v>360</v>
      </c>
      <c r="BG56" s="1">
        <f>IFERROR(VLOOKUP(AT56,'Top WS'!$A$19:$C$28,3),0)</f>
        <v>360</v>
      </c>
      <c r="BH56" s="1">
        <f>IFERROR(VLOOKUP(AU56,'Top WS'!$A$19:$C$28,3),0)</f>
        <v>360</v>
      </c>
      <c r="BI56" s="1">
        <f>IFERROR(VLOOKUP(AV56,'Top WS'!$A$19:$C$28,3),0)</f>
        <v>412</v>
      </c>
      <c r="BJ56" s="1">
        <f>IFERROR(VLOOKUP(AW56,'Top WS'!$A$19:$C$28,3),0)</f>
        <v>380</v>
      </c>
      <c r="BK56" s="89">
        <f>IFERROR(VLOOKUP(AX56,'Top WS'!$A$19:$C$28,3),0)</f>
        <v>360</v>
      </c>
      <c r="BL56" s="89">
        <f>IFERROR(VLOOKUP(AY56,'Top WS'!$A$19:$C$28,3),0)</f>
        <v>360</v>
      </c>
      <c r="BM56" s="89">
        <f>IFERROR(VLOOKUP(AZ56,'Top WS'!$A$19:$C$28,3),0)</f>
        <v>360</v>
      </c>
      <c r="BN56" s="89">
        <f>IFERROR(VLOOKUP(BA56,'Top WS'!$A$19:$C$28,3),0)</f>
        <v>360</v>
      </c>
      <c r="BO56" s="89">
        <f>IFERROR(VLOOKUP(BB56,'Top WS'!$A$19:$C$28,3),0)</f>
        <v>360</v>
      </c>
      <c r="BP56" s="89">
        <f>IFERROR(VLOOKUP(BC56,'Top WS'!$A$19:$C$28,3),0)</f>
        <v>360</v>
      </c>
      <c r="BQ56" s="1">
        <f t="shared" si="5"/>
        <v>4392</v>
      </c>
    </row>
    <row r="57" spans="1:69" x14ac:dyDescent="0.4">
      <c r="A57">
        <v>1190054501</v>
      </c>
      <c r="B57">
        <f>VLOOKUP(A57,'Aji Plus'!$A$2:$D$58,2,0)</f>
        <v>70437</v>
      </c>
      <c r="C57" t="str">
        <f>VLOOKUP(A57,'Aji Plus'!$A$2:$D$58,3,0)</f>
        <v>นายมนตรี วัชรมานะกุล</v>
      </c>
      <c r="D57" t="str">
        <f>VLOOKUP(A57,'Aji Plus'!$A$2:$D$58,4,0)</f>
        <v>Trang</v>
      </c>
      <c r="E57" s="1">
        <v>60</v>
      </c>
      <c r="F57" s="1">
        <v>45</v>
      </c>
      <c r="G57" s="1">
        <v>45</v>
      </c>
      <c r="H57" s="1">
        <v>45</v>
      </c>
      <c r="I57" s="1">
        <v>45</v>
      </c>
      <c r="J57" s="1">
        <v>45</v>
      </c>
      <c r="K57" s="1">
        <v>45</v>
      </c>
      <c r="L57" s="1">
        <v>45</v>
      </c>
      <c r="M57" s="1">
        <v>45</v>
      </c>
      <c r="N57" s="1">
        <v>45</v>
      </c>
      <c r="O57" s="1">
        <v>45</v>
      </c>
      <c r="P57" s="1">
        <v>40</v>
      </c>
      <c r="R57" s="1">
        <f>VLOOKUP(A57,Actual_RDQ!$A$2:$H$62,3,0)</f>
        <v>52.415999999999997</v>
      </c>
      <c r="S57" s="1">
        <f>VLOOKUP(A57,Actual_RDQ!$A$2:$H$62,4,0)</f>
        <v>65.664000000000001</v>
      </c>
      <c r="T57" s="1">
        <f>VLOOKUP(A57,Actual_RDQ!$A$2:$H$62,5,0)</f>
        <v>59.904000000000003</v>
      </c>
      <c r="U57" s="1">
        <f>VLOOKUP(A57,Actual_RDQ!$A$2:$H$62,6,0)</f>
        <v>41.472000000000008</v>
      </c>
      <c r="V57" s="1">
        <f>VLOOKUP(A57,Actual_RDQ!$A$2:$H$62,7,0)</f>
        <v>17.28</v>
      </c>
      <c r="W57" s="1">
        <f>VLOOKUP(A57,Actual_RDQ!$A$2:$H$62,8,0)</f>
        <v>66.239999999999995</v>
      </c>
      <c r="X57" s="109"/>
      <c r="Y57" s="109"/>
      <c r="Z57" s="109"/>
      <c r="AA57" s="109"/>
      <c r="AB57" s="109"/>
      <c r="AC57" s="109"/>
      <c r="AE57" s="88">
        <f t="shared" si="6"/>
        <v>0.87359999999999993</v>
      </c>
      <c r="AF57" s="88">
        <f t="shared" si="6"/>
        <v>1.4592000000000001</v>
      </c>
      <c r="AG57" s="88">
        <f t="shared" si="6"/>
        <v>1.3312000000000002</v>
      </c>
      <c r="AH57" s="88">
        <f t="shared" si="6"/>
        <v>0.9216000000000002</v>
      </c>
      <c r="AI57" s="88">
        <f t="shared" si="6"/>
        <v>0.38400000000000001</v>
      </c>
      <c r="AJ57" s="88">
        <f t="shared" si="6"/>
        <v>1.472</v>
      </c>
      <c r="AK57" s="90">
        <f t="shared" si="6"/>
        <v>0</v>
      </c>
      <c r="AL57" s="90">
        <f t="shared" si="6"/>
        <v>0</v>
      </c>
      <c r="AM57" s="90">
        <f t="shared" si="6"/>
        <v>0</v>
      </c>
      <c r="AN57" s="90">
        <f t="shared" si="6"/>
        <v>0</v>
      </c>
      <c r="AO57" s="90">
        <f t="shared" si="6"/>
        <v>0</v>
      </c>
      <c r="AP57" s="90">
        <f t="shared" si="6"/>
        <v>0</v>
      </c>
      <c r="AQ57" s="88"/>
      <c r="AR57" s="90">
        <f t="shared" si="7"/>
        <v>0.87360000000000004</v>
      </c>
      <c r="AS57" s="90">
        <f t="shared" si="7"/>
        <v>1.4592000000000001</v>
      </c>
      <c r="AT57" s="90">
        <f t="shared" si="7"/>
        <v>1.3311999999999999</v>
      </c>
      <c r="AU57" s="90">
        <f t="shared" si="7"/>
        <v>0.92159999999999997</v>
      </c>
      <c r="AV57" s="90">
        <f t="shared" si="7"/>
        <v>0.38400000000000001</v>
      </c>
      <c r="AW57" s="90">
        <f t="shared" si="7"/>
        <v>1.472</v>
      </c>
      <c r="AX57" s="90">
        <f t="shared" si="7"/>
        <v>0</v>
      </c>
      <c r="AY57" s="90">
        <f t="shared" si="7"/>
        <v>0</v>
      </c>
      <c r="AZ57" s="90">
        <f t="shared" si="7"/>
        <v>0</v>
      </c>
      <c r="BA57" s="90">
        <f t="shared" si="7"/>
        <v>0</v>
      </c>
      <c r="BB57" s="90">
        <f t="shared" si="7"/>
        <v>0</v>
      </c>
      <c r="BC57" s="90">
        <f t="shared" si="7"/>
        <v>0</v>
      </c>
      <c r="BD57" s="88"/>
      <c r="BE57" s="1">
        <f>IFERROR(VLOOKUP(AR57,'Top WS'!$A$19:$C$28,3),0)</f>
        <v>360</v>
      </c>
      <c r="BF57" s="1">
        <f>IFERROR(VLOOKUP(AS57,'Top WS'!$A$19:$C$28,3),0)</f>
        <v>520</v>
      </c>
      <c r="BG57" s="1">
        <f>IFERROR(VLOOKUP(AT57,'Top WS'!$A$19:$C$28,3),0)</f>
        <v>520</v>
      </c>
      <c r="BH57" s="1">
        <f>IFERROR(VLOOKUP(AU57,'Top WS'!$A$19:$C$28,3),0)</f>
        <v>380</v>
      </c>
      <c r="BI57" s="1">
        <f>IFERROR(VLOOKUP(AV57,'Top WS'!$A$19:$C$28,3),0)</f>
        <v>360</v>
      </c>
      <c r="BJ57" s="1">
        <f>IFERROR(VLOOKUP(AW57,'Top WS'!$A$19:$C$28,3),0)</f>
        <v>520</v>
      </c>
      <c r="BK57" s="89">
        <f>IFERROR(VLOOKUP(AX57,'Top WS'!$A$19:$C$28,3),0)</f>
        <v>360</v>
      </c>
      <c r="BL57" s="89">
        <f>IFERROR(VLOOKUP(AY57,'Top WS'!$A$19:$C$28,3),0)</f>
        <v>360</v>
      </c>
      <c r="BM57" s="89">
        <f>IFERROR(VLOOKUP(AZ57,'Top WS'!$A$19:$C$28,3),0)</f>
        <v>360</v>
      </c>
      <c r="BN57" s="89">
        <f>IFERROR(VLOOKUP(BA57,'Top WS'!$A$19:$C$28,3),0)</f>
        <v>360</v>
      </c>
      <c r="BO57" s="89">
        <f>IFERROR(VLOOKUP(BB57,'Top WS'!$A$19:$C$28,3),0)</f>
        <v>360</v>
      </c>
      <c r="BP57" s="89">
        <f>IFERROR(VLOOKUP(BC57,'Top WS'!$A$19:$C$28,3),0)</f>
        <v>360</v>
      </c>
      <c r="BQ57" s="1">
        <f t="shared" si="5"/>
        <v>4820</v>
      </c>
    </row>
    <row r="58" spans="1:69" x14ac:dyDescent="0.4">
      <c r="A58">
        <v>1190054601</v>
      </c>
      <c r="B58">
        <f>VLOOKUP(A58,'Aji Plus'!$A$2:$D$58,2,0)</f>
        <v>63804</v>
      </c>
      <c r="C58" t="str">
        <f>VLOOKUP(A58,'Aji Plus'!$A$2:$D$58,3,0)</f>
        <v>นายสมพงษ์ คงบุตร</v>
      </c>
      <c r="D58" t="str">
        <f>VLOOKUP(A58,'Aji Plus'!$A$2:$D$58,4,0)</f>
        <v>Phuket</v>
      </c>
      <c r="E58" s="1">
        <v>852.29501131343341</v>
      </c>
      <c r="F58" s="1">
        <v>706.70725137377235</v>
      </c>
      <c r="G58" s="1">
        <v>677.58969938584005</v>
      </c>
      <c r="H58" s="1">
        <v>667.88384872319591</v>
      </c>
      <c r="I58" s="1">
        <v>998.4893869195098</v>
      </c>
      <c r="J58" s="1">
        <v>934.79474194590796</v>
      </c>
      <c r="K58" s="1">
        <v>764.33573968322116</v>
      </c>
      <c r="L58" s="1">
        <v>1243.5621161512731</v>
      </c>
      <c r="M58" s="1">
        <v>949.35351793987411</v>
      </c>
      <c r="N58" s="1">
        <v>1395.8226484215018</v>
      </c>
      <c r="O58" s="1">
        <v>895.36472362891618</v>
      </c>
      <c r="P58" s="1">
        <v>1173.8013145135187</v>
      </c>
      <c r="R58" s="1">
        <f>VLOOKUP(A58,Actual_RDQ!$A$2:$H$62,3,0)</f>
        <v>1077.1199999999999</v>
      </c>
      <c r="S58" s="1">
        <f>VLOOKUP(A58,Actual_RDQ!$A$2:$H$62,4,0)</f>
        <v>896.25600000000009</v>
      </c>
      <c r="T58" s="1">
        <f>VLOOKUP(A58,Actual_RDQ!$A$2:$H$62,5,0)</f>
        <v>1014.9119999999999</v>
      </c>
      <c r="U58" s="1">
        <f>VLOOKUP(A58,Actual_RDQ!$A$2:$H$62,6,0)</f>
        <v>1001.6640000000001</v>
      </c>
      <c r="V58" s="1">
        <f>VLOOKUP(A58,Actual_RDQ!$A$2:$H$62,7,0)</f>
        <v>1009.7280000000001</v>
      </c>
      <c r="W58" s="1">
        <f>VLOOKUP(A58,Actual_RDQ!$A$2:$H$62,8,0)</f>
        <v>1145.0879999999997</v>
      </c>
      <c r="X58" s="109"/>
      <c r="Y58" s="109"/>
      <c r="Z58" s="109"/>
      <c r="AA58" s="109"/>
      <c r="AB58" s="109"/>
      <c r="AC58" s="109"/>
      <c r="AE58" s="88">
        <f t="shared" si="6"/>
        <v>1.2637877562372433</v>
      </c>
      <c r="AF58" s="88">
        <f t="shared" si="6"/>
        <v>1.2682139574169684</v>
      </c>
      <c r="AG58" s="88">
        <f t="shared" si="6"/>
        <v>1.4978267835533881</v>
      </c>
      <c r="AH58" s="88">
        <f t="shared" si="6"/>
        <v>1.4997577826068065</v>
      </c>
      <c r="AI58" s="88">
        <f t="shared" si="6"/>
        <v>1.0112556159611903</v>
      </c>
      <c r="AJ58" s="88">
        <f t="shared" si="6"/>
        <v>1.2249619607576487</v>
      </c>
      <c r="AK58" s="90">
        <f t="shared" si="6"/>
        <v>0</v>
      </c>
      <c r="AL58" s="90">
        <f t="shared" si="6"/>
        <v>0</v>
      </c>
      <c r="AM58" s="90">
        <f t="shared" si="6"/>
        <v>0</v>
      </c>
      <c r="AN58" s="90">
        <f t="shared" si="6"/>
        <v>0</v>
      </c>
      <c r="AO58" s="90">
        <f t="shared" si="6"/>
        <v>0</v>
      </c>
      <c r="AP58" s="90">
        <f t="shared" si="6"/>
        <v>0</v>
      </c>
      <c r="AQ58" s="88"/>
      <c r="AR58" s="90">
        <f t="shared" si="7"/>
        <v>1.2638</v>
      </c>
      <c r="AS58" s="90">
        <f t="shared" si="7"/>
        <v>1.2682</v>
      </c>
      <c r="AT58" s="90">
        <f t="shared" si="7"/>
        <v>1.4978</v>
      </c>
      <c r="AU58" s="90">
        <f t="shared" si="7"/>
        <v>1.4998</v>
      </c>
      <c r="AV58" s="90">
        <f t="shared" si="7"/>
        <v>1.0113000000000001</v>
      </c>
      <c r="AW58" s="90">
        <f t="shared" si="7"/>
        <v>1.2250000000000001</v>
      </c>
      <c r="AX58" s="90">
        <f t="shared" si="7"/>
        <v>0</v>
      </c>
      <c r="AY58" s="90">
        <f t="shared" si="7"/>
        <v>0</v>
      </c>
      <c r="AZ58" s="90">
        <f t="shared" si="7"/>
        <v>0</v>
      </c>
      <c r="BA58" s="90">
        <f t="shared" si="7"/>
        <v>0</v>
      </c>
      <c r="BB58" s="90">
        <f t="shared" si="7"/>
        <v>0</v>
      </c>
      <c r="BC58" s="90">
        <f t="shared" si="7"/>
        <v>0</v>
      </c>
      <c r="BD58" s="88"/>
      <c r="BE58" s="1">
        <f>IFERROR(VLOOKUP(AR58,'Top WS'!$A$19:$C$28,3),0)</f>
        <v>520</v>
      </c>
      <c r="BF58" s="1">
        <f>IFERROR(VLOOKUP(AS58,'Top WS'!$A$19:$C$28,3),0)</f>
        <v>520</v>
      </c>
      <c r="BG58" s="1">
        <f>IFERROR(VLOOKUP(AT58,'Top WS'!$A$19:$C$28,3),0)</f>
        <v>520</v>
      </c>
      <c r="BH58" s="1">
        <f>IFERROR(VLOOKUP(AU58,'Top WS'!$A$19:$C$28,3),0)</f>
        <v>520</v>
      </c>
      <c r="BI58" s="1">
        <f>IFERROR(VLOOKUP(AV58,'Top WS'!$A$19:$C$28,3),0)</f>
        <v>412</v>
      </c>
      <c r="BJ58" s="1">
        <f>IFERROR(VLOOKUP(AW58,'Top WS'!$A$19:$C$28,3),0)</f>
        <v>520</v>
      </c>
      <c r="BK58" s="89">
        <f>IFERROR(VLOOKUP(AX58,'Top WS'!$A$19:$C$28,3),0)</f>
        <v>360</v>
      </c>
      <c r="BL58" s="89">
        <f>IFERROR(VLOOKUP(AY58,'Top WS'!$A$19:$C$28,3),0)</f>
        <v>360</v>
      </c>
      <c r="BM58" s="89">
        <f>IFERROR(VLOOKUP(AZ58,'Top WS'!$A$19:$C$28,3),0)</f>
        <v>360</v>
      </c>
      <c r="BN58" s="89">
        <f>IFERROR(VLOOKUP(BA58,'Top WS'!$A$19:$C$28,3),0)</f>
        <v>360</v>
      </c>
      <c r="BO58" s="89">
        <f>IFERROR(VLOOKUP(BB58,'Top WS'!$A$19:$C$28,3),0)</f>
        <v>360</v>
      </c>
      <c r="BP58" s="89">
        <f>IFERROR(VLOOKUP(BC58,'Top WS'!$A$19:$C$28,3),0)</f>
        <v>360</v>
      </c>
      <c r="BQ58" s="1">
        <f t="shared" si="5"/>
        <v>5172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DBC2-972D-40E8-BF6B-AF8D5B32FEA4}">
  <sheetPr>
    <tabColor rgb="FFFFFF00"/>
  </sheetPr>
  <dimension ref="A1:H62"/>
  <sheetViews>
    <sheetView zoomScale="70" zoomScaleNormal="70" workbookViewId="0">
      <pane xSplit="2" ySplit="1" topLeftCell="C45" activePane="bottomRight" state="frozen"/>
      <selection activeCell="BE11" sqref="BE11:BP11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1.59765625" customWidth="1"/>
  </cols>
  <sheetData>
    <row r="1" spans="1:8" x14ac:dyDescent="0.4">
      <c r="A1" t="s">
        <v>123</v>
      </c>
      <c r="B1" t="s">
        <v>124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1190011201</v>
      </c>
      <c r="B2" t="s">
        <v>79</v>
      </c>
      <c r="C2">
        <v>121.53599999999999</v>
      </c>
      <c r="D2">
        <v>62.207999999999998</v>
      </c>
      <c r="E2">
        <v>58.751999999999995</v>
      </c>
      <c r="F2">
        <v>41.471999999999994</v>
      </c>
      <c r="G2">
        <v>57.599999999999994</v>
      </c>
      <c r="H2">
        <v>80.64</v>
      </c>
    </row>
    <row r="3" spans="1:8" x14ac:dyDescent="0.4">
      <c r="A3">
        <v>1190011214</v>
      </c>
      <c r="B3" t="s">
        <v>79</v>
      </c>
      <c r="D3">
        <v>12.096</v>
      </c>
      <c r="E3">
        <v>75.744</v>
      </c>
      <c r="G3">
        <v>49.536000000000001</v>
      </c>
      <c r="H3">
        <v>175.39200000000002</v>
      </c>
    </row>
    <row r="4" spans="1:8" x14ac:dyDescent="0.4">
      <c r="A4">
        <v>1190011401</v>
      </c>
      <c r="B4" t="s">
        <v>80</v>
      </c>
      <c r="C4">
        <v>34.56</v>
      </c>
      <c r="D4">
        <v>72.576000000000008</v>
      </c>
      <c r="E4">
        <v>46.08</v>
      </c>
      <c r="F4">
        <v>54.719999999999992</v>
      </c>
      <c r="G4">
        <v>40.319999999999993</v>
      </c>
      <c r="H4">
        <v>77.760000000000005</v>
      </c>
    </row>
    <row r="5" spans="1:8" x14ac:dyDescent="0.4">
      <c r="A5">
        <v>1190011412</v>
      </c>
      <c r="B5" t="s">
        <v>80</v>
      </c>
      <c r="F5">
        <v>5.76</v>
      </c>
    </row>
    <row r="6" spans="1:8" x14ac:dyDescent="0.4">
      <c r="A6">
        <v>1190011501</v>
      </c>
      <c r="B6" t="s">
        <v>81</v>
      </c>
      <c r="C6">
        <v>28.8</v>
      </c>
      <c r="E6">
        <v>17.28</v>
      </c>
      <c r="F6">
        <v>28.8</v>
      </c>
      <c r="G6">
        <v>11.52</v>
      </c>
      <c r="H6">
        <v>46.08</v>
      </c>
    </row>
    <row r="7" spans="1:8" x14ac:dyDescent="0.4">
      <c r="A7">
        <v>1190011701</v>
      </c>
      <c r="B7" t="s">
        <v>82</v>
      </c>
      <c r="D7">
        <v>237.31200000000001</v>
      </c>
      <c r="E7">
        <v>34.559999999999995</v>
      </c>
      <c r="F7">
        <v>54.144000000000005</v>
      </c>
      <c r="G7">
        <v>74.88</v>
      </c>
      <c r="H7">
        <v>28.799999999999997</v>
      </c>
    </row>
    <row r="8" spans="1:8" x14ac:dyDescent="0.4">
      <c r="A8">
        <v>1190011801</v>
      </c>
      <c r="B8" t="s">
        <v>83</v>
      </c>
      <c r="C8">
        <v>12.096</v>
      </c>
      <c r="E8">
        <v>8.6399999999999988</v>
      </c>
      <c r="H8">
        <v>10.367999999999999</v>
      </c>
    </row>
    <row r="9" spans="1:8" x14ac:dyDescent="0.4">
      <c r="A9">
        <v>1190017001</v>
      </c>
      <c r="B9" t="s">
        <v>84</v>
      </c>
      <c r="C9">
        <v>168.47999999999996</v>
      </c>
      <c r="D9">
        <v>111.16799999999998</v>
      </c>
      <c r="E9">
        <v>95.615999999999985</v>
      </c>
      <c r="F9">
        <v>110.88000000000001</v>
      </c>
      <c r="G9">
        <v>95.039999999999978</v>
      </c>
      <c r="H9">
        <v>202.75199999999995</v>
      </c>
    </row>
    <row r="10" spans="1:8" x14ac:dyDescent="0.4">
      <c r="A10">
        <v>1190017013</v>
      </c>
      <c r="B10" t="s">
        <v>84</v>
      </c>
      <c r="C10">
        <v>73.728000000000009</v>
      </c>
      <c r="D10">
        <v>42.048000000000002</v>
      </c>
      <c r="E10">
        <v>140.54400000000001</v>
      </c>
      <c r="F10">
        <v>69.695999999999998</v>
      </c>
      <c r="G10">
        <v>171.648</v>
      </c>
      <c r="H10">
        <v>86.399999999999977</v>
      </c>
    </row>
    <row r="11" spans="1:8" x14ac:dyDescent="0.4">
      <c r="A11">
        <v>1190017014</v>
      </c>
      <c r="B11" t="s">
        <v>84</v>
      </c>
      <c r="E11">
        <v>86.4</v>
      </c>
    </row>
    <row r="12" spans="1:8" x14ac:dyDescent="0.4">
      <c r="A12">
        <v>1190021901</v>
      </c>
      <c r="B12" t="s">
        <v>85</v>
      </c>
      <c r="C12">
        <v>67.391999999999996</v>
      </c>
      <c r="D12">
        <v>48.96</v>
      </c>
      <c r="E12">
        <v>28.799999999999997</v>
      </c>
      <c r="F12">
        <v>74.88</v>
      </c>
      <c r="G12">
        <v>77.759999999999991</v>
      </c>
      <c r="H12">
        <v>81.216000000000022</v>
      </c>
    </row>
    <row r="13" spans="1:8" x14ac:dyDescent="0.4">
      <c r="A13">
        <v>1190021902</v>
      </c>
      <c r="B13" t="s">
        <v>85</v>
      </c>
      <c r="C13">
        <v>28.799999999999997</v>
      </c>
      <c r="D13">
        <v>107.99999999999999</v>
      </c>
      <c r="E13">
        <v>107.136</v>
      </c>
      <c r="F13">
        <v>73.440000000000012</v>
      </c>
      <c r="G13">
        <v>149.47200000000001</v>
      </c>
      <c r="H13">
        <v>144</v>
      </c>
    </row>
    <row r="14" spans="1:8" x14ac:dyDescent="0.4">
      <c r="A14">
        <v>1190022001</v>
      </c>
      <c r="B14" t="s">
        <v>86</v>
      </c>
      <c r="C14">
        <v>474.91199999999986</v>
      </c>
      <c r="D14">
        <v>844.41600000000005</v>
      </c>
      <c r="E14">
        <v>630.43200000000013</v>
      </c>
      <c r="F14">
        <v>724.89600000000007</v>
      </c>
      <c r="G14">
        <v>724.03200000000004</v>
      </c>
      <c r="H14">
        <v>888.19199999999955</v>
      </c>
    </row>
    <row r="15" spans="1:8" x14ac:dyDescent="0.4">
      <c r="A15">
        <v>1190022101</v>
      </c>
      <c r="B15" t="s">
        <v>87</v>
      </c>
      <c r="C15">
        <v>419.3279999999998</v>
      </c>
      <c r="D15">
        <v>161.85600000000005</v>
      </c>
      <c r="E15">
        <v>252.86400000000003</v>
      </c>
      <c r="F15">
        <v>210.81600000000006</v>
      </c>
      <c r="G15">
        <v>204.48</v>
      </c>
      <c r="H15">
        <v>298.36799999999994</v>
      </c>
    </row>
    <row r="16" spans="1:8" x14ac:dyDescent="0.4">
      <c r="A16">
        <v>1190022201</v>
      </c>
      <c r="B16" t="s">
        <v>88</v>
      </c>
      <c r="C16">
        <v>199.29599999999999</v>
      </c>
      <c r="D16">
        <v>161.28</v>
      </c>
      <c r="E16">
        <v>285.69600000000003</v>
      </c>
      <c r="F16">
        <v>233.85599999999988</v>
      </c>
      <c r="G16">
        <v>296.35199999999992</v>
      </c>
      <c r="H16">
        <v>255.74399999999991</v>
      </c>
    </row>
    <row r="17" spans="1:8" x14ac:dyDescent="0.4">
      <c r="A17">
        <v>1190022301</v>
      </c>
      <c r="B17" t="s">
        <v>89</v>
      </c>
      <c r="C17">
        <v>203.32799999999997</v>
      </c>
      <c r="D17">
        <v>152.06399999999999</v>
      </c>
      <c r="E17">
        <v>142.55999999999997</v>
      </c>
      <c r="F17">
        <v>232.41599999999994</v>
      </c>
      <c r="G17">
        <v>381.88799999999981</v>
      </c>
      <c r="H17">
        <v>112.32000000000002</v>
      </c>
    </row>
    <row r="18" spans="1:8" x14ac:dyDescent="0.4">
      <c r="A18">
        <v>1190022302</v>
      </c>
      <c r="B18" t="s">
        <v>89</v>
      </c>
      <c r="C18">
        <v>36.864000000000004</v>
      </c>
      <c r="D18">
        <v>357.12000000000006</v>
      </c>
      <c r="E18">
        <v>292.03199999999998</v>
      </c>
      <c r="F18">
        <v>124.992</v>
      </c>
      <c r="G18">
        <v>150.91200000000003</v>
      </c>
      <c r="H18">
        <v>310.46399999999983</v>
      </c>
    </row>
    <row r="19" spans="1:8" x14ac:dyDescent="0.4">
      <c r="A19">
        <v>1190022401</v>
      </c>
      <c r="B19" t="s">
        <v>90</v>
      </c>
      <c r="C19">
        <v>124.41600000000001</v>
      </c>
      <c r="D19">
        <v>83.52</v>
      </c>
      <c r="E19">
        <v>182.01600000000005</v>
      </c>
      <c r="F19">
        <v>138.816</v>
      </c>
      <c r="G19">
        <v>206.20800000000003</v>
      </c>
      <c r="H19">
        <v>286.84800000000001</v>
      </c>
    </row>
    <row r="20" spans="1:8" x14ac:dyDescent="0.4">
      <c r="A20">
        <v>1190022402</v>
      </c>
      <c r="B20" t="s">
        <v>90</v>
      </c>
      <c r="C20">
        <v>124.41600000000001</v>
      </c>
      <c r="D20">
        <v>84.095999999999989</v>
      </c>
      <c r="E20">
        <v>31.68</v>
      </c>
      <c r="F20">
        <v>103.68</v>
      </c>
      <c r="G20">
        <v>47.231999999999999</v>
      </c>
      <c r="H20">
        <v>81.215999999999994</v>
      </c>
    </row>
    <row r="21" spans="1:8" x14ac:dyDescent="0.4">
      <c r="A21">
        <v>1190022510</v>
      </c>
      <c r="B21" t="s">
        <v>91</v>
      </c>
      <c r="C21">
        <v>157.82400000000001</v>
      </c>
      <c r="D21">
        <v>88.703999999999994</v>
      </c>
      <c r="E21">
        <v>206.208</v>
      </c>
      <c r="F21">
        <v>125.568</v>
      </c>
      <c r="G21">
        <v>188.92799999999994</v>
      </c>
      <c r="H21">
        <v>207.35999999999999</v>
      </c>
    </row>
    <row r="22" spans="1:8" x14ac:dyDescent="0.4">
      <c r="A22">
        <v>1190027101</v>
      </c>
      <c r="B22" t="s">
        <v>92</v>
      </c>
      <c r="C22">
        <v>1380.6719999999996</v>
      </c>
      <c r="D22">
        <v>228.95999999999998</v>
      </c>
      <c r="E22">
        <v>260.35199999999998</v>
      </c>
      <c r="F22">
        <v>553.53599999999983</v>
      </c>
      <c r="G22">
        <v>176.54400000000001</v>
      </c>
      <c r="H22">
        <v>734.39999999999952</v>
      </c>
    </row>
    <row r="23" spans="1:8" x14ac:dyDescent="0.4">
      <c r="A23">
        <v>1190032602</v>
      </c>
      <c r="B23" t="s">
        <v>93</v>
      </c>
      <c r="C23">
        <v>392.83199999999999</v>
      </c>
      <c r="D23">
        <v>421.05599999999993</v>
      </c>
      <c r="E23">
        <v>215.42400000000001</v>
      </c>
      <c r="F23">
        <v>525.88800000000003</v>
      </c>
      <c r="G23">
        <v>934.27199999999993</v>
      </c>
      <c r="H23">
        <v>685.43999999999971</v>
      </c>
    </row>
    <row r="24" spans="1:8" x14ac:dyDescent="0.4">
      <c r="A24">
        <v>1190032701</v>
      </c>
      <c r="B24" t="s">
        <v>94</v>
      </c>
      <c r="C24">
        <v>127.29600000000001</v>
      </c>
      <c r="D24">
        <v>127.29599999999999</v>
      </c>
      <c r="E24">
        <v>73.727999999999994</v>
      </c>
      <c r="F24">
        <v>108.86399999999999</v>
      </c>
      <c r="G24">
        <v>55.295999999999992</v>
      </c>
      <c r="H24">
        <v>91.584000000000003</v>
      </c>
    </row>
    <row r="25" spans="1:8" x14ac:dyDescent="0.4">
      <c r="A25">
        <v>1190032801</v>
      </c>
      <c r="B25" t="s">
        <v>95</v>
      </c>
      <c r="C25">
        <v>581.47199999999953</v>
      </c>
      <c r="D25">
        <v>879.83999999999969</v>
      </c>
      <c r="E25">
        <v>591.55199999999945</v>
      </c>
      <c r="F25">
        <v>626.68799999999965</v>
      </c>
      <c r="G25">
        <v>527.32799999999975</v>
      </c>
      <c r="H25">
        <v>503.42399999999975</v>
      </c>
    </row>
    <row r="26" spans="1:8" x14ac:dyDescent="0.4">
      <c r="A26">
        <v>1190032901</v>
      </c>
      <c r="B26" t="s">
        <v>96</v>
      </c>
      <c r="C26">
        <v>129.60000000000005</v>
      </c>
      <c r="D26">
        <v>119.80799999999999</v>
      </c>
      <c r="E26">
        <v>130.17600000000002</v>
      </c>
      <c r="F26">
        <v>112.32000000000001</v>
      </c>
      <c r="G26">
        <v>231.55199999999999</v>
      </c>
      <c r="H26">
        <v>293.18399999999997</v>
      </c>
    </row>
    <row r="27" spans="1:8" x14ac:dyDescent="0.4">
      <c r="A27">
        <v>1190032902</v>
      </c>
      <c r="B27" t="s">
        <v>96</v>
      </c>
      <c r="C27">
        <v>61.632000000000005</v>
      </c>
      <c r="D27">
        <v>207.93599999999998</v>
      </c>
      <c r="E27">
        <v>14.975999999999999</v>
      </c>
      <c r="F27">
        <v>35.712000000000003</v>
      </c>
      <c r="G27">
        <v>184.89600000000002</v>
      </c>
      <c r="H27">
        <v>50.111999999999995</v>
      </c>
    </row>
    <row r="28" spans="1:8" x14ac:dyDescent="0.4">
      <c r="A28">
        <v>1190033001</v>
      </c>
      <c r="B28" t="s">
        <v>97</v>
      </c>
      <c r="C28">
        <v>198.14400000000001</v>
      </c>
      <c r="D28">
        <v>191.23199999999997</v>
      </c>
      <c r="E28">
        <v>111.74400000000001</v>
      </c>
      <c r="F28">
        <v>130.17599999999999</v>
      </c>
      <c r="G28">
        <v>214.84800000000004</v>
      </c>
      <c r="H28">
        <v>311.04000000000002</v>
      </c>
    </row>
    <row r="29" spans="1:8" x14ac:dyDescent="0.4">
      <c r="A29">
        <v>1190033002</v>
      </c>
      <c r="B29" t="s">
        <v>97</v>
      </c>
      <c r="C29">
        <v>169.92000000000002</v>
      </c>
      <c r="D29">
        <v>119.80799999999999</v>
      </c>
      <c r="E29">
        <v>111.74399999999999</v>
      </c>
      <c r="F29">
        <v>144.00000000000003</v>
      </c>
      <c r="G29">
        <v>167.04000000000002</v>
      </c>
      <c r="H29">
        <v>167.04000000000002</v>
      </c>
    </row>
    <row r="30" spans="1:8" x14ac:dyDescent="0.4">
      <c r="A30">
        <v>1190033101</v>
      </c>
      <c r="B30" t="s">
        <v>98</v>
      </c>
      <c r="C30">
        <v>163.00799999999998</v>
      </c>
      <c r="D30">
        <v>57.600000000000009</v>
      </c>
      <c r="E30">
        <v>77.184000000000012</v>
      </c>
      <c r="F30">
        <v>139.392</v>
      </c>
      <c r="G30">
        <v>36.287999999999997</v>
      </c>
      <c r="H30">
        <v>59.32800000000001</v>
      </c>
    </row>
    <row r="31" spans="1:8" x14ac:dyDescent="0.4">
      <c r="A31">
        <v>1190033102</v>
      </c>
      <c r="B31" t="s">
        <v>98</v>
      </c>
      <c r="C31">
        <v>44.352000000000004</v>
      </c>
      <c r="D31">
        <v>38.591999999999999</v>
      </c>
      <c r="E31">
        <v>60.48</v>
      </c>
      <c r="F31">
        <v>23.04</v>
      </c>
      <c r="G31">
        <v>58.752000000000002</v>
      </c>
      <c r="H31">
        <v>19.584</v>
      </c>
    </row>
    <row r="32" spans="1:8" x14ac:dyDescent="0.4">
      <c r="A32">
        <v>1190033201</v>
      </c>
      <c r="B32" t="s">
        <v>99</v>
      </c>
      <c r="C32">
        <v>161.28</v>
      </c>
      <c r="D32">
        <v>158.976</v>
      </c>
      <c r="E32">
        <v>240.768</v>
      </c>
      <c r="F32">
        <v>78.335999999999999</v>
      </c>
      <c r="G32">
        <v>142.84799999999998</v>
      </c>
      <c r="H32">
        <v>133.63200000000001</v>
      </c>
    </row>
    <row r="33" spans="1:8" x14ac:dyDescent="0.4">
      <c r="A33">
        <v>1190033202</v>
      </c>
      <c r="B33" t="s">
        <v>99</v>
      </c>
      <c r="C33">
        <v>209.08799999999997</v>
      </c>
      <c r="D33">
        <v>144.57599999999999</v>
      </c>
      <c r="E33">
        <v>131.61599999999999</v>
      </c>
      <c r="F33">
        <v>121.824</v>
      </c>
      <c r="G33">
        <v>135.93600000000004</v>
      </c>
      <c r="H33">
        <v>139.68</v>
      </c>
    </row>
    <row r="34" spans="1:8" x14ac:dyDescent="0.4">
      <c r="A34">
        <v>1190033301</v>
      </c>
      <c r="B34" t="s">
        <v>100</v>
      </c>
      <c r="C34">
        <v>57.6</v>
      </c>
      <c r="D34">
        <v>249.98399999999998</v>
      </c>
      <c r="E34">
        <v>81.215999999999994</v>
      </c>
      <c r="F34">
        <v>187.20000000000005</v>
      </c>
      <c r="G34">
        <v>73.152000000000001</v>
      </c>
      <c r="H34">
        <v>123.26400000000001</v>
      </c>
    </row>
    <row r="35" spans="1:8" x14ac:dyDescent="0.4">
      <c r="A35">
        <v>1190033302</v>
      </c>
      <c r="B35" t="s">
        <v>100</v>
      </c>
      <c r="C35">
        <v>147.45599999999996</v>
      </c>
      <c r="D35">
        <v>196.99200000000002</v>
      </c>
      <c r="E35">
        <v>124.416</v>
      </c>
      <c r="F35">
        <v>278.20800000000003</v>
      </c>
      <c r="G35">
        <v>143.42400000000004</v>
      </c>
      <c r="H35">
        <v>173.37599999999998</v>
      </c>
    </row>
    <row r="36" spans="1:8" x14ac:dyDescent="0.4">
      <c r="A36">
        <v>1190037301</v>
      </c>
      <c r="B36" t="s">
        <v>101</v>
      </c>
      <c r="C36">
        <v>107.42400000000002</v>
      </c>
      <c r="D36">
        <v>171.93599999999995</v>
      </c>
      <c r="E36">
        <v>130.17600000000002</v>
      </c>
      <c r="F36">
        <v>49.536000000000008</v>
      </c>
      <c r="G36">
        <v>20.736000000000001</v>
      </c>
      <c r="H36">
        <v>14.975999999999999</v>
      </c>
    </row>
    <row r="37" spans="1:8" x14ac:dyDescent="0.4">
      <c r="A37">
        <v>1190037302</v>
      </c>
      <c r="B37" t="s">
        <v>101</v>
      </c>
      <c r="F37">
        <v>158.39999999999998</v>
      </c>
      <c r="G37">
        <v>40.031999999999996</v>
      </c>
      <c r="H37">
        <v>212.83199999999994</v>
      </c>
    </row>
    <row r="38" spans="1:8" x14ac:dyDescent="0.4">
      <c r="A38">
        <v>1190037401</v>
      </c>
      <c r="B38" t="s">
        <v>102</v>
      </c>
      <c r="C38">
        <v>40.32</v>
      </c>
      <c r="D38">
        <v>5.76</v>
      </c>
      <c r="E38">
        <v>2.88</v>
      </c>
      <c r="F38">
        <v>25.92</v>
      </c>
      <c r="G38">
        <v>31.679999999999993</v>
      </c>
      <c r="H38">
        <v>28.799999999999997</v>
      </c>
    </row>
    <row r="39" spans="1:8" x14ac:dyDescent="0.4">
      <c r="A39">
        <v>1190043401</v>
      </c>
      <c r="B39" t="s">
        <v>103</v>
      </c>
      <c r="C39">
        <v>182.59200000000001</v>
      </c>
      <c r="D39">
        <v>138.24</v>
      </c>
      <c r="E39">
        <v>139.39200000000002</v>
      </c>
      <c r="F39">
        <v>177.98400000000001</v>
      </c>
      <c r="G39">
        <v>230.40000000000003</v>
      </c>
      <c r="H39">
        <v>167.328</v>
      </c>
    </row>
    <row r="40" spans="1:8" x14ac:dyDescent="0.4">
      <c r="A40">
        <v>1190043402</v>
      </c>
      <c r="B40" t="s">
        <v>103</v>
      </c>
      <c r="C40">
        <v>144</v>
      </c>
      <c r="D40">
        <v>40.32</v>
      </c>
      <c r="E40">
        <v>158.976</v>
      </c>
      <c r="F40">
        <v>40.32</v>
      </c>
      <c r="G40">
        <v>88.703999999999994</v>
      </c>
      <c r="H40">
        <v>69.12</v>
      </c>
    </row>
    <row r="41" spans="1:8" x14ac:dyDescent="0.4">
      <c r="A41">
        <v>1190043501</v>
      </c>
      <c r="B41" t="s">
        <v>104</v>
      </c>
      <c r="C41">
        <v>466.55999999999983</v>
      </c>
      <c r="D41">
        <v>277.05600000000004</v>
      </c>
      <c r="E41">
        <v>202.464</v>
      </c>
      <c r="F41">
        <v>151.48800000000003</v>
      </c>
      <c r="G41">
        <v>228.096</v>
      </c>
      <c r="H41">
        <v>262.36799999999999</v>
      </c>
    </row>
    <row r="42" spans="1:8" x14ac:dyDescent="0.4">
      <c r="A42">
        <v>1190043502</v>
      </c>
      <c r="B42" t="s">
        <v>104</v>
      </c>
      <c r="C42">
        <v>212.54399999999995</v>
      </c>
      <c r="D42">
        <v>277.91999999999996</v>
      </c>
      <c r="E42">
        <v>252.86400000000006</v>
      </c>
      <c r="F42">
        <v>41.759999999999991</v>
      </c>
      <c r="G42">
        <v>228.67200000000005</v>
      </c>
      <c r="H42">
        <v>184.31999999999996</v>
      </c>
    </row>
    <row r="43" spans="1:8" x14ac:dyDescent="0.4">
      <c r="A43">
        <v>1190043601</v>
      </c>
      <c r="B43" t="s">
        <v>105</v>
      </c>
      <c r="C43">
        <v>138.816</v>
      </c>
      <c r="D43">
        <v>112.32000000000001</v>
      </c>
      <c r="E43">
        <v>79.488</v>
      </c>
      <c r="F43">
        <v>35.712000000000003</v>
      </c>
      <c r="G43">
        <v>145.15200000000002</v>
      </c>
      <c r="H43">
        <v>112.32000000000002</v>
      </c>
    </row>
    <row r="44" spans="1:8" x14ac:dyDescent="0.4">
      <c r="A44">
        <v>1190043602</v>
      </c>
      <c r="B44" t="s">
        <v>105</v>
      </c>
      <c r="C44">
        <v>184.89599999999999</v>
      </c>
      <c r="D44">
        <v>219.45599999999999</v>
      </c>
      <c r="E44">
        <v>304.70400000000006</v>
      </c>
      <c r="F44">
        <v>156.09599999999998</v>
      </c>
      <c r="G44">
        <v>139.96799999999999</v>
      </c>
      <c r="H44">
        <v>131.328</v>
      </c>
    </row>
    <row r="45" spans="1:8" x14ac:dyDescent="0.4">
      <c r="A45">
        <v>1190043701</v>
      </c>
      <c r="B45" t="s">
        <v>106</v>
      </c>
      <c r="C45">
        <v>134.78400000000002</v>
      </c>
      <c r="D45">
        <v>199.87199999999999</v>
      </c>
      <c r="E45">
        <v>277.05599999999993</v>
      </c>
      <c r="F45">
        <v>203.32799999999997</v>
      </c>
      <c r="G45">
        <v>479.80799999999994</v>
      </c>
      <c r="H45">
        <v>244.80000000000004</v>
      </c>
    </row>
    <row r="46" spans="1:8" x14ac:dyDescent="0.4">
      <c r="A46">
        <v>1190043702</v>
      </c>
      <c r="B46" t="s">
        <v>106</v>
      </c>
      <c r="C46">
        <v>154.36799999999999</v>
      </c>
      <c r="D46">
        <v>106.56</v>
      </c>
      <c r="E46">
        <v>100.80000000000001</v>
      </c>
      <c r="F46">
        <v>174.52799999999999</v>
      </c>
      <c r="G46">
        <v>37.44</v>
      </c>
      <c r="H46">
        <v>168.768</v>
      </c>
    </row>
    <row r="47" spans="1:8" x14ac:dyDescent="0.4">
      <c r="A47">
        <v>1190043801</v>
      </c>
      <c r="B47" t="s">
        <v>107</v>
      </c>
      <c r="C47">
        <v>86.4</v>
      </c>
      <c r="D47">
        <v>330.04800000000006</v>
      </c>
      <c r="E47">
        <v>92.73599999999999</v>
      </c>
      <c r="F47">
        <v>179.71199999999999</v>
      </c>
      <c r="G47">
        <v>218.88000000000005</v>
      </c>
      <c r="H47">
        <v>291.45600000000002</v>
      </c>
    </row>
    <row r="48" spans="1:8" x14ac:dyDescent="0.4">
      <c r="A48">
        <v>1190043802</v>
      </c>
      <c r="B48" t="s">
        <v>107</v>
      </c>
      <c r="C48">
        <v>55.871999999999993</v>
      </c>
      <c r="D48">
        <v>23.04</v>
      </c>
      <c r="F48">
        <v>11.52</v>
      </c>
      <c r="G48">
        <v>17.855999999999998</v>
      </c>
      <c r="H48">
        <v>20.736000000000001</v>
      </c>
    </row>
    <row r="49" spans="1:8" x14ac:dyDescent="0.4">
      <c r="A49">
        <v>1190043811</v>
      </c>
      <c r="B49" t="s">
        <v>107</v>
      </c>
      <c r="E49">
        <v>0.28800000000000003</v>
      </c>
    </row>
    <row r="50" spans="1:8" x14ac:dyDescent="0.4">
      <c r="A50">
        <v>1190043901</v>
      </c>
      <c r="B50" t="s">
        <v>108</v>
      </c>
      <c r="C50">
        <v>281.08800000000008</v>
      </c>
      <c r="D50">
        <v>208.51200000000006</v>
      </c>
      <c r="E50">
        <v>130.17599999999999</v>
      </c>
      <c r="F50">
        <v>45.504000000000005</v>
      </c>
      <c r="G50">
        <v>177.98400000000001</v>
      </c>
      <c r="H50">
        <v>173.37599999999998</v>
      </c>
    </row>
    <row r="51" spans="1:8" x14ac:dyDescent="0.4">
      <c r="A51">
        <v>1190043902</v>
      </c>
      <c r="B51" t="s">
        <v>108</v>
      </c>
      <c r="C51">
        <v>268.99199999999996</v>
      </c>
      <c r="D51">
        <v>236.16</v>
      </c>
      <c r="E51">
        <v>214.27200000000002</v>
      </c>
      <c r="F51">
        <v>344.44799999999998</v>
      </c>
      <c r="G51">
        <v>176.25599999999994</v>
      </c>
      <c r="H51">
        <v>51.839999999999996</v>
      </c>
    </row>
    <row r="52" spans="1:8" x14ac:dyDescent="0.4">
      <c r="A52">
        <v>1190044001</v>
      </c>
      <c r="B52" t="s">
        <v>109</v>
      </c>
      <c r="C52">
        <v>179.71200000000002</v>
      </c>
      <c r="D52">
        <v>129.60000000000002</v>
      </c>
      <c r="E52">
        <v>69.11999999999999</v>
      </c>
      <c r="F52">
        <v>218.88000000000002</v>
      </c>
      <c r="G52">
        <v>434.30400000000003</v>
      </c>
      <c r="H52">
        <v>179.71199999999999</v>
      </c>
    </row>
    <row r="53" spans="1:8" x14ac:dyDescent="0.4">
      <c r="A53">
        <v>1190044002</v>
      </c>
      <c r="B53" t="s">
        <v>109</v>
      </c>
      <c r="C53">
        <v>110.592</v>
      </c>
      <c r="D53">
        <v>74.88</v>
      </c>
      <c r="E53">
        <v>105.98400000000001</v>
      </c>
      <c r="F53">
        <v>78.335999999999999</v>
      </c>
      <c r="G53">
        <v>17.28</v>
      </c>
      <c r="H53">
        <v>245.37599999999995</v>
      </c>
    </row>
    <row r="54" spans="1:8" x14ac:dyDescent="0.4">
      <c r="A54">
        <v>1190044012</v>
      </c>
      <c r="B54" t="s">
        <v>109</v>
      </c>
      <c r="D54">
        <v>0.48</v>
      </c>
    </row>
    <row r="55" spans="1:8" x14ac:dyDescent="0.4">
      <c r="A55">
        <v>1190044013</v>
      </c>
      <c r="B55" t="s">
        <v>109</v>
      </c>
      <c r="H55">
        <v>3.456</v>
      </c>
    </row>
    <row r="56" spans="1:8" x14ac:dyDescent="0.4">
      <c r="A56">
        <v>1190044101</v>
      </c>
      <c r="B56" t="s">
        <v>110</v>
      </c>
      <c r="C56">
        <v>542.5920000000001</v>
      </c>
      <c r="D56">
        <v>375.55200000000002</v>
      </c>
      <c r="E56">
        <v>114.048</v>
      </c>
      <c r="F56">
        <v>205.63200000000001</v>
      </c>
      <c r="G56">
        <v>260.928</v>
      </c>
      <c r="H56">
        <v>155.52000000000001</v>
      </c>
    </row>
    <row r="57" spans="1:8" x14ac:dyDescent="0.4">
      <c r="A57">
        <v>1190054201</v>
      </c>
      <c r="B57" t="s">
        <v>111</v>
      </c>
      <c r="C57">
        <v>203.90400000000005</v>
      </c>
      <c r="D57">
        <v>127.29600000000001</v>
      </c>
      <c r="E57">
        <v>179.13600000000002</v>
      </c>
      <c r="F57">
        <v>115.2</v>
      </c>
      <c r="G57">
        <v>138.24</v>
      </c>
      <c r="H57">
        <v>254.59200000000004</v>
      </c>
    </row>
    <row r="58" spans="1:8" x14ac:dyDescent="0.4">
      <c r="A58">
        <v>1190054202</v>
      </c>
      <c r="B58" t="s">
        <v>111</v>
      </c>
      <c r="C58">
        <v>152.06399999999999</v>
      </c>
      <c r="D58">
        <v>61.632000000000005</v>
      </c>
      <c r="E58">
        <v>87.552000000000021</v>
      </c>
      <c r="F58">
        <v>118.08000000000001</v>
      </c>
      <c r="G58">
        <v>153.21599999999998</v>
      </c>
      <c r="H58">
        <v>179.71199999999996</v>
      </c>
    </row>
    <row r="59" spans="1:8" x14ac:dyDescent="0.4">
      <c r="A59">
        <v>1190054301</v>
      </c>
      <c r="B59" t="s">
        <v>112</v>
      </c>
      <c r="C59">
        <v>60.48</v>
      </c>
      <c r="D59">
        <v>72.575999999999993</v>
      </c>
      <c r="E59">
        <v>52.415999999999997</v>
      </c>
      <c r="F59">
        <v>110.592</v>
      </c>
      <c r="G59">
        <v>40.32</v>
      </c>
      <c r="H59">
        <v>221.75999999999996</v>
      </c>
    </row>
    <row r="60" spans="1:8" x14ac:dyDescent="0.4">
      <c r="A60">
        <v>1190054401</v>
      </c>
      <c r="B60" t="s">
        <v>113</v>
      </c>
      <c r="C60">
        <v>279.93599999999998</v>
      </c>
      <c r="D60">
        <v>183.16800000000001</v>
      </c>
      <c r="E60">
        <v>275.90400000000005</v>
      </c>
      <c r="F60">
        <v>292.03199999999998</v>
      </c>
      <c r="G60">
        <v>361.15200000000004</v>
      </c>
      <c r="H60">
        <v>317.95199999999994</v>
      </c>
    </row>
    <row r="61" spans="1:8" x14ac:dyDescent="0.4">
      <c r="A61">
        <v>1190054501</v>
      </c>
      <c r="B61" t="s">
        <v>114</v>
      </c>
      <c r="C61">
        <v>52.415999999999997</v>
      </c>
      <c r="D61">
        <v>65.664000000000001</v>
      </c>
      <c r="E61">
        <v>59.904000000000003</v>
      </c>
      <c r="F61">
        <v>41.472000000000008</v>
      </c>
      <c r="G61">
        <v>17.28</v>
      </c>
      <c r="H61">
        <v>66.239999999999995</v>
      </c>
    </row>
    <row r="62" spans="1:8" x14ac:dyDescent="0.4">
      <c r="A62">
        <v>1190054601</v>
      </c>
      <c r="B62" t="s">
        <v>115</v>
      </c>
      <c r="C62">
        <v>1077.1199999999999</v>
      </c>
      <c r="D62">
        <v>896.25600000000009</v>
      </c>
      <c r="E62">
        <v>1014.9119999999999</v>
      </c>
      <c r="F62">
        <v>1001.6640000000001</v>
      </c>
      <c r="G62">
        <v>1009.7280000000001</v>
      </c>
      <c r="H62">
        <v>1145.0879999999997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AEFE-0AD3-4140-BC67-2AA49AE3F715}">
  <sheetPr>
    <tabColor rgb="FF00B0F0"/>
  </sheetPr>
  <dimension ref="A1:BP58"/>
  <sheetViews>
    <sheetView zoomScale="50" zoomScaleNormal="50" workbookViewId="0">
      <pane xSplit="4" ySplit="1" topLeftCell="AY25" activePane="bottomRight" state="frozen"/>
      <selection activeCell="BE11" sqref="BE11:BP11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8" customWidth="1"/>
    <col min="3" max="3" width="27.5" customWidth="1"/>
    <col min="4" max="4" width="15.8984375" customWidth="1"/>
    <col min="31" max="31" width="9.59765625" bestFit="1" customWidth="1"/>
  </cols>
  <sheetData>
    <row r="1" spans="1:68" x14ac:dyDescent="0.4">
      <c r="A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R1" t="s">
        <v>2</v>
      </c>
      <c r="AS1" t="s">
        <v>3</v>
      </c>
      <c r="AT1" t="s">
        <v>4</v>
      </c>
      <c r="AU1" t="s">
        <v>5</v>
      </c>
      <c r="AV1" t="s">
        <v>6</v>
      </c>
      <c r="AW1" t="s">
        <v>7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E1" t="s">
        <v>2</v>
      </c>
      <c r="BF1" t="s">
        <v>3</v>
      </c>
      <c r="BG1" t="s">
        <v>4</v>
      </c>
      <c r="BH1" t="s">
        <v>5</v>
      </c>
      <c r="BI1" t="s">
        <v>6</v>
      </c>
      <c r="BJ1" t="s">
        <v>7</v>
      </c>
      <c r="BK1" t="s">
        <v>116</v>
      </c>
      <c r="BL1" t="s">
        <v>117</v>
      </c>
      <c r="BM1" t="s">
        <v>118</v>
      </c>
      <c r="BN1" t="s">
        <v>119</v>
      </c>
      <c r="BO1" t="s">
        <v>120</v>
      </c>
      <c r="BP1" t="s">
        <v>121</v>
      </c>
    </row>
    <row r="2" spans="1:68" x14ac:dyDescent="0.4">
      <c r="A2">
        <v>1190011201</v>
      </c>
      <c r="B2">
        <f>VLOOKUP(A2,'Aji Plus'!$A$2:$D$58,2,0)</f>
        <v>76001</v>
      </c>
      <c r="C2" t="str">
        <f>VLOOKUP(A2,'Aji Plus'!$A$2:$D$58,3,0)</f>
        <v>นายวิโรจน์ แซ่ฉั่ว</v>
      </c>
      <c r="D2" t="str">
        <f>VLOOKUP(A2,'Aji Plus'!$A$2:$D$58,4,0)</f>
        <v>Thonburi</v>
      </c>
      <c r="E2" s="1">
        <v>1756.453030802277</v>
      </c>
      <c r="F2" s="1">
        <v>1210.6781931555129</v>
      </c>
      <c r="G2" s="1">
        <v>1558.7693987612354</v>
      </c>
      <c r="H2" s="1">
        <v>1293.7017438635271</v>
      </c>
      <c r="I2" s="1">
        <v>1850.7370415632629</v>
      </c>
      <c r="J2" s="1">
        <v>1943.6805213655607</v>
      </c>
      <c r="K2" s="1">
        <v>1910.3459848595444</v>
      </c>
      <c r="L2" s="1">
        <v>2715.5582473775312</v>
      </c>
      <c r="M2" s="1">
        <v>1389.5943917749369</v>
      </c>
      <c r="N2" s="1">
        <v>1503.7182607244895</v>
      </c>
      <c r="O2" s="1">
        <v>1637.4138816708726</v>
      </c>
      <c r="P2" s="1">
        <v>2655.9493040812495</v>
      </c>
      <c r="R2" s="1">
        <f>VLOOKUP(A2,Actual_RDM!$A$2:$H$63,3,0)</f>
        <v>1116.2</v>
      </c>
      <c r="S2" s="1">
        <f>VLOOKUP(A2,Actual_RDM!$A$2:$H$63,4,0)</f>
        <v>1363</v>
      </c>
      <c r="T2" s="1">
        <f>VLOOKUP(A2,Actual_RDM!$A$2:$H$63,5,0)</f>
        <v>1646</v>
      </c>
      <c r="U2" s="1">
        <f>VLOOKUP(A2,Actual_RDM!$A$2:$H$63,6,0)</f>
        <v>1212.7</v>
      </c>
      <c r="V2" s="1">
        <f>VLOOKUP(A2,Actual_RDM!$A$2:$H$63,7,0)</f>
        <v>1613.1</v>
      </c>
      <c r="W2" s="1">
        <f>VLOOKUP(A2,Actual_RDM!$A$2:$H$63,8,0)</f>
        <v>718.2</v>
      </c>
      <c r="X2" s="102"/>
      <c r="Y2" s="102"/>
      <c r="Z2" s="102"/>
      <c r="AA2" s="102"/>
      <c r="AB2" s="102"/>
      <c r="AC2" s="102"/>
      <c r="AE2" s="100">
        <f>R2/E2</f>
        <v>0.63548525376176146</v>
      </c>
      <c r="AF2" s="88">
        <f t="shared" ref="AF2:AP17" si="0">S2/F2</f>
        <v>1.1258152725518871</v>
      </c>
      <c r="AG2" s="88">
        <f t="shared" si="0"/>
        <v>1.0559611968955045</v>
      </c>
      <c r="AH2" s="88">
        <f t="shared" si="0"/>
        <v>0.93738762102799489</v>
      </c>
      <c r="AI2" s="88">
        <f t="shared" si="0"/>
        <v>0.87159870028724451</v>
      </c>
      <c r="AJ2" s="88">
        <f t="shared" si="0"/>
        <v>0.36950516924222626</v>
      </c>
      <c r="AK2" s="90">
        <f t="shared" si="0"/>
        <v>0</v>
      </c>
      <c r="AL2" s="90">
        <f t="shared" si="0"/>
        <v>0</v>
      </c>
      <c r="AM2" s="90">
        <f t="shared" si="0"/>
        <v>0</v>
      </c>
      <c r="AN2" s="90">
        <f t="shared" si="0"/>
        <v>0</v>
      </c>
      <c r="AO2" s="90">
        <f t="shared" si="0"/>
        <v>0</v>
      </c>
      <c r="AP2" s="90">
        <f t="shared" si="0"/>
        <v>0</v>
      </c>
      <c r="AQ2" s="88"/>
      <c r="AR2" s="90">
        <f>ROUND(AE2,4)</f>
        <v>0.63549999999999995</v>
      </c>
      <c r="AS2" s="90">
        <f t="shared" ref="AS2:BC17" si="1">ROUND(AF2,4)</f>
        <v>1.1257999999999999</v>
      </c>
      <c r="AT2" s="90">
        <f t="shared" si="1"/>
        <v>1.056</v>
      </c>
      <c r="AU2" s="90">
        <f t="shared" si="1"/>
        <v>0.93740000000000001</v>
      </c>
      <c r="AV2" s="90">
        <f t="shared" si="1"/>
        <v>0.87160000000000004</v>
      </c>
      <c r="AW2" s="90">
        <f t="shared" si="1"/>
        <v>0.3695</v>
      </c>
      <c r="AX2" s="90">
        <f t="shared" si="1"/>
        <v>0</v>
      </c>
      <c r="AY2" s="90">
        <f t="shared" si="1"/>
        <v>0</v>
      </c>
      <c r="AZ2" s="90">
        <f t="shared" si="1"/>
        <v>0</v>
      </c>
      <c r="BA2" s="90">
        <f t="shared" si="1"/>
        <v>0</v>
      </c>
      <c r="BB2" s="90">
        <f t="shared" si="1"/>
        <v>0</v>
      </c>
      <c r="BC2" s="90">
        <f t="shared" si="1"/>
        <v>0</v>
      </c>
      <c r="BD2" s="88"/>
      <c r="BE2" s="1">
        <f>IFERROR(VLOOKUP(AR2,'Top WS'!$A$19:$D$28,4),0)</f>
        <v>720</v>
      </c>
      <c r="BF2" s="1">
        <f>IFERROR(VLOOKUP(AS2,'Top WS'!$A$19:$D$28,4),0)</f>
        <v>920</v>
      </c>
      <c r="BG2" s="1">
        <f>IFERROR(VLOOKUP(AT2,'Top WS'!$A$19:$D$28,4),0)</f>
        <v>864</v>
      </c>
      <c r="BH2" s="1">
        <f>IFERROR(VLOOKUP(AU2,'Top WS'!$A$19:$D$28,4),0)</f>
        <v>760</v>
      </c>
      <c r="BI2" s="1">
        <f>IFERROR(VLOOKUP(AV2,'Top WS'!$A$19:$D$28,4),0)</f>
        <v>720</v>
      </c>
      <c r="BJ2" s="1">
        <f>IFERROR(VLOOKUP(AW2,'Top WS'!$A$19:$D$28,4),0)</f>
        <v>720</v>
      </c>
      <c r="BK2" s="89">
        <f>IFERROR(VLOOKUP(AX2,'Top WS'!$A$19:$D$28,4),0)</f>
        <v>720</v>
      </c>
      <c r="BL2" s="89">
        <f>IFERROR(VLOOKUP(AY2,'Top WS'!$A$19:$D$28,4),0)</f>
        <v>720</v>
      </c>
      <c r="BM2" s="89">
        <f>IFERROR(VLOOKUP(AZ2,'Top WS'!$A$19:$D$28,4),0)</f>
        <v>720</v>
      </c>
      <c r="BN2" s="89">
        <f>IFERROR(VLOOKUP(BA2,'Top WS'!$A$19:$D$28,4),0)</f>
        <v>720</v>
      </c>
      <c r="BO2" s="89">
        <f>IFERROR(VLOOKUP(BB2,'Top WS'!$A$19:$D$28,4),0)</f>
        <v>720</v>
      </c>
      <c r="BP2" s="89">
        <f>IFERROR(VLOOKUP(BC2,'Top WS'!$A$19:$D$28,4),0)</f>
        <v>720</v>
      </c>
    </row>
    <row r="3" spans="1:68" x14ac:dyDescent="0.4">
      <c r="A3">
        <v>1190011214</v>
      </c>
      <c r="B3">
        <f>VLOOKUP(A3,'Aji Plus'!$A$2:$D$58,2,0)</f>
        <v>71328</v>
      </c>
      <c r="C3" t="str">
        <f>VLOOKUP(A3,'Aji Plus'!$A$2:$D$58,3,0)</f>
        <v>นายประเสริฐ สุขีธรรม</v>
      </c>
      <c r="D3" t="str">
        <f>VLOOKUP(A3,'Aji Plus'!$A$2:$D$58,4,0)</f>
        <v>Thonburi</v>
      </c>
      <c r="E3" s="1">
        <v>385.56286042001204</v>
      </c>
      <c r="F3" s="1">
        <v>265.75862776584432</v>
      </c>
      <c r="G3" s="1">
        <v>342.1688924110029</v>
      </c>
      <c r="H3" s="1">
        <v>283.98330962857915</v>
      </c>
      <c r="I3" s="1">
        <v>406.25935058705772</v>
      </c>
      <c r="J3" s="1">
        <v>426.66157786073285</v>
      </c>
      <c r="K3" s="1">
        <v>419.34424057892443</v>
      </c>
      <c r="L3" s="1">
        <v>596.0981518633605</v>
      </c>
      <c r="M3" s="1">
        <v>305.03291526766907</v>
      </c>
      <c r="N3" s="1">
        <v>330.08449625659529</v>
      </c>
      <c r="O3" s="1">
        <v>359.43231548872814</v>
      </c>
      <c r="P3" s="1">
        <v>583.0132618714938</v>
      </c>
      <c r="R3" s="1">
        <f>VLOOKUP(A3,Actual_RDM!$A$2:$H$63,3,0)</f>
        <v>278.2</v>
      </c>
      <c r="S3" s="1">
        <f>VLOOKUP(A3,Actual_RDM!$A$2:$H$63,4,0)</f>
        <v>449.9</v>
      </c>
      <c r="T3" s="1">
        <f>VLOOKUP(A3,Actual_RDM!$A$2:$H$63,5,0)</f>
        <v>374</v>
      </c>
      <c r="U3" s="1">
        <f>VLOOKUP(A3,Actual_RDM!$A$2:$H$63,6,0)</f>
        <v>123</v>
      </c>
      <c r="V3" s="1">
        <f>VLOOKUP(A3,Actual_RDM!$A$2:$H$63,7,0)</f>
        <v>759.8</v>
      </c>
      <c r="W3" s="1">
        <f>VLOOKUP(A3,Actual_RDM!$A$2:$H$63,8,0)</f>
        <v>270.10000000000002</v>
      </c>
      <c r="X3" s="102"/>
      <c r="Y3" s="102"/>
      <c r="Z3" s="102"/>
      <c r="AA3" s="102"/>
      <c r="AB3" s="102"/>
      <c r="AC3" s="102"/>
      <c r="AE3" s="88">
        <f t="shared" ref="AE3:AP37" si="2">R3/E3</f>
        <v>0.72154252537950214</v>
      </c>
      <c r="AF3" s="88">
        <f t="shared" si="0"/>
        <v>1.6928895358249654</v>
      </c>
      <c r="AG3" s="88">
        <f t="shared" si="0"/>
        <v>1.0930274735517527</v>
      </c>
      <c r="AH3" s="88">
        <f t="shared" si="0"/>
        <v>0.43312404577885688</v>
      </c>
      <c r="AI3" s="88">
        <f t="shared" si="0"/>
        <v>1.8702338762223312</v>
      </c>
      <c r="AJ3" s="88">
        <f t="shared" si="0"/>
        <v>0.63305442536980372</v>
      </c>
      <c r="AK3" s="90">
        <f t="shared" si="0"/>
        <v>0</v>
      </c>
      <c r="AL3" s="90">
        <f t="shared" si="0"/>
        <v>0</v>
      </c>
      <c r="AM3" s="90">
        <f t="shared" si="0"/>
        <v>0</v>
      </c>
      <c r="AN3" s="90">
        <f t="shared" si="0"/>
        <v>0</v>
      </c>
      <c r="AO3" s="90">
        <f t="shared" si="0"/>
        <v>0</v>
      </c>
      <c r="AP3" s="90">
        <f t="shared" si="0"/>
        <v>0</v>
      </c>
      <c r="AQ3" s="88"/>
      <c r="AR3" s="90">
        <f t="shared" ref="AR3:BC37" si="3">ROUND(AE3,4)</f>
        <v>0.72150000000000003</v>
      </c>
      <c r="AS3" s="90">
        <f t="shared" si="1"/>
        <v>1.6929000000000001</v>
      </c>
      <c r="AT3" s="90">
        <f t="shared" si="1"/>
        <v>1.093</v>
      </c>
      <c r="AU3" s="90">
        <f t="shared" si="1"/>
        <v>0.43309999999999998</v>
      </c>
      <c r="AV3" s="90">
        <f t="shared" si="1"/>
        <v>1.8702000000000001</v>
      </c>
      <c r="AW3" s="90">
        <f t="shared" si="1"/>
        <v>0.6331</v>
      </c>
      <c r="AX3" s="90">
        <f t="shared" si="1"/>
        <v>0</v>
      </c>
      <c r="AY3" s="90">
        <f t="shared" si="1"/>
        <v>0</v>
      </c>
      <c r="AZ3" s="90">
        <f t="shared" si="1"/>
        <v>0</v>
      </c>
      <c r="BA3" s="90">
        <f t="shared" si="1"/>
        <v>0</v>
      </c>
      <c r="BB3" s="90">
        <f t="shared" si="1"/>
        <v>0</v>
      </c>
      <c r="BC3" s="90">
        <f t="shared" si="1"/>
        <v>0</v>
      </c>
      <c r="BD3" s="88"/>
      <c r="BE3" s="1">
        <f>IFERROR(VLOOKUP(AR3,'Top WS'!$A$19:$D$28,4),0)</f>
        <v>720</v>
      </c>
      <c r="BF3" s="1">
        <f>IFERROR(VLOOKUP(AS3,'Top WS'!$A$19:$D$28,4),0)</f>
        <v>1040</v>
      </c>
      <c r="BG3" s="1">
        <f>IFERROR(VLOOKUP(AT3,'Top WS'!$A$19:$D$28,4),0)</f>
        <v>880</v>
      </c>
      <c r="BH3" s="1">
        <f>IFERROR(VLOOKUP(AU3,'Top WS'!$A$19:$D$28,4),0)</f>
        <v>720</v>
      </c>
      <c r="BI3" s="1">
        <f>IFERROR(VLOOKUP(AV3,'Top WS'!$A$19:$D$28,4),0)</f>
        <v>1040</v>
      </c>
      <c r="BJ3" s="1">
        <f>IFERROR(VLOOKUP(AW3,'Top WS'!$A$19:$D$28,4),0)</f>
        <v>720</v>
      </c>
      <c r="BK3" s="89">
        <f>IFERROR(VLOOKUP(AX3,'Top WS'!$A$19:$D$28,4),0)</f>
        <v>720</v>
      </c>
      <c r="BL3" s="89">
        <f>IFERROR(VLOOKUP(AY3,'Top WS'!$A$19:$D$28,4),0)</f>
        <v>720</v>
      </c>
      <c r="BM3" s="89">
        <f>IFERROR(VLOOKUP(AZ3,'Top WS'!$A$19:$D$28,4),0)</f>
        <v>720</v>
      </c>
      <c r="BN3" s="89">
        <f>IFERROR(VLOOKUP(BA3,'Top WS'!$A$19:$D$28,4),0)</f>
        <v>720</v>
      </c>
      <c r="BO3" s="89">
        <f>IFERROR(VLOOKUP(BB3,'Top WS'!$A$19:$D$28,4),0)</f>
        <v>720</v>
      </c>
      <c r="BP3" s="89">
        <f>IFERROR(VLOOKUP(BC3,'Top WS'!$A$19:$D$28,4),0)</f>
        <v>720</v>
      </c>
    </row>
    <row r="4" spans="1:68" x14ac:dyDescent="0.4">
      <c r="A4">
        <v>1190011401</v>
      </c>
      <c r="B4">
        <f>VLOOKUP(A4,'Aji Plus'!$A$2:$D$58,2,0)</f>
        <v>63723</v>
      </c>
      <c r="C4" t="str">
        <f>VLOOKUP(A4,'Aji Plus'!$A$2:$D$58,3,0)</f>
        <v>นายธนาพัทธ์ จงเทพสกุลชัย</v>
      </c>
      <c r="D4" t="str">
        <f>VLOOKUP(A4,'Aji Plus'!$A$2:$D$58,4,0)</f>
        <v>Nonthaburi</v>
      </c>
      <c r="E4" s="1">
        <v>353.1593143977359</v>
      </c>
      <c r="F4" s="1">
        <v>375.94378629436403</v>
      </c>
      <c r="G4" s="1">
        <v>368.41864220067225</v>
      </c>
      <c r="H4" s="1">
        <v>398.98371489211365</v>
      </c>
      <c r="I4" s="1">
        <v>366.97798768345865</v>
      </c>
      <c r="J4" s="1">
        <v>426.63503474986948</v>
      </c>
      <c r="K4" s="1">
        <v>460.00672468262184</v>
      </c>
      <c r="L4" s="1">
        <v>428.57701701532233</v>
      </c>
      <c r="M4" s="1">
        <v>317.21745452850445</v>
      </c>
      <c r="N4" s="1">
        <v>440.28688559746985</v>
      </c>
      <c r="O4" s="1">
        <v>368.30758692915435</v>
      </c>
      <c r="P4" s="1">
        <v>356.48585102871391</v>
      </c>
      <c r="R4" s="1">
        <f>VLOOKUP(A4,Actual_RDM!$A$2:$H$63,3,0)</f>
        <v>245.4</v>
      </c>
      <c r="S4" s="1">
        <f>VLOOKUP(A4,Actual_RDM!$A$2:$H$63,4,0)</f>
        <v>714.8</v>
      </c>
      <c r="T4" s="1">
        <f>VLOOKUP(A4,Actual_RDM!$A$2:$H$63,5,0)</f>
        <v>109</v>
      </c>
      <c r="U4" s="1">
        <f>VLOOKUP(A4,Actual_RDM!$A$2:$H$63,6,0)</f>
        <v>282.2</v>
      </c>
      <c r="V4" s="1">
        <f>VLOOKUP(A4,Actual_RDM!$A$2:$H$63,7,0)</f>
        <v>219</v>
      </c>
      <c r="W4" s="1">
        <f>VLOOKUP(A4,Actual_RDM!$A$2:$H$63,8,0)</f>
        <v>210.8</v>
      </c>
      <c r="X4" s="102"/>
      <c r="Y4" s="102"/>
      <c r="Z4" s="102"/>
      <c r="AA4" s="102"/>
      <c r="AB4" s="102"/>
      <c r="AC4" s="102"/>
      <c r="AE4" s="88">
        <f t="shared" si="2"/>
        <v>0.6948705300849719</v>
      </c>
      <c r="AF4" s="88">
        <f t="shared" si="0"/>
        <v>1.9013480899517021</v>
      </c>
      <c r="AG4" s="88">
        <f t="shared" si="0"/>
        <v>0.29585907854421029</v>
      </c>
      <c r="AH4" s="88">
        <f t="shared" si="0"/>
        <v>0.70729703861799897</v>
      </c>
      <c r="AI4" s="88">
        <f t="shared" si="0"/>
        <v>0.59676603870012257</v>
      </c>
      <c r="AJ4" s="88">
        <f t="shared" si="0"/>
        <v>0.49409913117798515</v>
      </c>
      <c r="AK4" s="90">
        <f t="shared" si="0"/>
        <v>0</v>
      </c>
      <c r="AL4" s="90">
        <f t="shared" si="0"/>
        <v>0</v>
      </c>
      <c r="AM4" s="90">
        <f t="shared" si="0"/>
        <v>0</v>
      </c>
      <c r="AN4" s="90">
        <f t="shared" si="0"/>
        <v>0</v>
      </c>
      <c r="AO4" s="90">
        <f t="shared" si="0"/>
        <v>0</v>
      </c>
      <c r="AP4" s="90">
        <f t="shared" si="0"/>
        <v>0</v>
      </c>
      <c r="AQ4" s="88"/>
      <c r="AR4" s="90">
        <f t="shared" si="3"/>
        <v>0.69489999999999996</v>
      </c>
      <c r="AS4" s="90">
        <f t="shared" si="1"/>
        <v>1.9013</v>
      </c>
      <c r="AT4" s="90">
        <f t="shared" si="1"/>
        <v>0.2959</v>
      </c>
      <c r="AU4" s="90">
        <f t="shared" si="1"/>
        <v>0.70730000000000004</v>
      </c>
      <c r="AV4" s="90">
        <f t="shared" si="1"/>
        <v>0.5968</v>
      </c>
      <c r="AW4" s="90">
        <f t="shared" si="1"/>
        <v>0.49409999999999998</v>
      </c>
      <c r="AX4" s="90">
        <f t="shared" si="1"/>
        <v>0</v>
      </c>
      <c r="AY4" s="90">
        <f t="shared" si="1"/>
        <v>0</v>
      </c>
      <c r="AZ4" s="90">
        <f t="shared" si="1"/>
        <v>0</v>
      </c>
      <c r="BA4" s="90">
        <f t="shared" si="1"/>
        <v>0</v>
      </c>
      <c r="BB4" s="90">
        <f t="shared" si="1"/>
        <v>0</v>
      </c>
      <c r="BC4" s="90">
        <f t="shared" si="1"/>
        <v>0</v>
      </c>
      <c r="BD4" s="88"/>
      <c r="BE4" s="1">
        <f>IFERROR(VLOOKUP(AR4,'Top WS'!$A$19:$D$28,4),0)</f>
        <v>720</v>
      </c>
      <c r="BF4" s="1">
        <f>IFERROR(VLOOKUP(AS4,'Top WS'!$A$19:$D$28,4),0)</f>
        <v>1040</v>
      </c>
      <c r="BG4" s="1">
        <f>IFERROR(VLOOKUP(AT4,'Top WS'!$A$19:$D$28,4),0)</f>
        <v>720</v>
      </c>
      <c r="BH4" s="1">
        <f>IFERROR(VLOOKUP(AU4,'Top WS'!$A$19:$D$28,4),0)</f>
        <v>720</v>
      </c>
      <c r="BI4" s="1">
        <f>IFERROR(VLOOKUP(AV4,'Top WS'!$A$19:$D$28,4),0)</f>
        <v>720</v>
      </c>
      <c r="BJ4" s="1">
        <f>IFERROR(VLOOKUP(AW4,'Top WS'!$A$19:$D$28,4),0)</f>
        <v>720</v>
      </c>
      <c r="BK4" s="89">
        <f>IFERROR(VLOOKUP(AX4,'Top WS'!$A$19:$D$28,4),0)</f>
        <v>720</v>
      </c>
      <c r="BL4" s="89">
        <f>IFERROR(VLOOKUP(AY4,'Top WS'!$A$19:$D$28,4),0)</f>
        <v>720</v>
      </c>
      <c r="BM4" s="89">
        <f>IFERROR(VLOOKUP(AZ4,'Top WS'!$A$19:$D$28,4),0)</f>
        <v>720</v>
      </c>
      <c r="BN4" s="89">
        <f>IFERROR(VLOOKUP(BA4,'Top WS'!$A$19:$D$28,4),0)</f>
        <v>720</v>
      </c>
      <c r="BO4" s="89">
        <f>IFERROR(VLOOKUP(BB4,'Top WS'!$A$19:$D$28,4),0)</f>
        <v>720</v>
      </c>
      <c r="BP4" s="89">
        <f>IFERROR(VLOOKUP(BC4,'Top WS'!$A$19:$D$28,4),0)</f>
        <v>720</v>
      </c>
    </row>
    <row r="5" spans="1:68" x14ac:dyDescent="0.4">
      <c r="A5">
        <v>1190011412</v>
      </c>
      <c r="B5">
        <f>VLOOKUP(A5,'Aji Plus'!$A$2:$D$58,2,0)</f>
        <v>71043</v>
      </c>
      <c r="C5" t="str">
        <f>VLOOKUP(A5,'Aji Plus'!$A$2:$D$58,3,0)</f>
        <v>นายเสริมโชค อยู่อุดมสุข</v>
      </c>
      <c r="D5" t="str">
        <f>VLOOKUP(A5,'Aji Plus'!$A$2:$D$58,4,0)</f>
        <v>Nonthaburi</v>
      </c>
      <c r="E5" s="1">
        <v>392.33188799645495</v>
      </c>
      <c r="F5" s="1">
        <v>417.64362270590362</v>
      </c>
      <c r="G5" s="1">
        <v>409.28378659409589</v>
      </c>
      <c r="H5" s="1">
        <v>443.23914947679998</v>
      </c>
      <c r="I5" s="1">
        <v>407.68333409674938</v>
      </c>
      <c r="J5" s="1">
        <v>473.95756488625278</v>
      </c>
      <c r="K5" s="1">
        <v>511.03085612671441</v>
      </c>
      <c r="L5" s="1">
        <v>476.11495260788223</v>
      </c>
      <c r="M5" s="1">
        <v>352.40334253348982</v>
      </c>
      <c r="N5" s="1">
        <v>489.12368453630097</v>
      </c>
      <c r="O5" s="1">
        <v>409.16041302706742</v>
      </c>
      <c r="P5" s="1">
        <v>396.02740541228934</v>
      </c>
      <c r="R5" s="1">
        <f>VLOOKUP(A5,Actual_RDM!$A$2:$H$63,3,0)</f>
        <v>424.4</v>
      </c>
      <c r="S5" s="1">
        <f>VLOOKUP(A5,Actual_RDM!$A$2:$H$63,4,0)</f>
        <v>438.4</v>
      </c>
      <c r="T5" s="1">
        <f>VLOOKUP(A5,Actual_RDM!$A$2:$H$63,5,0)</f>
        <v>314.39999999999998</v>
      </c>
      <c r="U5" s="1">
        <f>VLOOKUP(A5,Actual_RDM!$A$2:$H$63,6,0)</f>
        <v>478.20000000000005</v>
      </c>
      <c r="V5" s="1">
        <f>VLOOKUP(A5,Actual_RDM!$A$2:$H$63,7,0)</f>
        <v>313</v>
      </c>
      <c r="W5" s="1">
        <f>VLOOKUP(A5,Actual_RDM!$A$2:$H$63,8,0)</f>
        <v>559.4</v>
      </c>
      <c r="X5" s="102"/>
      <c r="Y5" s="102"/>
      <c r="Z5" s="102"/>
      <c r="AA5" s="102"/>
      <c r="AB5" s="102"/>
      <c r="AC5" s="102"/>
      <c r="AE5" s="88">
        <f t="shared" si="2"/>
        <v>1.0817372051181187</v>
      </c>
      <c r="AF5" s="88">
        <f t="shared" si="0"/>
        <v>1.0496987770568991</v>
      </c>
      <c r="AG5" s="88">
        <f t="shared" si="0"/>
        <v>0.76817115727040464</v>
      </c>
      <c r="AH5" s="88">
        <f t="shared" si="0"/>
        <v>1.0788758180870708</v>
      </c>
      <c r="AI5" s="88">
        <f t="shared" si="0"/>
        <v>0.76775274783668346</v>
      </c>
      <c r="AJ5" s="88">
        <f t="shared" si="0"/>
        <v>1.1802744410973858</v>
      </c>
      <c r="AK5" s="90">
        <f t="shared" si="0"/>
        <v>0</v>
      </c>
      <c r="AL5" s="90">
        <f t="shared" si="0"/>
        <v>0</v>
      </c>
      <c r="AM5" s="90">
        <f t="shared" si="0"/>
        <v>0</v>
      </c>
      <c r="AN5" s="90">
        <f t="shared" si="0"/>
        <v>0</v>
      </c>
      <c r="AO5" s="90">
        <f t="shared" si="0"/>
        <v>0</v>
      </c>
      <c r="AP5" s="90">
        <f t="shared" si="0"/>
        <v>0</v>
      </c>
      <c r="AQ5" s="88"/>
      <c r="AR5" s="90">
        <f t="shared" si="3"/>
        <v>1.0817000000000001</v>
      </c>
      <c r="AS5" s="90">
        <f t="shared" si="1"/>
        <v>1.0497000000000001</v>
      </c>
      <c r="AT5" s="90">
        <f t="shared" si="1"/>
        <v>0.76819999999999999</v>
      </c>
      <c r="AU5" s="90">
        <f t="shared" si="1"/>
        <v>1.0789</v>
      </c>
      <c r="AV5" s="90">
        <f t="shared" si="1"/>
        <v>0.76780000000000004</v>
      </c>
      <c r="AW5" s="90">
        <f t="shared" si="1"/>
        <v>1.1802999999999999</v>
      </c>
      <c r="AX5" s="90">
        <f t="shared" si="1"/>
        <v>0</v>
      </c>
      <c r="AY5" s="90">
        <f t="shared" si="1"/>
        <v>0</v>
      </c>
      <c r="AZ5" s="90">
        <f t="shared" si="1"/>
        <v>0</v>
      </c>
      <c r="BA5" s="90">
        <f t="shared" si="1"/>
        <v>0</v>
      </c>
      <c r="BB5" s="90">
        <f t="shared" si="1"/>
        <v>0</v>
      </c>
      <c r="BC5" s="90">
        <f t="shared" si="1"/>
        <v>0</v>
      </c>
      <c r="BD5" s="88"/>
      <c r="BE5" s="1">
        <f>IFERROR(VLOOKUP(AR5,'Top WS'!$A$19:$D$28,4),0)</f>
        <v>880</v>
      </c>
      <c r="BF5" s="1">
        <f>IFERROR(VLOOKUP(AS5,'Top WS'!$A$19:$D$28,4),0)</f>
        <v>864</v>
      </c>
      <c r="BG5" s="1">
        <f>IFERROR(VLOOKUP(AT5,'Top WS'!$A$19:$D$28,4),0)</f>
        <v>720</v>
      </c>
      <c r="BH5" s="1">
        <f>IFERROR(VLOOKUP(AU5,'Top WS'!$A$19:$D$28,4),0)</f>
        <v>880</v>
      </c>
      <c r="BI5" s="1">
        <f>IFERROR(VLOOKUP(AV5,'Top WS'!$A$19:$D$28,4),0)</f>
        <v>720</v>
      </c>
      <c r="BJ5" s="1">
        <f>IFERROR(VLOOKUP(AW5,'Top WS'!$A$19:$D$28,4),0)</f>
        <v>960</v>
      </c>
      <c r="BK5" s="89">
        <f>IFERROR(VLOOKUP(AX5,'Top WS'!$A$19:$D$28,4),0)</f>
        <v>720</v>
      </c>
      <c r="BL5" s="89">
        <f>IFERROR(VLOOKUP(AY5,'Top WS'!$A$19:$D$28,4),0)</f>
        <v>720</v>
      </c>
      <c r="BM5" s="89">
        <f>IFERROR(VLOOKUP(AZ5,'Top WS'!$A$19:$D$28,4),0)</f>
        <v>720</v>
      </c>
      <c r="BN5" s="89">
        <f>IFERROR(VLOOKUP(BA5,'Top WS'!$A$19:$D$28,4),0)</f>
        <v>720</v>
      </c>
      <c r="BO5" s="89">
        <f>IFERROR(VLOOKUP(BB5,'Top WS'!$A$19:$D$28,4),0)</f>
        <v>720</v>
      </c>
      <c r="BP5" s="89">
        <f>IFERROR(VLOOKUP(BC5,'Top WS'!$A$19:$D$28,4),0)</f>
        <v>720</v>
      </c>
    </row>
    <row r="6" spans="1:68" x14ac:dyDescent="0.4">
      <c r="A6">
        <v>1190011501</v>
      </c>
      <c r="B6">
        <f>VLOOKUP(A6,'Aji Plus'!$A$2:$D$58,2,0)</f>
        <v>71637</v>
      </c>
      <c r="C6" t="str">
        <f>VLOOKUP(A6,'Aji Plus'!$A$2:$D$58,3,0)</f>
        <v>นายพณิชพงศ์ แจ้งธีรภูสิทธิ์</v>
      </c>
      <c r="D6" t="str">
        <f>VLOOKUP(A6,'Aji Plus'!$A$2:$D$58,4,0)</f>
        <v>Pattanakarn</v>
      </c>
      <c r="E6" s="1">
        <v>2144.8283448361526</v>
      </c>
      <c r="F6" s="1">
        <v>1600.7721377499429</v>
      </c>
      <c r="G6" s="1">
        <v>2484.1346273264389</v>
      </c>
      <c r="H6" s="1">
        <v>2047.8356368539653</v>
      </c>
      <c r="I6" s="1">
        <v>1627.6834093288157</v>
      </c>
      <c r="J6" s="1">
        <v>3764.326242393061</v>
      </c>
      <c r="K6" s="1">
        <v>3334.7550698153059</v>
      </c>
      <c r="L6" s="1">
        <v>3191.4525486578086</v>
      </c>
      <c r="M6" s="1">
        <v>2463.166261554567</v>
      </c>
      <c r="N6" s="1">
        <v>2356.081826730303</v>
      </c>
      <c r="O6" s="1">
        <v>3468.6386459201981</v>
      </c>
      <c r="P6" s="1">
        <v>3116.3252488334556</v>
      </c>
      <c r="R6" s="1">
        <f>VLOOKUP(A6,Actual_RDM!$A$2:$H$63,3,0)</f>
        <v>2568.2000000000003</v>
      </c>
      <c r="S6" s="1">
        <f>VLOOKUP(A6,Actual_RDM!$A$2:$H$63,4,0)</f>
        <v>1641.5999999999997</v>
      </c>
      <c r="T6" s="1">
        <f>VLOOKUP(A6,Actual_RDM!$A$2:$H$63,5,0)</f>
        <v>2115</v>
      </c>
      <c r="U6" s="1">
        <f>VLOOKUP(A6,Actual_RDM!$A$2:$H$63,6,0)</f>
        <v>1951.7999999999997</v>
      </c>
      <c r="V6" s="1">
        <f>VLOOKUP(A6,Actual_RDM!$A$2:$H$63,7,0)</f>
        <v>1885.7999999999997</v>
      </c>
      <c r="W6" s="1">
        <f>VLOOKUP(A6,Actual_RDM!$A$2:$H$63,8,0)</f>
        <v>2177</v>
      </c>
      <c r="X6" s="102"/>
      <c r="Y6" s="102"/>
      <c r="Z6" s="102"/>
      <c r="AA6" s="102"/>
      <c r="AB6" s="102"/>
      <c r="AC6" s="102"/>
      <c r="AE6" s="88">
        <f t="shared" si="2"/>
        <v>1.1973918594386115</v>
      </c>
      <c r="AF6" s="88">
        <f t="shared" si="0"/>
        <v>1.0255051054970539</v>
      </c>
      <c r="AG6" s="88">
        <f t="shared" si="0"/>
        <v>0.85140313118869815</v>
      </c>
      <c r="AH6" s="88">
        <f t="shared" si="0"/>
        <v>0.95310383551997246</v>
      </c>
      <c r="AI6" s="88">
        <f t="shared" si="0"/>
        <v>1.1585791126160214</v>
      </c>
      <c r="AJ6" s="88">
        <f t="shared" si="0"/>
        <v>0.57832394426473399</v>
      </c>
      <c r="AK6" s="90">
        <f t="shared" si="0"/>
        <v>0</v>
      </c>
      <c r="AL6" s="90">
        <f t="shared" si="0"/>
        <v>0</v>
      </c>
      <c r="AM6" s="90">
        <f t="shared" si="0"/>
        <v>0</v>
      </c>
      <c r="AN6" s="90">
        <f t="shared" si="0"/>
        <v>0</v>
      </c>
      <c r="AO6" s="90">
        <f t="shared" si="0"/>
        <v>0</v>
      </c>
      <c r="AP6" s="90">
        <f t="shared" si="0"/>
        <v>0</v>
      </c>
      <c r="AQ6" s="88"/>
      <c r="AR6" s="90">
        <f t="shared" si="3"/>
        <v>1.1974</v>
      </c>
      <c r="AS6" s="90">
        <f t="shared" si="1"/>
        <v>1.0255000000000001</v>
      </c>
      <c r="AT6" s="90">
        <f t="shared" si="1"/>
        <v>0.85140000000000005</v>
      </c>
      <c r="AU6" s="90">
        <f t="shared" si="1"/>
        <v>0.95309999999999995</v>
      </c>
      <c r="AV6" s="90">
        <f t="shared" si="1"/>
        <v>1.1586000000000001</v>
      </c>
      <c r="AW6" s="90">
        <f t="shared" si="1"/>
        <v>0.57830000000000004</v>
      </c>
      <c r="AX6" s="90">
        <f t="shared" si="1"/>
        <v>0</v>
      </c>
      <c r="AY6" s="90">
        <f t="shared" si="1"/>
        <v>0</v>
      </c>
      <c r="AZ6" s="90">
        <f t="shared" si="1"/>
        <v>0</v>
      </c>
      <c r="BA6" s="90">
        <f t="shared" si="1"/>
        <v>0</v>
      </c>
      <c r="BB6" s="90">
        <f t="shared" si="1"/>
        <v>0</v>
      </c>
      <c r="BC6" s="90">
        <f t="shared" si="1"/>
        <v>0</v>
      </c>
      <c r="BD6" s="88"/>
      <c r="BE6" s="1">
        <f>IFERROR(VLOOKUP(AR6,'Top WS'!$A$19:$D$28,4),0)</f>
        <v>960</v>
      </c>
      <c r="BF6" s="1">
        <f>IFERROR(VLOOKUP(AS6,'Top WS'!$A$19:$D$28,4),0)</f>
        <v>824</v>
      </c>
      <c r="BG6" s="1">
        <f>IFERROR(VLOOKUP(AT6,'Top WS'!$A$19:$D$28,4),0)</f>
        <v>720</v>
      </c>
      <c r="BH6" s="1">
        <f>IFERROR(VLOOKUP(AU6,'Top WS'!$A$19:$D$28,4),0)</f>
        <v>800</v>
      </c>
      <c r="BI6" s="1">
        <f>IFERROR(VLOOKUP(AV6,'Top WS'!$A$19:$D$28,4),0)</f>
        <v>960</v>
      </c>
      <c r="BJ6" s="1">
        <f>IFERROR(VLOOKUP(AW6,'Top WS'!$A$19:$D$28,4),0)</f>
        <v>720</v>
      </c>
      <c r="BK6" s="89">
        <f>IFERROR(VLOOKUP(AX6,'Top WS'!$A$19:$D$28,4),0)</f>
        <v>720</v>
      </c>
      <c r="BL6" s="89">
        <f>IFERROR(VLOOKUP(AY6,'Top WS'!$A$19:$D$28,4),0)</f>
        <v>720</v>
      </c>
      <c r="BM6" s="89">
        <f>IFERROR(VLOOKUP(AZ6,'Top WS'!$A$19:$D$28,4),0)</f>
        <v>720</v>
      </c>
      <c r="BN6" s="89">
        <f>IFERROR(VLOOKUP(BA6,'Top WS'!$A$19:$D$28,4),0)</f>
        <v>720</v>
      </c>
      <c r="BO6" s="89">
        <f>IFERROR(VLOOKUP(BB6,'Top WS'!$A$19:$D$28,4),0)</f>
        <v>720</v>
      </c>
      <c r="BP6" s="89">
        <f>IFERROR(VLOOKUP(BC6,'Top WS'!$A$19:$D$28,4),0)</f>
        <v>720</v>
      </c>
    </row>
    <row r="7" spans="1:68" x14ac:dyDescent="0.4">
      <c r="A7">
        <v>1190011701</v>
      </c>
      <c r="B7">
        <f>VLOOKUP(A7,'Aji Plus'!$A$2:$D$58,2,0)</f>
        <v>29698</v>
      </c>
      <c r="C7" t="str">
        <f>VLOOKUP(A7,'Aji Plus'!$A$2:$D$58,3,0)</f>
        <v>นายพูลทวี เกษรบัว</v>
      </c>
      <c r="D7" t="str">
        <f>VLOOKUP(A7,'Aji Plus'!$A$2:$D$58,4,0)</f>
        <v>Bangpoo</v>
      </c>
      <c r="E7" s="1">
        <v>1120</v>
      </c>
      <c r="F7" s="1">
        <v>1186</v>
      </c>
      <c r="G7" s="1">
        <v>1189</v>
      </c>
      <c r="H7" s="1">
        <v>1100</v>
      </c>
      <c r="I7" s="1">
        <v>1250</v>
      </c>
      <c r="J7" s="1">
        <v>1135</v>
      </c>
      <c r="K7" s="1">
        <v>1250</v>
      </c>
      <c r="L7" s="1">
        <v>1120</v>
      </c>
      <c r="M7" s="1">
        <v>1250</v>
      </c>
      <c r="N7" s="1">
        <v>1210</v>
      </c>
      <c r="O7" s="1">
        <v>1200</v>
      </c>
      <c r="P7" s="1">
        <v>1230</v>
      </c>
      <c r="R7" s="1">
        <f>VLOOKUP(A7,Actual_RDM!$A$2:$H$63,3,0)</f>
        <v>879.3</v>
      </c>
      <c r="S7" s="1">
        <f>VLOOKUP(A7,Actual_RDM!$A$2:$H$63,4,0)</f>
        <v>1087.3999999999999</v>
      </c>
      <c r="T7" s="1">
        <f>VLOOKUP(A7,Actual_RDM!$A$2:$H$63,5,0)</f>
        <v>811.5</v>
      </c>
      <c r="U7" s="1">
        <f>VLOOKUP(A7,Actual_RDM!$A$2:$H$63,6,0)</f>
        <v>937.9</v>
      </c>
      <c r="V7" s="1">
        <f>VLOOKUP(A7,Actual_RDM!$A$2:$H$63,7,0)</f>
        <v>1149.8</v>
      </c>
      <c r="W7" s="1">
        <f>VLOOKUP(A7,Actual_RDM!$A$2:$H$63,8,0)</f>
        <v>798.2</v>
      </c>
      <c r="X7" s="102"/>
      <c r="Y7" s="102"/>
      <c r="Z7" s="102"/>
      <c r="AA7" s="102"/>
      <c r="AB7" s="102"/>
      <c r="AC7" s="102"/>
      <c r="AE7" s="88">
        <f t="shared" si="2"/>
        <v>0.78508928571428571</v>
      </c>
      <c r="AF7" s="88">
        <f t="shared" si="0"/>
        <v>0.91686340640809427</v>
      </c>
      <c r="AG7" s="88">
        <f t="shared" si="0"/>
        <v>0.68250630782169885</v>
      </c>
      <c r="AH7" s="88">
        <f t="shared" si="0"/>
        <v>0.85263636363636364</v>
      </c>
      <c r="AI7" s="88">
        <f t="shared" si="0"/>
        <v>0.91983999999999999</v>
      </c>
      <c r="AJ7" s="88">
        <f t="shared" si="0"/>
        <v>0.70325991189427317</v>
      </c>
      <c r="AK7" s="90">
        <f t="shared" si="0"/>
        <v>0</v>
      </c>
      <c r="AL7" s="90">
        <f t="shared" si="0"/>
        <v>0</v>
      </c>
      <c r="AM7" s="90">
        <f t="shared" si="0"/>
        <v>0</v>
      </c>
      <c r="AN7" s="90">
        <f t="shared" si="0"/>
        <v>0</v>
      </c>
      <c r="AO7" s="90">
        <f t="shared" si="0"/>
        <v>0</v>
      </c>
      <c r="AP7" s="90">
        <f t="shared" si="0"/>
        <v>0</v>
      </c>
      <c r="AQ7" s="88"/>
      <c r="AR7" s="90">
        <f t="shared" si="3"/>
        <v>0.78510000000000002</v>
      </c>
      <c r="AS7" s="90">
        <f t="shared" si="1"/>
        <v>0.91690000000000005</v>
      </c>
      <c r="AT7" s="90">
        <f t="shared" si="1"/>
        <v>0.6825</v>
      </c>
      <c r="AU7" s="90">
        <f t="shared" si="1"/>
        <v>0.85260000000000002</v>
      </c>
      <c r="AV7" s="90">
        <f t="shared" si="1"/>
        <v>0.91979999999999995</v>
      </c>
      <c r="AW7" s="90">
        <f t="shared" si="1"/>
        <v>0.70330000000000004</v>
      </c>
      <c r="AX7" s="90">
        <f t="shared" si="1"/>
        <v>0</v>
      </c>
      <c r="AY7" s="90">
        <f t="shared" si="1"/>
        <v>0</v>
      </c>
      <c r="AZ7" s="90">
        <f t="shared" si="1"/>
        <v>0</v>
      </c>
      <c r="BA7" s="90">
        <f t="shared" si="1"/>
        <v>0</v>
      </c>
      <c r="BB7" s="90">
        <f t="shared" si="1"/>
        <v>0</v>
      </c>
      <c r="BC7" s="90">
        <f t="shared" si="1"/>
        <v>0</v>
      </c>
      <c r="BD7" s="88"/>
      <c r="BE7" s="1">
        <f>IFERROR(VLOOKUP(AR7,'Top WS'!$A$19:$D$28,4),0)</f>
        <v>720</v>
      </c>
      <c r="BF7" s="1">
        <f>IFERROR(VLOOKUP(AS7,'Top WS'!$A$19:$D$28,4),0)</f>
        <v>760</v>
      </c>
      <c r="BG7" s="1">
        <f>IFERROR(VLOOKUP(AT7,'Top WS'!$A$19:$D$28,4),0)</f>
        <v>720</v>
      </c>
      <c r="BH7" s="1">
        <f>IFERROR(VLOOKUP(AU7,'Top WS'!$A$19:$D$28,4),0)</f>
        <v>720</v>
      </c>
      <c r="BI7" s="1">
        <f>IFERROR(VLOOKUP(AV7,'Top WS'!$A$19:$D$28,4),0)</f>
        <v>760</v>
      </c>
      <c r="BJ7" s="1">
        <f>IFERROR(VLOOKUP(AW7,'Top WS'!$A$19:$D$28,4),0)</f>
        <v>720</v>
      </c>
      <c r="BK7" s="89">
        <f>IFERROR(VLOOKUP(AX7,'Top WS'!$A$19:$D$28,4),0)</f>
        <v>720</v>
      </c>
      <c r="BL7" s="89">
        <f>IFERROR(VLOOKUP(AY7,'Top WS'!$A$19:$D$28,4),0)</f>
        <v>720</v>
      </c>
      <c r="BM7" s="89">
        <f>IFERROR(VLOOKUP(AZ7,'Top WS'!$A$19:$D$28,4),0)</f>
        <v>720</v>
      </c>
      <c r="BN7" s="89">
        <f>IFERROR(VLOOKUP(BA7,'Top WS'!$A$19:$D$28,4),0)</f>
        <v>720</v>
      </c>
      <c r="BO7" s="89">
        <f>IFERROR(VLOOKUP(BB7,'Top WS'!$A$19:$D$28,4),0)</f>
        <v>720</v>
      </c>
      <c r="BP7" s="89">
        <f>IFERROR(VLOOKUP(BC7,'Top WS'!$A$19:$D$28,4),0)</f>
        <v>720</v>
      </c>
    </row>
    <row r="8" spans="1:68" x14ac:dyDescent="0.4">
      <c r="A8">
        <v>1190011801</v>
      </c>
      <c r="B8">
        <f>VLOOKUP(A8,'Aji Plus'!$A$2:$D$58,2,0)</f>
        <v>28236</v>
      </c>
      <c r="C8" t="str">
        <f>VLOOKUP(A8,'Aji Plus'!$A$2:$D$58,3,0)</f>
        <v>นายประวิทย์ ธารีบุญ</v>
      </c>
      <c r="D8" t="str">
        <f>VLOOKUP(A8,'Aji Plus'!$A$2:$D$58,4,0)</f>
        <v>Ramindra</v>
      </c>
      <c r="E8" s="1">
        <v>135.59290043918551</v>
      </c>
      <c r="F8" s="1">
        <v>220.73536350767665</v>
      </c>
      <c r="G8" s="1">
        <v>177.69373162498638</v>
      </c>
      <c r="H8" s="1">
        <v>269.18659939748107</v>
      </c>
      <c r="I8" s="1">
        <v>249.31218467569238</v>
      </c>
      <c r="J8" s="1">
        <v>1232.5665130122318</v>
      </c>
      <c r="K8" s="1">
        <v>278.24180610504158</v>
      </c>
      <c r="L8" s="1">
        <v>174.28332909876229</v>
      </c>
      <c r="M8" s="1">
        <v>88.788065768937599</v>
      </c>
      <c r="N8" s="1">
        <v>158.05451707742006</v>
      </c>
      <c r="O8" s="1">
        <v>73.500054444484775</v>
      </c>
      <c r="P8" s="1">
        <v>182.0449348480999</v>
      </c>
      <c r="R8" s="1">
        <f>VLOOKUP(A8,Actual_RDM!$A$2:$H$63,3,0)</f>
        <v>151.00000000000003</v>
      </c>
      <c r="S8" s="1">
        <f>VLOOKUP(A8,Actual_RDM!$A$2:$H$63,4,0)</f>
        <v>287.2</v>
      </c>
      <c r="T8" s="1">
        <f>VLOOKUP(A8,Actual_RDM!$A$2:$H$63,5,0)</f>
        <v>129.9</v>
      </c>
      <c r="U8" s="1">
        <f>VLOOKUP(A8,Actual_RDM!$A$2:$H$63,6,0)</f>
        <v>386.4</v>
      </c>
      <c r="V8" s="1">
        <f>VLOOKUP(A8,Actual_RDM!$A$2:$H$63,7,0)</f>
        <v>121.5</v>
      </c>
      <c r="W8" s="1">
        <f>VLOOKUP(A8,Actual_RDM!$A$2:$H$63,8,0)</f>
        <v>800.09999999999991</v>
      </c>
      <c r="X8" s="102"/>
      <c r="Y8" s="102"/>
      <c r="Z8" s="102"/>
      <c r="AA8" s="102"/>
      <c r="AB8" s="102"/>
      <c r="AC8" s="102"/>
      <c r="AE8" s="88">
        <f t="shared" si="2"/>
        <v>1.1136276273382375</v>
      </c>
      <c r="AF8" s="88">
        <f t="shared" si="0"/>
        <v>1.301105520366753</v>
      </c>
      <c r="AG8" s="88">
        <f t="shared" si="0"/>
        <v>0.73103310292423462</v>
      </c>
      <c r="AH8" s="88">
        <f t="shared" si="0"/>
        <v>1.4354354966587379</v>
      </c>
      <c r="AI8" s="88">
        <f t="shared" si="0"/>
        <v>0.48734080188679241</v>
      </c>
      <c r="AJ8" s="88">
        <f t="shared" si="0"/>
        <v>0.64913332591249773</v>
      </c>
      <c r="AK8" s="90">
        <f t="shared" si="0"/>
        <v>0</v>
      </c>
      <c r="AL8" s="90">
        <f t="shared" si="0"/>
        <v>0</v>
      </c>
      <c r="AM8" s="90">
        <f t="shared" si="0"/>
        <v>0</v>
      </c>
      <c r="AN8" s="90">
        <f t="shared" si="0"/>
        <v>0</v>
      </c>
      <c r="AO8" s="90">
        <f t="shared" si="0"/>
        <v>0</v>
      </c>
      <c r="AP8" s="90">
        <f t="shared" si="0"/>
        <v>0</v>
      </c>
      <c r="AQ8" s="88"/>
      <c r="AR8" s="90">
        <f t="shared" si="3"/>
        <v>1.1135999999999999</v>
      </c>
      <c r="AS8" s="90">
        <f t="shared" si="1"/>
        <v>1.3010999999999999</v>
      </c>
      <c r="AT8" s="90">
        <f t="shared" si="1"/>
        <v>0.73099999999999998</v>
      </c>
      <c r="AU8" s="90">
        <f t="shared" si="1"/>
        <v>1.4354</v>
      </c>
      <c r="AV8" s="90">
        <f t="shared" si="1"/>
        <v>0.48730000000000001</v>
      </c>
      <c r="AW8" s="90">
        <f t="shared" si="1"/>
        <v>0.64910000000000001</v>
      </c>
      <c r="AX8" s="90">
        <f t="shared" si="1"/>
        <v>0</v>
      </c>
      <c r="AY8" s="90">
        <f t="shared" si="1"/>
        <v>0</v>
      </c>
      <c r="AZ8" s="90">
        <f t="shared" si="1"/>
        <v>0</v>
      </c>
      <c r="BA8" s="90">
        <f t="shared" si="1"/>
        <v>0</v>
      </c>
      <c r="BB8" s="90">
        <f t="shared" si="1"/>
        <v>0</v>
      </c>
      <c r="BC8" s="90">
        <f t="shared" si="1"/>
        <v>0</v>
      </c>
      <c r="BD8" s="88"/>
      <c r="BE8" s="1">
        <f>IFERROR(VLOOKUP(AR8,'Top WS'!$A$19:$D$28,4),0)</f>
        <v>920</v>
      </c>
      <c r="BF8" s="1">
        <f>IFERROR(VLOOKUP(AS8,'Top WS'!$A$19:$D$28,4),0)</f>
        <v>1040</v>
      </c>
      <c r="BG8" s="1">
        <f>IFERROR(VLOOKUP(AT8,'Top WS'!$A$19:$D$28,4),0)</f>
        <v>720</v>
      </c>
      <c r="BH8" s="1">
        <f>IFERROR(VLOOKUP(AU8,'Top WS'!$A$19:$D$28,4),0)</f>
        <v>1040</v>
      </c>
      <c r="BI8" s="1">
        <f>IFERROR(VLOOKUP(AV8,'Top WS'!$A$19:$D$28,4),0)</f>
        <v>720</v>
      </c>
      <c r="BJ8" s="1">
        <f>IFERROR(VLOOKUP(AW8,'Top WS'!$A$19:$D$28,4),0)</f>
        <v>720</v>
      </c>
      <c r="BK8" s="89">
        <f>IFERROR(VLOOKUP(AX8,'Top WS'!$A$19:$D$28,4),0)</f>
        <v>720</v>
      </c>
      <c r="BL8" s="89">
        <f>IFERROR(VLOOKUP(AY8,'Top WS'!$A$19:$D$28,4),0)</f>
        <v>720</v>
      </c>
      <c r="BM8" s="89">
        <f>IFERROR(VLOOKUP(AZ8,'Top WS'!$A$19:$D$28,4),0)</f>
        <v>720</v>
      </c>
      <c r="BN8" s="89">
        <f>IFERROR(VLOOKUP(BA8,'Top WS'!$A$19:$D$28,4),0)</f>
        <v>720</v>
      </c>
      <c r="BO8" s="89">
        <f>IFERROR(VLOOKUP(BB8,'Top WS'!$A$19:$D$28,4),0)</f>
        <v>720</v>
      </c>
      <c r="BP8" s="89">
        <f>IFERROR(VLOOKUP(BC8,'Top WS'!$A$19:$D$28,4),0)</f>
        <v>720</v>
      </c>
    </row>
    <row r="9" spans="1:68" x14ac:dyDescent="0.4">
      <c r="A9">
        <v>1190017001</v>
      </c>
      <c r="B9">
        <f>VLOOKUP(A9,'Aji Plus'!$A$2:$D$58,2,0)</f>
        <v>77683</v>
      </c>
      <c r="C9" t="str">
        <f>VLOOKUP(A9,'Aji Plus'!$A$2:$D$58,3,0)</f>
        <v>นายสุพัชธณคุณ ชลมงคล</v>
      </c>
      <c r="D9" t="str">
        <f>VLOOKUP(A9,'Aji Plus'!$A$2:$D$58,4,0)</f>
        <v>Pathumthani</v>
      </c>
      <c r="E9" s="1">
        <v>4260.8096483846675</v>
      </c>
      <c r="F9" s="1">
        <v>2671.7870031679586</v>
      </c>
      <c r="G9" s="1">
        <v>4013.3121835915422</v>
      </c>
      <c r="H9" s="1">
        <v>3728.7642001168092</v>
      </c>
      <c r="I9" s="1">
        <v>2485.3487931621185</v>
      </c>
      <c r="J9" s="1">
        <v>3070.1541800325849</v>
      </c>
      <c r="K9" s="1">
        <v>5205.4496726908919</v>
      </c>
      <c r="L9" s="1">
        <v>5275.4010519617632</v>
      </c>
      <c r="M9" s="1">
        <v>1821.1070942382894</v>
      </c>
      <c r="N9" s="1">
        <v>2864.4497003123088</v>
      </c>
      <c r="O9" s="1">
        <v>2934.6974837326338</v>
      </c>
      <c r="P9" s="1">
        <v>1432.8176584550599</v>
      </c>
      <c r="R9" s="1">
        <f>VLOOKUP(A9,Actual_RDM!$A$2:$H$63,3,0)</f>
        <v>1953.2999999999997</v>
      </c>
      <c r="S9" s="1">
        <f>VLOOKUP(A9,Actual_RDM!$A$2:$H$63,4,0)</f>
        <v>2885.1000000000004</v>
      </c>
      <c r="T9" s="1">
        <f>VLOOKUP(A9,Actual_RDM!$A$2:$H$63,5,0)</f>
        <v>1150.8000000000002</v>
      </c>
      <c r="U9" s="1">
        <f>VLOOKUP(A9,Actual_RDM!$A$2:$H$63,6,0)</f>
        <v>1282.9000000000001</v>
      </c>
      <c r="V9" s="1">
        <f>VLOOKUP(A9,Actual_RDM!$A$2:$H$63,7,0)</f>
        <v>1408</v>
      </c>
      <c r="W9" s="1">
        <f>VLOOKUP(A9,Actual_RDM!$A$2:$H$63,8,0)</f>
        <v>1512.6</v>
      </c>
      <c r="X9" s="102"/>
      <c r="Y9" s="102"/>
      <c r="Z9" s="102"/>
      <c r="AA9" s="102"/>
      <c r="AB9" s="102"/>
      <c r="AC9" s="102"/>
      <c r="AE9" s="88">
        <f t="shared" si="2"/>
        <v>0.45843399757145287</v>
      </c>
      <c r="AF9" s="88">
        <f t="shared" si="0"/>
        <v>1.0798390727176661</v>
      </c>
      <c r="AG9" s="88">
        <f t="shared" si="0"/>
        <v>0.28674569715883425</v>
      </c>
      <c r="AH9" s="88">
        <f t="shared" si="0"/>
        <v>0.34405500888466245</v>
      </c>
      <c r="AI9" s="88">
        <f t="shared" si="0"/>
        <v>0.56652008115472452</v>
      </c>
      <c r="AJ9" s="88">
        <f t="shared" si="0"/>
        <v>0.49267883998709994</v>
      </c>
      <c r="AK9" s="90">
        <f t="shared" si="0"/>
        <v>0</v>
      </c>
      <c r="AL9" s="90">
        <f t="shared" si="0"/>
        <v>0</v>
      </c>
      <c r="AM9" s="90">
        <f t="shared" si="0"/>
        <v>0</v>
      </c>
      <c r="AN9" s="90">
        <f t="shared" si="0"/>
        <v>0</v>
      </c>
      <c r="AO9" s="90">
        <f t="shared" si="0"/>
        <v>0</v>
      </c>
      <c r="AP9" s="90">
        <f t="shared" si="0"/>
        <v>0</v>
      </c>
      <c r="AQ9" s="88"/>
      <c r="AR9" s="90">
        <f t="shared" si="3"/>
        <v>0.45839999999999997</v>
      </c>
      <c r="AS9" s="90">
        <f t="shared" si="1"/>
        <v>1.0798000000000001</v>
      </c>
      <c r="AT9" s="90">
        <f t="shared" si="1"/>
        <v>0.28670000000000001</v>
      </c>
      <c r="AU9" s="90">
        <f t="shared" si="1"/>
        <v>0.34410000000000002</v>
      </c>
      <c r="AV9" s="90">
        <f t="shared" si="1"/>
        <v>0.5665</v>
      </c>
      <c r="AW9" s="90">
        <f t="shared" si="1"/>
        <v>0.49270000000000003</v>
      </c>
      <c r="AX9" s="90">
        <f t="shared" si="1"/>
        <v>0</v>
      </c>
      <c r="AY9" s="90">
        <f t="shared" si="1"/>
        <v>0</v>
      </c>
      <c r="AZ9" s="90">
        <f t="shared" si="1"/>
        <v>0</v>
      </c>
      <c r="BA9" s="90">
        <f t="shared" si="1"/>
        <v>0</v>
      </c>
      <c r="BB9" s="90">
        <f t="shared" si="1"/>
        <v>0</v>
      </c>
      <c r="BC9" s="90">
        <f t="shared" si="1"/>
        <v>0</v>
      </c>
      <c r="BD9" s="88"/>
      <c r="BE9" s="108">
        <f>IFERROR(VLOOKUP(AR9,'Top WS'!$A$19:$D$28,4),0)</f>
        <v>720</v>
      </c>
      <c r="BF9" s="108">
        <f>IFERROR(VLOOKUP(AS9,'Top WS'!$A$19:$D$28,4),0)</f>
        <v>880</v>
      </c>
      <c r="BG9" s="108">
        <f>IFERROR(VLOOKUP(AT9,'Top WS'!$A$19:$D$28,4),0)</f>
        <v>720</v>
      </c>
      <c r="BH9" s="108">
        <f>IFERROR(VLOOKUP(AU9,'Top WS'!$A$19:$D$28,4),0)</f>
        <v>720</v>
      </c>
      <c r="BI9" s="108">
        <f>IFERROR(VLOOKUP(AV9,'Top WS'!$A$19:$D$28,4),0)</f>
        <v>720</v>
      </c>
      <c r="BJ9" s="108">
        <f>IFERROR(VLOOKUP(AW9,'Top WS'!$A$19:$D$28,4),0)</f>
        <v>720</v>
      </c>
      <c r="BK9" s="108">
        <f>IFERROR(VLOOKUP(AX9,'Top WS'!$A$19:$D$28,4),0)</f>
        <v>720</v>
      </c>
      <c r="BL9" s="108">
        <f>IFERROR(VLOOKUP(AY9,'Top WS'!$A$19:$D$28,4),0)</f>
        <v>720</v>
      </c>
      <c r="BM9" s="108">
        <f>IFERROR(VLOOKUP(AZ9,'Top WS'!$A$19:$D$28,4),0)</f>
        <v>720</v>
      </c>
      <c r="BN9" s="108">
        <f>IFERROR(VLOOKUP(BA9,'Top WS'!$A$19:$D$28,4),0)</f>
        <v>720</v>
      </c>
      <c r="BO9" s="108">
        <f>IFERROR(VLOOKUP(BB9,'Top WS'!$A$19:$D$28,4),0)</f>
        <v>720</v>
      </c>
      <c r="BP9" s="108">
        <f>IFERROR(VLOOKUP(BC9,'Top WS'!$A$19:$D$28,4),0)</f>
        <v>720</v>
      </c>
    </row>
    <row r="10" spans="1:68" x14ac:dyDescent="0.4">
      <c r="A10">
        <v>1190017013</v>
      </c>
      <c r="B10">
        <f>VLOOKUP(A10,'Aji Plus'!$A$2:$D$58,2,0)</f>
        <v>76289</v>
      </c>
      <c r="C10" t="str">
        <f>VLOOKUP(A10,'Aji Plus'!$A$2:$D$58,3,0)</f>
        <v>นายเธียรกวิน ใจผ่อง</v>
      </c>
      <c r="D10" t="str">
        <f>VLOOKUP(A10,'Aji Plus'!$A$2:$D$58,4,0)</f>
        <v>Pathumthani</v>
      </c>
      <c r="E10" s="1">
        <v>347.62465314384588</v>
      </c>
      <c r="F10" s="1">
        <v>217.98181728268716</v>
      </c>
      <c r="G10" s="1">
        <v>327.43219503079479</v>
      </c>
      <c r="H10" s="1">
        <v>304.21691384692747</v>
      </c>
      <c r="I10" s="1">
        <v>202.77097159034079</v>
      </c>
      <c r="J10" s="1">
        <v>250.48321094010137</v>
      </c>
      <c r="K10" s="1">
        <v>424.69455015737213</v>
      </c>
      <c r="L10" s="1">
        <v>430.40164011507284</v>
      </c>
      <c r="M10" s="1">
        <v>148.57779957675061</v>
      </c>
      <c r="N10" s="1">
        <v>233.70049725093062</v>
      </c>
      <c r="O10" s="1">
        <v>239.43176979319787</v>
      </c>
      <c r="P10" s="1">
        <v>116.89861379459836</v>
      </c>
      <c r="R10" s="1">
        <f>VLOOKUP(A10,Actual_RDM!$A$2:$H$63,3,0)</f>
        <v>408.30000000000007</v>
      </c>
      <c r="S10" s="1">
        <f>VLOOKUP(A10,Actual_RDM!$A$2:$H$63,4,0)</f>
        <v>394</v>
      </c>
      <c r="T10" s="1">
        <f>VLOOKUP(A10,Actual_RDM!$A$2:$H$63,5,0)</f>
        <v>138.30000000000001</v>
      </c>
      <c r="U10" s="1">
        <f>VLOOKUP(A10,Actual_RDM!$A$2:$H$63,6,0)</f>
        <v>353.7</v>
      </c>
      <c r="V10" s="1">
        <f>VLOOKUP(A10,Actual_RDM!$A$2:$H$63,7,0)</f>
        <v>463.4</v>
      </c>
      <c r="W10" s="1">
        <f>VLOOKUP(A10,Actual_RDM!$A$2:$H$63,8,0)</f>
        <v>363.29999999999995</v>
      </c>
      <c r="X10" s="102"/>
      <c r="Y10" s="102"/>
      <c r="Z10" s="102"/>
      <c r="AA10" s="102"/>
      <c r="AB10" s="102"/>
      <c r="AC10" s="102"/>
      <c r="AE10" s="88">
        <f t="shared" si="2"/>
        <v>1.1745427037680407</v>
      </c>
      <c r="AF10" s="88">
        <f t="shared" si="0"/>
        <v>1.8074902068049361</v>
      </c>
      <c r="AG10" s="88">
        <f t="shared" si="0"/>
        <v>0.42237752456502631</v>
      </c>
      <c r="AH10" s="88">
        <f t="shared" si="0"/>
        <v>1.1626572484985858</v>
      </c>
      <c r="AI10" s="88">
        <f t="shared" si="0"/>
        <v>2.285336980759797</v>
      </c>
      <c r="AJ10" s="88">
        <f t="shared" si="0"/>
        <v>1.4503966099623209</v>
      </c>
      <c r="AK10" s="90">
        <f t="shared" si="0"/>
        <v>0</v>
      </c>
      <c r="AL10" s="90">
        <f t="shared" si="0"/>
        <v>0</v>
      </c>
      <c r="AM10" s="90">
        <f t="shared" si="0"/>
        <v>0</v>
      </c>
      <c r="AN10" s="90">
        <f t="shared" si="0"/>
        <v>0</v>
      </c>
      <c r="AO10" s="90">
        <f t="shared" si="0"/>
        <v>0</v>
      </c>
      <c r="AP10" s="90">
        <f t="shared" si="0"/>
        <v>0</v>
      </c>
      <c r="AQ10" s="88"/>
      <c r="AR10" s="90">
        <f t="shared" si="3"/>
        <v>1.1745000000000001</v>
      </c>
      <c r="AS10" s="90">
        <f t="shared" si="1"/>
        <v>1.8075000000000001</v>
      </c>
      <c r="AT10" s="90">
        <f t="shared" si="1"/>
        <v>0.4224</v>
      </c>
      <c r="AU10" s="90">
        <f t="shared" si="1"/>
        <v>1.1627000000000001</v>
      </c>
      <c r="AV10" s="90">
        <f t="shared" si="1"/>
        <v>2.2852999999999999</v>
      </c>
      <c r="AW10" s="90">
        <f t="shared" si="1"/>
        <v>1.4503999999999999</v>
      </c>
      <c r="AX10" s="90">
        <f t="shared" si="1"/>
        <v>0</v>
      </c>
      <c r="AY10" s="90">
        <f t="shared" si="1"/>
        <v>0</v>
      </c>
      <c r="AZ10" s="90">
        <f t="shared" si="1"/>
        <v>0</v>
      </c>
      <c r="BA10" s="90">
        <f t="shared" si="1"/>
        <v>0</v>
      </c>
      <c r="BB10" s="90">
        <f t="shared" si="1"/>
        <v>0</v>
      </c>
      <c r="BC10" s="90">
        <f t="shared" si="1"/>
        <v>0</v>
      </c>
      <c r="BD10" s="88"/>
      <c r="BE10" s="110">
        <f>IFERROR(VLOOKUP(AR10,' WS SF'!$A$19:$D$28,4),0)</f>
        <v>420</v>
      </c>
      <c r="BF10" s="110">
        <f>IFERROR(VLOOKUP(AS10,' WS SF'!$A$19:$D$28,4),0)</f>
        <v>455</v>
      </c>
      <c r="BG10" s="110">
        <f>IFERROR(VLOOKUP(AT10,' WS SF'!$A$19:$D$28,4),0)</f>
        <v>315</v>
      </c>
      <c r="BH10" s="110">
        <f>IFERROR(VLOOKUP(AU10,' WS SF'!$A$19:$D$28,4),0)</f>
        <v>420</v>
      </c>
      <c r="BI10" s="110">
        <f>IFERROR(VLOOKUP(AV10,' WS SF'!$A$19:$D$28,4),0)</f>
        <v>455</v>
      </c>
      <c r="BJ10" s="110">
        <f>IFERROR(VLOOKUP(AW10,' WS SF'!$A$19:$D$28,4),0)</f>
        <v>455</v>
      </c>
      <c r="BK10" s="110">
        <f>IFERROR(VLOOKUP(AX10,' WS SF'!$A$19:$D$28,4),0)</f>
        <v>315</v>
      </c>
      <c r="BL10" s="110">
        <f>IFERROR(VLOOKUP(AY10,' WS SF'!$A$19:$D$28,4),0)</f>
        <v>315</v>
      </c>
      <c r="BM10" s="110">
        <f>IFERROR(VLOOKUP(AZ10,' WS SF'!$A$19:$D$28,4),0)</f>
        <v>315</v>
      </c>
      <c r="BN10" s="110">
        <f>IFERROR(VLOOKUP(BA10,' WS SF'!$A$19:$D$28,4),0)</f>
        <v>315</v>
      </c>
      <c r="BO10" s="110">
        <f>IFERROR(VLOOKUP(BB10,' WS SF'!$A$19:$D$28,4),0)</f>
        <v>315</v>
      </c>
      <c r="BP10" s="110">
        <f>IFERROR(VLOOKUP(BC10,' WS SF'!$A$19:$D$28,4),0)</f>
        <v>315</v>
      </c>
    </row>
    <row r="11" spans="1:68" x14ac:dyDescent="0.4">
      <c r="A11">
        <v>1190017014</v>
      </c>
      <c r="B11">
        <f>VLOOKUP(A11,'Aji Plus'!$A$2:$D$58,2,0)</f>
        <v>63668</v>
      </c>
      <c r="C11" t="str">
        <f>VLOOKUP(A11,'Aji Plus'!$A$2:$D$58,3,0)</f>
        <v>นายมานพ สุขเจริญ</v>
      </c>
      <c r="D11" t="str">
        <f>VLOOKUP(A11,'Aji Plus'!$A$2:$D$58,4,0)</f>
        <v>Pathumthani</v>
      </c>
      <c r="E11" s="1">
        <v>315.20812700564971</v>
      </c>
      <c r="F11" s="1">
        <v>197.65468221418627</v>
      </c>
      <c r="G11" s="1">
        <v>296.89864623697383</v>
      </c>
      <c r="H11" s="1">
        <v>275.84822523346605</v>
      </c>
      <c r="I11" s="1">
        <v>183.86227095251297</v>
      </c>
      <c r="J11" s="1">
        <v>227.12527161909713</v>
      </c>
      <c r="K11" s="1">
        <v>385.09113923291989</v>
      </c>
      <c r="L11" s="1">
        <v>390.26603439628224</v>
      </c>
      <c r="M11" s="1">
        <v>134.72269442244959</v>
      </c>
      <c r="N11" s="1">
        <v>211.9075714353113</v>
      </c>
      <c r="O11" s="1">
        <v>217.10439412055229</v>
      </c>
      <c r="P11" s="1">
        <v>105.99764076141295</v>
      </c>
      <c r="R11" s="1">
        <f>VLOOKUP(A11,Actual_RDM!$A$2:$H$63,3,0)</f>
        <v>820</v>
      </c>
      <c r="S11" s="1">
        <f>VLOOKUP(A11,Actual_RDM!$A$2:$H$63,4,0)</f>
        <v>761.4</v>
      </c>
      <c r="T11" s="1">
        <f>VLOOKUP(A11,Actual_RDM!$A$2:$H$63,5,0)</f>
        <v>1357.5000000000002</v>
      </c>
      <c r="U11" s="1">
        <f>VLOOKUP(A11,Actual_RDM!$A$2:$H$63,6,0)</f>
        <v>1617.3000000000002</v>
      </c>
      <c r="V11" s="1">
        <f>VLOOKUP(A11,Actual_RDM!$A$2:$H$63,7,0)</f>
        <v>852.4</v>
      </c>
      <c r="W11" s="1">
        <f>VLOOKUP(A11,Actual_RDM!$A$2:$H$63,8,0)</f>
        <v>1364</v>
      </c>
      <c r="X11" s="102"/>
      <c r="Y11" s="102"/>
      <c r="Z11" s="102"/>
      <c r="AA11" s="102"/>
      <c r="AB11" s="102"/>
      <c r="AC11" s="102"/>
      <c r="AE11" s="88">
        <f t="shared" si="2"/>
        <v>2.6014557676214438</v>
      </c>
      <c r="AF11" s="88">
        <f t="shared" si="0"/>
        <v>3.8521728474659529</v>
      </c>
      <c r="AG11" s="88">
        <f t="shared" si="0"/>
        <v>4.5722673956434701</v>
      </c>
      <c r="AH11" s="88">
        <f t="shared" si="0"/>
        <v>5.8630067263662369</v>
      </c>
      <c r="AI11" s="88">
        <f t="shared" si="0"/>
        <v>4.6360789279066044</v>
      </c>
      <c r="AJ11" s="88">
        <f t="shared" si="0"/>
        <v>6.0054963953439353</v>
      </c>
      <c r="AK11" s="90">
        <f t="shared" si="0"/>
        <v>0</v>
      </c>
      <c r="AL11" s="90">
        <f t="shared" si="0"/>
        <v>0</v>
      </c>
      <c r="AM11" s="90">
        <f t="shared" si="0"/>
        <v>0</v>
      </c>
      <c r="AN11" s="90">
        <f t="shared" si="0"/>
        <v>0</v>
      </c>
      <c r="AO11" s="90">
        <f t="shared" si="0"/>
        <v>0</v>
      </c>
      <c r="AP11" s="90">
        <f t="shared" si="0"/>
        <v>0</v>
      </c>
      <c r="AQ11" s="88"/>
      <c r="AR11" s="90">
        <f t="shared" si="3"/>
        <v>2.6015000000000001</v>
      </c>
      <c r="AS11" s="90">
        <f t="shared" si="1"/>
        <v>3.8521999999999998</v>
      </c>
      <c r="AT11" s="90">
        <f t="shared" si="1"/>
        <v>4.5723000000000003</v>
      </c>
      <c r="AU11" s="90">
        <f t="shared" si="1"/>
        <v>5.8630000000000004</v>
      </c>
      <c r="AV11" s="90">
        <f t="shared" si="1"/>
        <v>4.6360999999999999</v>
      </c>
      <c r="AW11" s="90">
        <f t="shared" si="1"/>
        <v>6.0054999999999996</v>
      </c>
      <c r="AX11" s="90">
        <f t="shared" si="1"/>
        <v>0</v>
      </c>
      <c r="AY11" s="90">
        <f t="shared" si="1"/>
        <v>0</v>
      </c>
      <c r="AZ11" s="90">
        <f t="shared" si="1"/>
        <v>0</v>
      </c>
      <c r="BA11" s="90">
        <f t="shared" si="1"/>
        <v>0</v>
      </c>
      <c r="BB11" s="90">
        <f t="shared" si="1"/>
        <v>0</v>
      </c>
      <c r="BC11" s="90">
        <f t="shared" si="1"/>
        <v>0</v>
      </c>
      <c r="BD11" s="88"/>
      <c r="BE11" s="111">
        <f>IFERROR(VLOOKUP(AR11,'WS WH'!$A$19:$D$28,4),0)</f>
        <v>227.5</v>
      </c>
      <c r="BF11" s="111">
        <f>IFERROR(VLOOKUP(AS11,'WS WH'!$A$19:$D$28,4),0)</f>
        <v>227.5</v>
      </c>
      <c r="BG11" s="111">
        <f>IFERROR(VLOOKUP(AT11,'WS WH'!$A$19:$D$28,4),0)</f>
        <v>227.5</v>
      </c>
      <c r="BH11" s="111">
        <f>IFERROR(VLOOKUP(AU11,'WS WH'!$A$19:$D$28,4),0)</f>
        <v>227.5</v>
      </c>
      <c r="BI11" s="111">
        <f>IFERROR(VLOOKUP(AV11,'WS WH'!$A$19:$D$28,4),0)</f>
        <v>227.5</v>
      </c>
      <c r="BJ11" s="111">
        <f>IFERROR(VLOOKUP(AW11,'WS WH'!$A$19:$D$28,4),0)</f>
        <v>227.5</v>
      </c>
      <c r="BK11" s="111">
        <f>IFERROR(VLOOKUP(AX11,'WS WH'!$A$19:$D$28,4),0)</f>
        <v>157.5</v>
      </c>
      <c r="BL11" s="111">
        <f>IFERROR(VLOOKUP(AY11,'WS WH'!$A$19:$D$28,4),0)</f>
        <v>157.5</v>
      </c>
      <c r="BM11" s="111">
        <f>IFERROR(VLOOKUP(AZ11,'WS WH'!$A$19:$D$28,4),0)</f>
        <v>157.5</v>
      </c>
      <c r="BN11" s="111">
        <f>IFERROR(VLOOKUP(BA11,'WS WH'!$A$19:$D$28,4),0)</f>
        <v>157.5</v>
      </c>
      <c r="BO11" s="111">
        <f>IFERROR(VLOOKUP(BB11,'WS WH'!$A$19:$D$28,4),0)</f>
        <v>157.5</v>
      </c>
      <c r="BP11" s="111">
        <f>IFERROR(VLOOKUP(BC11,'WS WH'!$A$19:$D$28,4),0)</f>
        <v>157.5</v>
      </c>
    </row>
    <row r="12" spans="1:68" x14ac:dyDescent="0.4">
      <c r="A12">
        <v>1190021901</v>
      </c>
      <c r="B12">
        <f>VLOOKUP(A12,'Aji Plus'!$A$2:$D$58,2,0)</f>
        <v>76043</v>
      </c>
      <c r="C12" t="str">
        <f>VLOOKUP(A12,'Aji Plus'!$A$2:$D$58,3,0)</f>
        <v>นายธนรัตน์ บัวสอด</v>
      </c>
      <c r="D12" t="str">
        <f>VLOOKUP(A12,'Aji Plus'!$A$2:$D$58,4,0)</f>
        <v>Chiangmai</v>
      </c>
      <c r="E12" s="1">
        <v>1321.9045087142567</v>
      </c>
      <c r="F12" s="1">
        <v>1485.8928726629474</v>
      </c>
      <c r="G12" s="1">
        <v>395.25222521587511</v>
      </c>
      <c r="H12" s="1">
        <v>1314.4063108707096</v>
      </c>
      <c r="I12" s="1">
        <v>1126.6736537507854</v>
      </c>
      <c r="J12" s="1">
        <v>762.6639195496906</v>
      </c>
      <c r="K12" s="1">
        <v>1459.857463483964</v>
      </c>
      <c r="L12" s="1">
        <v>1911.415600284254</v>
      </c>
      <c r="M12" s="1">
        <v>318.74283610856889</v>
      </c>
      <c r="N12" s="1">
        <v>1699.5220834462334</v>
      </c>
      <c r="O12" s="1">
        <v>1370.3650836660713</v>
      </c>
      <c r="P12" s="1">
        <v>413.30344224663713</v>
      </c>
      <c r="R12" s="1">
        <f>VLOOKUP(A12,Actual_RDM!$A$2:$H$63,3,0)</f>
        <v>782.6</v>
      </c>
      <c r="S12" s="1">
        <f>VLOOKUP(A12,Actual_RDM!$A$2:$H$63,4,0)</f>
        <v>659.8</v>
      </c>
      <c r="T12" s="1">
        <f>VLOOKUP(A12,Actual_RDM!$A$2:$H$63,5,0)</f>
        <v>552.9</v>
      </c>
      <c r="U12" s="1">
        <f>VLOOKUP(A12,Actual_RDM!$A$2:$H$63,6,0)</f>
        <v>867.9</v>
      </c>
      <c r="V12" s="1">
        <f>VLOOKUP(A12,Actual_RDM!$A$2:$H$63,7,0)</f>
        <v>680.60000000000014</v>
      </c>
      <c r="W12" s="1">
        <f>VLOOKUP(A12,Actual_RDM!$A$2:$H$63,8,0)</f>
        <v>861</v>
      </c>
      <c r="X12" s="102"/>
      <c r="Y12" s="102"/>
      <c r="Z12" s="102"/>
      <c r="AA12" s="102"/>
      <c r="AB12" s="102"/>
      <c r="AC12" s="102"/>
      <c r="AE12" s="88">
        <f t="shared" si="2"/>
        <v>0.59202460907043253</v>
      </c>
      <c r="AF12" s="88">
        <f t="shared" si="0"/>
        <v>0.44404277868130382</v>
      </c>
      <c r="AG12" s="88">
        <f t="shared" si="0"/>
        <v>1.398853604677424</v>
      </c>
      <c r="AH12" s="88">
        <f t="shared" si="0"/>
        <v>0.66029810783932719</v>
      </c>
      <c r="AI12" s="88">
        <f t="shared" si="0"/>
        <v>0.60407909400759396</v>
      </c>
      <c r="AJ12" s="88">
        <f t="shared" si="0"/>
        <v>1.1289376328545491</v>
      </c>
      <c r="AK12" s="90">
        <f t="shared" si="0"/>
        <v>0</v>
      </c>
      <c r="AL12" s="90">
        <f t="shared" si="0"/>
        <v>0</v>
      </c>
      <c r="AM12" s="90">
        <f t="shared" si="0"/>
        <v>0</v>
      </c>
      <c r="AN12" s="90">
        <f t="shared" si="0"/>
        <v>0</v>
      </c>
      <c r="AO12" s="90">
        <f t="shared" si="0"/>
        <v>0</v>
      </c>
      <c r="AP12" s="90">
        <f t="shared" si="0"/>
        <v>0</v>
      </c>
      <c r="AQ12" s="88"/>
      <c r="AR12" s="90">
        <f t="shared" si="3"/>
        <v>0.59199999999999997</v>
      </c>
      <c r="AS12" s="90">
        <f t="shared" si="1"/>
        <v>0.44400000000000001</v>
      </c>
      <c r="AT12" s="90">
        <f t="shared" si="1"/>
        <v>1.3989</v>
      </c>
      <c r="AU12" s="90">
        <f t="shared" si="1"/>
        <v>0.6603</v>
      </c>
      <c r="AV12" s="90">
        <f t="shared" si="1"/>
        <v>0.60409999999999997</v>
      </c>
      <c r="AW12" s="90">
        <f t="shared" si="1"/>
        <v>1.1289</v>
      </c>
      <c r="AX12" s="90">
        <f t="shared" si="1"/>
        <v>0</v>
      </c>
      <c r="AY12" s="90">
        <f t="shared" si="1"/>
        <v>0</v>
      </c>
      <c r="AZ12" s="90">
        <f t="shared" si="1"/>
        <v>0</v>
      </c>
      <c r="BA12" s="90">
        <f t="shared" si="1"/>
        <v>0</v>
      </c>
      <c r="BB12" s="90">
        <f t="shared" si="1"/>
        <v>0</v>
      </c>
      <c r="BC12" s="90">
        <f t="shared" si="1"/>
        <v>0</v>
      </c>
      <c r="BD12" s="88"/>
      <c r="BE12" s="1">
        <f>IFERROR(VLOOKUP(AR12,'Top WS'!$A$19:$D$28,4),0)</f>
        <v>720</v>
      </c>
      <c r="BF12" s="1">
        <f>IFERROR(VLOOKUP(AS12,'Top WS'!$A$19:$D$28,4),0)</f>
        <v>720</v>
      </c>
      <c r="BG12" s="1">
        <f>IFERROR(VLOOKUP(AT12,'Top WS'!$A$19:$D$28,4),0)</f>
        <v>1040</v>
      </c>
      <c r="BH12" s="1">
        <f>IFERROR(VLOOKUP(AU12,'Top WS'!$A$19:$D$28,4),0)</f>
        <v>720</v>
      </c>
      <c r="BI12" s="1">
        <f>IFERROR(VLOOKUP(AV12,'Top WS'!$A$19:$D$28,4),0)</f>
        <v>720</v>
      </c>
      <c r="BJ12" s="1">
        <f>IFERROR(VLOOKUP(AW12,'Top WS'!$A$19:$D$28,4),0)</f>
        <v>920</v>
      </c>
      <c r="BK12" s="89">
        <f>IFERROR(VLOOKUP(AX12,'Top WS'!$A$19:$D$28,4),0)</f>
        <v>720</v>
      </c>
      <c r="BL12" s="89">
        <f>IFERROR(VLOOKUP(AY12,'Top WS'!$A$19:$D$28,4),0)</f>
        <v>720</v>
      </c>
      <c r="BM12" s="89">
        <f>IFERROR(VLOOKUP(AZ12,'Top WS'!$A$19:$D$28,4),0)</f>
        <v>720</v>
      </c>
      <c r="BN12" s="89">
        <f>IFERROR(VLOOKUP(BA12,'Top WS'!$A$19:$D$28,4),0)</f>
        <v>720</v>
      </c>
      <c r="BO12" s="89">
        <f>IFERROR(VLOOKUP(BB12,'Top WS'!$A$19:$D$28,4),0)</f>
        <v>720</v>
      </c>
      <c r="BP12" s="89">
        <f>IFERROR(VLOOKUP(BC12,'Top WS'!$A$19:$D$28,4),0)</f>
        <v>720</v>
      </c>
    </row>
    <row r="13" spans="1:68" x14ac:dyDescent="0.4">
      <c r="A13">
        <v>1190021902</v>
      </c>
      <c r="B13">
        <f>VLOOKUP(A13,'Aji Plus'!$A$2:$D$58,2,0)</f>
        <v>75835</v>
      </c>
      <c r="C13" t="str">
        <f>VLOOKUP(A13,'Aji Plus'!$A$2:$D$58,3,0)</f>
        <v>นายอนุวัฒน์ บุญจง</v>
      </c>
      <c r="D13" t="str">
        <f>VLOOKUP(A13,'Aji Plus'!$A$2:$D$58,4,0)</f>
        <v>Chiangmai</v>
      </c>
      <c r="E13" s="1">
        <v>584.0520657058571</v>
      </c>
      <c r="F13" s="1">
        <v>656.50642385697233</v>
      </c>
      <c r="G13" s="1">
        <v>174.63279464618932</v>
      </c>
      <c r="H13" s="1">
        <v>580.73916533315594</v>
      </c>
      <c r="I13" s="1">
        <v>497.79395600181977</v>
      </c>
      <c r="J13" s="1">
        <v>336.96491290855255</v>
      </c>
      <c r="K13" s="1">
        <v>645.00329756287067</v>
      </c>
      <c r="L13" s="1">
        <v>844.51352000777058</v>
      </c>
      <c r="M13" s="1">
        <v>140.82894084325577</v>
      </c>
      <c r="N13" s="1">
        <v>750.89340947550807</v>
      </c>
      <c r="O13" s="1">
        <v>605.46321811461178</v>
      </c>
      <c r="P13" s="1">
        <v>182.6082955434332</v>
      </c>
      <c r="R13" s="1">
        <f>VLOOKUP(A13,Actual_RDM!$A$2:$H$63,3,0)</f>
        <v>310.89999999999998</v>
      </c>
      <c r="S13" s="1">
        <f>VLOOKUP(A13,Actual_RDM!$A$2:$H$63,4,0)</f>
        <v>455.90000000000003</v>
      </c>
      <c r="T13" s="1">
        <f>VLOOKUP(A13,Actual_RDM!$A$2:$H$63,5,0)</f>
        <v>345.3</v>
      </c>
      <c r="U13" s="1">
        <f>VLOOKUP(A13,Actual_RDM!$A$2:$H$63,6,0)</f>
        <v>181.9</v>
      </c>
      <c r="V13" s="1">
        <f>VLOOKUP(A13,Actual_RDM!$A$2:$H$63,7,0)</f>
        <v>260.5</v>
      </c>
      <c r="W13" s="1">
        <f>VLOOKUP(A13,Actual_RDM!$A$2:$H$63,8,0)</f>
        <v>357.2</v>
      </c>
      <c r="X13" s="102"/>
      <c r="Y13" s="102"/>
      <c r="Z13" s="102"/>
      <c r="AA13" s="102"/>
      <c r="AB13" s="102"/>
      <c r="AC13" s="102"/>
      <c r="AE13" s="88">
        <f t="shared" si="2"/>
        <v>0.53231555584733914</v>
      </c>
      <c r="AF13" s="88">
        <f t="shared" si="0"/>
        <v>0.6944334182163665</v>
      </c>
      <c r="AG13" s="88">
        <f t="shared" si="0"/>
        <v>1.977291840857194</v>
      </c>
      <c r="AH13" s="88">
        <f t="shared" si="0"/>
        <v>0.31322151295865913</v>
      </c>
      <c r="AI13" s="88">
        <f t="shared" si="0"/>
        <v>0.5233088848492321</v>
      </c>
      <c r="AJ13" s="88">
        <f t="shared" si="0"/>
        <v>1.0600510210893648</v>
      </c>
      <c r="AK13" s="90">
        <f t="shared" si="0"/>
        <v>0</v>
      </c>
      <c r="AL13" s="90">
        <f t="shared" si="0"/>
        <v>0</v>
      </c>
      <c r="AM13" s="90">
        <f t="shared" si="0"/>
        <v>0</v>
      </c>
      <c r="AN13" s="90">
        <f t="shared" si="0"/>
        <v>0</v>
      </c>
      <c r="AO13" s="90">
        <f t="shared" si="0"/>
        <v>0</v>
      </c>
      <c r="AP13" s="90">
        <f t="shared" si="0"/>
        <v>0</v>
      </c>
      <c r="AQ13" s="88"/>
      <c r="AR13" s="90">
        <f t="shared" si="3"/>
        <v>0.5323</v>
      </c>
      <c r="AS13" s="90">
        <f t="shared" si="1"/>
        <v>0.69440000000000002</v>
      </c>
      <c r="AT13" s="90">
        <f t="shared" si="1"/>
        <v>1.9773000000000001</v>
      </c>
      <c r="AU13" s="90">
        <f t="shared" si="1"/>
        <v>0.31319999999999998</v>
      </c>
      <c r="AV13" s="90">
        <f t="shared" si="1"/>
        <v>0.52329999999999999</v>
      </c>
      <c r="AW13" s="90">
        <f t="shared" si="1"/>
        <v>1.0601</v>
      </c>
      <c r="AX13" s="90">
        <f t="shared" si="1"/>
        <v>0</v>
      </c>
      <c r="AY13" s="90">
        <f t="shared" si="1"/>
        <v>0</v>
      </c>
      <c r="AZ13" s="90">
        <f t="shared" si="1"/>
        <v>0</v>
      </c>
      <c r="BA13" s="90">
        <f t="shared" si="1"/>
        <v>0</v>
      </c>
      <c r="BB13" s="90">
        <f t="shared" si="1"/>
        <v>0</v>
      </c>
      <c r="BC13" s="90">
        <f t="shared" si="1"/>
        <v>0</v>
      </c>
      <c r="BD13" s="88"/>
      <c r="BE13" s="1">
        <f>IFERROR(VLOOKUP(AR13,'Top WS'!$A$19:$D$28,4),0)</f>
        <v>720</v>
      </c>
      <c r="BF13" s="1">
        <f>IFERROR(VLOOKUP(AS13,'Top WS'!$A$19:$D$28,4),0)</f>
        <v>720</v>
      </c>
      <c r="BG13" s="1">
        <f>IFERROR(VLOOKUP(AT13,'Top WS'!$A$19:$D$28,4),0)</f>
        <v>1040</v>
      </c>
      <c r="BH13" s="1">
        <f>IFERROR(VLOOKUP(AU13,'Top WS'!$A$19:$D$28,4),0)</f>
        <v>720</v>
      </c>
      <c r="BI13" s="1">
        <f>IFERROR(VLOOKUP(AV13,'Top WS'!$A$19:$D$28,4),0)</f>
        <v>720</v>
      </c>
      <c r="BJ13" s="1">
        <f>IFERROR(VLOOKUP(AW13,'Top WS'!$A$19:$D$28,4),0)</f>
        <v>880</v>
      </c>
      <c r="BK13" s="89">
        <f>IFERROR(VLOOKUP(AX13,'Top WS'!$A$19:$D$28,4),0)</f>
        <v>720</v>
      </c>
      <c r="BL13" s="89">
        <f>IFERROR(VLOOKUP(AY13,'Top WS'!$A$19:$D$28,4),0)</f>
        <v>720</v>
      </c>
      <c r="BM13" s="89">
        <f>IFERROR(VLOOKUP(AZ13,'Top WS'!$A$19:$D$28,4),0)</f>
        <v>720</v>
      </c>
      <c r="BN13" s="89">
        <f>IFERROR(VLOOKUP(BA13,'Top WS'!$A$19:$D$28,4),0)</f>
        <v>720</v>
      </c>
      <c r="BO13" s="89">
        <f>IFERROR(VLOOKUP(BB13,'Top WS'!$A$19:$D$28,4),0)</f>
        <v>720</v>
      </c>
      <c r="BP13" s="89">
        <f>IFERROR(VLOOKUP(BC13,'Top WS'!$A$19:$D$28,4),0)</f>
        <v>720</v>
      </c>
    </row>
    <row r="14" spans="1:68" x14ac:dyDescent="0.4">
      <c r="A14">
        <v>1190022001</v>
      </c>
      <c r="B14">
        <f>VLOOKUP(A14,'Aji Plus'!$A$2:$D$58,2,0)</f>
        <v>100352</v>
      </c>
      <c r="C14" t="str">
        <f>VLOOKUP(A14,'Aji Plus'!$A$2:$D$58,3,0)</f>
        <v>นายชาตรี ขุนทอง</v>
      </c>
      <c r="D14" t="str">
        <f>VLOOKUP(A14,'Aji Plus'!$A$2:$D$58,4,0)</f>
        <v>Chiangrai</v>
      </c>
      <c r="E14" s="1">
        <v>2887.1640448059538</v>
      </c>
      <c r="F14" s="1">
        <v>3245.3300885996332</v>
      </c>
      <c r="G14" s="1">
        <v>863.26811486766246</v>
      </c>
      <c r="H14" s="1">
        <v>2870.7872739635677</v>
      </c>
      <c r="I14" s="1">
        <v>2460.7614558356622</v>
      </c>
      <c r="J14" s="1">
        <v>1665.7298861446116</v>
      </c>
      <c r="K14" s="1">
        <v>3188.4663009524575</v>
      </c>
      <c r="L14" s="1">
        <v>4174.7118339050794</v>
      </c>
      <c r="M14" s="1">
        <v>696.16439756849434</v>
      </c>
      <c r="N14" s="1">
        <v>3711.916420840595</v>
      </c>
      <c r="O14" s="1">
        <v>2993.006508213231</v>
      </c>
      <c r="P14" s="1">
        <v>902.69367430303816</v>
      </c>
      <c r="R14" s="1">
        <f>VLOOKUP(A14,Actual_RDM!$A$2:$H$63,3,0)</f>
        <v>4016.2000000000007</v>
      </c>
      <c r="S14" s="1">
        <f>VLOOKUP(A14,Actual_RDM!$A$2:$H$63,4,0)</f>
        <v>1456.5</v>
      </c>
      <c r="T14" s="1">
        <f>VLOOKUP(A14,Actual_RDM!$A$2:$H$63,5,0)</f>
        <v>2403.6000000000004</v>
      </c>
      <c r="U14" s="1">
        <f>VLOOKUP(A14,Actual_RDM!$A$2:$H$63,6,0)</f>
        <v>1999.9</v>
      </c>
      <c r="V14" s="1">
        <f>VLOOKUP(A14,Actual_RDM!$A$2:$H$63,7,0)</f>
        <v>2586.6999999999994</v>
      </c>
      <c r="W14" s="1">
        <f>VLOOKUP(A14,Actual_RDM!$A$2:$H$63,8,0)</f>
        <v>2821.4</v>
      </c>
      <c r="X14" s="102"/>
      <c r="Y14" s="102"/>
      <c r="Z14" s="102"/>
      <c r="AA14" s="102"/>
      <c r="AB14" s="102"/>
      <c r="AC14" s="102"/>
      <c r="AE14" s="88">
        <f t="shared" si="2"/>
        <v>1.3910536213642579</v>
      </c>
      <c r="AF14" s="88">
        <f t="shared" si="0"/>
        <v>0.44879872316115704</v>
      </c>
      <c r="AG14" s="88">
        <f t="shared" si="0"/>
        <v>2.7843029976480347</v>
      </c>
      <c r="AH14" s="88">
        <f t="shared" si="0"/>
        <v>0.69663817244070037</v>
      </c>
      <c r="AI14" s="88">
        <f t="shared" si="0"/>
        <v>1.051178688558241</v>
      </c>
      <c r="AJ14" s="88">
        <f t="shared" si="0"/>
        <v>1.6937920268274866</v>
      </c>
      <c r="AK14" s="90">
        <f t="shared" si="0"/>
        <v>0</v>
      </c>
      <c r="AL14" s="90">
        <f t="shared" si="0"/>
        <v>0</v>
      </c>
      <c r="AM14" s="90">
        <f t="shared" si="0"/>
        <v>0</v>
      </c>
      <c r="AN14" s="90">
        <f t="shared" si="0"/>
        <v>0</v>
      </c>
      <c r="AO14" s="90">
        <f t="shared" si="0"/>
        <v>0</v>
      </c>
      <c r="AP14" s="90">
        <f t="shared" si="0"/>
        <v>0</v>
      </c>
      <c r="AQ14" s="88"/>
      <c r="AR14" s="90">
        <f t="shared" si="3"/>
        <v>1.3911</v>
      </c>
      <c r="AS14" s="90">
        <f t="shared" si="1"/>
        <v>0.44879999999999998</v>
      </c>
      <c r="AT14" s="90">
        <f t="shared" si="1"/>
        <v>2.7843</v>
      </c>
      <c r="AU14" s="90">
        <f t="shared" si="1"/>
        <v>0.6966</v>
      </c>
      <c r="AV14" s="90">
        <f t="shared" si="1"/>
        <v>1.0511999999999999</v>
      </c>
      <c r="AW14" s="90">
        <f t="shared" si="1"/>
        <v>1.6938</v>
      </c>
      <c r="AX14" s="90">
        <f t="shared" si="1"/>
        <v>0</v>
      </c>
      <c r="AY14" s="90">
        <f t="shared" si="1"/>
        <v>0</v>
      </c>
      <c r="AZ14" s="90">
        <f t="shared" si="1"/>
        <v>0</v>
      </c>
      <c r="BA14" s="90">
        <f t="shared" si="1"/>
        <v>0</v>
      </c>
      <c r="BB14" s="90">
        <f t="shared" si="1"/>
        <v>0</v>
      </c>
      <c r="BC14" s="90">
        <f t="shared" si="1"/>
        <v>0</v>
      </c>
      <c r="BD14" s="88"/>
      <c r="BE14" s="1">
        <f>IFERROR(VLOOKUP(AR14,'Top WS'!$A$19:$D$28,4),0)</f>
        <v>1040</v>
      </c>
      <c r="BF14" s="1">
        <f>IFERROR(VLOOKUP(AS14,'Top WS'!$A$19:$D$28,4),0)</f>
        <v>720</v>
      </c>
      <c r="BG14" s="1">
        <f>IFERROR(VLOOKUP(AT14,'Top WS'!$A$19:$D$28,4),0)</f>
        <v>1040</v>
      </c>
      <c r="BH14" s="1">
        <f>IFERROR(VLOOKUP(AU14,'Top WS'!$A$19:$D$28,4),0)</f>
        <v>720</v>
      </c>
      <c r="BI14" s="1">
        <f>IFERROR(VLOOKUP(AV14,'Top WS'!$A$19:$D$28,4),0)</f>
        <v>864</v>
      </c>
      <c r="BJ14" s="1">
        <f>IFERROR(VLOOKUP(AW14,'Top WS'!$A$19:$D$28,4),0)</f>
        <v>1040</v>
      </c>
      <c r="BK14" s="89">
        <f>IFERROR(VLOOKUP(AX14,'Top WS'!$A$19:$D$28,4),0)</f>
        <v>720</v>
      </c>
      <c r="BL14" s="89">
        <f>IFERROR(VLOOKUP(AY14,'Top WS'!$A$19:$D$28,4),0)</f>
        <v>720</v>
      </c>
      <c r="BM14" s="89">
        <f>IFERROR(VLOOKUP(AZ14,'Top WS'!$A$19:$D$28,4),0)</f>
        <v>720</v>
      </c>
      <c r="BN14" s="89">
        <f>IFERROR(VLOOKUP(BA14,'Top WS'!$A$19:$D$28,4),0)</f>
        <v>720</v>
      </c>
      <c r="BO14" s="89">
        <f>IFERROR(VLOOKUP(BB14,'Top WS'!$A$19:$D$28,4),0)</f>
        <v>720</v>
      </c>
      <c r="BP14" s="89">
        <f>IFERROR(VLOOKUP(BC14,'Top WS'!$A$19:$D$28,4),0)</f>
        <v>720</v>
      </c>
    </row>
    <row r="15" spans="1:68" x14ac:dyDescent="0.4">
      <c r="A15">
        <v>1190022101</v>
      </c>
      <c r="B15">
        <f>VLOOKUP(A15,'Aji Plus'!$A$2:$D$58,2,0)</f>
        <v>61276</v>
      </c>
      <c r="C15" t="str">
        <f>VLOOKUP(A15,'Aji Plus'!$A$2:$D$58,3,0)</f>
        <v>นายพงษ์ศักดิ์ เวียงนาค</v>
      </c>
      <c r="D15" t="str">
        <f>VLOOKUP(A15,'Aji Plus'!$A$2:$D$58,4,0)</f>
        <v>Phrae</v>
      </c>
      <c r="E15" s="1">
        <v>2573.7227695438105</v>
      </c>
      <c r="F15" s="1">
        <v>2893.0049744630583</v>
      </c>
      <c r="G15" s="1">
        <v>769.54851507420756</v>
      </c>
      <c r="H15" s="1">
        <v>2559.1239219014406</v>
      </c>
      <c r="I15" s="1">
        <v>2193.6120327813524</v>
      </c>
      <c r="J15" s="1">
        <v>1484.8920495503551</v>
      </c>
      <c r="K15" s="1">
        <v>2842.3145312603833</v>
      </c>
      <c r="L15" s="1">
        <v>3721.4895781675755</v>
      </c>
      <c r="M15" s="1">
        <v>620.58619931594706</v>
      </c>
      <c r="N15" s="1">
        <v>3308.9369577554057</v>
      </c>
      <c r="O15" s="1">
        <v>2668.0745811583893</v>
      </c>
      <c r="P15" s="1">
        <v>804.69388902806224</v>
      </c>
      <c r="R15" s="1">
        <f>VLOOKUP(A15,Actual_RDM!$A$2:$H$63,3,0)</f>
        <v>1907.0999999999997</v>
      </c>
      <c r="S15" s="1">
        <f>VLOOKUP(A15,Actual_RDM!$A$2:$H$63,4,0)</f>
        <v>2242.0000000000005</v>
      </c>
      <c r="T15" s="1">
        <f>VLOOKUP(A15,Actual_RDM!$A$2:$H$63,5,0)</f>
        <v>1757.5999999999997</v>
      </c>
      <c r="U15" s="1">
        <f>VLOOKUP(A15,Actual_RDM!$A$2:$H$63,6,0)</f>
        <v>1744.5000000000002</v>
      </c>
      <c r="V15" s="1">
        <f>VLOOKUP(A15,Actual_RDM!$A$2:$H$63,7,0)</f>
        <v>1775.2</v>
      </c>
      <c r="W15" s="1">
        <f>VLOOKUP(A15,Actual_RDM!$A$2:$H$63,8,0)</f>
        <v>1995.8000000000004</v>
      </c>
      <c r="X15" s="102"/>
      <c r="Y15" s="102"/>
      <c r="Z15" s="102"/>
      <c r="AA15" s="102"/>
      <c r="AB15" s="102"/>
      <c r="AC15" s="102"/>
      <c r="AE15" s="88">
        <f t="shared" si="2"/>
        <v>0.74098889848110217</v>
      </c>
      <c r="AF15" s="88">
        <f t="shared" si="0"/>
        <v>0.77497274280218464</v>
      </c>
      <c r="AG15" s="88">
        <f t="shared" si="0"/>
        <v>2.2839365752405025</v>
      </c>
      <c r="AH15" s="88">
        <f t="shared" si="0"/>
        <v>0.68167859519043095</v>
      </c>
      <c r="AI15" s="88">
        <f t="shared" si="0"/>
        <v>0.80925887233995797</v>
      </c>
      <c r="AJ15" s="88">
        <f t="shared" si="0"/>
        <v>1.3440707697265637</v>
      </c>
      <c r="AK15" s="90">
        <f t="shared" si="0"/>
        <v>0</v>
      </c>
      <c r="AL15" s="90">
        <f t="shared" si="0"/>
        <v>0</v>
      </c>
      <c r="AM15" s="90">
        <f t="shared" si="0"/>
        <v>0</v>
      </c>
      <c r="AN15" s="90">
        <f t="shared" si="0"/>
        <v>0</v>
      </c>
      <c r="AO15" s="90">
        <f t="shared" si="0"/>
        <v>0</v>
      </c>
      <c r="AP15" s="90">
        <f t="shared" si="0"/>
        <v>0</v>
      </c>
      <c r="AQ15" s="88"/>
      <c r="AR15" s="90">
        <f t="shared" si="3"/>
        <v>0.74099999999999999</v>
      </c>
      <c r="AS15" s="90">
        <f t="shared" si="1"/>
        <v>0.77500000000000002</v>
      </c>
      <c r="AT15" s="90">
        <f t="shared" si="1"/>
        <v>2.2839</v>
      </c>
      <c r="AU15" s="90">
        <f t="shared" si="1"/>
        <v>0.68169999999999997</v>
      </c>
      <c r="AV15" s="90">
        <f t="shared" si="1"/>
        <v>0.80930000000000002</v>
      </c>
      <c r="AW15" s="90">
        <f t="shared" si="1"/>
        <v>1.3441000000000001</v>
      </c>
      <c r="AX15" s="90">
        <f t="shared" si="1"/>
        <v>0</v>
      </c>
      <c r="AY15" s="90">
        <f t="shared" si="1"/>
        <v>0</v>
      </c>
      <c r="AZ15" s="90">
        <f t="shared" si="1"/>
        <v>0</v>
      </c>
      <c r="BA15" s="90">
        <f t="shared" si="1"/>
        <v>0</v>
      </c>
      <c r="BB15" s="90">
        <f t="shared" si="1"/>
        <v>0</v>
      </c>
      <c r="BC15" s="90">
        <f t="shared" si="1"/>
        <v>0</v>
      </c>
      <c r="BD15" s="88"/>
      <c r="BE15" s="1">
        <f>IFERROR(VLOOKUP(AR15,'Top WS'!$A$19:$D$28,4),0)</f>
        <v>720</v>
      </c>
      <c r="BF15" s="1">
        <f>IFERROR(VLOOKUP(AS15,'Top WS'!$A$19:$D$28,4),0)</f>
        <v>720</v>
      </c>
      <c r="BG15" s="1">
        <f>IFERROR(VLOOKUP(AT15,'Top WS'!$A$19:$D$28,4),0)</f>
        <v>1040</v>
      </c>
      <c r="BH15" s="1">
        <f>IFERROR(VLOOKUP(AU15,'Top WS'!$A$19:$D$28,4),0)</f>
        <v>720</v>
      </c>
      <c r="BI15" s="1">
        <f>IFERROR(VLOOKUP(AV15,'Top WS'!$A$19:$D$28,4),0)</f>
        <v>720</v>
      </c>
      <c r="BJ15" s="1">
        <f>IFERROR(VLOOKUP(AW15,'Top WS'!$A$19:$D$28,4),0)</f>
        <v>1040</v>
      </c>
      <c r="BK15" s="89">
        <f>IFERROR(VLOOKUP(AX15,'Top WS'!$A$19:$D$28,4),0)</f>
        <v>720</v>
      </c>
      <c r="BL15" s="89">
        <f>IFERROR(VLOOKUP(AY15,'Top WS'!$A$19:$D$28,4),0)</f>
        <v>720</v>
      </c>
      <c r="BM15" s="89">
        <f>IFERROR(VLOOKUP(AZ15,'Top WS'!$A$19:$D$28,4),0)</f>
        <v>720</v>
      </c>
      <c r="BN15" s="89">
        <f>IFERROR(VLOOKUP(BA15,'Top WS'!$A$19:$D$28,4),0)</f>
        <v>720</v>
      </c>
      <c r="BO15" s="89">
        <f>IFERROR(VLOOKUP(BB15,'Top WS'!$A$19:$D$28,4),0)</f>
        <v>720</v>
      </c>
      <c r="BP15" s="89">
        <f>IFERROR(VLOOKUP(BC15,'Top WS'!$A$19:$D$28,4),0)</f>
        <v>720</v>
      </c>
    </row>
    <row r="16" spans="1:68" x14ac:dyDescent="0.4">
      <c r="A16">
        <v>1190022201</v>
      </c>
      <c r="B16">
        <f>VLOOKUP(A16,'Aji Plus'!$A$2:$D$58,2,0)</f>
        <v>61616</v>
      </c>
      <c r="C16" t="str">
        <f>VLOOKUP(A16,'Aji Plus'!$A$2:$D$58,3,0)</f>
        <v>นายฐิติพงศ์ ก๋าเมืองลือ</v>
      </c>
      <c r="D16" t="str">
        <f>VLOOKUP(A16,'Aji Plus'!$A$2:$D$58,4,0)</f>
        <v>Lampang</v>
      </c>
      <c r="E16" s="1">
        <v>960</v>
      </c>
      <c r="F16" s="1">
        <v>1408</v>
      </c>
      <c r="G16" s="1">
        <v>1052</v>
      </c>
      <c r="H16" s="1">
        <v>990</v>
      </c>
      <c r="I16" s="1">
        <v>1049</v>
      </c>
      <c r="J16" s="1">
        <v>1143</v>
      </c>
      <c r="K16" s="1">
        <v>2161</v>
      </c>
      <c r="L16" s="1">
        <v>1385</v>
      </c>
      <c r="M16" s="1">
        <v>1253</v>
      </c>
      <c r="N16" s="1">
        <v>1667</v>
      </c>
      <c r="O16" s="1">
        <v>1294</v>
      </c>
      <c r="P16" s="1">
        <v>956</v>
      </c>
      <c r="R16" s="1">
        <f>VLOOKUP(A16,Actual_RDM!$A$2:$H$63,3,0)</f>
        <v>1061.3999999999999</v>
      </c>
      <c r="S16" s="1">
        <f>VLOOKUP(A16,Actual_RDM!$A$2:$H$63,4,0)</f>
        <v>998.19999999999982</v>
      </c>
      <c r="T16" s="1">
        <f>VLOOKUP(A16,Actual_RDM!$A$2:$H$63,5,0)</f>
        <v>862.40000000000009</v>
      </c>
      <c r="U16" s="1">
        <f>VLOOKUP(A16,Actual_RDM!$A$2:$H$63,6,0)</f>
        <v>1237.4999999999998</v>
      </c>
      <c r="V16" s="1">
        <f>VLOOKUP(A16,Actual_RDM!$A$2:$H$63,7,0)</f>
        <v>1165.2999999999997</v>
      </c>
      <c r="W16" s="1">
        <f>VLOOKUP(A16,Actual_RDM!$A$2:$H$63,8,0)</f>
        <v>1146.1999999999998</v>
      </c>
      <c r="X16" s="102"/>
      <c r="Y16" s="102"/>
      <c r="Z16" s="102"/>
      <c r="AA16" s="102"/>
      <c r="AB16" s="102"/>
      <c r="AC16" s="102"/>
      <c r="AE16" s="88">
        <f t="shared" si="2"/>
        <v>1.1056249999999999</v>
      </c>
      <c r="AF16" s="88">
        <f t="shared" si="0"/>
        <v>0.70894886363636356</v>
      </c>
      <c r="AG16" s="88">
        <f t="shared" si="0"/>
        <v>0.81977186311787076</v>
      </c>
      <c r="AH16" s="88">
        <f t="shared" si="0"/>
        <v>1.2499999999999998</v>
      </c>
      <c r="AI16" s="88">
        <f t="shared" si="0"/>
        <v>1.1108674928503335</v>
      </c>
      <c r="AJ16" s="88">
        <f t="shared" si="0"/>
        <v>1.0027996500437444</v>
      </c>
      <c r="AK16" s="90">
        <f t="shared" si="0"/>
        <v>0</v>
      </c>
      <c r="AL16" s="90">
        <f t="shared" si="0"/>
        <v>0</v>
      </c>
      <c r="AM16" s="90">
        <f t="shared" si="0"/>
        <v>0</v>
      </c>
      <c r="AN16" s="90">
        <f t="shared" si="0"/>
        <v>0</v>
      </c>
      <c r="AO16" s="90">
        <f t="shared" si="0"/>
        <v>0</v>
      </c>
      <c r="AP16" s="90">
        <f t="shared" si="0"/>
        <v>0</v>
      </c>
      <c r="AQ16" s="88"/>
      <c r="AR16" s="90">
        <f t="shared" si="3"/>
        <v>1.1055999999999999</v>
      </c>
      <c r="AS16" s="90">
        <f t="shared" si="1"/>
        <v>0.70889999999999997</v>
      </c>
      <c r="AT16" s="90">
        <f t="shared" si="1"/>
        <v>0.81979999999999997</v>
      </c>
      <c r="AU16" s="90">
        <f t="shared" si="1"/>
        <v>1.25</v>
      </c>
      <c r="AV16" s="90">
        <f t="shared" si="1"/>
        <v>1.1109</v>
      </c>
      <c r="AW16" s="90">
        <f t="shared" si="1"/>
        <v>1.0027999999999999</v>
      </c>
      <c r="AX16" s="90">
        <f t="shared" si="1"/>
        <v>0</v>
      </c>
      <c r="AY16" s="90">
        <f t="shared" si="1"/>
        <v>0</v>
      </c>
      <c r="AZ16" s="90">
        <f t="shared" si="1"/>
        <v>0</v>
      </c>
      <c r="BA16" s="90">
        <f t="shared" si="1"/>
        <v>0</v>
      </c>
      <c r="BB16" s="90">
        <f t="shared" si="1"/>
        <v>0</v>
      </c>
      <c r="BC16" s="90">
        <f t="shared" si="1"/>
        <v>0</v>
      </c>
      <c r="BD16" s="88"/>
      <c r="BE16" s="1">
        <f>IFERROR(VLOOKUP(AR16,'Top WS'!$A$19:$D$28,4),0)</f>
        <v>920</v>
      </c>
      <c r="BF16" s="1">
        <f>IFERROR(VLOOKUP(AS16,'Top WS'!$A$19:$D$28,4),0)</f>
        <v>720</v>
      </c>
      <c r="BG16" s="1">
        <f>IFERROR(VLOOKUP(AT16,'Top WS'!$A$19:$D$28,4),0)</f>
        <v>720</v>
      </c>
      <c r="BH16" s="1">
        <f>IFERROR(VLOOKUP(AU16,'Top WS'!$A$19:$D$28,4),0)</f>
        <v>1040</v>
      </c>
      <c r="BI16" s="1">
        <f>IFERROR(VLOOKUP(AV16,'Top WS'!$A$19:$D$28,4),0)</f>
        <v>920</v>
      </c>
      <c r="BJ16" s="1">
        <f>IFERROR(VLOOKUP(AW16,'Top WS'!$A$19:$D$28,4),0)</f>
        <v>824</v>
      </c>
      <c r="BK16" s="89">
        <f>IFERROR(VLOOKUP(AX16,'Top WS'!$A$19:$D$28,4),0)</f>
        <v>720</v>
      </c>
      <c r="BL16" s="89">
        <f>IFERROR(VLOOKUP(AY16,'Top WS'!$A$19:$D$28,4),0)</f>
        <v>720</v>
      </c>
      <c r="BM16" s="89">
        <f>IFERROR(VLOOKUP(AZ16,'Top WS'!$A$19:$D$28,4),0)</f>
        <v>720</v>
      </c>
      <c r="BN16" s="89">
        <f>IFERROR(VLOOKUP(BA16,'Top WS'!$A$19:$D$28,4),0)</f>
        <v>720</v>
      </c>
      <c r="BO16" s="89">
        <f>IFERROR(VLOOKUP(BB16,'Top WS'!$A$19:$D$28,4),0)</f>
        <v>720</v>
      </c>
      <c r="BP16" s="89">
        <f>IFERROR(VLOOKUP(BC16,'Top WS'!$A$19:$D$28,4),0)</f>
        <v>720</v>
      </c>
    </row>
    <row r="17" spans="1:68" x14ac:dyDescent="0.4">
      <c r="A17">
        <v>1190022301</v>
      </c>
      <c r="B17">
        <f>VLOOKUP(A17,'Aji Plus'!$A$2:$D$58,2,0)</f>
        <v>64151</v>
      </c>
      <c r="C17" t="str">
        <f>VLOOKUP(A17,'Aji Plus'!$A$2:$D$58,3,0)</f>
        <v>นายยุทธพร แผงไม้</v>
      </c>
      <c r="D17" t="str">
        <f>VLOOKUP(A17,'Aji Plus'!$A$2:$D$58,4,0)</f>
        <v>P.Sanulok</v>
      </c>
      <c r="E17" s="1">
        <v>901</v>
      </c>
      <c r="F17" s="1">
        <v>912</v>
      </c>
      <c r="G17" s="1">
        <v>864</v>
      </c>
      <c r="H17" s="1">
        <v>662</v>
      </c>
      <c r="I17" s="1">
        <v>734</v>
      </c>
      <c r="J17" s="1">
        <v>818</v>
      </c>
      <c r="K17" s="1">
        <v>1197</v>
      </c>
      <c r="L17" s="1">
        <v>934</v>
      </c>
      <c r="M17" s="1">
        <v>704</v>
      </c>
      <c r="N17" s="1">
        <v>964</v>
      </c>
      <c r="O17" s="1">
        <v>655</v>
      </c>
      <c r="P17" s="1">
        <v>790</v>
      </c>
      <c r="R17" s="1">
        <f>VLOOKUP(A17,Actual_RDM!$A$2:$H$63,3,0)</f>
        <v>680.40000000000009</v>
      </c>
      <c r="S17" s="1">
        <f>VLOOKUP(A17,Actual_RDM!$A$2:$H$63,4,0)</f>
        <v>753.39999999999986</v>
      </c>
      <c r="T17" s="1">
        <f>VLOOKUP(A17,Actual_RDM!$A$2:$H$63,5,0)</f>
        <v>549.4</v>
      </c>
      <c r="U17" s="1">
        <f>VLOOKUP(A17,Actual_RDM!$A$2:$H$63,6,0)</f>
        <v>674.5</v>
      </c>
      <c r="V17" s="1">
        <f>VLOOKUP(A17,Actual_RDM!$A$2:$H$63,7,0)</f>
        <v>1116.7</v>
      </c>
      <c r="W17" s="1">
        <f>VLOOKUP(A17,Actual_RDM!$A$2:$H$63,8,0)</f>
        <v>390.2</v>
      </c>
      <c r="X17" s="102"/>
      <c r="Y17" s="102"/>
      <c r="Z17" s="102"/>
      <c r="AA17" s="102"/>
      <c r="AB17" s="102"/>
      <c r="AC17" s="102"/>
      <c r="AE17" s="88">
        <f t="shared" si="2"/>
        <v>0.75516093229744741</v>
      </c>
      <c r="AF17" s="88">
        <f t="shared" si="0"/>
        <v>0.82609649122807005</v>
      </c>
      <c r="AG17" s="88">
        <f t="shared" si="0"/>
        <v>0.63587962962962963</v>
      </c>
      <c r="AH17" s="88">
        <f t="shared" si="0"/>
        <v>1.0188821752265862</v>
      </c>
      <c r="AI17" s="88">
        <f t="shared" si="0"/>
        <v>1.5213896457765668</v>
      </c>
      <c r="AJ17" s="88">
        <f t="shared" si="0"/>
        <v>0.47701711491442539</v>
      </c>
      <c r="AK17" s="90">
        <f t="shared" si="0"/>
        <v>0</v>
      </c>
      <c r="AL17" s="90">
        <f t="shared" si="0"/>
        <v>0</v>
      </c>
      <c r="AM17" s="90">
        <f t="shared" si="0"/>
        <v>0</v>
      </c>
      <c r="AN17" s="90">
        <f t="shared" si="0"/>
        <v>0</v>
      </c>
      <c r="AO17" s="90">
        <f t="shared" si="0"/>
        <v>0</v>
      </c>
      <c r="AP17" s="90">
        <f t="shared" si="0"/>
        <v>0</v>
      </c>
      <c r="AQ17" s="88"/>
      <c r="AR17" s="90">
        <f t="shared" si="3"/>
        <v>0.75519999999999998</v>
      </c>
      <c r="AS17" s="90">
        <f t="shared" si="1"/>
        <v>0.82609999999999995</v>
      </c>
      <c r="AT17" s="90">
        <f t="shared" si="1"/>
        <v>0.63590000000000002</v>
      </c>
      <c r="AU17" s="90">
        <f t="shared" si="1"/>
        <v>1.0188999999999999</v>
      </c>
      <c r="AV17" s="90">
        <f t="shared" si="1"/>
        <v>1.5214000000000001</v>
      </c>
      <c r="AW17" s="90">
        <f t="shared" si="1"/>
        <v>0.47699999999999998</v>
      </c>
      <c r="AX17" s="90">
        <f t="shared" si="1"/>
        <v>0</v>
      </c>
      <c r="AY17" s="90">
        <f t="shared" si="1"/>
        <v>0</v>
      </c>
      <c r="AZ17" s="90">
        <f t="shared" si="1"/>
        <v>0</v>
      </c>
      <c r="BA17" s="90">
        <f t="shared" si="1"/>
        <v>0</v>
      </c>
      <c r="BB17" s="90">
        <f t="shared" si="1"/>
        <v>0</v>
      </c>
      <c r="BC17" s="90">
        <f t="shared" si="1"/>
        <v>0</v>
      </c>
      <c r="BD17" s="88"/>
      <c r="BE17" s="1">
        <f>IFERROR(VLOOKUP(AR17,'Top WS'!$A$19:$D$28,4),0)</f>
        <v>720</v>
      </c>
      <c r="BF17" s="1">
        <f>IFERROR(VLOOKUP(AS17,'Top WS'!$A$19:$D$28,4),0)</f>
        <v>720</v>
      </c>
      <c r="BG17" s="1">
        <f>IFERROR(VLOOKUP(AT17,'Top WS'!$A$19:$D$28,4),0)</f>
        <v>720</v>
      </c>
      <c r="BH17" s="1">
        <f>IFERROR(VLOOKUP(AU17,'Top WS'!$A$19:$D$28,4),0)</f>
        <v>824</v>
      </c>
      <c r="BI17" s="1">
        <f>IFERROR(VLOOKUP(AV17,'Top WS'!$A$19:$D$28,4),0)</f>
        <v>1040</v>
      </c>
      <c r="BJ17" s="1">
        <f>IFERROR(VLOOKUP(AW17,'Top WS'!$A$19:$D$28,4),0)</f>
        <v>720</v>
      </c>
      <c r="BK17" s="89">
        <f>IFERROR(VLOOKUP(AX17,'Top WS'!$A$19:$D$28,4),0)</f>
        <v>720</v>
      </c>
      <c r="BL17" s="89">
        <f>IFERROR(VLOOKUP(AY17,'Top WS'!$A$19:$D$28,4),0)</f>
        <v>720</v>
      </c>
      <c r="BM17" s="89">
        <f>IFERROR(VLOOKUP(AZ17,'Top WS'!$A$19:$D$28,4),0)</f>
        <v>720</v>
      </c>
      <c r="BN17" s="89">
        <f>IFERROR(VLOOKUP(BA17,'Top WS'!$A$19:$D$28,4),0)</f>
        <v>720</v>
      </c>
      <c r="BO17" s="89">
        <f>IFERROR(VLOOKUP(BB17,'Top WS'!$A$19:$D$28,4),0)</f>
        <v>720</v>
      </c>
      <c r="BP17" s="89">
        <f>IFERROR(VLOOKUP(BC17,'Top WS'!$A$19:$D$28,4),0)</f>
        <v>720</v>
      </c>
    </row>
    <row r="18" spans="1:68" x14ac:dyDescent="0.4">
      <c r="A18">
        <v>1190022302</v>
      </c>
      <c r="B18">
        <f>VLOOKUP(A18,'Aji Plus'!$A$2:$D$58,2,0)</f>
        <v>65589</v>
      </c>
      <c r="C18" t="str">
        <f>VLOOKUP(A18,'Aji Plus'!$A$2:$D$58,3,0)</f>
        <v>นายไกรสร อิ่มเพ็ง</v>
      </c>
      <c r="D18" t="str">
        <f>VLOOKUP(A18,'Aji Plus'!$A$2:$D$58,4,0)</f>
        <v>P.Sanulok</v>
      </c>
      <c r="E18" s="1">
        <v>771</v>
      </c>
      <c r="F18" s="1">
        <v>780</v>
      </c>
      <c r="G18" s="1">
        <v>739</v>
      </c>
      <c r="H18" s="1">
        <v>566</v>
      </c>
      <c r="I18" s="1">
        <v>628</v>
      </c>
      <c r="J18" s="1">
        <v>700</v>
      </c>
      <c r="K18" s="1">
        <v>1024</v>
      </c>
      <c r="L18" s="1">
        <v>799</v>
      </c>
      <c r="M18" s="1">
        <v>602</v>
      </c>
      <c r="N18" s="1">
        <v>824</v>
      </c>
      <c r="O18" s="1">
        <v>783</v>
      </c>
      <c r="P18" s="1">
        <v>701</v>
      </c>
      <c r="R18" s="1">
        <f>VLOOKUP(A18,Actual_RDM!$A$2:$H$63,3,0)</f>
        <v>498.70000000000005</v>
      </c>
      <c r="S18" s="1">
        <f>VLOOKUP(A18,Actual_RDM!$A$2:$H$63,4,0)</f>
        <v>519.19999999999993</v>
      </c>
      <c r="T18" s="1">
        <f>VLOOKUP(A18,Actual_RDM!$A$2:$H$63,5,0)</f>
        <v>269.90000000000003</v>
      </c>
      <c r="U18" s="1">
        <f>VLOOKUP(A18,Actual_RDM!$A$2:$H$63,6,0)</f>
        <v>570.80000000000007</v>
      </c>
      <c r="V18" s="1">
        <f>VLOOKUP(A18,Actual_RDM!$A$2:$H$63,7,0)</f>
        <v>647.60000000000014</v>
      </c>
      <c r="W18" s="1">
        <f>VLOOKUP(A18,Actual_RDM!$A$2:$H$63,8,0)</f>
        <v>693</v>
      </c>
      <c r="X18" s="102"/>
      <c r="Y18" s="102"/>
      <c r="Z18" s="102"/>
      <c r="AA18" s="102"/>
      <c r="AB18" s="102"/>
      <c r="AC18" s="102"/>
      <c r="AE18" s="88">
        <f t="shared" si="2"/>
        <v>0.646822308690013</v>
      </c>
      <c r="AF18" s="88">
        <f t="shared" si="2"/>
        <v>0.66564102564102556</v>
      </c>
      <c r="AG18" s="88">
        <f t="shared" si="2"/>
        <v>0.36522327469553456</v>
      </c>
      <c r="AH18" s="88">
        <f t="shared" si="2"/>
        <v>1.0084805653710249</v>
      </c>
      <c r="AI18" s="88">
        <f t="shared" si="2"/>
        <v>1.0312101910828029</v>
      </c>
      <c r="AJ18" s="88">
        <f t="shared" si="2"/>
        <v>0.99</v>
      </c>
      <c r="AK18" s="90">
        <f t="shared" si="2"/>
        <v>0</v>
      </c>
      <c r="AL18" s="90">
        <f t="shared" si="2"/>
        <v>0</v>
      </c>
      <c r="AM18" s="90">
        <f t="shared" si="2"/>
        <v>0</v>
      </c>
      <c r="AN18" s="90">
        <f t="shared" si="2"/>
        <v>0</v>
      </c>
      <c r="AO18" s="90">
        <f t="shared" si="2"/>
        <v>0</v>
      </c>
      <c r="AP18" s="90">
        <f t="shared" si="2"/>
        <v>0</v>
      </c>
      <c r="AQ18" s="88"/>
      <c r="AR18" s="90">
        <f t="shared" si="3"/>
        <v>0.64680000000000004</v>
      </c>
      <c r="AS18" s="90">
        <f t="shared" si="3"/>
        <v>0.66559999999999997</v>
      </c>
      <c r="AT18" s="90">
        <f t="shared" si="3"/>
        <v>0.36520000000000002</v>
      </c>
      <c r="AU18" s="90">
        <f t="shared" si="3"/>
        <v>1.0085</v>
      </c>
      <c r="AV18" s="90">
        <f t="shared" si="3"/>
        <v>1.0311999999999999</v>
      </c>
      <c r="AW18" s="90">
        <f t="shared" si="3"/>
        <v>0.99</v>
      </c>
      <c r="AX18" s="90">
        <f t="shared" si="3"/>
        <v>0</v>
      </c>
      <c r="AY18" s="90">
        <f t="shared" si="3"/>
        <v>0</v>
      </c>
      <c r="AZ18" s="90">
        <f t="shared" si="3"/>
        <v>0</v>
      </c>
      <c r="BA18" s="90">
        <f t="shared" si="3"/>
        <v>0</v>
      </c>
      <c r="BB18" s="90">
        <f t="shared" si="3"/>
        <v>0</v>
      </c>
      <c r="BC18" s="90">
        <f t="shared" si="3"/>
        <v>0</v>
      </c>
      <c r="BD18" s="88"/>
      <c r="BE18" s="1">
        <f>IFERROR(VLOOKUP(AR18,'Top WS'!$A$19:$D$28,4),0)</f>
        <v>720</v>
      </c>
      <c r="BF18" s="1">
        <f>IFERROR(VLOOKUP(AS18,'Top WS'!$A$19:$D$28,4),0)</f>
        <v>720</v>
      </c>
      <c r="BG18" s="1">
        <f>IFERROR(VLOOKUP(AT18,'Top WS'!$A$19:$D$28,4),0)</f>
        <v>720</v>
      </c>
      <c r="BH18" s="1">
        <f>IFERROR(VLOOKUP(AU18,'Top WS'!$A$19:$D$28,4),0)</f>
        <v>824</v>
      </c>
      <c r="BI18" s="1">
        <f>IFERROR(VLOOKUP(AV18,'Top WS'!$A$19:$D$28,4),0)</f>
        <v>864</v>
      </c>
      <c r="BJ18" s="1">
        <f>IFERROR(VLOOKUP(AW18,'Top WS'!$A$19:$D$28,4),0)</f>
        <v>800</v>
      </c>
      <c r="BK18" s="89">
        <f>IFERROR(VLOOKUP(AX18,'Top WS'!$A$19:$D$28,4),0)</f>
        <v>720</v>
      </c>
      <c r="BL18" s="89">
        <f>IFERROR(VLOOKUP(AY18,'Top WS'!$A$19:$D$28,4),0)</f>
        <v>720</v>
      </c>
      <c r="BM18" s="89">
        <f>IFERROR(VLOOKUP(AZ18,'Top WS'!$A$19:$D$28,4),0)</f>
        <v>720</v>
      </c>
      <c r="BN18" s="89">
        <f>IFERROR(VLOOKUP(BA18,'Top WS'!$A$19:$D$28,4),0)</f>
        <v>720</v>
      </c>
      <c r="BO18" s="89">
        <f>IFERROR(VLOOKUP(BB18,'Top WS'!$A$19:$D$28,4),0)</f>
        <v>720</v>
      </c>
      <c r="BP18" s="89">
        <f>IFERROR(VLOOKUP(BC18,'Top WS'!$A$19:$D$28,4),0)</f>
        <v>720</v>
      </c>
    </row>
    <row r="19" spans="1:68" x14ac:dyDescent="0.4">
      <c r="A19">
        <v>1190022401</v>
      </c>
      <c r="B19">
        <f>VLOOKUP(A19,'Aji Plus'!$A$2:$D$58,2,0)</f>
        <v>75673</v>
      </c>
      <c r="C19" t="str">
        <f>VLOOKUP(A19,'Aji Plus'!$A$2:$D$58,3,0)</f>
        <v>นายพิเชษฐ เพชรสันทัด</v>
      </c>
      <c r="D19" t="str">
        <f>VLOOKUP(A19,'Aji Plus'!$A$2:$D$58,4,0)</f>
        <v>N.Sawan</v>
      </c>
      <c r="E19" s="1">
        <v>1683.6617827514199</v>
      </c>
      <c r="F19" s="1">
        <v>1704.3773282915979</v>
      </c>
      <c r="G19" s="1">
        <v>1614.1832395632953</v>
      </c>
      <c r="H19" s="1">
        <v>1236.2700077917084</v>
      </c>
      <c r="I19" s="1">
        <v>1370.7755794662053</v>
      </c>
      <c r="J19" s="1">
        <v>1528.5570450060707</v>
      </c>
      <c r="K19" s="1">
        <v>2237.1334440025485</v>
      </c>
      <c r="L19" s="1">
        <v>1744.2663914033719</v>
      </c>
      <c r="M19" s="1">
        <v>1315.2625725973019</v>
      </c>
      <c r="N19" s="1">
        <v>1800.4776750882368</v>
      </c>
      <c r="O19" s="1">
        <v>1447.586029221922</v>
      </c>
      <c r="P19" s="1">
        <v>1485.1475029471603</v>
      </c>
      <c r="R19" s="1">
        <f>VLOOKUP(A19,Actual_RDM!$A$2:$H$63,3,0)</f>
        <v>889.6</v>
      </c>
      <c r="S19" s="1">
        <f>VLOOKUP(A19,Actual_RDM!$A$2:$H$63,4,0)</f>
        <v>1157.4000000000001</v>
      </c>
      <c r="T19" s="1">
        <f>VLOOKUP(A19,Actual_RDM!$A$2:$H$63,5,0)</f>
        <v>689.3</v>
      </c>
      <c r="U19" s="1">
        <f>VLOOKUP(A19,Actual_RDM!$A$2:$H$63,6,0)</f>
        <v>891.8</v>
      </c>
      <c r="V19" s="1">
        <f>VLOOKUP(A19,Actual_RDM!$A$2:$H$63,7,0)</f>
        <v>510.5</v>
      </c>
      <c r="W19" s="1">
        <f>VLOOKUP(A19,Actual_RDM!$A$2:$H$63,8,0)</f>
        <v>872.09999999999991</v>
      </c>
      <c r="X19" s="102"/>
      <c r="Y19" s="102"/>
      <c r="Z19" s="102"/>
      <c r="AA19" s="102"/>
      <c r="AB19" s="102"/>
      <c r="AC19" s="102"/>
      <c r="AE19" s="88">
        <f t="shared" si="2"/>
        <v>0.52837215236080637</v>
      </c>
      <c r="AF19" s="88">
        <f t="shared" si="2"/>
        <v>0.6790749799283784</v>
      </c>
      <c r="AG19" s="88">
        <f t="shared" si="2"/>
        <v>0.42702710764515478</v>
      </c>
      <c r="AH19" s="88">
        <f t="shared" si="2"/>
        <v>0.72136345165647175</v>
      </c>
      <c r="AI19" s="88">
        <f t="shared" si="2"/>
        <v>0.37241690590869309</v>
      </c>
      <c r="AJ19" s="88">
        <f t="shared" si="2"/>
        <v>0.57053807893478803</v>
      </c>
      <c r="AK19" s="90">
        <f t="shared" si="2"/>
        <v>0</v>
      </c>
      <c r="AL19" s="90">
        <f t="shared" si="2"/>
        <v>0</v>
      </c>
      <c r="AM19" s="90">
        <f t="shared" si="2"/>
        <v>0</v>
      </c>
      <c r="AN19" s="90">
        <f t="shared" si="2"/>
        <v>0</v>
      </c>
      <c r="AO19" s="90">
        <f t="shared" si="2"/>
        <v>0</v>
      </c>
      <c r="AP19" s="90">
        <f t="shared" si="2"/>
        <v>0</v>
      </c>
      <c r="AQ19" s="88"/>
      <c r="AR19" s="90">
        <f t="shared" si="3"/>
        <v>0.52839999999999998</v>
      </c>
      <c r="AS19" s="90">
        <f t="shared" si="3"/>
        <v>0.67910000000000004</v>
      </c>
      <c r="AT19" s="90">
        <f t="shared" si="3"/>
        <v>0.42699999999999999</v>
      </c>
      <c r="AU19" s="90">
        <f t="shared" si="3"/>
        <v>0.72140000000000004</v>
      </c>
      <c r="AV19" s="90">
        <f t="shared" si="3"/>
        <v>0.37240000000000001</v>
      </c>
      <c r="AW19" s="90">
        <f t="shared" si="3"/>
        <v>0.57050000000000001</v>
      </c>
      <c r="AX19" s="90">
        <f t="shared" si="3"/>
        <v>0</v>
      </c>
      <c r="AY19" s="90">
        <f t="shared" si="3"/>
        <v>0</v>
      </c>
      <c r="AZ19" s="90">
        <f t="shared" si="3"/>
        <v>0</v>
      </c>
      <c r="BA19" s="90">
        <f t="shared" si="3"/>
        <v>0</v>
      </c>
      <c r="BB19" s="90">
        <f t="shared" si="3"/>
        <v>0</v>
      </c>
      <c r="BC19" s="90">
        <f t="shared" si="3"/>
        <v>0</v>
      </c>
      <c r="BD19" s="88"/>
      <c r="BE19" s="1">
        <f>IFERROR(VLOOKUP(AR19,'Top WS'!$A$19:$D$28,4),0)</f>
        <v>720</v>
      </c>
      <c r="BF19" s="1">
        <f>IFERROR(VLOOKUP(AS19,'Top WS'!$A$19:$D$28,4),0)</f>
        <v>720</v>
      </c>
      <c r="BG19" s="1">
        <f>IFERROR(VLOOKUP(AT19,'Top WS'!$A$19:$D$28,4),0)</f>
        <v>720</v>
      </c>
      <c r="BH19" s="1">
        <f>IFERROR(VLOOKUP(AU19,'Top WS'!$A$19:$D$28,4),0)</f>
        <v>720</v>
      </c>
      <c r="BI19" s="1">
        <f>IFERROR(VLOOKUP(AV19,'Top WS'!$A$19:$D$28,4),0)</f>
        <v>720</v>
      </c>
      <c r="BJ19" s="1">
        <f>IFERROR(VLOOKUP(AW19,'Top WS'!$A$19:$D$28,4),0)</f>
        <v>720</v>
      </c>
      <c r="BK19" s="89">
        <f>IFERROR(VLOOKUP(AX19,'Top WS'!$A$19:$D$28,4),0)</f>
        <v>720</v>
      </c>
      <c r="BL19" s="89">
        <f>IFERROR(VLOOKUP(AY19,'Top WS'!$A$19:$D$28,4),0)</f>
        <v>720</v>
      </c>
      <c r="BM19" s="89">
        <f>IFERROR(VLOOKUP(AZ19,'Top WS'!$A$19:$D$28,4),0)</f>
        <v>720</v>
      </c>
      <c r="BN19" s="89">
        <f>IFERROR(VLOOKUP(BA19,'Top WS'!$A$19:$D$28,4),0)</f>
        <v>720</v>
      </c>
      <c r="BO19" s="89">
        <f>IFERROR(VLOOKUP(BB19,'Top WS'!$A$19:$D$28,4),0)</f>
        <v>720</v>
      </c>
      <c r="BP19" s="89">
        <f>IFERROR(VLOOKUP(BC19,'Top WS'!$A$19:$D$28,4),0)</f>
        <v>720</v>
      </c>
    </row>
    <row r="20" spans="1:68" x14ac:dyDescent="0.4">
      <c r="A20">
        <v>1190022402</v>
      </c>
      <c r="B20">
        <f>VLOOKUP(A20,'Aji Plus'!$A$2:$D$58,2,0)</f>
        <v>63074</v>
      </c>
      <c r="C20" t="str">
        <f>VLOOKUP(A20,'Aji Plus'!$A$2:$D$58,3,0)</f>
        <v>นายวีรยุทธ ตันพงษ์</v>
      </c>
      <c r="D20" t="str">
        <f>VLOOKUP(A20,'Aji Plus'!$A$2:$D$58,4,0)</f>
        <v>N.Sawan</v>
      </c>
      <c r="E20" s="1">
        <v>446.42170237304867</v>
      </c>
      <c r="F20" s="1">
        <v>451.91441427063648</v>
      </c>
      <c r="G20" s="1">
        <v>427.99951696372329</v>
      </c>
      <c r="H20" s="1">
        <v>327.79609724775713</v>
      </c>
      <c r="I20" s="1">
        <v>363.46015216706655</v>
      </c>
      <c r="J20" s="1">
        <v>405.29579348816003</v>
      </c>
      <c r="K20" s="1">
        <v>593.17431252447125</v>
      </c>
      <c r="L20" s="1">
        <v>462.49097046669362</v>
      </c>
      <c r="M20" s="1">
        <v>348.74091859881162</v>
      </c>
      <c r="N20" s="1">
        <v>477.39535162700219</v>
      </c>
      <c r="O20" s="1">
        <v>383.82638729295417</v>
      </c>
      <c r="P20" s="1">
        <v>393.7857848488332</v>
      </c>
      <c r="R20" s="1">
        <f>VLOOKUP(A20,Actual_RDM!$A$2:$H$63,3,0)</f>
        <v>182.6</v>
      </c>
      <c r="S20" s="1">
        <f>VLOOKUP(A20,Actual_RDM!$A$2:$H$63,4,0)</f>
        <v>352.2</v>
      </c>
      <c r="T20" s="1">
        <f>VLOOKUP(A20,Actual_RDM!$A$2:$H$63,5,0)</f>
        <v>321.7</v>
      </c>
      <c r="U20" s="1">
        <f>VLOOKUP(A20,Actual_RDM!$A$2:$H$63,6,0)</f>
        <v>249.2</v>
      </c>
      <c r="V20" s="1">
        <f>VLOOKUP(A20,Actual_RDM!$A$2:$H$63,7,0)</f>
        <v>192.6</v>
      </c>
      <c r="W20" s="1">
        <f>VLOOKUP(A20,Actual_RDM!$A$2:$H$63,8,0)</f>
        <v>353.5</v>
      </c>
      <c r="X20" s="102"/>
      <c r="Y20" s="102"/>
      <c r="Z20" s="102"/>
      <c r="AA20" s="102"/>
      <c r="AB20" s="102"/>
      <c r="AC20" s="102"/>
      <c r="AE20" s="88">
        <f t="shared" si="2"/>
        <v>0.40903029362002608</v>
      </c>
      <c r="AF20" s="88">
        <f t="shared" si="2"/>
        <v>0.7793511091440406</v>
      </c>
      <c r="AG20" s="88">
        <f t="shared" si="2"/>
        <v>0.75163636230754638</v>
      </c>
      <c r="AH20" s="88">
        <f t="shared" si="2"/>
        <v>0.76022869732841236</v>
      </c>
      <c r="AI20" s="88">
        <f t="shared" si="2"/>
        <v>0.52990678304528493</v>
      </c>
      <c r="AJ20" s="88">
        <f t="shared" si="2"/>
        <v>0.87220248934147115</v>
      </c>
      <c r="AK20" s="90">
        <f t="shared" si="2"/>
        <v>0</v>
      </c>
      <c r="AL20" s="90">
        <f t="shared" si="2"/>
        <v>0</v>
      </c>
      <c r="AM20" s="90">
        <f t="shared" si="2"/>
        <v>0</v>
      </c>
      <c r="AN20" s="90">
        <f t="shared" si="2"/>
        <v>0</v>
      </c>
      <c r="AO20" s="90">
        <f t="shared" si="2"/>
        <v>0</v>
      </c>
      <c r="AP20" s="90">
        <f t="shared" si="2"/>
        <v>0</v>
      </c>
      <c r="AQ20" s="88"/>
      <c r="AR20" s="90">
        <f t="shared" si="3"/>
        <v>0.40899999999999997</v>
      </c>
      <c r="AS20" s="90">
        <f t="shared" si="3"/>
        <v>0.77939999999999998</v>
      </c>
      <c r="AT20" s="90">
        <f t="shared" si="3"/>
        <v>0.75160000000000005</v>
      </c>
      <c r="AU20" s="90">
        <f t="shared" si="3"/>
        <v>0.76019999999999999</v>
      </c>
      <c r="AV20" s="90">
        <f t="shared" si="3"/>
        <v>0.52990000000000004</v>
      </c>
      <c r="AW20" s="90">
        <f t="shared" si="3"/>
        <v>0.87219999999999998</v>
      </c>
      <c r="AX20" s="90">
        <f t="shared" si="3"/>
        <v>0</v>
      </c>
      <c r="AY20" s="90">
        <f t="shared" si="3"/>
        <v>0</v>
      </c>
      <c r="AZ20" s="90">
        <f t="shared" si="3"/>
        <v>0</v>
      </c>
      <c r="BA20" s="90">
        <f t="shared" si="3"/>
        <v>0</v>
      </c>
      <c r="BB20" s="90">
        <f t="shared" si="3"/>
        <v>0</v>
      </c>
      <c r="BC20" s="90">
        <f t="shared" si="3"/>
        <v>0</v>
      </c>
      <c r="BD20" s="88"/>
      <c r="BE20" s="1">
        <f>IFERROR(VLOOKUP(AR20,'Top WS'!$A$19:$D$28,4),0)</f>
        <v>720</v>
      </c>
      <c r="BF20" s="1">
        <f>IFERROR(VLOOKUP(AS20,'Top WS'!$A$19:$D$28,4),0)</f>
        <v>720</v>
      </c>
      <c r="BG20" s="1">
        <f>IFERROR(VLOOKUP(AT20,'Top WS'!$A$19:$D$28,4),0)</f>
        <v>720</v>
      </c>
      <c r="BH20" s="1">
        <f>IFERROR(VLOOKUP(AU20,'Top WS'!$A$19:$D$28,4),0)</f>
        <v>720</v>
      </c>
      <c r="BI20" s="1">
        <f>IFERROR(VLOOKUP(AV20,'Top WS'!$A$19:$D$28,4),0)</f>
        <v>720</v>
      </c>
      <c r="BJ20" s="1">
        <f>IFERROR(VLOOKUP(AW20,'Top WS'!$A$19:$D$28,4),0)</f>
        <v>720</v>
      </c>
      <c r="BK20" s="89">
        <f>IFERROR(VLOOKUP(AX20,'Top WS'!$A$19:$D$28,4),0)</f>
        <v>720</v>
      </c>
      <c r="BL20" s="89">
        <f>IFERROR(VLOOKUP(AY20,'Top WS'!$A$19:$D$28,4),0)</f>
        <v>720</v>
      </c>
      <c r="BM20" s="89">
        <f>IFERROR(VLOOKUP(AZ20,'Top WS'!$A$19:$D$28,4),0)</f>
        <v>720</v>
      </c>
      <c r="BN20" s="89">
        <f>IFERROR(VLOOKUP(BA20,'Top WS'!$A$19:$D$28,4),0)</f>
        <v>720</v>
      </c>
      <c r="BO20" s="89">
        <f>IFERROR(VLOOKUP(BB20,'Top WS'!$A$19:$D$28,4),0)</f>
        <v>720</v>
      </c>
      <c r="BP20" s="89">
        <f>IFERROR(VLOOKUP(BC20,'Top WS'!$A$19:$D$28,4),0)</f>
        <v>720</v>
      </c>
    </row>
    <row r="21" spans="1:68" x14ac:dyDescent="0.4">
      <c r="A21">
        <v>1190022510</v>
      </c>
      <c r="B21">
        <f>VLOOKUP(A21,'Aji Plus'!$A$2:$D$58,2,0)</f>
        <v>60961</v>
      </c>
      <c r="C21" t="str">
        <f>VLOOKUP(A21,'Aji Plus'!$A$2:$D$58,3,0)</f>
        <v>นายสิงหา แสนโดด</v>
      </c>
      <c r="D21" t="str">
        <f>VLOOKUP(A21,'Aji Plus'!$A$2:$D$58,4,0)</f>
        <v>Kampeng.P</v>
      </c>
      <c r="E21" s="1">
        <v>1431.767455980571</v>
      </c>
      <c r="F21" s="1">
        <v>1449.3837279902855</v>
      </c>
      <c r="G21" s="1">
        <v>1372.6836672738311</v>
      </c>
      <c r="H21" s="1">
        <v>1300</v>
      </c>
      <c r="I21" s="1">
        <v>1300</v>
      </c>
      <c r="J21" s="1">
        <v>1299.8680935033387</v>
      </c>
      <c r="K21" s="1">
        <v>1900</v>
      </c>
      <c r="L21" s="1">
        <v>1483.3049483910133</v>
      </c>
      <c r="M21" s="1">
        <v>1200</v>
      </c>
      <c r="N21" s="1">
        <v>1530</v>
      </c>
      <c r="O21" s="1">
        <v>1230</v>
      </c>
      <c r="P21" s="1">
        <v>1262.9530965391627</v>
      </c>
      <c r="R21" s="1">
        <f>VLOOKUP(A21,Actual_RDM!$A$2:$H$63,3,0)</f>
        <v>1152.4000000000003</v>
      </c>
      <c r="S21" s="1">
        <f>VLOOKUP(A21,Actual_RDM!$A$2:$H$63,4,0)</f>
        <v>758.90000000000009</v>
      </c>
      <c r="T21" s="1">
        <f>VLOOKUP(A21,Actual_RDM!$A$2:$H$63,5,0)</f>
        <v>553.6</v>
      </c>
      <c r="U21" s="1">
        <f>VLOOKUP(A21,Actual_RDM!$A$2:$H$63,6,0)</f>
        <v>711.59999999999991</v>
      </c>
      <c r="V21" s="1">
        <f>VLOOKUP(A21,Actual_RDM!$A$2:$H$63,7,0)</f>
        <v>959.30000000000007</v>
      </c>
      <c r="W21" s="1">
        <f>VLOOKUP(A21,Actual_RDM!$A$2:$H$63,8,0)</f>
        <v>598.40000000000009</v>
      </c>
      <c r="X21" s="102"/>
      <c r="Y21" s="102"/>
      <c r="Z21" s="102"/>
      <c r="AA21" s="102"/>
      <c r="AB21" s="102"/>
      <c r="AC21" s="102"/>
      <c r="AE21" s="88">
        <f t="shared" si="2"/>
        <v>0.8048793085681355</v>
      </c>
      <c r="AF21" s="88">
        <f t="shared" si="2"/>
        <v>0.52360184907849794</v>
      </c>
      <c r="AG21" s="88">
        <f t="shared" si="2"/>
        <v>0.40329757918622089</v>
      </c>
      <c r="AH21" s="88">
        <f t="shared" si="2"/>
        <v>0.54738461538461536</v>
      </c>
      <c r="AI21" s="88">
        <f t="shared" si="2"/>
        <v>0.73792307692307701</v>
      </c>
      <c r="AJ21" s="88">
        <f t="shared" si="2"/>
        <v>0.46035440287423524</v>
      </c>
      <c r="AK21" s="90">
        <f t="shared" si="2"/>
        <v>0</v>
      </c>
      <c r="AL21" s="90">
        <f t="shared" si="2"/>
        <v>0</v>
      </c>
      <c r="AM21" s="90">
        <f t="shared" si="2"/>
        <v>0</v>
      </c>
      <c r="AN21" s="90">
        <f t="shared" si="2"/>
        <v>0</v>
      </c>
      <c r="AO21" s="90">
        <f t="shared" si="2"/>
        <v>0</v>
      </c>
      <c r="AP21" s="90">
        <f t="shared" si="2"/>
        <v>0</v>
      </c>
      <c r="AQ21" s="88"/>
      <c r="AR21" s="90">
        <f t="shared" si="3"/>
        <v>0.80489999999999995</v>
      </c>
      <c r="AS21" s="90">
        <f t="shared" si="3"/>
        <v>0.52359999999999995</v>
      </c>
      <c r="AT21" s="90">
        <f t="shared" si="3"/>
        <v>0.40329999999999999</v>
      </c>
      <c r="AU21" s="90">
        <f t="shared" si="3"/>
        <v>0.5474</v>
      </c>
      <c r="AV21" s="90">
        <f t="shared" si="3"/>
        <v>0.7379</v>
      </c>
      <c r="AW21" s="90">
        <f t="shared" si="3"/>
        <v>0.46039999999999998</v>
      </c>
      <c r="AX21" s="90">
        <f t="shared" si="3"/>
        <v>0</v>
      </c>
      <c r="AY21" s="90">
        <f t="shared" si="3"/>
        <v>0</v>
      </c>
      <c r="AZ21" s="90">
        <f t="shared" si="3"/>
        <v>0</v>
      </c>
      <c r="BA21" s="90">
        <f t="shared" si="3"/>
        <v>0</v>
      </c>
      <c r="BB21" s="90">
        <f t="shared" si="3"/>
        <v>0</v>
      </c>
      <c r="BC21" s="90">
        <f t="shared" si="3"/>
        <v>0</v>
      </c>
      <c r="BD21" s="88"/>
      <c r="BE21" s="1">
        <f>IFERROR(VLOOKUP(AR21,'Top WS'!$A$19:$D$28,4),0)</f>
        <v>720</v>
      </c>
      <c r="BF21" s="1">
        <f>IFERROR(VLOOKUP(AS21,'Top WS'!$A$19:$D$28,4),0)</f>
        <v>720</v>
      </c>
      <c r="BG21" s="1">
        <f>IFERROR(VLOOKUP(AT21,'Top WS'!$A$19:$D$28,4),0)</f>
        <v>720</v>
      </c>
      <c r="BH21" s="1">
        <f>IFERROR(VLOOKUP(AU21,'Top WS'!$A$19:$D$28,4),0)</f>
        <v>720</v>
      </c>
      <c r="BI21" s="1">
        <f>IFERROR(VLOOKUP(AV21,'Top WS'!$A$19:$D$28,4),0)</f>
        <v>720</v>
      </c>
      <c r="BJ21" s="1">
        <f>IFERROR(VLOOKUP(AW21,'Top WS'!$A$19:$D$28,4),0)</f>
        <v>720</v>
      </c>
      <c r="BK21" s="89">
        <f>IFERROR(VLOOKUP(AX21,'Top WS'!$A$19:$D$28,4),0)</f>
        <v>720</v>
      </c>
      <c r="BL21" s="89">
        <f>IFERROR(VLOOKUP(AY21,'Top WS'!$A$19:$D$28,4),0)</f>
        <v>720</v>
      </c>
      <c r="BM21" s="89">
        <f>IFERROR(VLOOKUP(AZ21,'Top WS'!$A$19:$D$28,4),0)</f>
        <v>720</v>
      </c>
      <c r="BN21" s="89">
        <f>IFERROR(VLOOKUP(BA21,'Top WS'!$A$19:$D$28,4),0)</f>
        <v>720</v>
      </c>
      <c r="BO21" s="89">
        <f>IFERROR(VLOOKUP(BB21,'Top WS'!$A$19:$D$28,4),0)</f>
        <v>720</v>
      </c>
      <c r="BP21" s="89">
        <f>IFERROR(VLOOKUP(BC21,'Top WS'!$A$19:$D$28,4),0)</f>
        <v>720</v>
      </c>
    </row>
    <row r="22" spans="1:68" x14ac:dyDescent="0.4">
      <c r="A22">
        <v>1190027101</v>
      </c>
      <c r="B22">
        <f>VLOOKUP(A22,'Aji Plus'!$A$2:$D$58,2,0)</f>
        <v>70526</v>
      </c>
      <c r="C22" t="str">
        <f>VLOOKUP(A22,'Aji Plus'!$A$2:$D$58,3,0)</f>
        <v>นายสมฤกษ นิลสนธิ์</v>
      </c>
      <c r="D22" t="str">
        <f>VLOOKUP(A22,'Aji Plus'!$A$2:$D$58,4,0)</f>
        <v>Tak</v>
      </c>
      <c r="E22" s="1">
        <v>1968</v>
      </c>
      <c r="F22" s="1">
        <v>1993</v>
      </c>
      <c r="G22" s="1">
        <v>1887.2295081967213</v>
      </c>
      <c r="H22" s="1">
        <v>1445</v>
      </c>
      <c r="I22" s="1">
        <v>1603</v>
      </c>
      <c r="J22" s="1">
        <v>1787</v>
      </c>
      <c r="K22" s="1">
        <v>2616</v>
      </c>
      <c r="L22" s="1">
        <v>2039</v>
      </c>
      <c r="M22" s="1">
        <v>1538</v>
      </c>
      <c r="N22" s="1">
        <v>2105</v>
      </c>
      <c r="O22" s="1">
        <v>1692</v>
      </c>
      <c r="P22" s="1">
        <v>1737</v>
      </c>
      <c r="R22" s="1">
        <f>VLOOKUP(A22,Actual_RDM!$A$2:$H$63,3,0)</f>
        <v>1405</v>
      </c>
      <c r="S22" s="1">
        <f>VLOOKUP(A22,Actual_RDM!$A$2:$H$63,4,0)</f>
        <v>1127.3</v>
      </c>
      <c r="T22" s="1">
        <f>VLOOKUP(A22,Actual_RDM!$A$2:$H$63,5,0)</f>
        <v>1522.5</v>
      </c>
      <c r="U22" s="1">
        <f>VLOOKUP(A22,Actual_RDM!$A$2:$H$63,6,0)</f>
        <v>1777.0999999999997</v>
      </c>
      <c r="V22" s="1">
        <f>VLOOKUP(A22,Actual_RDM!$A$2:$H$63,7,0)</f>
        <v>1533.2999999999997</v>
      </c>
      <c r="W22" s="1">
        <f>VLOOKUP(A22,Actual_RDM!$A$2:$H$63,8,0)</f>
        <v>1034.7</v>
      </c>
      <c r="X22" s="102"/>
      <c r="Y22" s="102"/>
      <c r="Z22" s="102"/>
      <c r="AA22" s="102"/>
      <c r="AB22" s="102"/>
      <c r="AC22" s="102"/>
      <c r="AE22" s="88">
        <f t="shared" si="2"/>
        <v>0.71392276422764223</v>
      </c>
      <c r="AF22" s="88">
        <f t="shared" si="2"/>
        <v>0.56562970396387358</v>
      </c>
      <c r="AG22" s="88">
        <f t="shared" si="2"/>
        <v>0.80673812770910602</v>
      </c>
      <c r="AH22" s="88">
        <f t="shared" si="2"/>
        <v>1.229826989619377</v>
      </c>
      <c r="AI22" s="88">
        <f t="shared" si="2"/>
        <v>0.95651902682470347</v>
      </c>
      <c r="AJ22" s="88">
        <f t="shared" si="2"/>
        <v>0.57901510912143261</v>
      </c>
      <c r="AK22" s="90">
        <f t="shared" si="2"/>
        <v>0</v>
      </c>
      <c r="AL22" s="90">
        <f t="shared" si="2"/>
        <v>0</v>
      </c>
      <c r="AM22" s="90">
        <f t="shared" si="2"/>
        <v>0</v>
      </c>
      <c r="AN22" s="90">
        <f t="shared" si="2"/>
        <v>0</v>
      </c>
      <c r="AO22" s="90">
        <f t="shared" si="2"/>
        <v>0</v>
      </c>
      <c r="AP22" s="90">
        <f t="shared" si="2"/>
        <v>0</v>
      </c>
      <c r="AQ22" s="88"/>
      <c r="AR22" s="90">
        <f t="shared" si="3"/>
        <v>0.71389999999999998</v>
      </c>
      <c r="AS22" s="90">
        <f t="shared" si="3"/>
        <v>0.56559999999999999</v>
      </c>
      <c r="AT22" s="90">
        <f t="shared" si="3"/>
        <v>0.80669999999999997</v>
      </c>
      <c r="AU22" s="90">
        <f t="shared" si="3"/>
        <v>1.2298</v>
      </c>
      <c r="AV22" s="90">
        <f t="shared" si="3"/>
        <v>0.95650000000000002</v>
      </c>
      <c r="AW22" s="90">
        <f t="shared" si="3"/>
        <v>0.57899999999999996</v>
      </c>
      <c r="AX22" s="90">
        <f t="shared" si="3"/>
        <v>0</v>
      </c>
      <c r="AY22" s="90">
        <f t="shared" si="3"/>
        <v>0</v>
      </c>
      <c r="AZ22" s="90">
        <f t="shared" si="3"/>
        <v>0</v>
      </c>
      <c r="BA22" s="90">
        <f t="shared" si="3"/>
        <v>0</v>
      </c>
      <c r="BB22" s="90">
        <f t="shared" si="3"/>
        <v>0</v>
      </c>
      <c r="BC22" s="90">
        <f t="shared" si="3"/>
        <v>0</v>
      </c>
      <c r="BD22" s="88"/>
      <c r="BE22" s="1">
        <f>IFERROR(VLOOKUP(AR22,'Top WS'!$A$19:$D$28,4),0)</f>
        <v>720</v>
      </c>
      <c r="BF22" s="1">
        <f>IFERROR(VLOOKUP(AS22,'Top WS'!$A$19:$D$28,4),0)</f>
        <v>720</v>
      </c>
      <c r="BG22" s="1">
        <f>IFERROR(VLOOKUP(AT22,'Top WS'!$A$19:$D$28,4),0)</f>
        <v>720</v>
      </c>
      <c r="BH22" s="1">
        <f>IFERROR(VLOOKUP(AU22,'Top WS'!$A$19:$D$28,4),0)</f>
        <v>1040</v>
      </c>
      <c r="BI22" s="1">
        <f>IFERROR(VLOOKUP(AV22,'Top WS'!$A$19:$D$28,4),0)</f>
        <v>800</v>
      </c>
      <c r="BJ22" s="1">
        <f>IFERROR(VLOOKUP(AW22,'Top WS'!$A$19:$D$28,4),0)</f>
        <v>720</v>
      </c>
      <c r="BK22" s="89">
        <f>IFERROR(VLOOKUP(AX22,'Top WS'!$A$19:$D$28,4),0)</f>
        <v>720</v>
      </c>
      <c r="BL22" s="89">
        <f>IFERROR(VLOOKUP(AY22,'Top WS'!$A$19:$D$28,4),0)</f>
        <v>720</v>
      </c>
      <c r="BM22" s="89">
        <f>IFERROR(VLOOKUP(AZ22,'Top WS'!$A$19:$D$28,4),0)</f>
        <v>720</v>
      </c>
      <c r="BN22" s="89">
        <f>IFERROR(VLOOKUP(BA22,'Top WS'!$A$19:$D$28,4),0)</f>
        <v>720</v>
      </c>
      <c r="BO22" s="89">
        <f>IFERROR(VLOOKUP(BB22,'Top WS'!$A$19:$D$28,4),0)</f>
        <v>720</v>
      </c>
      <c r="BP22" s="89">
        <f>IFERROR(VLOOKUP(BC22,'Top WS'!$A$19:$D$28,4),0)</f>
        <v>720</v>
      </c>
    </row>
    <row r="23" spans="1:68" x14ac:dyDescent="0.4">
      <c r="A23">
        <v>1190032602</v>
      </c>
      <c r="B23">
        <f>VLOOKUP(A23,'Aji Plus'!$A$2:$D$58,2,0)</f>
        <v>66632</v>
      </c>
      <c r="C23" t="str">
        <f>VLOOKUP(A23,'Aji Plus'!$A$2:$D$58,3,0)</f>
        <v>นายสิทธิชัย ใจเย็น</v>
      </c>
      <c r="D23" t="str">
        <f>VLOOKUP(A23,'Aji Plus'!$A$2:$D$58,4,0)</f>
        <v>Rayong</v>
      </c>
      <c r="E23" s="1">
        <v>2750</v>
      </c>
      <c r="F23" s="1">
        <v>3300</v>
      </c>
      <c r="G23" s="1">
        <v>2600</v>
      </c>
      <c r="H23" s="1">
        <v>2950</v>
      </c>
      <c r="I23" s="1">
        <v>3050</v>
      </c>
      <c r="J23" s="1">
        <v>3300</v>
      </c>
      <c r="K23" s="1">
        <v>3900</v>
      </c>
      <c r="L23" s="1">
        <v>3850</v>
      </c>
      <c r="M23" s="1">
        <v>2550</v>
      </c>
      <c r="N23" s="1">
        <v>3700</v>
      </c>
      <c r="O23" s="1">
        <v>2300</v>
      </c>
      <c r="P23" s="1">
        <v>3000</v>
      </c>
      <c r="R23" s="1">
        <f>VLOOKUP(A23,Actual_RDM!$A$2:$H$63,3,0)</f>
        <v>2618.8000000000002</v>
      </c>
      <c r="S23" s="1">
        <f>VLOOKUP(A23,Actual_RDM!$A$2:$H$63,4,0)</f>
        <v>2312.1</v>
      </c>
      <c r="T23" s="1">
        <f>VLOOKUP(A23,Actual_RDM!$A$2:$H$63,5,0)</f>
        <v>2204.1</v>
      </c>
      <c r="U23" s="1">
        <f>VLOOKUP(A23,Actual_RDM!$A$2:$H$63,6,0)</f>
        <v>2363.4999999999991</v>
      </c>
      <c r="V23" s="1">
        <f>VLOOKUP(A23,Actual_RDM!$A$2:$H$63,7,0)</f>
        <v>2866.1</v>
      </c>
      <c r="W23" s="1">
        <f>VLOOKUP(A23,Actual_RDM!$A$2:$H$63,8,0)</f>
        <v>2815.0999999999995</v>
      </c>
      <c r="X23" s="102"/>
      <c r="Y23" s="102"/>
      <c r="Z23" s="102"/>
      <c r="AA23" s="102"/>
      <c r="AB23" s="102"/>
      <c r="AC23" s="102"/>
      <c r="AE23" s="88">
        <f t="shared" si="2"/>
        <v>0.95229090909090919</v>
      </c>
      <c r="AF23" s="88">
        <f t="shared" si="2"/>
        <v>0.70063636363636361</v>
      </c>
      <c r="AG23" s="88">
        <f t="shared" si="2"/>
        <v>0.84773076923076918</v>
      </c>
      <c r="AH23" s="88">
        <f t="shared" si="2"/>
        <v>0.80118644067796574</v>
      </c>
      <c r="AI23" s="88">
        <f t="shared" si="2"/>
        <v>0.93970491803278688</v>
      </c>
      <c r="AJ23" s="88">
        <f t="shared" si="2"/>
        <v>0.85306060606060585</v>
      </c>
      <c r="AK23" s="90">
        <f t="shared" si="2"/>
        <v>0</v>
      </c>
      <c r="AL23" s="90">
        <f t="shared" si="2"/>
        <v>0</v>
      </c>
      <c r="AM23" s="90">
        <f t="shared" si="2"/>
        <v>0</v>
      </c>
      <c r="AN23" s="90">
        <f t="shared" si="2"/>
        <v>0</v>
      </c>
      <c r="AO23" s="90">
        <f t="shared" si="2"/>
        <v>0</v>
      </c>
      <c r="AP23" s="90">
        <f t="shared" si="2"/>
        <v>0</v>
      </c>
      <c r="AQ23" s="88"/>
      <c r="AR23" s="90">
        <f t="shared" si="3"/>
        <v>0.95230000000000004</v>
      </c>
      <c r="AS23" s="90">
        <f t="shared" si="3"/>
        <v>0.7006</v>
      </c>
      <c r="AT23" s="90">
        <f t="shared" si="3"/>
        <v>0.84770000000000001</v>
      </c>
      <c r="AU23" s="90">
        <f t="shared" si="3"/>
        <v>0.80120000000000002</v>
      </c>
      <c r="AV23" s="90">
        <f t="shared" si="3"/>
        <v>0.93969999999999998</v>
      </c>
      <c r="AW23" s="90">
        <f t="shared" si="3"/>
        <v>0.85309999999999997</v>
      </c>
      <c r="AX23" s="90">
        <f t="shared" si="3"/>
        <v>0</v>
      </c>
      <c r="AY23" s="90">
        <f t="shared" si="3"/>
        <v>0</v>
      </c>
      <c r="AZ23" s="90">
        <f t="shared" si="3"/>
        <v>0</v>
      </c>
      <c r="BA23" s="90">
        <f t="shared" si="3"/>
        <v>0</v>
      </c>
      <c r="BB23" s="90">
        <f t="shared" si="3"/>
        <v>0</v>
      </c>
      <c r="BC23" s="90">
        <f t="shared" si="3"/>
        <v>0</v>
      </c>
      <c r="BD23" s="88"/>
      <c r="BE23" s="1">
        <f>IFERROR(VLOOKUP(AR23,'Top WS'!$A$19:$D$28,4),0)</f>
        <v>800</v>
      </c>
      <c r="BF23" s="1">
        <f>IFERROR(VLOOKUP(AS23,'Top WS'!$A$19:$D$28,4),0)</f>
        <v>720</v>
      </c>
      <c r="BG23" s="1">
        <f>IFERROR(VLOOKUP(AT23,'Top WS'!$A$19:$D$28,4),0)</f>
        <v>720</v>
      </c>
      <c r="BH23" s="1">
        <f>IFERROR(VLOOKUP(AU23,'Top WS'!$A$19:$D$28,4),0)</f>
        <v>720</v>
      </c>
      <c r="BI23" s="1">
        <f>IFERROR(VLOOKUP(AV23,'Top WS'!$A$19:$D$28,4),0)</f>
        <v>760</v>
      </c>
      <c r="BJ23" s="1">
        <f>IFERROR(VLOOKUP(AW23,'Top WS'!$A$19:$D$28,4),0)</f>
        <v>720</v>
      </c>
      <c r="BK23" s="89">
        <f>IFERROR(VLOOKUP(AX23,'Top WS'!$A$19:$D$28,4),0)</f>
        <v>720</v>
      </c>
      <c r="BL23" s="89">
        <f>IFERROR(VLOOKUP(AY23,'Top WS'!$A$19:$D$28,4),0)</f>
        <v>720</v>
      </c>
      <c r="BM23" s="89">
        <f>IFERROR(VLOOKUP(AZ23,'Top WS'!$A$19:$D$28,4),0)</f>
        <v>720</v>
      </c>
      <c r="BN23" s="89">
        <f>IFERROR(VLOOKUP(BA23,'Top WS'!$A$19:$D$28,4),0)</f>
        <v>720</v>
      </c>
      <c r="BO23" s="89">
        <f>IFERROR(VLOOKUP(BB23,'Top WS'!$A$19:$D$28,4),0)</f>
        <v>720</v>
      </c>
      <c r="BP23" s="89">
        <f>IFERROR(VLOOKUP(BC23,'Top WS'!$A$19:$D$28,4),0)</f>
        <v>720</v>
      </c>
    </row>
    <row r="24" spans="1:68" x14ac:dyDescent="0.4">
      <c r="A24">
        <v>1190032701</v>
      </c>
      <c r="B24">
        <f>VLOOKUP(A24,'Aji Plus'!$A$2:$D$58,2,0)</f>
        <v>70330</v>
      </c>
      <c r="C24" t="str">
        <f>VLOOKUP(A24,'Aji Plus'!$A$2:$D$58,3,0)</f>
        <v>นายสุรวรรณ ทวีสิน</v>
      </c>
      <c r="D24" t="str">
        <f>VLOOKUP(A24,'Aji Plus'!$A$2:$D$58,4,0)</f>
        <v>Chachoengsao</v>
      </c>
      <c r="E24" s="1">
        <v>749</v>
      </c>
      <c r="F24" s="1">
        <v>1166</v>
      </c>
      <c r="G24" s="1">
        <v>1677</v>
      </c>
      <c r="H24" s="1">
        <v>968</v>
      </c>
      <c r="I24" s="1">
        <v>982</v>
      </c>
      <c r="J24" s="1">
        <v>1065</v>
      </c>
      <c r="K24" s="1">
        <v>1152</v>
      </c>
      <c r="L24" s="1">
        <v>973</v>
      </c>
      <c r="M24" s="1">
        <v>875</v>
      </c>
      <c r="N24" s="1">
        <v>1438</v>
      </c>
      <c r="O24" s="1">
        <v>1231</v>
      </c>
      <c r="P24" s="1">
        <v>832</v>
      </c>
      <c r="R24" s="1">
        <f>VLOOKUP(A24,Actual_RDM!$A$2:$H$63,3,0)</f>
        <v>913.50000000000011</v>
      </c>
      <c r="S24" s="1">
        <f>VLOOKUP(A24,Actual_RDM!$A$2:$H$63,4,0)</f>
        <v>1050.0999999999999</v>
      </c>
      <c r="T24" s="1">
        <f>VLOOKUP(A24,Actual_RDM!$A$2:$H$63,5,0)</f>
        <v>800.9</v>
      </c>
      <c r="U24" s="1">
        <f>VLOOKUP(A24,Actual_RDM!$A$2:$H$63,6,0)</f>
        <v>843.30000000000018</v>
      </c>
      <c r="V24" s="1">
        <f>VLOOKUP(A24,Actual_RDM!$A$2:$H$63,7,0)</f>
        <v>819.10000000000014</v>
      </c>
      <c r="W24" s="1">
        <f>VLOOKUP(A24,Actual_RDM!$A$2:$H$63,8,0)</f>
        <v>768.6</v>
      </c>
      <c r="X24" s="102"/>
      <c r="Y24" s="102"/>
      <c r="Z24" s="102"/>
      <c r="AA24" s="102"/>
      <c r="AB24" s="102"/>
      <c r="AC24" s="102"/>
      <c r="AE24" s="88">
        <f t="shared" si="2"/>
        <v>1.2196261682242993</v>
      </c>
      <c r="AF24" s="88">
        <f t="shared" si="2"/>
        <v>0.90060034305317316</v>
      </c>
      <c r="AG24" s="88">
        <f t="shared" si="2"/>
        <v>0.47757901013714965</v>
      </c>
      <c r="AH24" s="88">
        <f t="shared" si="2"/>
        <v>0.87117768595041345</v>
      </c>
      <c r="AI24" s="88">
        <f t="shared" si="2"/>
        <v>0.83411405295315699</v>
      </c>
      <c r="AJ24" s="88">
        <f t="shared" si="2"/>
        <v>0.72169014084507044</v>
      </c>
      <c r="AK24" s="90">
        <f t="shared" si="2"/>
        <v>0</v>
      </c>
      <c r="AL24" s="90">
        <f t="shared" si="2"/>
        <v>0</v>
      </c>
      <c r="AM24" s="90">
        <f t="shared" si="2"/>
        <v>0</v>
      </c>
      <c r="AN24" s="90">
        <f t="shared" si="2"/>
        <v>0</v>
      </c>
      <c r="AO24" s="90">
        <f t="shared" si="2"/>
        <v>0</v>
      </c>
      <c r="AP24" s="90">
        <f t="shared" si="2"/>
        <v>0</v>
      </c>
      <c r="AQ24" s="88"/>
      <c r="AR24" s="90">
        <f t="shared" si="3"/>
        <v>1.2196</v>
      </c>
      <c r="AS24" s="90">
        <f t="shared" si="3"/>
        <v>0.90059999999999996</v>
      </c>
      <c r="AT24" s="90">
        <f t="shared" si="3"/>
        <v>0.47760000000000002</v>
      </c>
      <c r="AU24" s="90">
        <f t="shared" si="3"/>
        <v>0.87119999999999997</v>
      </c>
      <c r="AV24" s="90">
        <f t="shared" si="3"/>
        <v>0.83409999999999995</v>
      </c>
      <c r="AW24" s="90">
        <f t="shared" si="3"/>
        <v>0.72170000000000001</v>
      </c>
      <c r="AX24" s="90">
        <f t="shared" si="3"/>
        <v>0</v>
      </c>
      <c r="AY24" s="90">
        <f t="shared" si="3"/>
        <v>0</v>
      </c>
      <c r="AZ24" s="90">
        <f t="shared" si="3"/>
        <v>0</v>
      </c>
      <c r="BA24" s="90">
        <f t="shared" si="3"/>
        <v>0</v>
      </c>
      <c r="BB24" s="90">
        <f t="shared" si="3"/>
        <v>0</v>
      </c>
      <c r="BC24" s="90">
        <f t="shared" si="3"/>
        <v>0</v>
      </c>
      <c r="BD24" s="88"/>
      <c r="BE24" s="1">
        <f>IFERROR(VLOOKUP(AR24,'Top WS'!$A$19:$D$28,4),0)</f>
        <v>1040</v>
      </c>
      <c r="BF24" s="1">
        <f>IFERROR(VLOOKUP(AS24,'Top WS'!$A$19:$D$28,4),0)</f>
        <v>760</v>
      </c>
      <c r="BG24" s="1">
        <f>IFERROR(VLOOKUP(AT24,'Top WS'!$A$19:$D$28,4),0)</f>
        <v>720</v>
      </c>
      <c r="BH24" s="1">
        <f>IFERROR(VLOOKUP(AU24,'Top WS'!$A$19:$D$28,4),0)</f>
        <v>720</v>
      </c>
      <c r="BI24" s="1">
        <f>IFERROR(VLOOKUP(AV24,'Top WS'!$A$19:$D$28,4),0)</f>
        <v>720</v>
      </c>
      <c r="BJ24" s="1">
        <f>IFERROR(VLOOKUP(AW24,'Top WS'!$A$19:$D$28,4),0)</f>
        <v>720</v>
      </c>
      <c r="BK24" s="89">
        <f>IFERROR(VLOOKUP(AX24,'Top WS'!$A$19:$D$28,4),0)</f>
        <v>720</v>
      </c>
      <c r="BL24" s="89">
        <f>IFERROR(VLOOKUP(AY24,'Top WS'!$A$19:$D$28,4),0)</f>
        <v>720</v>
      </c>
      <c r="BM24" s="89">
        <f>IFERROR(VLOOKUP(AZ24,'Top WS'!$A$19:$D$28,4),0)</f>
        <v>720</v>
      </c>
      <c r="BN24" s="89">
        <f>IFERROR(VLOOKUP(BA24,'Top WS'!$A$19:$D$28,4),0)</f>
        <v>720</v>
      </c>
      <c r="BO24" s="89">
        <f>IFERROR(VLOOKUP(BB24,'Top WS'!$A$19:$D$28,4),0)</f>
        <v>720</v>
      </c>
      <c r="BP24" s="89">
        <f>IFERROR(VLOOKUP(BC24,'Top WS'!$A$19:$D$28,4),0)</f>
        <v>720</v>
      </c>
    </row>
    <row r="25" spans="1:68" x14ac:dyDescent="0.4">
      <c r="A25">
        <v>1190032801</v>
      </c>
      <c r="B25">
        <f>VLOOKUP(A25,'Aji Plus'!$A$2:$D$58,2,0)</f>
        <v>71360</v>
      </c>
      <c r="C25" t="str">
        <f>VLOOKUP(A25,'Aji Plus'!$A$2:$D$58,3,0)</f>
        <v>นายทนงศักดิ์ เวชมณีศรี</v>
      </c>
      <c r="D25" t="str">
        <f>VLOOKUP(A25,'Aji Plus'!$A$2:$D$58,4,0)</f>
        <v>Chantaburi</v>
      </c>
      <c r="E25" s="1">
        <v>1220.0257599999998</v>
      </c>
      <c r="F25" s="1">
        <v>1779.0479400000002</v>
      </c>
      <c r="G25" s="1">
        <v>1372.1773199999996</v>
      </c>
      <c r="H25" s="1">
        <v>1392.3391599999995</v>
      </c>
      <c r="I25" s="1">
        <v>1295.98432</v>
      </c>
      <c r="J25" s="1">
        <v>920.64588000000003</v>
      </c>
      <c r="K25" s="1">
        <v>1722.3134600000001</v>
      </c>
      <c r="L25" s="1">
        <v>1312.3951200000001</v>
      </c>
      <c r="M25" s="1">
        <v>932.13343999999995</v>
      </c>
      <c r="N25" s="1">
        <v>2149.4631399999994</v>
      </c>
      <c r="O25" s="1">
        <v>1262.3421800000001</v>
      </c>
      <c r="P25" s="1">
        <v>1371.2395600000002</v>
      </c>
      <c r="R25" s="1">
        <f>VLOOKUP(A25,Actual_RDM!$A$2:$H$63,3,0)</f>
        <v>1373.4</v>
      </c>
      <c r="S25" s="1">
        <f>VLOOKUP(A25,Actual_RDM!$A$2:$H$63,4,0)</f>
        <v>1183.8</v>
      </c>
      <c r="T25" s="1">
        <f>VLOOKUP(A25,Actual_RDM!$A$2:$H$63,5,0)</f>
        <v>1141.5999999999999</v>
      </c>
      <c r="U25" s="1">
        <f>VLOOKUP(A25,Actual_RDM!$A$2:$H$63,6,0)</f>
        <v>1203.6999999999996</v>
      </c>
      <c r="V25" s="1">
        <f>VLOOKUP(A25,Actual_RDM!$A$2:$H$63,7,0)</f>
        <v>806.4000000000002</v>
      </c>
      <c r="W25" s="1">
        <f>VLOOKUP(A25,Actual_RDM!$A$2:$H$63,8,0)</f>
        <v>919.00000000000011</v>
      </c>
      <c r="X25" s="102"/>
      <c r="Y25" s="102"/>
      <c r="Z25" s="102"/>
      <c r="AA25" s="102"/>
      <c r="AB25" s="102"/>
      <c r="AC25" s="102"/>
      <c r="AE25" s="88">
        <f t="shared" si="2"/>
        <v>1.1257139357450947</v>
      </c>
      <c r="AF25" s="88">
        <f t="shared" si="2"/>
        <v>0.66541208552255193</v>
      </c>
      <c r="AG25" s="88">
        <f t="shared" si="2"/>
        <v>0.83196244636954086</v>
      </c>
      <c r="AH25" s="88">
        <f t="shared" si="2"/>
        <v>0.86451637257692304</v>
      </c>
      <c r="AI25" s="88">
        <f t="shared" si="2"/>
        <v>0.62222975043401774</v>
      </c>
      <c r="AJ25" s="88">
        <f t="shared" si="2"/>
        <v>0.99821225507466571</v>
      </c>
      <c r="AK25" s="90">
        <f t="shared" si="2"/>
        <v>0</v>
      </c>
      <c r="AL25" s="90">
        <f t="shared" si="2"/>
        <v>0</v>
      </c>
      <c r="AM25" s="90">
        <f t="shared" si="2"/>
        <v>0</v>
      </c>
      <c r="AN25" s="90">
        <f t="shared" si="2"/>
        <v>0</v>
      </c>
      <c r="AO25" s="90">
        <f t="shared" si="2"/>
        <v>0</v>
      </c>
      <c r="AP25" s="90">
        <f t="shared" si="2"/>
        <v>0</v>
      </c>
      <c r="AQ25" s="88"/>
      <c r="AR25" s="90">
        <f t="shared" si="3"/>
        <v>1.1256999999999999</v>
      </c>
      <c r="AS25" s="90">
        <f t="shared" si="3"/>
        <v>0.66539999999999999</v>
      </c>
      <c r="AT25" s="90">
        <f t="shared" si="3"/>
        <v>0.83199999999999996</v>
      </c>
      <c r="AU25" s="90">
        <f t="shared" si="3"/>
        <v>0.86450000000000005</v>
      </c>
      <c r="AV25" s="90">
        <f t="shared" si="3"/>
        <v>0.62219999999999998</v>
      </c>
      <c r="AW25" s="90">
        <f t="shared" si="3"/>
        <v>0.99819999999999998</v>
      </c>
      <c r="AX25" s="90">
        <f t="shared" si="3"/>
        <v>0</v>
      </c>
      <c r="AY25" s="90">
        <f t="shared" si="3"/>
        <v>0</v>
      </c>
      <c r="AZ25" s="90">
        <f t="shared" si="3"/>
        <v>0</v>
      </c>
      <c r="BA25" s="90">
        <f t="shared" si="3"/>
        <v>0</v>
      </c>
      <c r="BB25" s="90">
        <f t="shared" si="3"/>
        <v>0</v>
      </c>
      <c r="BC25" s="90">
        <f t="shared" si="3"/>
        <v>0</v>
      </c>
      <c r="BD25" s="88"/>
      <c r="BE25" s="1">
        <f>IFERROR(VLOOKUP(AR25,'Top WS'!$A$19:$D$28,4),0)</f>
        <v>920</v>
      </c>
      <c r="BF25" s="1">
        <f>IFERROR(VLOOKUP(AS25,'Top WS'!$A$19:$D$28,4),0)</f>
        <v>720</v>
      </c>
      <c r="BG25" s="1">
        <f>IFERROR(VLOOKUP(AT25,'Top WS'!$A$19:$D$28,4),0)</f>
        <v>720</v>
      </c>
      <c r="BH25" s="1">
        <f>IFERROR(VLOOKUP(AU25,'Top WS'!$A$19:$D$28,4),0)</f>
        <v>720</v>
      </c>
      <c r="BI25" s="1">
        <f>IFERROR(VLOOKUP(AV25,'Top WS'!$A$19:$D$28,4),0)</f>
        <v>720</v>
      </c>
      <c r="BJ25" s="1">
        <f>IFERROR(VLOOKUP(AW25,'Top WS'!$A$19:$D$28,4),0)</f>
        <v>800</v>
      </c>
      <c r="BK25" s="89">
        <f>IFERROR(VLOOKUP(AX25,'Top WS'!$A$19:$D$28,4),0)</f>
        <v>720</v>
      </c>
      <c r="BL25" s="89">
        <f>IFERROR(VLOOKUP(AY25,'Top WS'!$A$19:$D$28,4),0)</f>
        <v>720</v>
      </c>
      <c r="BM25" s="89">
        <f>IFERROR(VLOOKUP(AZ25,'Top WS'!$A$19:$D$28,4),0)</f>
        <v>720</v>
      </c>
      <c r="BN25" s="89">
        <f>IFERROR(VLOOKUP(BA25,'Top WS'!$A$19:$D$28,4),0)</f>
        <v>720</v>
      </c>
      <c r="BO25" s="89">
        <f>IFERROR(VLOOKUP(BB25,'Top WS'!$A$19:$D$28,4),0)</f>
        <v>720</v>
      </c>
      <c r="BP25" s="89">
        <f>IFERROR(VLOOKUP(BC25,'Top WS'!$A$19:$D$28,4),0)</f>
        <v>720</v>
      </c>
    </row>
    <row r="26" spans="1:68" x14ac:dyDescent="0.4">
      <c r="A26">
        <v>1190032901</v>
      </c>
      <c r="B26">
        <f>VLOOKUP(A26,'Aji Plus'!$A$2:$D$58,2,0)</f>
        <v>70259</v>
      </c>
      <c r="C26" t="str">
        <f>VLOOKUP(A26,'Aji Plus'!$A$2:$D$58,3,0)</f>
        <v>นายจิรศักดิ์ งามสม</v>
      </c>
      <c r="D26" t="str">
        <f>VLOOKUP(A26,'Aji Plus'!$A$2:$D$58,4,0)</f>
        <v>Lopburi</v>
      </c>
      <c r="E26" s="1">
        <v>605.19271045759842</v>
      </c>
      <c r="F26" s="1">
        <v>655.739279954057</v>
      </c>
      <c r="G26" s="1">
        <v>686.78754131551784</v>
      </c>
      <c r="H26" s="1">
        <v>595.13307377648493</v>
      </c>
      <c r="I26" s="1">
        <v>643.69255454581003</v>
      </c>
      <c r="J26" s="1">
        <v>465.10295519468622</v>
      </c>
      <c r="K26" s="1">
        <v>1014.3466986789317</v>
      </c>
      <c r="L26" s="1">
        <v>628.85148561503161</v>
      </c>
      <c r="M26" s="1">
        <v>581.34764573199629</v>
      </c>
      <c r="N26" s="1">
        <v>631.89421522845498</v>
      </c>
      <c r="O26" s="1">
        <v>613.20316188885522</v>
      </c>
      <c r="P26" s="1">
        <v>439.45709131011944</v>
      </c>
      <c r="R26" s="1">
        <f>VLOOKUP(A26,Actual_RDM!$A$2:$H$63,3,0)</f>
        <v>304.50000000000006</v>
      </c>
      <c r="S26" s="1">
        <f>VLOOKUP(A26,Actual_RDM!$A$2:$H$63,4,0)</f>
        <v>394.59999999999997</v>
      </c>
      <c r="T26" s="1">
        <f>VLOOKUP(A26,Actual_RDM!$A$2:$H$63,5,0)</f>
        <v>272</v>
      </c>
      <c r="U26" s="1">
        <f>VLOOKUP(A26,Actual_RDM!$A$2:$H$63,6,0)</f>
        <v>331.40000000000003</v>
      </c>
      <c r="V26" s="1">
        <f>VLOOKUP(A26,Actual_RDM!$A$2:$H$63,7,0)</f>
        <v>257.8</v>
      </c>
      <c r="W26" s="1">
        <f>VLOOKUP(A26,Actual_RDM!$A$2:$H$63,8,0)</f>
        <v>368.59999999999997</v>
      </c>
      <c r="X26" s="102"/>
      <c r="Y26" s="102"/>
      <c r="Z26" s="102"/>
      <c r="AA26" s="102"/>
      <c r="AB26" s="102"/>
      <c r="AC26" s="102"/>
      <c r="AE26" s="88">
        <f t="shared" si="2"/>
        <v>0.50314551834201948</v>
      </c>
      <c r="AF26" s="88">
        <f t="shared" si="2"/>
        <v>0.6017635546061032</v>
      </c>
      <c r="AG26" s="88">
        <f t="shared" si="2"/>
        <v>0.39604678832553281</v>
      </c>
      <c r="AH26" s="88">
        <f t="shared" si="2"/>
        <v>0.55685024846134568</v>
      </c>
      <c r="AI26" s="88">
        <f t="shared" si="2"/>
        <v>0.40050175845501879</v>
      </c>
      <c r="AJ26" s="88">
        <f t="shared" si="2"/>
        <v>0.79251270258153628</v>
      </c>
      <c r="AK26" s="90">
        <f t="shared" si="2"/>
        <v>0</v>
      </c>
      <c r="AL26" s="90">
        <f t="shared" si="2"/>
        <v>0</v>
      </c>
      <c r="AM26" s="90">
        <f t="shared" si="2"/>
        <v>0</v>
      </c>
      <c r="AN26" s="90">
        <f t="shared" si="2"/>
        <v>0</v>
      </c>
      <c r="AO26" s="90">
        <f t="shared" si="2"/>
        <v>0</v>
      </c>
      <c r="AP26" s="90">
        <f t="shared" si="2"/>
        <v>0</v>
      </c>
      <c r="AQ26" s="88"/>
      <c r="AR26" s="90">
        <f t="shared" si="3"/>
        <v>0.50309999999999999</v>
      </c>
      <c r="AS26" s="90">
        <f t="shared" si="3"/>
        <v>0.6018</v>
      </c>
      <c r="AT26" s="90">
        <f t="shared" si="3"/>
        <v>0.39600000000000002</v>
      </c>
      <c r="AU26" s="90">
        <f t="shared" si="3"/>
        <v>0.55689999999999995</v>
      </c>
      <c r="AV26" s="90">
        <f t="shared" si="3"/>
        <v>0.40050000000000002</v>
      </c>
      <c r="AW26" s="90">
        <f t="shared" si="3"/>
        <v>0.79249999999999998</v>
      </c>
      <c r="AX26" s="90">
        <f t="shared" si="3"/>
        <v>0</v>
      </c>
      <c r="AY26" s="90">
        <f t="shared" si="3"/>
        <v>0</v>
      </c>
      <c r="AZ26" s="90">
        <f t="shared" si="3"/>
        <v>0</v>
      </c>
      <c r="BA26" s="90">
        <f t="shared" si="3"/>
        <v>0</v>
      </c>
      <c r="BB26" s="90">
        <f t="shared" si="3"/>
        <v>0</v>
      </c>
      <c r="BC26" s="90">
        <f t="shared" si="3"/>
        <v>0</v>
      </c>
      <c r="BD26" s="88"/>
      <c r="BE26" s="1">
        <f>IFERROR(VLOOKUP(AR26,'Top WS'!$A$19:$D$28,4),0)</f>
        <v>720</v>
      </c>
      <c r="BF26" s="1">
        <f>IFERROR(VLOOKUP(AS26,'Top WS'!$A$19:$D$28,4),0)</f>
        <v>720</v>
      </c>
      <c r="BG26" s="1">
        <f>IFERROR(VLOOKUP(AT26,'Top WS'!$A$19:$D$28,4),0)</f>
        <v>720</v>
      </c>
      <c r="BH26" s="1">
        <f>IFERROR(VLOOKUP(AU26,'Top WS'!$A$19:$D$28,4),0)</f>
        <v>720</v>
      </c>
      <c r="BI26" s="1">
        <f>IFERROR(VLOOKUP(AV26,'Top WS'!$A$19:$D$28,4),0)</f>
        <v>720</v>
      </c>
      <c r="BJ26" s="1">
        <f>IFERROR(VLOOKUP(AW26,'Top WS'!$A$19:$D$28,4),0)</f>
        <v>720</v>
      </c>
      <c r="BK26" s="89">
        <f>IFERROR(VLOOKUP(AX26,'Top WS'!$A$19:$D$28,4),0)</f>
        <v>720</v>
      </c>
      <c r="BL26" s="89">
        <f>IFERROR(VLOOKUP(AY26,'Top WS'!$A$19:$D$28,4),0)</f>
        <v>720</v>
      </c>
      <c r="BM26" s="89">
        <f>IFERROR(VLOOKUP(AZ26,'Top WS'!$A$19:$D$28,4),0)</f>
        <v>720</v>
      </c>
      <c r="BN26" s="89">
        <f>IFERROR(VLOOKUP(BA26,'Top WS'!$A$19:$D$28,4),0)</f>
        <v>720</v>
      </c>
      <c r="BO26" s="89">
        <f>IFERROR(VLOOKUP(BB26,'Top WS'!$A$19:$D$28,4),0)</f>
        <v>720</v>
      </c>
      <c r="BP26" s="89">
        <f>IFERROR(VLOOKUP(BC26,'Top WS'!$A$19:$D$28,4),0)</f>
        <v>720</v>
      </c>
    </row>
    <row r="27" spans="1:68" x14ac:dyDescent="0.4">
      <c r="A27">
        <v>1190032902</v>
      </c>
      <c r="B27">
        <f>VLOOKUP(A27,'Aji Plus'!$A$2:$D$58,2,0)</f>
        <v>71996</v>
      </c>
      <c r="C27" t="str">
        <f>VLOOKUP(A27,'Aji Plus'!$A$2:$D$58,3,0)</f>
        <v>นายสุนทร ม่วงกุน</v>
      </c>
      <c r="D27" t="str">
        <f>VLOOKUP(A27,'Aji Plus'!$A$2:$D$58,4,0)</f>
        <v>Lopburi</v>
      </c>
      <c r="E27" s="1">
        <v>555.44560488923742</v>
      </c>
      <c r="F27" s="1">
        <v>601.83722425921906</v>
      </c>
      <c r="G27" s="1">
        <v>630.33330495331063</v>
      </c>
      <c r="H27" s="1">
        <v>546.21287474435167</v>
      </c>
      <c r="I27" s="1">
        <v>590.78074494991131</v>
      </c>
      <c r="J27" s="1">
        <v>426.87128879749525</v>
      </c>
      <c r="K27" s="1">
        <v>930.9669562759791</v>
      </c>
      <c r="L27" s="1">
        <v>577.15961837813541</v>
      </c>
      <c r="M27" s="1">
        <v>533.56061491617493</v>
      </c>
      <c r="N27" s="1">
        <v>579.95223428615645</v>
      </c>
      <c r="O27" s="1">
        <v>562.797593708313</v>
      </c>
      <c r="P27" s="1">
        <v>403.33352614417544</v>
      </c>
      <c r="R27" s="1">
        <f>VLOOKUP(A27,Actual_RDM!$A$2:$H$63,3,0)</f>
        <v>287.70000000000005</v>
      </c>
      <c r="S27" s="1">
        <f>VLOOKUP(A27,Actual_RDM!$A$2:$H$63,4,0)</f>
        <v>527.79999999999995</v>
      </c>
      <c r="T27" s="1">
        <f>VLOOKUP(A27,Actual_RDM!$A$2:$H$63,5,0)</f>
        <v>415.4</v>
      </c>
      <c r="U27" s="1">
        <f>VLOOKUP(A27,Actual_RDM!$A$2:$H$63,6,0)</f>
        <v>478</v>
      </c>
      <c r="V27" s="1">
        <f>VLOOKUP(A27,Actual_RDM!$A$2:$H$63,7,0)</f>
        <v>447.9</v>
      </c>
      <c r="W27" s="1">
        <f>VLOOKUP(A27,Actual_RDM!$A$2:$H$63,8,0)</f>
        <v>560</v>
      </c>
      <c r="X27" s="102"/>
      <c r="Y27" s="102"/>
      <c r="Z27" s="102"/>
      <c r="AA27" s="102"/>
      <c r="AB27" s="102"/>
      <c r="AC27" s="102"/>
      <c r="AE27" s="88">
        <f t="shared" si="2"/>
        <v>0.5179625105816994</v>
      </c>
      <c r="AF27" s="88">
        <f t="shared" si="2"/>
        <v>0.8769813144237647</v>
      </c>
      <c r="AG27" s="88">
        <f t="shared" si="2"/>
        <v>0.65901642311406827</v>
      </c>
      <c r="AH27" s="88">
        <f t="shared" si="2"/>
        <v>0.8751166845412095</v>
      </c>
      <c r="AI27" s="88">
        <f t="shared" si="2"/>
        <v>0.7581492860570036</v>
      </c>
      <c r="AJ27" s="88">
        <f t="shared" si="2"/>
        <v>1.3118708488863959</v>
      </c>
      <c r="AK27" s="90">
        <f t="shared" si="2"/>
        <v>0</v>
      </c>
      <c r="AL27" s="90">
        <f t="shared" si="2"/>
        <v>0</v>
      </c>
      <c r="AM27" s="90">
        <f t="shared" si="2"/>
        <v>0</v>
      </c>
      <c r="AN27" s="90">
        <f t="shared" si="2"/>
        <v>0</v>
      </c>
      <c r="AO27" s="90">
        <f t="shared" si="2"/>
        <v>0</v>
      </c>
      <c r="AP27" s="90">
        <f t="shared" si="2"/>
        <v>0</v>
      </c>
      <c r="AQ27" s="88"/>
      <c r="AR27" s="90">
        <f t="shared" si="3"/>
        <v>0.51800000000000002</v>
      </c>
      <c r="AS27" s="90">
        <f t="shared" si="3"/>
        <v>0.877</v>
      </c>
      <c r="AT27" s="90">
        <f t="shared" si="3"/>
        <v>0.65900000000000003</v>
      </c>
      <c r="AU27" s="90">
        <f t="shared" si="3"/>
        <v>0.87509999999999999</v>
      </c>
      <c r="AV27" s="90">
        <f t="shared" si="3"/>
        <v>0.7581</v>
      </c>
      <c r="AW27" s="90">
        <f t="shared" si="3"/>
        <v>1.3119000000000001</v>
      </c>
      <c r="AX27" s="90">
        <f t="shared" si="3"/>
        <v>0</v>
      </c>
      <c r="AY27" s="90">
        <f t="shared" si="3"/>
        <v>0</v>
      </c>
      <c r="AZ27" s="90">
        <f t="shared" si="3"/>
        <v>0</v>
      </c>
      <c r="BA27" s="90">
        <f t="shared" si="3"/>
        <v>0</v>
      </c>
      <c r="BB27" s="90">
        <f t="shared" si="3"/>
        <v>0</v>
      </c>
      <c r="BC27" s="90">
        <f t="shared" si="3"/>
        <v>0</v>
      </c>
      <c r="BD27" s="88"/>
      <c r="BE27" s="1">
        <f>IFERROR(VLOOKUP(AR27,'Top WS'!$A$19:$D$28,4),0)</f>
        <v>720</v>
      </c>
      <c r="BF27" s="1">
        <f>IFERROR(VLOOKUP(AS27,'Top WS'!$A$19:$D$28,4),0)</f>
        <v>720</v>
      </c>
      <c r="BG27" s="1">
        <f>IFERROR(VLOOKUP(AT27,'Top WS'!$A$19:$D$28,4),0)</f>
        <v>720</v>
      </c>
      <c r="BH27" s="1">
        <f>IFERROR(VLOOKUP(AU27,'Top WS'!$A$19:$D$28,4),0)</f>
        <v>720</v>
      </c>
      <c r="BI27" s="1">
        <f>IFERROR(VLOOKUP(AV27,'Top WS'!$A$19:$D$28,4),0)</f>
        <v>720</v>
      </c>
      <c r="BJ27" s="1">
        <f>IFERROR(VLOOKUP(AW27,'Top WS'!$A$19:$D$28,4),0)</f>
        <v>1040</v>
      </c>
      <c r="BK27" s="89">
        <f>IFERROR(VLOOKUP(AX27,'Top WS'!$A$19:$D$28,4),0)</f>
        <v>720</v>
      </c>
      <c r="BL27" s="89">
        <f>IFERROR(VLOOKUP(AY27,'Top WS'!$A$19:$D$28,4),0)</f>
        <v>720</v>
      </c>
      <c r="BM27" s="89">
        <f>IFERROR(VLOOKUP(AZ27,'Top WS'!$A$19:$D$28,4),0)</f>
        <v>720</v>
      </c>
      <c r="BN27" s="89">
        <f>IFERROR(VLOOKUP(BA27,'Top WS'!$A$19:$D$28,4),0)</f>
        <v>720</v>
      </c>
      <c r="BO27" s="89">
        <f>IFERROR(VLOOKUP(BB27,'Top WS'!$A$19:$D$28,4),0)</f>
        <v>720</v>
      </c>
      <c r="BP27" s="89">
        <f>IFERROR(VLOOKUP(BC27,'Top WS'!$A$19:$D$28,4),0)</f>
        <v>720</v>
      </c>
    </row>
    <row r="28" spans="1:68" x14ac:dyDescent="0.4">
      <c r="A28">
        <v>1190033001</v>
      </c>
      <c r="B28">
        <f>VLOOKUP(A28,'Aji Plus'!$A$2:$D$58,2,0)</f>
        <v>75518</v>
      </c>
      <c r="C28" t="str">
        <f>VLOOKUP(A28,'Aji Plus'!$A$2:$D$58,3,0)</f>
        <v>นายธนพันธ์ นิยมทัศน์</v>
      </c>
      <c r="D28" t="str">
        <f>VLOOKUP(A28,'Aji Plus'!$A$2:$D$58,4,0)</f>
        <v>Ratchaburi</v>
      </c>
      <c r="E28" s="1">
        <v>1092.952165549402</v>
      </c>
      <c r="F28" s="1">
        <v>938.26658583503308</v>
      </c>
      <c r="G28" s="1">
        <v>811.15366093461535</v>
      </c>
      <c r="H28" s="1">
        <v>1078.9169874672102</v>
      </c>
      <c r="I28" s="1">
        <v>900.34174293208923</v>
      </c>
      <c r="J28" s="1">
        <v>1015.7089159623041</v>
      </c>
      <c r="K28" s="1">
        <v>1353.1006614203825</v>
      </c>
      <c r="L28" s="1">
        <v>1036.6123726804619</v>
      </c>
      <c r="M28" s="1">
        <v>1228.7748640823852</v>
      </c>
      <c r="N28" s="1">
        <v>740.52983930826736</v>
      </c>
      <c r="O28" s="1">
        <v>1133.6641360147671</v>
      </c>
      <c r="P28" s="1">
        <v>964.79406781307625</v>
      </c>
      <c r="R28" s="1">
        <f>VLOOKUP(A28,Actual_RDM!$A$2:$H$63,3,0)</f>
        <v>665.3</v>
      </c>
      <c r="S28" s="1">
        <f>VLOOKUP(A28,Actual_RDM!$A$2:$H$63,4,0)</f>
        <v>1010.6999999999999</v>
      </c>
      <c r="T28" s="1">
        <f>VLOOKUP(A28,Actual_RDM!$A$2:$H$63,5,0)</f>
        <v>998.80000000000007</v>
      </c>
      <c r="U28" s="1">
        <f>VLOOKUP(A28,Actual_RDM!$A$2:$H$63,6,0)</f>
        <v>784.2</v>
      </c>
      <c r="V28" s="1">
        <f>VLOOKUP(A28,Actual_RDM!$A$2:$H$63,7,0)</f>
        <v>624.79999999999995</v>
      </c>
      <c r="W28" s="1">
        <f>VLOOKUP(A28,Actual_RDM!$A$2:$H$63,8,0)</f>
        <v>884.80000000000007</v>
      </c>
      <c r="X28" s="102"/>
      <c r="Y28" s="102"/>
      <c r="Z28" s="102"/>
      <c r="AA28" s="102"/>
      <c r="AB28" s="102"/>
      <c r="AC28" s="102"/>
      <c r="AE28" s="88">
        <f t="shared" si="2"/>
        <v>0.60871831446124536</v>
      </c>
      <c r="AF28" s="88">
        <f t="shared" si="2"/>
        <v>1.077199183322193</v>
      </c>
      <c r="AG28" s="88">
        <f t="shared" si="2"/>
        <v>1.2313326661796455</v>
      </c>
      <c r="AH28" s="88">
        <f t="shared" si="2"/>
        <v>0.72683997852414295</v>
      </c>
      <c r="AI28" s="88">
        <f t="shared" si="2"/>
        <v>0.69395871612622451</v>
      </c>
      <c r="AJ28" s="88">
        <f t="shared" si="2"/>
        <v>0.87111571641735741</v>
      </c>
      <c r="AK28" s="90">
        <f t="shared" si="2"/>
        <v>0</v>
      </c>
      <c r="AL28" s="90">
        <f t="shared" si="2"/>
        <v>0</v>
      </c>
      <c r="AM28" s="90">
        <f t="shared" si="2"/>
        <v>0</v>
      </c>
      <c r="AN28" s="90">
        <f t="shared" si="2"/>
        <v>0</v>
      </c>
      <c r="AO28" s="90">
        <f t="shared" si="2"/>
        <v>0</v>
      </c>
      <c r="AP28" s="90">
        <f t="shared" si="2"/>
        <v>0</v>
      </c>
      <c r="AQ28" s="88"/>
      <c r="AR28" s="90">
        <f t="shared" si="3"/>
        <v>0.60870000000000002</v>
      </c>
      <c r="AS28" s="90">
        <f t="shared" si="3"/>
        <v>1.0771999999999999</v>
      </c>
      <c r="AT28" s="90">
        <f t="shared" si="3"/>
        <v>1.2313000000000001</v>
      </c>
      <c r="AU28" s="90">
        <f t="shared" si="3"/>
        <v>0.7268</v>
      </c>
      <c r="AV28" s="90">
        <f t="shared" si="3"/>
        <v>0.69399999999999995</v>
      </c>
      <c r="AW28" s="90">
        <f t="shared" si="3"/>
        <v>0.87109999999999999</v>
      </c>
      <c r="AX28" s="90">
        <f t="shared" si="3"/>
        <v>0</v>
      </c>
      <c r="AY28" s="90">
        <f t="shared" si="3"/>
        <v>0</v>
      </c>
      <c r="AZ28" s="90">
        <f t="shared" si="3"/>
        <v>0</v>
      </c>
      <c r="BA28" s="90">
        <f t="shared" si="3"/>
        <v>0</v>
      </c>
      <c r="BB28" s="90">
        <f t="shared" si="3"/>
        <v>0</v>
      </c>
      <c r="BC28" s="90">
        <f t="shared" si="3"/>
        <v>0</v>
      </c>
      <c r="BD28" s="88"/>
      <c r="BE28" s="1">
        <f>IFERROR(VLOOKUP(AR28,'Top WS'!$A$19:$D$28,4),0)</f>
        <v>720</v>
      </c>
      <c r="BF28" s="1">
        <f>IFERROR(VLOOKUP(AS28,'Top WS'!$A$19:$D$28,4),0)</f>
        <v>880</v>
      </c>
      <c r="BG28" s="1">
        <f>IFERROR(VLOOKUP(AT28,'Top WS'!$A$19:$D$28,4),0)</f>
        <v>1040</v>
      </c>
      <c r="BH28" s="1">
        <f>IFERROR(VLOOKUP(AU28,'Top WS'!$A$19:$D$28,4),0)</f>
        <v>720</v>
      </c>
      <c r="BI28" s="1">
        <f>IFERROR(VLOOKUP(AV28,'Top WS'!$A$19:$D$28,4),0)</f>
        <v>720</v>
      </c>
      <c r="BJ28" s="1">
        <f>IFERROR(VLOOKUP(AW28,'Top WS'!$A$19:$D$28,4),0)</f>
        <v>720</v>
      </c>
      <c r="BK28" s="89">
        <f>IFERROR(VLOOKUP(AX28,'Top WS'!$A$19:$D$28,4),0)</f>
        <v>720</v>
      </c>
      <c r="BL28" s="89">
        <f>IFERROR(VLOOKUP(AY28,'Top WS'!$A$19:$D$28,4),0)</f>
        <v>720</v>
      </c>
      <c r="BM28" s="89">
        <f>IFERROR(VLOOKUP(AZ28,'Top WS'!$A$19:$D$28,4),0)</f>
        <v>720</v>
      </c>
      <c r="BN28" s="89">
        <f>IFERROR(VLOOKUP(BA28,'Top WS'!$A$19:$D$28,4),0)</f>
        <v>720</v>
      </c>
      <c r="BO28" s="89">
        <f>IFERROR(VLOOKUP(BB28,'Top WS'!$A$19:$D$28,4),0)</f>
        <v>720</v>
      </c>
      <c r="BP28" s="89">
        <f>IFERROR(VLOOKUP(BC28,'Top WS'!$A$19:$D$28,4),0)</f>
        <v>720</v>
      </c>
    </row>
    <row r="29" spans="1:68" x14ac:dyDescent="0.4">
      <c r="A29">
        <v>1190033002</v>
      </c>
      <c r="B29">
        <f>VLOOKUP(A29,'Aji Plus'!$A$2:$D$58,2,0)</f>
        <v>27905</v>
      </c>
      <c r="C29" t="str">
        <f>VLOOKUP(A29,'Aji Plus'!$A$2:$D$58,3,0)</f>
        <v>นายปัญญา ธนาโภคาสิน</v>
      </c>
      <c r="D29" t="str">
        <f>VLOOKUP(A29,'Aji Plus'!$A$2:$D$58,4,0)</f>
        <v>Ratchaburi</v>
      </c>
      <c r="E29" s="1">
        <v>1465.456461672981</v>
      </c>
      <c r="F29" s="1">
        <v>1258.0503285728157</v>
      </c>
      <c r="G29" s="1">
        <v>1087.6142719647651</v>
      </c>
      <c r="H29" s="1">
        <v>1446.6377584766337</v>
      </c>
      <c r="I29" s="1">
        <v>1207.1997901486438</v>
      </c>
      <c r="J29" s="1">
        <v>1361.8868611030143</v>
      </c>
      <c r="K29" s="1">
        <v>1814.2698007059807</v>
      </c>
      <c r="L29" s="1">
        <v>1389.9147169273608</v>
      </c>
      <c r="M29" s="1">
        <v>1647.5707915411754</v>
      </c>
      <c r="N29" s="1">
        <v>992.92015907250811</v>
      </c>
      <c r="O29" s="1">
        <v>1520.0440475403991</v>
      </c>
      <c r="P29" s="1">
        <v>1293.6190122737125</v>
      </c>
      <c r="R29" s="1">
        <f>VLOOKUP(A29,Actual_RDM!$A$2:$H$63,3,0)</f>
        <v>1035.1999999999998</v>
      </c>
      <c r="S29" s="1">
        <f>VLOOKUP(A29,Actual_RDM!$A$2:$H$63,4,0)</f>
        <v>833.89999999999986</v>
      </c>
      <c r="T29" s="1">
        <f>VLOOKUP(A29,Actual_RDM!$A$2:$H$63,5,0)</f>
        <v>992.6</v>
      </c>
      <c r="U29" s="1">
        <f>VLOOKUP(A29,Actual_RDM!$A$2:$H$63,6,0)</f>
        <v>1140.5999999999999</v>
      </c>
      <c r="V29" s="1">
        <f>VLOOKUP(A29,Actual_RDM!$A$2:$H$63,7,0)</f>
        <v>1107.0000000000002</v>
      </c>
      <c r="W29" s="1">
        <f>VLOOKUP(A29,Actual_RDM!$A$2:$H$63,8,0)</f>
        <v>1031.8</v>
      </c>
      <c r="X29" s="102"/>
      <c r="Y29" s="102"/>
      <c r="Z29" s="102"/>
      <c r="AA29" s="102"/>
      <c r="AB29" s="102"/>
      <c r="AC29" s="102"/>
      <c r="AE29" s="88">
        <f t="shared" si="2"/>
        <v>0.70640106142642012</v>
      </c>
      <c r="AF29" s="88">
        <f t="shared" si="2"/>
        <v>0.66285106490613177</v>
      </c>
      <c r="AG29" s="88">
        <f t="shared" si="2"/>
        <v>0.91263973412823773</v>
      </c>
      <c r="AH29" s="88">
        <f t="shared" si="2"/>
        <v>0.78844893499883228</v>
      </c>
      <c r="AI29" s="88">
        <f t="shared" si="2"/>
        <v>0.91699817133309314</v>
      </c>
      <c r="AJ29" s="88">
        <f t="shared" si="2"/>
        <v>0.75762534280147786</v>
      </c>
      <c r="AK29" s="90">
        <f t="shared" si="2"/>
        <v>0</v>
      </c>
      <c r="AL29" s="90">
        <f t="shared" si="2"/>
        <v>0</v>
      </c>
      <c r="AM29" s="90">
        <f t="shared" si="2"/>
        <v>0</v>
      </c>
      <c r="AN29" s="90">
        <f t="shared" si="2"/>
        <v>0</v>
      </c>
      <c r="AO29" s="90">
        <f t="shared" si="2"/>
        <v>0</v>
      </c>
      <c r="AP29" s="90">
        <f t="shared" si="2"/>
        <v>0</v>
      </c>
      <c r="AQ29" s="88"/>
      <c r="AR29" s="90">
        <f t="shared" si="3"/>
        <v>0.70640000000000003</v>
      </c>
      <c r="AS29" s="90">
        <f t="shared" si="3"/>
        <v>0.66290000000000004</v>
      </c>
      <c r="AT29" s="90">
        <f t="shared" si="3"/>
        <v>0.91259999999999997</v>
      </c>
      <c r="AU29" s="90">
        <f t="shared" si="3"/>
        <v>0.78839999999999999</v>
      </c>
      <c r="AV29" s="90">
        <f t="shared" si="3"/>
        <v>0.91700000000000004</v>
      </c>
      <c r="AW29" s="90">
        <f t="shared" si="3"/>
        <v>0.75760000000000005</v>
      </c>
      <c r="AX29" s="90">
        <f t="shared" si="3"/>
        <v>0</v>
      </c>
      <c r="AY29" s="90">
        <f t="shared" si="3"/>
        <v>0</v>
      </c>
      <c r="AZ29" s="90">
        <f t="shared" si="3"/>
        <v>0</v>
      </c>
      <c r="BA29" s="90">
        <f t="shared" si="3"/>
        <v>0</v>
      </c>
      <c r="BB29" s="90">
        <f t="shared" si="3"/>
        <v>0</v>
      </c>
      <c r="BC29" s="90">
        <f t="shared" si="3"/>
        <v>0</v>
      </c>
      <c r="BD29" s="88"/>
      <c r="BE29" s="1">
        <f>IFERROR(VLOOKUP(AR29,'Top WS'!$A$19:$D$28,4),0)</f>
        <v>720</v>
      </c>
      <c r="BF29" s="1">
        <f>IFERROR(VLOOKUP(AS29,'Top WS'!$A$19:$D$28,4),0)</f>
        <v>720</v>
      </c>
      <c r="BG29" s="1">
        <f>IFERROR(VLOOKUP(AT29,'Top WS'!$A$19:$D$28,4),0)</f>
        <v>760</v>
      </c>
      <c r="BH29" s="1">
        <f>IFERROR(VLOOKUP(AU29,'Top WS'!$A$19:$D$28,4),0)</f>
        <v>720</v>
      </c>
      <c r="BI29" s="1">
        <f>IFERROR(VLOOKUP(AV29,'Top WS'!$A$19:$D$28,4),0)</f>
        <v>760</v>
      </c>
      <c r="BJ29" s="1">
        <f>IFERROR(VLOOKUP(AW29,'Top WS'!$A$19:$D$28,4),0)</f>
        <v>720</v>
      </c>
      <c r="BK29" s="89">
        <f>IFERROR(VLOOKUP(AX29,'Top WS'!$A$19:$D$28,4),0)</f>
        <v>720</v>
      </c>
      <c r="BL29" s="89">
        <f>IFERROR(VLOOKUP(AY29,'Top WS'!$A$19:$D$28,4),0)</f>
        <v>720</v>
      </c>
      <c r="BM29" s="89">
        <f>IFERROR(VLOOKUP(AZ29,'Top WS'!$A$19:$D$28,4),0)</f>
        <v>720</v>
      </c>
      <c r="BN29" s="89">
        <f>IFERROR(VLOOKUP(BA29,'Top WS'!$A$19:$D$28,4),0)</f>
        <v>720</v>
      </c>
      <c r="BO29" s="89">
        <f>IFERROR(VLOOKUP(BB29,'Top WS'!$A$19:$D$28,4),0)</f>
        <v>720</v>
      </c>
      <c r="BP29" s="89">
        <f>IFERROR(VLOOKUP(BC29,'Top WS'!$A$19:$D$28,4),0)</f>
        <v>720</v>
      </c>
    </row>
    <row r="30" spans="1:68" x14ac:dyDescent="0.4">
      <c r="A30">
        <v>1190033101</v>
      </c>
      <c r="B30">
        <f>VLOOKUP(A30,'Aji Plus'!$A$2:$D$58,2,0)</f>
        <v>66381</v>
      </c>
      <c r="C30" t="str">
        <f>VLOOKUP(A30,'Aji Plus'!$A$2:$D$58,3,0)</f>
        <v>นายเอกศักดิ์ แซ่ลิ้ม</v>
      </c>
      <c r="D30" t="str">
        <f>VLOOKUP(A30,'Aji Plus'!$A$2:$D$58,4,0)</f>
        <v>Huahin</v>
      </c>
      <c r="E30" s="1">
        <v>178.57750759878417</v>
      </c>
      <c r="F30" s="1">
        <v>223.22188449848019</v>
      </c>
      <c r="G30" s="1">
        <v>215.78115501519744</v>
      </c>
      <c r="H30" s="1">
        <v>272.82674772036461</v>
      </c>
      <c r="I30" s="1">
        <v>367.07598784194511</v>
      </c>
      <c r="J30" s="1">
        <v>235.62310030395125</v>
      </c>
      <c r="K30" s="1">
        <v>324.91185410334333</v>
      </c>
      <c r="L30" s="1">
        <v>365.42249240121566</v>
      </c>
      <c r="M30" s="1">
        <v>250.50455927051664</v>
      </c>
      <c r="N30" s="1">
        <v>430.73556231003022</v>
      </c>
      <c r="O30" s="1">
        <v>73.580547112461971</v>
      </c>
      <c r="P30" s="1">
        <v>325.73860182370805</v>
      </c>
      <c r="R30" s="1">
        <f>VLOOKUP(A30,Actual_RDM!$A$2:$H$63,3,0)</f>
        <v>193.6</v>
      </c>
      <c r="S30" s="1">
        <f>VLOOKUP(A30,Actual_RDM!$A$2:$H$63,4,0)</f>
        <v>227.00000000000003</v>
      </c>
      <c r="T30" s="1">
        <f>VLOOKUP(A30,Actual_RDM!$A$2:$H$63,5,0)</f>
        <v>214.8</v>
      </c>
      <c r="U30" s="1">
        <f>VLOOKUP(A30,Actual_RDM!$A$2:$H$63,6,0)</f>
        <v>226</v>
      </c>
      <c r="V30" s="1">
        <f>VLOOKUP(A30,Actual_RDM!$A$2:$H$63,7,0)</f>
        <v>269.20000000000005</v>
      </c>
      <c r="W30" s="1">
        <f>VLOOKUP(A30,Actual_RDM!$A$2:$H$63,8,0)</f>
        <v>307.60000000000002</v>
      </c>
      <c r="X30" s="102"/>
      <c r="Y30" s="102"/>
      <c r="Z30" s="102"/>
      <c r="AA30" s="102"/>
      <c r="AB30" s="102"/>
      <c r="AC30" s="102"/>
      <c r="AE30" s="88">
        <f t="shared" si="2"/>
        <v>1.0841230936819173</v>
      </c>
      <c r="AF30" s="88">
        <f t="shared" si="2"/>
        <v>1.016925381263617</v>
      </c>
      <c r="AG30" s="88">
        <f t="shared" si="2"/>
        <v>0.99545300878972343</v>
      </c>
      <c r="AH30" s="88">
        <f t="shared" si="2"/>
        <v>0.82836452762923396</v>
      </c>
      <c r="AI30" s="88">
        <f t="shared" si="2"/>
        <v>0.73336314255431956</v>
      </c>
      <c r="AJ30" s="88">
        <f t="shared" si="2"/>
        <v>1.3054747162022711</v>
      </c>
      <c r="AK30" s="90">
        <f t="shared" si="2"/>
        <v>0</v>
      </c>
      <c r="AL30" s="90">
        <f t="shared" si="2"/>
        <v>0</v>
      </c>
      <c r="AM30" s="90">
        <f t="shared" si="2"/>
        <v>0</v>
      </c>
      <c r="AN30" s="90">
        <f t="shared" si="2"/>
        <v>0</v>
      </c>
      <c r="AO30" s="90">
        <f t="shared" si="2"/>
        <v>0</v>
      </c>
      <c r="AP30" s="90">
        <f t="shared" si="2"/>
        <v>0</v>
      </c>
      <c r="AQ30" s="88"/>
      <c r="AR30" s="90">
        <f t="shared" si="3"/>
        <v>1.0841000000000001</v>
      </c>
      <c r="AS30" s="90">
        <f t="shared" si="3"/>
        <v>1.0168999999999999</v>
      </c>
      <c r="AT30" s="90">
        <f t="shared" si="3"/>
        <v>0.99550000000000005</v>
      </c>
      <c r="AU30" s="90">
        <f t="shared" si="3"/>
        <v>0.82840000000000003</v>
      </c>
      <c r="AV30" s="90">
        <f t="shared" si="3"/>
        <v>0.73340000000000005</v>
      </c>
      <c r="AW30" s="90">
        <f t="shared" si="3"/>
        <v>1.3055000000000001</v>
      </c>
      <c r="AX30" s="90">
        <f t="shared" si="3"/>
        <v>0</v>
      </c>
      <c r="AY30" s="90">
        <f t="shared" si="3"/>
        <v>0</v>
      </c>
      <c r="AZ30" s="90">
        <f t="shared" si="3"/>
        <v>0</v>
      </c>
      <c r="BA30" s="90">
        <f t="shared" si="3"/>
        <v>0</v>
      </c>
      <c r="BB30" s="90">
        <f t="shared" si="3"/>
        <v>0</v>
      </c>
      <c r="BC30" s="90">
        <f t="shared" si="3"/>
        <v>0</v>
      </c>
      <c r="BD30" s="88"/>
      <c r="BE30" s="1">
        <f>IFERROR(VLOOKUP(AR30,'Top WS'!$A$19:$D$28,4),0)</f>
        <v>880</v>
      </c>
      <c r="BF30" s="1">
        <f>IFERROR(VLOOKUP(AS30,'Top WS'!$A$19:$D$28,4),0)</f>
        <v>824</v>
      </c>
      <c r="BG30" s="1">
        <f>IFERROR(VLOOKUP(AT30,'Top WS'!$A$19:$D$28,4),0)</f>
        <v>800</v>
      </c>
      <c r="BH30" s="1">
        <f>IFERROR(VLOOKUP(AU30,'Top WS'!$A$19:$D$28,4),0)</f>
        <v>720</v>
      </c>
      <c r="BI30" s="1">
        <f>IFERROR(VLOOKUP(AV30,'Top WS'!$A$19:$D$28,4),0)</f>
        <v>720</v>
      </c>
      <c r="BJ30" s="1">
        <f>IFERROR(VLOOKUP(AW30,'Top WS'!$A$19:$D$28,4),0)</f>
        <v>1040</v>
      </c>
      <c r="BK30" s="89">
        <f>IFERROR(VLOOKUP(AX30,'Top WS'!$A$19:$D$28,4),0)</f>
        <v>720</v>
      </c>
      <c r="BL30" s="89">
        <f>IFERROR(VLOOKUP(AY30,'Top WS'!$A$19:$D$28,4),0)</f>
        <v>720</v>
      </c>
      <c r="BM30" s="89">
        <f>IFERROR(VLOOKUP(AZ30,'Top WS'!$A$19:$D$28,4),0)</f>
        <v>720</v>
      </c>
      <c r="BN30" s="89">
        <f>IFERROR(VLOOKUP(BA30,'Top WS'!$A$19:$D$28,4),0)</f>
        <v>720</v>
      </c>
      <c r="BO30" s="89">
        <f>IFERROR(VLOOKUP(BB30,'Top WS'!$A$19:$D$28,4),0)</f>
        <v>720</v>
      </c>
      <c r="BP30" s="89">
        <f>IFERROR(VLOOKUP(BC30,'Top WS'!$A$19:$D$28,4),0)</f>
        <v>720</v>
      </c>
    </row>
    <row r="31" spans="1:68" x14ac:dyDescent="0.4">
      <c r="A31">
        <v>1190033102</v>
      </c>
      <c r="B31">
        <f>VLOOKUP(A31,'Aji Plus'!$A$2:$D$58,2,0)</f>
        <v>28090</v>
      </c>
      <c r="C31" t="str">
        <f>VLOOKUP(A31,'Aji Plus'!$A$2:$D$58,3,0)</f>
        <v>นายนิกร กิจเถกิง</v>
      </c>
      <c r="D31" t="str">
        <f>VLOOKUP(A31,'Aji Plus'!$A$2:$D$58,4,0)</f>
        <v>Huahin</v>
      </c>
      <c r="E31" s="1">
        <v>171.57446808510633</v>
      </c>
      <c r="F31" s="1">
        <v>214.46808510638292</v>
      </c>
      <c r="G31" s="1">
        <v>207.31914893617011</v>
      </c>
      <c r="H31" s="1">
        <v>262.12765957446794</v>
      </c>
      <c r="I31" s="1">
        <v>352.68085106382955</v>
      </c>
      <c r="J31" s="1">
        <v>226.38297872340414</v>
      </c>
      <c r="K31" s="1">
        <v>312.17021276595733</v>
      </c>
      <c r="L31" s="1">
        <v>351.09219858156018</v>
      </c>
      <c r="M31" s="1">
        <v>240.68085106382969</v>
      </c>
      <c r="N31" s="1">
        <v>413.84397163120548</v>
      </c>
      <c r="O31" s="1">
        <v>70.69503546099287</v>
      </c>
      <c r="P31" s="1">
        <v>312.96453900709201</v>
      </c>
      <c r="R31" s="1">
        <f>VLOOKUP(A31,Actual_RDM!$A$2:$H$63,3,0)</f>
        <v>354</v>
      </c>
      <c r="S31" s="1">
        <f>VLOOKUP(A31,Actual_RDM!$A$2:$H$63,4,0)</f>
        <v>212.2</v>
      </c>
      <c r="T31" s="1">
        <f>VLOOKUP(A31,Actual_RDM!$A$2:$H$63,5,0)</f>
        <v>294.39999999999998</v>
      </c>
      <c r="U31" s="1">
        <f>VLOOKUP(A31,Actual_RDM!$A$2:$H$63,6,0)</f>
        <v>61</v>
      </c>
      <c r="V31" s="1">
        <f>VLOOKUP(A31,Actual_RDM!$A$2:$H$63,7,0)</f>
        <v>186.8</v>
      </c>
      <c r="W31" s="1">
        <f>VLOOKUP(A31,Actual_RDM!$A$2:$H$63,8,0)</f>
        <v>152</v>
      </c>
      <c r="X31" s="102"/>
      <c r="Y31" s="102"/>
      <c r="Z31" s="102"/>
      <c r="AA31" s="102"/>
      <c r="AB31" s="102"/>
      <c r="AC31" s="102"/>
      <c r="AE31" s="88">
        <f t="shared" si="2"/>
        <v>2.0632440476190483</v>
      </c>
      <c r="AF31" s="88">
        <f t="shared" si="2"/>
        <v>0.98942460317460346</v>
      </c>
      <c r="AG31" s="88">
        <f t="shared" si="2"/>
        <v>1.4200328407224965</v>
      </c>
      <c r="AH31" s="88">
        <f t="shared" si="2"/>
        <v>0.23271103896103909</v>
      </c>
      <c r="AI31" s="88">
        <f t="shared" si="2"/>
        <v>0.52965733590733632</v>
      </c>
      <c r="AJ31" s="88">
        <f t="shared" si="2"/>
        <v>0.67142857142857182</v>
      </c>
      <c r="AK31" s="90">
        <f t="shared" si="2"/>
        <v>0</v>
      </c>
      <c r="AL31" s="90">
        <f t="shared" si="2"/>
        <v>0</v>
      </c>
      <c r="AM31" s="90">
        <f t="shared" si="2"/>
        <v>0</v>
      </c>
      <c r="AN31" s="90">
        <f t="shared" si="2"/>
        <v>0</v>
      </c>
      <c r="AO31" s="90">
        <f t="shared" si="2"/>
        <v>0</v>
      </c>
      <c r="AP31" s="90">
        <f t="shared" si="2"/>
        <v>0</v>
      </c>
      <c r="AQ31" s="88"/>
      <c r="AR31" s="90">
        <f t="shared" si="3"/>
        <v>2.0632000000000001</v>
      </c>
      <c r="AS31" s="90">
        <f t="shared" si="3"/>
        <v>0.98939999999999995</v>
      </c>
      <c r="AT31" s="90">
        <f t="shared" si="3"/>
        <v>1.42</v>
      </c>
      <c r="AU31" s="90">
        <f t="shared" si="3"/>
        <v>0.23269999999999999</v>
      </c>
      <c r="AV31" s="90">
        <f t="shared" si="3"/>
        <v>0.52969999999999995</v>
      </c>
      <c r="AW31" s="90">
        <f t="shared" si="3"/>
        <v>0.6714</v>
      </c>
      <c r="AX31" s="90">
        <f t="shared" si="3"/>
        <v>0</v>
      </c>
      <c r="AY31" s="90">
        <f t="shared" si="3"/>
        <v>0</v>
      </c>
      <c r="AZ31" s="90">
        <f t="shared" si="3"/>
        <v>0</v>
      </c>
      <c r="BA31" s="90">
        <f t="shared" si="3"/>
        <v>0</v>
      </c>
      <c r="BB31" s="90">
        <f t="shared" si="3"/>
        <v>0</v>
      </c>
      <c r="BC31" s="90">
        <f t="shared" si="3"/>
        <v>0</v>
      </c>
      <c r="BD31" s="88"/>
      <c r="BE31" s="1">
        <f>IFERROR(VLOOKUP(AR31,'Top WS'!$A$19:$D$28,4),0)</f>
        <v>1040</v>
      </c>
      <c r="BF31" s="1">
        <f>IFERROR(VLOOKUP(AS31,'Top WS'!$A$19:$D$28,4),0)</f>
        <v>800</v>
      </c>
      <c r="BG31" s="1">
        <f>IFERROR(VLOOKUP(AT31,'Top WS'!$A$19:$D$28,4),0)</f>
        <v>1040</v>
      </c>
      <c r="BH31" s="1">
        <f>IFERROR(VLOOKUP(AU31,'Top WS'!$A$19:$D$28,4),0)</f>
        <v>720</v>
      </c>
      <c r="BI31" s="1">
        <f>IFERROR(VLOOKUP(AV31,'Top WS'!$A$19:$D$28,4),0)</f>
        <v>720</v>
      </c>
      <c r="BJ31" s="1">
        <f>IFERROR(VLOOKUP(AW31,'Top WS'!$A$19:$D$28,4),0)</f>
        <v>720</v>
      </c>
      <c r="BK31" s="89">
        <f>IFERROR(VLOOKUP(AX31,'Top WS'!$A$19:$D$28,4),0)</f>
        <v>720</v>
      </c>
      <c r="BL31" s="89">
        <f>IFERROR(VLOOKUP(AY31,'Top WS'!$A$19:$D$28,4),0)</f>
        <v>720</v>
      </c>
      <c r="BM31" s="89">
        <f>IFERROR(VLOOKUP(AZ31,'Top WS'!$A$19:$D$28,4),0)</f>
        <v>720</v>
      </c>
      <c r="BN31" s="89">
        <f>IFERROR(VLOOKUP(BA31,'Top WS'!$A$19:$D$28,4),0)</f>
        <v>720</v>
      </c>
      <c r="BO31" s="89">
        <f>IFERROR(VLOOKUP(BB31,'Top WS'!$A$19:$D$28,4),0)</f>
        <v>720</v>
      </c>
      <c r="BP31" s="89">
        <f>IFERROR(VLOOKUP(BC31,'Top WS'!$A$19:$D$28,4),0)</f>
        <v>720</v>
      </c>
    </row>
    <row r="32" spans="1:68" x14ac:dyDescent="0.4">
      <c r="A32">
        <v>1190033201</v>
      </c>
      <c r="B32">
        <f>VLOOKUP(A32,'Aji Plus'!$A$2:$D$58,2,0)</f>
        <v>76475</v>
      </c>
      <c r="C32" t="str">
        <f>VLOOKUP(A32,'Aji Plus'!$A$2:$D$58,3,0)</f>
        <v>นายดานุกาญจน์ ตั้งพัฒนารุ่งเรือง</v>
      </c>
      <c r="D32" t="str">
        <f>VLOOKUP(A32,'Aji Plus'!$A$2:$D$58,4,0)</f>
        <v>Suphanburi</v>
      </c>
      <c r="E32" s="1">
        <v>1167.2103911134448</v>
      </c>
      <c r="F32" s="1">
        <v>731.9119628171544</v>
      </c>
      <c r="G32" s="1">
        <v>1099.4106918731163</v>
      </c>
      <c r="H32" s="1">
        <v>1021.4613370578882</v>
      </c>
      <c r="I32" s="1">
        <v>680.83889596426013</v>
      </c>
      <c r="J32" s="1">
        <v>841.04105955847433</v>
      </c>
      <c r="K32" s="1">
        <v>1425.9860096510838</v>
      </c>
      <c r="L32" s="1">
        <v>1445.1485593764939</v>
      </c>
      <c r="M32" s="1">
        <v>498.87587081746148</v>
      </c>
      <c r="N32" s="1">
        <v>784.69017180663207</v>
      </c>
      <c r="O32" s="1">
        <v>803.93391877664158</v>
      </c>
      <c r="P32" s="1">
        <v>392.50748039251437</v>
      </c>
      <c r="R32" s="1">
        <f>VLOOKUP(A32,Actual_RDM!$A$2:$H$63,3,0)</f>
        <v>1087.2000000000003</v>
      </c>
      <c r="S32" s="1">
        <f>VLOOKUP(A32,Actual_RDM!$A$2:$H$63,4,0)</f>
        <v>744.99999999999977</v>
      </c>
      <c r="T32" s="1">
        <f>VLOOKUP(A32,Actual_RDM!$A$2:$H$63,5,0)</f>
        <v>489.2</v>
      </c>
      <c r="U32" s="1">
        <f>VLOOKUP(A32,Actual_RDM!$A$2:$H$63,6,0)</f>
        <v>697.40000000000009</v>
      </c>
      <c r="V32" s="1">
        <f>VLOOKUP(A32,Actual_RDM!$A$2:$H$63,7,0)</f>
        <v>867.80000000000007</v>
      </c>
      <c r="W32" s="1">
        <f>VLOOKUP(A32,Actual_RDM!$A$2:$H$63,8,0)</f>
        <v>414.59999999999997</v>
      </c>
      <c r="X32" s="102"/>
      <c r="Y32" s="102"/>
      <c r="Z32" s="102"/>
      <c r="AA32" s="102"/>
      <c r="AB32" s="102"/>
      <c r="AC32" s="102"/>
      <c r="AE32" s="88">
        <f t="shared" si="2"/>
        <v>0.93145161170376523</v>
      </c>
      <c r="AF32" s="88">
        <f t="shared" si="2"/>
        <v>1.0178819828719141</v>
      </c>
      <c r="AG32" s="88">
        <f t="shared" si="2"/>
        <v>0.44496565625219414</v>
      </c>
      <c r="AH32" s="88">
        <f t="shared" si="2"/>
        <v>0.68274732943756744</v>
      </c>
      <c r="AI32" s="88">
        <f t="shared" si="2"/>
        <v>1.2746040291528149</v>
      </c>
      <c r="AJ32" s="88">
        <f t="shared" si="2"/>
        <v>0.49296047474501981</v>
      </c>
      <c r="AK32" s="90">
        <f t="shared" si="2"/>
        <v>0</v>
      </c>
      <c r="AL32" s="90">
        <f t="shared" si="2"/>
        <v>0</v>
      </c>
      <c r="AM32" s="90">
        <f t="shared" si="2"/>
        <v>0</v>
      </c>
      <c r="AN32" s="90">
        <f t="shared" si="2"/>
        <v>0</v>
      </c>
      <c r="AO32" s="90">
        <f t="shared" si="2"/>
        <v>0</v>
      </c>
      <c r="AP32" s="90">
        <f t="shared" si="2"/>
        <v>0</v>
      </c>
      <c r="AQ32" s="88"/>
      <c r="AR32" s="90">
        <f t="shared" si="3"/>
        <v>0.93149999999999999</v>
      </c>
      <c r="AS32" s="90">
        <f t="shared" si="3"/>
        <v>1.0179</v>
      </c>
      <c r="AT32" s="90">
        <f t="shared" si="3"/>
        <v>0.44500000000000001</v>
      </c>
      <c r="AU32" s="90">
        <f t="shared" si="3"/>
        <v>0.68269999999999997</v>
      </c>
      <c r="AV32" s="90">
        <f t="shared" si="3"/>
        <v>1.2746</v>
      </c>
      <c r="AW32" s="90">
        <f t="shared" si="3"/>
        <v>0.49299999999999999</v>
      </c>
      <c r="AX32" s="90">
        <f t="shared" si="3"/>
        <v>0</v>
      </c>
      <c r="AY32" s="90">
        <f t="shared" si="3"/>
        <v>0</v>
      </c>
      <c r="AZ32" s="90">
        <f t="shared" si="3"/>
        <v>0</v>
      </c>
      <c r="BA32" s="90">
        <f t="shared" si="3"/>
        <v>0</v>
      </c>
      <c r="BB32" s="90">
        <f t="shared" si="3"/>
        <v>0</v>
      </c>
      <c r="BC32" s="90">
        <f t="shared" si="3"/>
        <v>0</v>
      </c>
      <c r="BD32" s="88"/>
      <c r="BE32" s="1">
        <f>IFERROR(VLOOKUP(AR32,'Top WS'!$A$19:$D$28,4),0)</f>
        <v>760</v>
      </c>
      <c r="BF32" s="1">
        <f>IFERROR(VLOOKUP(AS32,'Top WS'!$A$19:$D$28,4),0)</f>
        <v>824</v>
      </c>
      <c r="BG32" s="1">
        <f>IFERROR(VLOOKUP(AT32,'Top WS'!$A$19:$D$28,4),0)</f>
        <v>720</v>
      </c>
      <c r="BH32" s="1">
        <f>IFERROR(VLOOKUP(AU32,'Top WS'!$A$19:$D$28,4),0)</f>
        <v>720</v>
      </c>
      <c r="BI32" s="1">
        <f>IFERROR(VLOOKUP(AV32,'Top WS'!$A$19:$D$28,4),0)</f>
        <v>1040</v>
      </c>
      <c r="BJ32" s="1">
        <f>IFERROR(VLOOKUP(AW32,'Top WS'!$A$19:$D$28,4),0)</f>
        <v>720</v>
      </c>
      <c r="BK32" s="89">
        <f>IFERROR(VLOOKUP(AX32,'Top WS'!$A$19:$D$28,4),0)</f>
        <v>720</v>
      </c>
      <c r="BL32" s="89">
        <f>IFERROR(VLOOKUP(AY32,'Top WS'!$A$19:$D$28,4),0)</f>
        <v>720</v>
      </c>
      <c r="BM32" s="89">
        <f>IFERROR(VLOOKUP(AZ32,'Top WS'!$A$19:$D$28,4),0)</f>
        <v>720</v>
      </c>
      <c r="BN32" s="89">
        <f>IFERROR(VLOOKUP(BA32,'Top WS'!$A$19:$D$28,4),0)</f>
        <v>720</v>
      </c>
      <c r="BO32" s="89">
        <f>IFERROR(VLOOKUP(BB32,'Top WS'!$A$19:$D$28,4),0)</f>
        <v>720</v>
      </c>
      <c r="BP32" s="89">
        <f>IFERROR(VLOOKUP(BC32,'Top WS'!$A$19:$D$28,4),0)</f>
        <v>720</v>
      </c>
    </row>
    <row r="33" spans="1:68" x14ac:dyDescent="0.4">
      <c r="A33">
        <v>1190033202</v>
      </c>
      <c r="B33">
        <f>VLOOKUP(A33,'Aji Plus'!$A$2:$D$58,2,0)</f>
        <v>63537</v>
      </c>
      <c r="C33" t="str">
        <f>VLOOKUP(A33,'Aji Plus'!$A$2:$D$58,3,0)</f>
        <v>นายอำนาจ แตงสี</v>
      </c>
      <c r="D33" t="str">
        <f>VLOOKUP(A33,'Aji Plus'!$A$2:$D$58,4,0)</f>
        <v>Suphanburi</v>
      </c>
      <c r="E33" s="1">
        <v>584.72766561198637</v>
      </c>
      <c r="F33" s="1">
        <v>366.65983845749196</v>
      </c>
      <c r="G33" s="1">
        <v>550.76261512252518</v>
      </c>
      <c r="H33" s="1">
        <v>511.71297623643778</v>
      </c>
      <c r="I33" s="1">
        <v>341.07418964567017</v>
      </c>
      <c r="J33" s="1">
        <v>421.32933289801457</v>
      </c>
      <c r="K33" s="1">
        <v>714.36433137236247</v>
      </c>
      <c r="L33" s="1">
        <v>723.96403426519225</v>
      </c>
      <c r="M33" s="1">
        <v>249.91768887095975</v>
      </c>
      <c r="N33" s="1">
        <v>393.09969811994711</v>
      </c>
      <c r="O33" s="1">
        <v>402.74007771994991</v>
      </c>
      <c r="P33" s="1">
        <v>196.63120247431954</v>
      </c>
      <c r="R33" s="1">
        <f>VLOOKUP(A33,Actual_RDM!$A$2:$H$63,3,0)</f>
        <v>274</v>
      </c>
      <c r="S33" s="1">
        <f>VLOOKUP(A33,Actual_RDM!$A$2:$H$63,4,0)</f>
        <v>230.8</v>
      </c>
      <c r="T33" s="1">
        <f>VLOOKUP(A33,Actual_RDM!$A$2:$H$63,5,0)</f>
        <v>319.39999999999998</v>
      </c>
      <c r="U33" s="1">
        <f>VLOOKUP(A33,Actual_RDM!$A$2:$H$63,6,0)</f>
        <v>315.39999999999998</v>
      </c>
      <c r="V33" s="1">
        <f>VLOOKUP(A33,Actual_RDM!$A$2:$H$63,7,0)</f>
        <v>212.6</v>
      </c>
      <c r="W33" s="1">
        <f>VLOOKUP(A33,Actual_RDM!$A$2:$H$63,8,0)</f>
        <v>280.89999999999998</v>
      </c>
      <c r="X33" s="102"/>
      <c r="Y33" s="102"/>
      <c r="Z33" s="102"/>
      <c r="AA33" s="102"/>
      <c r="AB33" s="102"/>
      <c r="AC33" s="102"/>
      <c r="AE33" s="88">
        <f t="shared" si="2"/>
        <v>0.46859421250955646</v>
      </c>
      <c r="AF33" s="88">
        <f t="shared" si="2"/>
        <v>0.62946626762002844</v>
      </c>
      <c r="AG33" s="88">
        <f t="shared" si="2"/>
        <v>0.57992316695087376</v>
      </c>
      <c r="AH33" s="88">
        <f t="shared" si="2"/>
        <v>0.6163611529254418</v>
      </c>
      <c r="AI33" s="88">
        <f t="shared" si="2"/>
        <v>0.62332479693307363</v>
      </c>
      <c r="AJ33" s="88">
        <f t="shared" si="2"/>
        <v>0.66669936808789332</v>
      </c>
      <c r="AK33" s="90">
        <f t="shared" si="2"/>
        <v>0</v>
      </c>
      <c r="AL33" s="90">
        <f t="shared" si="2"/>
        <v>0</v>
      </c>
      <c r="AM33" s="90">
        <f t="shared" si="2"/>
        <v>0</v>
      </c>
      <c r="AN33" s="90">
        <f t="shared" si="2"/>
        <v>0</v>
      </c>
      <c r="AO33" s="90">
        <f t="shared" si="2"/>
        <v>0</v>
      </c>
      <c r="AP33" s="90">
        <f t="shared" si="2"/>
        <v>0</v>
      </c>
      <c r="AQ33" s="88"/>
      <c r="AR33" s="90">
        <f t="shared" si="3"/>
        <v>0.46860000000000002</v>
      </c>
      <c r="AS33" s="90">
        <f t="shared" si="3"/>
        <v>0.62949999999999995</v>
      </c>
      <c r="AT33" s="90">
        <f t="shared" si="3"/>
        <v>0.57989999999999997</v>
      </c>
      <c r="AU33" s="90">
        <f t="shared" si="3"/>
        <v>0.61639999999999995</v>
      </c>
      <c r="AV33" s="90">
        <f t="shared" si="3"/>
        <v>0.62329999999999997</v>
      </c>
      <c r="AW33" s="90">
        <f t="shared" si="3"/>
        <v>0.66669999999999996</v>
      </c>
      <c r="AX33" s="90">
        <f t="shared" si="3"/>
        <v>0</v>
      </c>
      <c r="AY33" s="90">
        <f t="shared" si="3"/>
        <v>0</v>
      </c>
      <c r="AZ33" s="90">
        <f t="shared" si="3"/>
        <v>0</v>
      </c>
      <c r="BA33" s="90">
        <f t="shared" si="3"/>
        <v>0</v>
      </c>
      <c r="BB33" s="90">
        <f t="shared" si="3"/>
        <v>0</v>
      </c>
      <c r="BC33" s="90">
        <f t="shared" si="3"/>
        <v>0</v>
      </c>
      <c r="BD33" s="88"/>
      <c r="BE33" s="1">
        <f>IFERROR(VLOOKUP(AR33,'Top WS'!$A$19:$D$28,4),0)</f>
        <v>720</v>
      </c>
      <c r="BF33" s="1">
        <f>IFERROR(VLOOKUP(AS33,'Top WS'!$A$19:$D$28,4),0)</f>
        <v>720</v>
      </c>
      <c r="BG33" s="1">
        <f>IFERROR(VLOOKUP(AT33,'Top WS'!$A$19:$D$28,4),0)</f>
        <v>720</v>
      </c>
      <c r="BH33" s="1">
        <f>IFERROR(VLOOKUP(AU33,'Top WS'!$A$19:$D$28,4),0)</f>
        <v>720</v>
      </c>
      <c r="BI33" s="1">
        <f>IFERROR(VLOOKUP(AV33,'Top WS'!$A$19:$D$28,4),0)</f>
        <v>720</v>
      </c>
      <c r="BJ33" s="1">
        <f>IFERROR(VLOOKUP(AW33,'Top WS'!$A$19:$D$28,4),0)</f>
        <v>720</v>
      </c>
      <c r="BK33" s="89">
        <f>IFERROR(VLOOKUP(AX33,'Top WS'!$A$19:$D$28,4),0)</f>
        <v>720</v>
      </c>
      <c r="BL33" s="89">
        <f>IFERROR(VLOOKUP(AY33,'Top WS'!$A$19:$D$28,4),0)</f>
        <v>720</v>
      </c>
      <c r="BM33" s="89">
        <f>IFERROR(VLOOKUP(AZ33,'Top WS'!$A$19:$D$28,4),0)</f>
        <v>720</v>
      </c>
      <c r="BN33" s="89">
        <f>IFERROR(VLOOKUP(BA33,'Top WS'!$A$19:$D$28,4),0)</f>
        <v>720</v>
      </c>
      <c r="BO33" s="89">
        <f>IFERROR(VLOOKUP(BB33,'Top WS'!$A$19:$D$28,4),0)</f>
        <v>720</v>
      </c>
      <c r="BP33" s="89">
        <f>IFERROR(VLOOKUP(BC33,'Top WS'!$A$19:$D$28,4),0)</f>
        <v>720</v>
      </c>
    </row>
    <row r="34" spans="1:68" x14ac:dyDescent="0.4">
      <c r="A34">
        <v>1190033301</v>
      </c>
      <c r="B34">
        <f>VLOOKUP(A34,'Aji Plus'!$A$2:$D$58,2,0)</f>
        <v>63139</v>
      </c>
      <c r="C34" t="str">
        <f>VLOOKUP(A34,'Aji Plus'!$A$2:$D$58,3,0)</f>
        <v>นายเมธา กันทสัง</v>
      </c>
      <c r="D34" t="str">
        <f>VLOOKUP(A34,'Aji Plus'!$A$2:$D$58,4,0)</f>
        <v>Nakornpathom</v>
      </c>
      <c r="E34" s="1">
        <v>1695.6003914130436</v>
      </c>
      <c r="F34" s="1">
        <v>1905.9474567763627</v>
      </c>
      <c r="G34" s="1">
        <v>506.98807921819616</v>
      </c>
      <c r="H34" s="1">
        <v>1685.9824900331798</v>
      </c>
      <c r="I34" s="1">
        <v>1445.1787369669571</v>
      </c>
      <c r="J34" s="1">
        <v>978.26524683152741</v>
      </c>
      <c r="K34" s="1">
        <v>1872.5519658740579</v>
      </c>
      <c r="L34" s="1">
        <v>2451.7633600836393</v>
      </c>
      <c r="M34" s="1">
        <v>408.84986328662188</v>
      </c>
      <c r="N34" s="1">
        <v>2179.9685914600777</v>
      </c>
      <c r="O34" s="1">
        <v>1757.7605318125341</v>
      </c>
      <c r="P34" s="1">
        <v>530.1422862437945</v>
      </c>
      <c r="R34" s="1">
        <f>VLOOKUP(A34,Actual_RDM!$A$2:$H$63,3,0)</f>
        <v>1553</v>
      </c>
      <c r="S34" s="1">
        <f>VLOOKUP(A34,Actual_RDM!$A$2:$H$63,4,0)</f>
        <v>474.9</v>
      </c>
      <c r="T34" s="1">
        <f>VLOOKUP(A34,Actual_RDM!$A$2:$H$63,5,0)</f>
        <v>2575.1</v>
      </c>
      <c r="U34" s="1">
        <f>VLOOKUP(A34,Actual_RDM!$A$2:$H$63,6,0)</f>
        <v>355.8</v>
      </c>
      <c r="V34" s="1">
        <f>VLOOKUP(A34,Actual_RDM!$A$2:$H$63,7,0)</f>
        <v>418.5</v>
      </c>
      <c r="W34" s="1">
        <f>VLOOKUP(A34,Actual_RDM!$A$2:$H$63,8,0)</f>
        <v>635</v>
      </c>
      <c r="X34" s="102"/>
      <c r="Y34" s="102"/>
      <c r="Z34" s="102"/>
      <c r="AA34" s="102"/>
      <c r="AB34" s="102"/>
      <c r="AC34" s="102"/>
      <c r="AE34" s="88">
        <f t="shared" si="2"/>
        <v>0.91589976498282932</v>
      </c>
      <c r="AF34" s="88">
        <f t="shared" si="2"/>
        <v>0.24916741451163893</v>
      </c>
      <c r="AG34" s="88">
        <f t="shared" si="2"/>
        <v>5.0792121265867776</v>
      </c>
      <c r="AH34" s="88">
        <f t="shared" si="2"/>
        <v>0.2110342201673743</v>
      </c>
      <c r="AI34" s="88">
        <f t="shared" si="2"/>
        <v>0.28958355758701471</v>
      </c>
      <c r="AJ34" s="88">
        <f t="shared" si="2"/>
        <v>0.64910820665119362</v>
      </c>
      <c r="AK34" s="90">
        <f t="shared" si="2"/>
        <v>0</v>
      </c>
      <c r="AL34" s="90">
        <f t="shared" si="2"/>
        <v>0</v>
      </c>
      <c r="AM34" s="90">
        <f t="shared" si="2"/>
        <v>0</v>
      </c>
      <c r="AN34" s="90">
        <f t="shared" si="2"/>
        <v>0</v>
      </c>
      <c r="AO34" s="90">
        <f t="shared" si="2"/>
        <v>0</v>
      </c>
      <c r="AP34" s="90">
        <f t="shared" si="2"/>
        <v>0</v>
      </c>
      <c r="AQ34" s="88"/>
      <c r="AR34" s="90">
        <f t="shared" si="3"/>
        <v>0.91590000000000005</v>
      </c>
      <c r="AS34" s="90">
        <f t="shared" si="3"/>
        <v>0.2492</v>
      </c>
      <c r="AT34" s="90">
        <f t="shared" si="3"/>
        <v>5.0792000000000002</v>
      </c>
      <c r="AU34" s="90">
        <f t="shared" si="3"/>
        <v>0.21099999999999999</v>
      </c>
      <c r="AV34" s="90">
        <f t="shared" si="3"/>
        <v>0.28960000000000002</v>
      </c>
      <c r="AW34" s="90">
        <f t="shared" si="3"/>
        <v>0.64910000000000001</v>
      </c>
      <c r="AX34" s="90">
        <f t="shared" si="3"/>
        <v>0</v>
      </c>
      <c r="AY34" s="90">
        <f t="shared" si="3"/>
        <v>0</v>
      </c>
      <c r="AZ34" s="90">
        <f t="shared" si="3"/>
        <v>0</v>
      </c>
      <c r="BA34" s="90">
        <f t="shared" si="3"/>
        <v>0</v>
      </c>
      <c r="BB34" s="90">
        <f t="shared" si="3"/>
        <v>0</v>
      </c>
      <c r="BC34" s="90">
        <f t="shared" si="3"/>
        <v>0</v>
      </c>
      <c r="BD34" s="88"/>
      <c r="BE34" s="1">
        <f>IFERROR(VLOOKUP(AR34,'Top WS'!$A$19:$D$28,4),0)</f>
        <v>760</v>
      </c>
      <c r="BF34" s="1">
        <f>IFERROR(VLOOKUP(AS34,'Top WS'!$A$19:$D$28,4),0)</f>
        <v>720</v>
      </c>
      <c r="BG34" s="1">
        <f>IFERROR(VLOOKUP(AT34,'Top WS'!$A$19:$D$28,4),0)</f>
        <v>1040</v>
      </c>
      <c r="BH34" s="1">
        <f>IFERROR(VLOOKUP(AU34,'Top WS'!$A$19:$D$28,4),0)</f>
        <v>720</v>
      </c>
      <c r="BI34" s="1">
        <f>IFERROR(VLOOKUP(AV34,'Top WS'!$A$19:$D$28,4),0)</f>
        <v>720</v>
      </c>
      <c r="BJ34" s="1">
        <f>IFERROR(VLOOKUP(AW34,'Top WS'!$A$19:$D$28,4),0)</f>
        <v>720</v>
      </c>
      <c r="BK34" s="89">
        <f>IFERROR(VLOOKUP(AX34,'Top WS'!$A$19:$D$28,4),0)</f>
        <v>720</v>
      </c>
      <c r="BL34" s="89">
        <f>IFERROR(VLOOKUP(AY34,'Top WS'!$A$19:$D$28,4),0)</f>
        <v>720</v>
      </c>
      <c r="BM34" s="89">
        <f>IFERROR(VLOOKUP(AZ34,'Top WS'!$A$19:$D$28,4),0)</f>
        <v>720</v>
      </c>
      <c r="BN34" s="89">
        <f>IFERROR(VLOOKUP(BA34,'Top WS'!$A$19:$D$28,4),0)</f>
        <v>720</v>
      </c>
      <c r="BO34" s="89">
        <f>IFERROR(VLOOKUP(BB34,'Top WS'!$A$19:$D$28,4),0)</f>
        <v>720</v>
      </c>
      <c r="BP34" s="89">
        <f>IFERROR(VLOOKUP(BC34,'Top WS'!$A$19:$D$28,4),0)</f>
        <v>720</v>
      </c>
    </row>
    <row r="35" spans="1:68" x14ac:dyDescent="0.4">
      <c r="A35">
        <v>1190033302</v>
      </c>
      <c r="B35">
        <f>VLOOKUP(A35,'Aji Plus'!$A$2:$D$58,2,0)</f>
        <v>101039</v>
      </c>
      <c r="C35" t="str">
        <f>VLOOKUP(A35,'Aji Plus'!$A$2:$D$58,3,0)</f>
        <v>นายสุชล ลีลากิจทรัพย์</v>
      </c>
      <c r="D35" t="str">
        <f>VLOOKUP(A35,'Aji Plus'!$A$2:$D$58,4,0)</f>
        <v>Nakornpathom</v>
      </c>
      <c r="E35" s="1">
        <v>637.68761108185595</v>
      </c>
      <c r="F35" s="1">
        <v>716.79570653224152</v>
      </c>
      <c r="G35" s="1">
        <v>190.66993539333012</v>
      </c>
      <c r="H35" s="1">
        <v>634.0704754727783</v>
      </c>
      <c r="I35" s="1">
        <v>543.50811726031293</v>
      </c>
      <c r="J35" s="1">
        <v>367.90958023814011</v>
      </c>
      <c r="K35" s="1">
        <v>704.23620788961057</v>
      </c>
      <c r="L35" s="1">
        <v>922.06815234740407</v>
      </c>
      <c r="M35" s="1">
        <v>153.76175538218487</v>
      </c>
      <c r="N35" s="1">
        <v>819.85057939457704</v>
      </c>
      <c r="O35" s="1">
        <v>661.06502455533996</v>
      </c>
      <c r="P35" s="1">
        <v>199.37785445222104</v>
      </c>
      <c r="R35" s="1">
        <f>VLOOKUP(A35,Actual_RDM!$A$2:$H$63,3,0)</f>
        <v>764.7</v>
      </c>
      <c r="S35" s="1">
        <f>VLOOKUP(A35,Actual_RDM!$A$2:$H$63,4,0)</f>
        <v>327.7</v>
      </c>
      <c r="T35" s="1">
        <f>VLOOKUP(A35,Actual_RDM!$A$2:$H$63,5,0)</f>
        <v>362.59999999999997</v>
      </c>
      <c r="U35" s="1">
        <f>VLOOKUP(A35,Actual_RDM!$A$2:$H$63,6,0)</f>
        <v>676.00000000000011</v>
      </c>
      <c r="V35" s="1">
        <f>VLOOKUP(A35,Actual_RDM!$A$2:$H$63,7,0)</f>
        <v>419.2</v>
      </c>
      <c r="W35" s="1">
        <f>VLOOKUP(A35,Actual_RDM!$A$2:$H$63,8,0)</f>
        <v>487.3</v>
      </c>
      <c r="X35" s="102"/>
      <c r="Y35" s="102"/>
      <c r="Z35" s="102"/>
      <c r="AA35" s="102"/>
      <c r="AB35" s="102"/>
      <c r="AC35" s="102"/>
      <c r="AE35" s="88">
        <f t="shared" si="2"/>
        <v>1.1991765038412205</v>
      </c>
      <c r="AF35" s="88">
        <f t="shared" si="2"/>
        <v>0.45717349729306733</v>
      </c>
      <c r="AG35" s="88">
        <f t="shared" si="2"/>
        <v>1.9017156493602303</v>
      </c>
      <c r="AH35" s="88">
        <f t="shared" si="2"/>
        <v>1.0661275459892028</v>
      </c>
      <c r="AI35" s="88">
        <f t="shared" si="2"/>
        <v>0.77128562883859264</v>
      </c>
      <c r="AJ35" s="88">
        <f t="shared" si="2"/>
        <v>1.3245102225513699</v>
      </c>
      <c r="AK35" s="90">
        <f t="shared" si="2"/>
        <v>0</v>
      </c>
      <c r="AL35" s="90">
        <f t="shared" si="2"/>
        <v>0</v>
      </c>
      <c r="AM35" s="90">
        <f t="shared" si="2"/>
        <v>0</v>
      </c>
      <c r="AN35" s="90">
        <f t="shared" si="2"/>
        <v>0</v>
      </c>
      <c r="AO35" s="90">
        <f t="shared" si="2"/>
        <v>0</v>
      </c>
      <c r="AP35" s="90">
        <f t="shared" si="2"/>
        <v>0</v>
      </c>
      <c r="AQ35" s="88"/>
      <c r="AR35" s="90">
        <f t="shared" si="3"/>
        <v>1.1992</v>
      </c>
      <c r="AS35" s="90">
        <f t="shared" si="3"/>
        <v>0.4572</v>
      </c>
      <c r="AT35" s="90">
        <f t="shared" si="3"/>
        <v>1.9016999999999999</v>
      </c>
      <c r="AU35" s="90">
        <f t="shared" si="3"/>
        <v>1.0661</v>
      </c>
      <c r="AV35" s="90">
        <f t="shared" si="3"/>
        <v>0.77129999999999999</v>
      </c>
      <c r="AW35" s="90">
        <f t="shared" si="3"/>
        <v>1.3245</v>
      </c>
      <c r="AX35" s="90">
        <f t="shared" si="3"/>
        <v>0</v>
      </c>
      <c r="AY35" s="90">
        <f t="shared" si="3"/>
        <v>0</v>
      </c>
      <c r="AZ35" s="90">
        <f t="shared" si="3"/>
        <v>0</v>
      </c>
      <c r="BA35" s="90">
        <f t="shared" si="3"/>
        <v>0</v>
      </c>
      <c r="BB35" s="90">
        <f t="shared" si="3"/>
        <v>0</v>
      </c>
      <c r="BC35" s="90">
        <f t="shared" si="3"/>
        <v>0</v>
      </c>
      <c r="BD35" s="88"/>
      <c r="BE35" s="1">
        <f>IFERROR(VLOOKUP(AR35,'Top WS'!$A$19:$D$28,4),0)</f>
        <v>960</v>
      </c>
      <c r="BF35" s="1">
        <f>IFERROR(VLOOKUP(AS35,'Top WS'!$A$19:$D$28,4),0)</f>
        <v>720</v>
      </c>
      <c r="BG35" s="1">
        <f>IFERROR(VLOOKUP(AT35,'Top WS'!$A$19:$D$28,4),0)</f>
        <v>1040</v>
      </c>
      <c r="BH35" s="1">
        <f>IFERROR(VLOOKUP(AU35,'Top WS'!$A$19:$D$28,4),0)</f>
        <v>880</v>
      </c>
      <c r="BI35" s="1">
        <f>IFERROR(VLOOKUP(AV35,'Top WS'!$A$19:$D$28,4),0)</f>
        <v>720</v>
      </c>
      <c r="BJ35" s="1">
        <f>IFERROR(VLOOKUP(AW35,'Top WS'!$A$19:$D$28,4),0)</f>
        <v>1040</v>
      </c>
      <c r="BK35" s="89">
        <f>IFERROR(VLOOKUP(AX35,'Top WS'!$A$19:$D$28,4),0)</f>
        <v>720</v>
      </c>
      <c r="BL35" s="89">
        <f>IFERROR(VLOOKUP(AY35,'Top WS'!$A$19:$D$28,4),0)</f>
        <v>720</v>
      </c>
      <c r="BM35" s="89">
        <f>IFERROR(VLOOKUP(AZ35,'Top WS'!$A$19:$D$28,4),0)</f>
        <v>720</v>
      </c>
      <c r="BN35" s="89">
        <f>IFERROR(VLOOKUP(BA35,'Top WS'!$A$19:$D$28,4),0)</f>
        <v>720</v>
      </c>
      <c r="BO35" s="89">
        <f>IFERROR(VLOOKUP(BB35,'Top WS'!$A$19:$D$28,4),0)</f>
        <v>720</v>
      </c>
      <c r="BP35" s="89">
        <f>IFERROR(VLOOKUP(BC35,'Top WS'!$A$19:$D$28,4),0)</f>
        <v>720</v>
      </c>
    </row>
    <row r="36" spans="1:68" x14ac:dyDescent="0.4">
      <c r="A36">
        <v>1190037301</v>
      </c>
      <c r="B36">
        <f>VLOOKUP(A36,'Aji Plus'!$A$2:$D$58,2,0)</f>
        <v>100570</v>
      </c>
      <c r="C36" t="str">
        <f>VLOOKUP(A36,'Aji Plus'!$A$2:$D$58,3,0)</f>
        <v>นายอดิเรก ศรีนุกูล</v>
      </c>
      <c r="D36" t="str">
        <f>VLOOKUP(A36,'Aji Plus'!$A$2:$D$58,4,0)</f>
        <v>Chonburi</v>
      </c>
      <c r="E36" s="1">
        <v>2013</v>
      </c>
      <c r="F36" s="1">
        <v>2394</v>
      </c>
      <c r="G36" s="1">
        <v>1580</v>
      </c>
      <c r="H36" s="1">
        <v>1469</v>
      </c>
      <c r="I36" s="1">
        <v>1680</v>
      </c>
      <c r="J36" s="1">
        <v>1464</v>
      </c>
      <c r="K36" s="1">
        <v>2432</v>
      </c>
      <c r="L36" s="1">
        <v>2353</v>
      </c>
      <c r="M36" s="1">
        <v>1059</v>
      </c>
      <c r="N36" s="1">
        <v>2288</v>
      </c>
      <c r="O36" s="1">
        <v>1319</v>
      </c>
      <c r="P36" s="1">
        <v>2581</v>
      </c>
      <c r="R36" s="1">
        <f>VLOOKUP(A36,Actual_RDM!$A$2:$H$63,3,0)</f>
        <v>1125.2</v>
      </c>
      <c r="S36" s="1">
        <f>VLOOKUP(A36,Actual_RDM!$A$2:$H$63,4,0)</f>
        <v>1548.8</v>
      </c>
      <c r="T36" s="1">
        <f>VLOOKUP(A36,Actual_RDM!$A$2:$H$63,5,0)</f>
        <v>1081.1999999999998</v>
      </c>
      <c r="U36" s="1">
        <f>VLOOKUP(A36,Actual_RDM!$A$2:$H$63,6,0)</f>
        <v>294.39999999999998</v>
      </c>
      <c r="V36" s="1">
        <f>VLOOKUP(A36,Actual_RDM!$A$2:$H$63,7,0)</f>
        <v>692.80000000000007</v>
      </c>
      <c r="W36" s="1">
        <f>VLOOKUP(A36,Actual_RDM!$A$2:$H$63,8,0)</f>
        <v>1634.1</v>
      </c>
      <c r="X36" s="102"/>
      <c r="Y36" s="102"/>
      <c r="Z36" s="102"/>
      <c r="AA36" s="102"/>
      <c r="AB36" s="102"/>
      <c r="AC36" s="102"/>
      <c r="AE36" s="88">
        <f t="shared" si="2"/>
        <v>0.5589667163437656</v>
      </c>
      <c r="AF36" s="88">
        <f t="shared" si="2"/>
        <v>0.64695071010860483</v>
      </c>
      <c r="AG36" s="88">
        <f t="shared" si="2"/>
        <v>0.68430379746835435</v>
      </c>
      <c r="AH36" s="88">
        <f t="shared" si="2"/>
        <v>0.20040844111640571</v>
      </c>
      <c r="AI36" s="88">
        <f t="shared" si="2"/>
        <v>0.4123809523809524</v>
      </c>
      <c r="AJ36" s="88">
        <f t="shared" si="2"/>
        <v>1.1161885245901639</v>
      </c>
      <c r="AK36" s="90">
        <f t="shared" si="2"/>
        <v>0</v>
      </c>
      <c r="AL36" s="90">
        <f t="shared" si="2"/>
        <v>0</v>
      </c>
      <c r="AM36" s="90">
        <f t="shared" si="2"/>
        <v>0</v>
      </c>
      <c r="AN36" s="90">
        <f t="shared" si="2"/>
        <v>0</v>
      </c>
      <c r="AO36" s="90">
        <f t="shared" si="2"/>
        <v>0</v>
      </c>
      <c r="AP36" s="90">
        <f t="shared" si="2"/>
        <v>0</v>
      </c>
      <c r="AQ36" s="88"/>
      <c r="AR36" s="90">
        <f t="shared" si="3"/>
        <v>0.55900000000000005</v>
      </c>
      <c r="AS36" s="90">
        <f t="shared" si="3"/>
        <v>0.64700000000000002</v>
      </c>
      <c r="AT36" s="90">
        <f t="shared" si="3"/>
        <v>0.68430000000000002</v>
      </c>
      <c r="AU36" s="90">
        <f t="shared" si="3"/>
        <v>0.20039999999999999</v>
      </c>
      <c r="AV36" s="90">
        <f t="shared" si="3"/>
        <v>0.41239999999999999</v>
      </c>
      <c r="AW36" s="90">
        <f t="shared" si="3"/>
        <v>1.1162000000000001</v>
      </c>
      <c r="AX36" s="90">
        <f t="shared" si="3"/>
        <v>0</v>
      </c>
      <c r="AY36" s="90">
        <f t="shared" si="3"/>
        <v>0</v>
      </c>
      <c r="AZ36" s="90">
        <f t="shared" si="3"/>
        <v>0</v>
      </c>
      <c r="BA36" s="90">
        <f t="shared" si="3"/>
        <v>0</v>
      </c>
      <c r="BB36" s="90">
        <f t="shared" si="3"/>
        <v>0</v>
      </c>
      <c r="BC36" s="90">
        <f t="shared" si="3"/>
        <v>0</v>
      </c>
      <c r="BD36" s="88"/>
      <c r="BE36" s="1">
        <f>IFERROR(VLOOKUP(AR36,'Top WS'!$A$19:$D$28,4),0)</f>
        <v>720</v>
      </c>
      <c r="BF36" s="1">
        <f>IFERROR(VLOOKUP(AS36,'Top WS'!$A$19:$D$28,4),0)</f>
        <v>720</v>
      </c>
      <c r="BG36" s="1">
        <f>IFERROR(VLOOKUP(AT36,'Top WS'!$A$19:$D$28,4),0)</f>
        <v>720</v>
      </c>
      <c r="BH36" s="1">
        <f>IFERROR(VLOOKUP(AU36,'Top WS'!$A$19:$D$28,4),0)</f>
        <v>720</v>
      </c>
      <c r="BI36" s="1">
        <f>IFERROR(VLOOKUP(AV36,'Top WS'!$A$19:$D$28,4),0)</f>
        <v>720</v>
      </c>
      <c r="BJ36" s="1">
        <f>IFERROR(VLOOKUP(AW36,'Top WS'!$A$19:$D$28,4),0)</f>
        <v>920</v>
      </c>
      <c r="BK36" s="89">
        <f>IFERROR(VLOOKUP(AX36,'Top WS'!$A$19:$D$28,4),0)</f>
        <v>720</v>
      </c>
      <c r="BL36" s="89">
        <f>IFERROR(VLOOKUP(AY36,'Top WS'!$A$19:$D$28,4),0)</f>
        <v>720</v>
      </c>
      <c r="BM36" s="89">
        <f>IFERROR(VLOOKUP(AZ36,'Top WS'!$A$19:$D$28,4),0)</f>
        <v>720</v>
      </c>
      <c r="BN36" s="89">
        <f>IFERROR(VLOOKUP(BA36,'Top WS'!$A$19:$D$28,4),0)</f>
        <v>720</v>
      </c>
      <c r="BO36" s="89">
        <f>IFERROR(VLOOKUP(BB36,'Top WS'!$A$19:$D$28,4),0)</f>
        <v>720</v>
      </c>
      <c r="BP36" s="89">
        <f>IFERROR(VLOOKUP(BC36,'Top WS'!$A$19:$D$28,4),0)</f>
        <v>720</v>
      </c>
    </row>
    <row r="37" spans="1:68" x14ac:dyDescent="0.4">
      <c r="A37">
        <v>1190037401</v>
      </c>
      <c r="B37">
        <f>VLOOKUP(A37,'Aji Plus'!$A$2:$D$58,2,0)</f>
        <v>28171</v>
      </c>
      <c r="C37" t="str">
        <f>VLOOKUP(A37,'Aji Plus'!$A$2:$D$58,3,0)</f>
        <v>นายไพฑูรย์ ไกรลาศ</v>
      </c>
      <c r="D37" t="str">
        <f>VLOOKUP(A37,'Aji Plus'!$A$2:$D$58,4,0)</f>
        <v>Sa Kaeo</v>
      </c>
      <c r="E37" s="1">
        <v>337.77557198868425</v>
      </c>
      <c r="F37" s="1">
        <v>613.35450890863058</v>
      </c>
      <c r="G37" s="1">
        <v>389.68584048836175</v>
      </c>
      <c r="H37" s="1">
        <v>426.40577696163581</v>
      </c>
      <c r="I37" s="1">
        <v>228.81185170479927</v>
      </c>
      <c r="J37" s="1">
        <v>260.7474316343243</v>
      </c>
      <c r="K37" s="1">
        <v>508.8163184277135</v>
      </c>
      <c r="L37" s="1">
        <v>400.68986053898459</v>
      </c>
      <c r="M37" s="1">
        <v>471.01990173209589</v>
      </c>
      <c r="N37" s="1">
        <v>395.66628616804803</v>
      </c>
      <c r="O37" s="1">
        <v>479.63174351084422</v>
      </c>
      <c r="P37" s="1">
        <v>307.39490793587771</v>
      </c>
      <c r="R37" s="1">
        <f>VLOOKUP(A37,Actual_RDM!$A$2:$H$63,3,0)</f>
        <v>210</v>
      </c>
      <c r="S37" s="1">
        <f>VLOOKUP(A37,Actual_RDM!$A$2:$H$63,4,0)</f>
        <v>293.60000000000002</v>
      </c>
      <c r="T37" s="1">
        <f>VLOOKUP(A37,Actual_RDM!$A$2:$H$63,5,0)</f>
        <v>244</v>
      </c>
      <c r="U37" s="1">
        <f>VLOOKUP(A37,Actual_RDM!$A$2:$H$63,6,0)</f>
        <v>229</v>
      </c>
      <c r="V37" s="1">
        <f>VLOOKUP(A37,Actual_RDM!$A$2:$H$63,7,0)</f>
        <v>373</v>
      </c>
      <c r="W37" s="1">
        <f>VLOOKUP(A37,Actual_RDM!$A$2:$H$63,8,0)</f>
        <v>273.39999999999998</v>
      </c>
      <c r="X37" s="102"/>
      <c r="Y37" s="102"/>
      <c r="Z37" s="102"/>
      <c r="AA37" s="102"/>
      <c r="AB37" s="102"/>
      <c r="AC37" s="102"/>
      <c r="AE37" s="88">
        <f t="shared" si="2"/>
        <v>0.62171458629647491</v>
      </c>
      <c r="AF37" s="88">
        <f t="shared" si="2"/>
        <v>0.4786791255882602</v>
      </c>
      <c r="AG37" s="88">
        <f t="shared" si="2"/>
        <v>0.62614540906647909</v>
      </c>
      <c r="AH37" s="88">
        <f t="shared" si="2"/>
        <v>0.53704713297212991</v>
      </c>
      <c r="AI37" s="88">
        <f t="shared" si="2"/>
        <v>1.6301603139037768</v>
      </c>
      <c r="AJ37" s="88">
        <f t="shared" si="2"/>
        <v>1.048524230081084</v>
      </c>
      <c r="AK37" s="90">
        <f t="shared" si="2"/>
        <v>0</v>
      </c>
      <c r="AL37" s="90">
        <f t="shared" si="2"/>
        <v>0</v>
      </c>
      <c r="AM37" s="90">
        <f t="shared" si="2"/>
        <v>0</v>
      </c>
      <c r="AN37" s="90">
        <f t="shared" si="2"/>
        <v>0</v>
      </c>
      <c r="AO37" s="90">
        <f t="shared" si="2"/>
        <v>0</v>
      </c>
      <c r="AP37" s="90">
        <f t="shared" si="2"/>
        <v>0</v>
      </c>
      <c r="AQ37" s="88"/>
      <c r="AR37" s="90">
        <f t="shared" si="3"/>
        <v>0.62170000000000003</v>
      </c>
      <c r="AS37" s="90">
        <f t="shared" si="3"/>
        <v>0.47870000000000001</v>
      </c>
      <c r="AT37" s="90">
        <f t="shared" si="3"/>
        <v>0.62609999999999999</v>
      </c>
      <c r="AU37" s="90">
        <f t="shared" si="3"/>
        <v>0.53700000000000003</v>
      </c>
      <c r="AV37" s="90">
        <f t="shared" si="3"/>
        <v>1.6302000000000001</v>
      </c>
      <c r="AW37" s="90">
        <f t="shared" si="3"/>
        <v>1.0485</v>
      </c>
      <c r="AX37" s="90">
        <f t="shared" si="3"/>
        <v>0</v>
      </c>
      <c r="AY37" s="90">
        <f t="shared" si="3"/>
        <v>0</v>
      </c>
      <c r="AZ37" s="90">
        <f t="shared" si="3"/>
        <v>0</v>
      </c>
      <c r="BA37" s="90">
        <f t="shared" si="3"/>
        <v>0</v>
      </c>
      <c r="BB37" s="90">
        <f t="shared" si="3"/>
        <v>0</v>
      </c>
      <c r="BC37" s="90">
        <f t="shared" si="3"/>
        <v>0</v>
      </c>
      <c r="BD37" s="88"/>
      <c r="BE37" s="1">
        <f>IFERROR(VLOOKUP(AR37,'Top WS'!$A$19:$D$28,4),0)</f>
        <v>720</v>
      </c>
      <c r="BF37" s="1">
        <f>IFERROR(VLOOKUP(AS37,'Top WS'!$A$19:$D$28,4),0)</f>
        <v>720</v>
      </c>
      <c r="BG37" s="1">
        <f>IFERROR(VLOOKUP(AT37,'Top WS'!$A$19:$D$28,4),0)</f>
        <v>720</v>
      </c>
      <c r="BH37" s="1">
        <f>IFERROR(VLOOKUP(AU37,'Top WS'!$A$19:$D$28,4),0)</f>
        <v>720</v>
      </c>
      <c r="BI37" s="1">
        <f>IFERROR(VLOOKUP(AV37,'Top WS'!$A$19:$D$28,4),0)</f>
        <v>1040</v>
      </c>
      <c r="BJ37" s="1">
        <f>IFERROR(VLOOKUP(AW37,'Top WS'!$A$19:$D$28,4),0)</f>
        <v>864</v>
      </c>
      <c r="BK37" s="89">
        <f>IFERROR(VLOOKUP(AX37,'Top WS'!$A$19:$D$28,4),0)</f>
        <v>720</v>
      </c>
      <c r="BL37" s="89">
        <f>IFERROR(VLOOKUP(AY37,'Top WS'!$A$19:$D$28,4),0)</f>
        <v>720</v>
      </c>
      <c r="BM37" s="89">
        <f>IFERROR(VLOOKUP(AZ37,'Top WS'!$A$19:$D$28,4),0)</f>
        <v>720</v>
      </c>
      <c r="BN37" s="89">
        <f>IFERROR(VLOOKUP(BA37,'Top WS'!$A$19:$D$28,4),0)</f>
        <v>720</v>
      </c>
      <c r="BO37" s="89">
        <f>IFERROR(VLOOKUP(BB37,'Top WS'!$A$19:$D$28,4),0)</f>
        <v>720</v>
      </c>
      <c r="BP37" s="89">
        <f>IFERROR(VLOOKUP(BC37,'Top WS'!$A$19:$D$28,4),0)</f>
        <v>720</v>
      </c>
    </row>
    <row r="38" spans="1:68" x14ac:dyDescent="0.4">
      <c r="A38">
        <v>1190043401</v>
      </c>
      <c r="B38">
        <f>VLOOKUP(A38,'Aji Plus'!$A$2:$D$58,2,0)</f>
        <v>75885</v>
      </c>
      <c r="C38" t="str">
        <f>VLOOKUP(A38,'Aji Plus'!$A$2:$D$58,3,0)</f>
        <v>นายมารุต ปราสัย</v>
      </c>
      <c r="D38" t="str">
        <f>VLOOKUP(A38,'Aji Plus'!$A$2:$D$58,4,0)</f>
        <v>Korat</v>
      </c>
      <c r="E38" s="1">
        <v>853.89262713178357</v>
      </c>
      <c r="F38" s="1">
        <v>908.9824740435115</v>
      </c>
      <c r="G38" s="1">
        <v>890.78766847632494</v>
      </c>
      <c r="H38" s="1">
        <v>964.68998155414249</v>
      </c>
      <c r="I38" s="1">
        <v>887.30435593056734</v>
      </c>
      <c r="J38" s="1">
        <v>1031.547224714403</v>
      </c>
      <c r="K38" s="1">
        <v>1112.2355679826555</v>
      </c>
      <c r="L38" s="1">
        <v>1036.2426816112961</v>
      </c>
      <c r="M38" s="1">
        <v>766.98995205982965</v>
      </c>
      <c r="N38" s="1">
        <v>1064.5555988680014</v>
      </c>
      <c r="O38" s="1">
        <v>890.51915148218893</v>
      </c>
      <c r="P38" s="1">
        <v>861.93575380938523</v>
      </c>
      <c r="R38" s="1">
        <f>VLOOKUP(A38,Actual_RDM!$A$2:$H$63,3,0)</f>
        <v>953.39999999999986</v>
      </c>
      <c r="S38" s="1">
        <f>VLOOKUP(A38,Actual_RDM!$A$2:$H$63,4,0)</f>
        <v>608.69999999999993</v>
      </c>
      <c r="T38" s="1">
        <f>VLOOKUP(A38,Actual_RDM!$A$2:$H$63,5,0)</f>
        <v>674.6</v>
      </c>
      <c r="U38" s="1">
        <f>VLOOKUP(A38,Actual_RDM!$A$2:$H$63,6,0)</f>
        <v>658.00000000000011</v>
      </c>
      <c r="V38" s="1">
        <f>VLOOKUP(A38,Actual_RDM!$A$2:$H$63,7,0)</f>
        <v>775.09999999999991</v>
      </c>
      <c r="W38" s="1">
        <f>VLOOKUP(A38,Actual_RDM!$A$2:$H$63,8,0)</f>
        <v>696.4</v>
      </c>
      <c r="X38" s="102"/>
      <c r="Y38" s="102"/>
      <c r="Z38" s="102"/>
      <c r="AA38" s="102"/>
      <c r="AB38" s="102"/>
      <c r="AC38" s="102"/>
      <c r="AE38" s="88">
        <f t="shared" ref="AE38:AP58" si="4">R38/E38</f>
        <v>1.1165338236991933</v>
      </c>
      <c r="AF38" s="88">
        <f t="shared" si="4"/>
        <v>0.66964987486751304</v>
      </c>
      <c r="AG38" s="88">
        <f t="shared" si="4"/>
        <v>0.75730729541181263</v>
      </c>
      <c r="AH38" s="88">
        <f t="shared" si="4"/>
        <v>0.68208441321215318</v>
      </c>
      <c r="AI38" s="88">
        <f t="shared" si="4"/>
        <v>0.8735446803787047</v>
      </c>
      <c r="AJ38" s="88">
        <f t="shared" si="4"/>
        <v>0.67510239309965392</v>
      </c>
      <c r="AK38" s="90">
        <f t="shared" si="4"/>
        <v>0</v>
      </c>
      <c r="AL38" s="90">
        <f t="shared" si="4"/>
        <v>0</v>
      </c>
      <c r="AM38" s="90">
        <f t="shared" si="4"/>
        <v>0</v>
      </c>
      <c r="AN38" s="90">
        <f t="shared" si="4"/>
        <v>0</v>
      </c>
      <c r="AO38" s="90">
        <f t="shared" si="4"/>
        <v>0</v>
      </c>
      <c r="AP38" s="90">
        <f t="shared" si="4"/>
        <v>0</v>
      </c>
      <c r="AQ38" s="88"/>
      <c r="AR38" s="90">
        <f t="shared" ref="AR38:BC58" si="5">ROUND(AE38,4)</f>
        <v>1.1165</v>
      </c>
      <c r="AS38" s="90">
        <f t="shared" si="5"/>
        <v>0.66959999999999997</v>
      </c>
      <c r="AT38" s="90">
        <f t="shared" si="5"/>
        <v>0.75729999999999997</v>
      </c>
      <c r="AU38" s="90">
        <f t="shared" si="5"/>
        <v>0.68210000000000004</v>
      </c>
      <c r="AV38" s="90">
        <f t="shared" si="5"/>
        <v>0.87350000000000005</v>
      </c>
      <c r="AW38" s="90">
        <f t="shared" si="5"/>
        <v>0.67510000000000003</v>
      </c>
      <c r="AX38" s="90">
        <f t="shared" si="5"/>
        <v>0</v>
      </c>
      <c r="AY38" s="90">
        <f t="shared" si="5"/>
        <v>0</v>
      </c>
      <c r="AZ38" s="90">
        <f t="shared" si="5"/>
        <v>0</v>
      </c>
      <c r="BA38" s="90">
        <f t="shared" si="5"/>
        <v>0</v>
      </c>
      <c r="BB38" s="90">
        <f t="shared" si="5"/>
        <v>0</v>
      </c>
      <c r="BC38" s="90">
        <f t="shared" si="5"/>
        <v>0</v>
      </c>
      <c r="BD38" s="88"/>
      <c r="BE38" s="1">
        <f>IFERROR(VLOOKUP(AR38,'Top WS'!$A$19:$D$28,4),0)</f>
        <v>920</v>
      </c>
      <c r="BF38" s="1">
        <f>IFERROR(VLOOKUP(AS38,'Top WS'!$A$19:$D$28,4),0)</f>
        <v>720</v>
      </c>
      <c r="BG38" s="1">
        <f>IFERROR(VLOOKUP(AT38,'Top WS'!$A$19:$D$28,4),0)</f>
        <v>720</v>
      </c>
      <c r="BH38" s="1">
        <f>IFERROR(VLOOKUP(AU38,'Top WS'!$A$19:$D$28,4),0)</f>
        <v>720</v>
      </c>
      <c r="BI38" s="1">
        <f>IFERROR(VLOOKUP(AV38,'Top WS'!$A$19:$D$28,4),0)</f>
        <v>720</v>
      </c>
      <c r="BJ38" s="1">
        <f>IFERROR(VLOOKUP(AW38,'Top WS'!$A$19:$D$28,4),0)</f>
        <v>720</v>
      </c>
      <c r="BK38" s="89">
        <f>IFERROR(VLOOKUP(AX38,'Top WS'!$A$19:$D$28,4),0)</f>
        <v>720</v>
      </c>
      <c r="BL38" s="89">
        <f>IFERROR(VLOOKUP(AY38,'Top WS'!$A$19:$D$28,4),0)</f>
        <v>720</v>
      </c>
      <c r="BM38" s="89">
        <f>IFERROR(VLOOKUP(AZ38,'Top WS'!$A$19:$D$28,4),0)</f>
        <v>720</v>
      </c>
      <c r="BN38" s="89">
        <f>IFERROR(VLOOKUP(BA38,'Top WS'!$A$19:$D$28,4),0)</f>
        <v>720</v>
      </c>
      <c r="BO38" s="89">
        <f>IFERROR(VLOOKUP(BB38,'Top WS'!$A$19:$D$28,4),0)</f>
        <v>720</v>
      </c>
      <c r="BP38" s="89">
        <f>IFERROR(VLOOKUP(BC38,'Top WS'!$A$19:$D$28,4),0)</f>
        <v>720</v>
      </c>
    </row>
    <row r="39" spans="1:68" x14ac:dyDescent="0.4">
      <c r="A39">
        <v>1190043402</v>
      </c>
      <c r="B39">
        <f>VLOOKUP(A39,'Aji Plus'!$A$2:$D$58,2,0)</f>
        <v>63707</v>
      </c>
      <c r="C39" t="str">
        <f>VLOOKUP(A39,'Aji Plus'!$A$2:$D$58,3,0)</f>
        <v>นายเกิดศักดิ์ คำศรี</v>
      </c>
      <c r="D39" t="str">
        <f>VLOOKUP(A39,'Aji Plus'!$A$2:$D$58,4,0)</f>
        <v>Korat</v>
      </c>
      <c r="E39" s="1">
        <v>1634.4302736257616</v>
      </c>
      <c r="F39" s="1">
        <v>1739.8773880532301</v>
      </c>
      <c r="G39" s="1">
        <v>1705.0508301268146</v>
      </c>
      <c r="H39" s="1">
        <v>1846.5067625794466</v>
      </c>
      <c r="I39" s="1">
        <v>1698.3834444434292</v>
      </c>
      <c r="J39" s="1">
        <v>1974.4777729386028</v>
      </c>
      <c r="K39" s="1">
        <v>2128.9228012430644</v>
      </c>
      <c r="L39" s="1">
        <v>1983.465316169378</v>
      </c>
      <c r="M39" s="1">
        <v>1468.0904335995479</v>
      </c>
      <c r="N39" s="1">
        <v>2037.658885277076</v>
      </c>
      <c r="O39" s="1">
        <v>1704.5368635105749</v>
      </c>
      <c r="P39" s="1">
        <v>1649.8255696135443</v>
      </c>
      <c r="R39" s="1">
        <f>VLOOKUP(A39,Actual_RDM!$A$2:$H$63,3,0)</f>
        <v>2390</v>
      </c>
      <c r="S39" s="1">
        <f>VLOOKUP(A39,Actual_RDM!$A$2:$H$63,4,0)</f>
        <v>1625.4</v>
      </c>
      <c r="T39" s="1">
        <f>VLOOKUP(A39,Actual_RDM!$A$2:$H$63,5,0)</f>
        <v>827.40000000000009</v>
      </c>
      <c r="U39" s="1">
        <f>VLOOKUP(A39,Actual_RDM!$A$2:$H$63,6,0)</f>
        <v>1303.6999999999998</v>
      </c>
      <c r="V39" s="1">
        <f>VLOOKUP(A39,Actual_RDM!$A$2:$H$63,7,0)</f>
        <v>1187.9000000000001</v>
      </c>
      <c r="W39" s="1">
        <f>VLOOKUP(A39,Actual_RDM!$A$2:$H$63,8,0)</f>
        <v>2046.9999999999998</v>
      </c>
      <c r="X39" s="102"/>
      <c r="Y39" s="102"/>
      <c r="Z39" s="102"/>
      <c r="AA39" s="102"/>
      <c r="AB39" s="102"/>
      <c r="AC39" s="102"/>
      <c r="AE39" s="88">
        <f t="shared" si="4"/>
        <v>1.4622832424035499</v>
      </c>
      <c r="AF39" s="88">
        <f t="shared" si="4"/>
        <v>0.93420376123094506</v>
      </c>
      <c r="AG39" s="88">
        <f t="shared" si="4"/>
        <v>0.48526412549147374</v>
      </c>
      <c r="AH39" s="88">
        <f t="shared" si="4"/>
        <v>0.70603586535411222</v>
      </c>
      <c r="AI39" s="88">
        <f t="shared" si="4"/>
        <v>0.6994298041978867</v>
      </c>
      <c r="AJ39" s="88">
        <f t="shared" si="4"/>
        <v>1.0367298270233058</v>
      </c>
      <c r="AK39" s="90">
        <f t="shared" si="4"/>
        <v>0</v>
      </c>
      <c r="AL39" s="90">
        <f t="shared" si="4"/>
        <v>0</v>
      </c>
      <c r="AM39" s="90">
        <f t="shared" si="4"/>
        <v>0</v>
      </c>
      <c r="AN39" s="90">
        <f t="shared" si="4"/>
        <v>0</v>
      </c>
      <c r="AO39" s="90">
        <f t="shared" si="4"/>
        <v>0</v>
      </c>
      <c r="AP39" s="90">
        <f t="shared" si="4"/>
        <v>0</v>
      </c>
      <c r="AQ39" s="88"/>
      <c r="AR39" s="90">
        <f t="shared" si="5"/>
        <v>1.4622999999999999</v>
      </c>
      <c r="AS39" s="90">
        <f t="shared" si="5"/>
        <v>0.93420000000000003</v>
      </c>
      <c r="AT39" s="90">
        <f t="shared" si="5"/>
        <v>0.48530000000000001</v>
      </c>
      <c r="AU39" s="90">
        <f t="shared" si="5"/>
        <v>0.70599999999999996</v>
      </c>
      <c r="AV39" s="90">
        <f t="shared" si="5"/>
        <v>0.69940000000000002</v>
      </c>
      <c r="AW39" s="90">
        <f t="shared" si="5"/>
        <v>1.0367</v>
      </c>
      <c r="AX39" s="90">
        <f t="shared" si="5"/>
        <v>0</v>
      </c>
      <c r="AY39" s="90">
        <f t="shared" si="5"/>
        <v>0</v>
      </c>
      <c r="AZ39" s="90">
        <f t="shared" si="5"/>
        <v>0</v>
      </c>
      <c r="BA39" s="90">
        <f t="shared" si="5"/>
        <v>0</v>
      </c>
      <c r="BB39" s="90">
        <f t="shared" si="5"/>
        <v>0</v>
      </c>
      <c r="BC39" s="90">
        <f t="shared" si="5"/>
        <v>0</v>
      </c>
      <c r="BD39" s="88"/>
      <c r="BE39" s="1">
        <f>IFERROR(VLOOKUP(AR39,'Top WS'!$A$19:$D$28,4),0)</f>
        <v>1040</v>
      </c>
      <c r="BF39" s="1">
        <f>IFERROR(VLOOKUP(AS39,'Top WS'!$A$19:$D$28,4),0)</f>
        <v>760</v>
      </c>
      <c r="BG39" s="1">
        <f>IFERROR(VLOOKUP(AT39,'Top WS'!$A$19:$D$28,4),0)</f>
        <v>720</v>
      </c>
      <c r="BH39" s="1">
        <f>IFERROR(VLOOKUP(AU39,'Top WS'!$A$19:$D$28,4),0)</f>
        <v>720</v>
      </c>
      <c r="BI39" s="1">
        <f>IFERROR(VLOOKUP(AV39,'Top WS'!$A$19:$D$28,4),0)</f>
        <v>720</v>
      </c>
      <c r="BJ39" s="1">
        <f>IFERROR(VLOOKUP(AW39,'Top WS'!$A$19:$D$28,4),0)</f>
        <v>864</v>
      </c>
      <c r="BK39" s="89">
        <f>IFERROR(VLOOKUP(AX39,'Top WS'!$A$19:$D$28,4),0)</f>
        <v>720</v>
      </c>
      <c r="BL39" s="89">
        <f>IFERROR(VLOOKUP(AY39,'Top WS'!$A$19:$D$28,4),0)</f>
        <v>720</v>
      </c>
      <c r="BM39" s="89">
        <f>IFERROR(VLOOKUP(AZ39,'Top WS'!$A$19:$D$28,4),0)</f>
        <v>720</v>
      </c>
      <c r="BN39" s="89">
        <f>IFERROR(VLOOKUP(BA39,'Top WS'!$A$19:$D$28,4),0)</f>
        <v>720</v>
      </c>
      <c r="BO39" s="89">
        <f>IFERROR(VLOOKUP(BB39,'Top WS'!$A$19:$D$28,4),0)</f>
        <v>720</v>
      </c>
      <c r="BP39" s="89">
        <f>IFERROR(VLOOKUP(BC39,'Top WS'!$A$19:$D$28,4),0)</f>
        <v>720</v>
      </c>
    </row>
    <row r="40" spans="1:68" x14ac:dyDescent="0.4">
      <c r="A40">
        <v>1190043501</v>
      </c>
      <c r="B40">
        <f>VLOOKUP(A40,'Aji Plus'!$A$2:$D$58,2,0)</f>
        <v>76645</v>
      </c>
      <c r="C40" t="str">
        <f>VLOOKUP(A40,'Aji Plus'!$A$2:$D$58,3,0)</f>
        <v>นายอัครวินท์ เปลื้องทุกข์</v>
      </c>
      <c r="D40" t="str">
        <f>VLOOKUP(A40,'Aji Plus'!$A$2:$D$58,4,0)</f>
        <v>Ubolratchathani</v>
      </c>
      <c r="E40" s="1">
        <v>1450.6735861612942</v>
      </c>
      <c r="F40" s="1">
        <v>1544.2654304297648</v>
      </c>
      <c r="G40" s="1">
        <v>1513.3543732277399</v>
      </c>
      <c r="H40" s="1">
        <v>1638.9066149637099</v>
      </c>
      <c r="I40" s="1">
        <v>1507.4365923008236</v>
      </c>
      <c r="J40" s="1">
        <v>1752.4900253532981</v>
      </c>
      <c r="K40" s="1">
        <v>1889.5710172381296</v>
      </c>
      <c r="L40" s="1">
        <v>1760.4671117911582</v>
      </c>
      <c r="M40" s="1">
        <v>1303.0350994383205</v>
      </c>
      <c r="N40" s="1">
        <v>1808.567774458121</v>
      </c>
      <c r="O40" s="1">
        <v>1512.8981911523224</v>
      </c>
      <c r="P40" s="1">
        <v>1464.338010762943</v>
      </c>
      <c r="R40" s="1">
        <f>VLOOKUP(A40,Actual_RDM!$A$2:$H$63,3,0)</f>
        <v>1125.6999999999998</v>
      </c>
      <c r="S40" s="1">
        <f>VLOOKUP(A40,Actual_RDM!$A$2:$H$63,4,0)</f>
        <v>867.59999999999991</v>
      </c>
      <c r="T40" s="1">
        <f>VLOOKUP(A40,Actual_RDM!$A$2:$H$63,5,0)</f>
        <v>677.5</v>
      </c>
      <c r="U40" s="1">
        <f>VLOOKUP(A40,Actual_RDM!$A$2:$H$63,6,0)</f>
        <v>1098.9000000000001</v>
      </c>
      <c r="V40" s="1">
        <f>VLOOKUP(A40,Actual_RDM!$A$2:$H$63,7,0)</f>
        <v>1020.9</v>
      </c>
      <c r="W40" s="1">
        <f>VLOOKUP(A40,Actual_RDM!$A$2:$H$63,8,0)</f>
        <v>1120.2</v>
      </c>
      <c r="X40" s="102"/>
      <c r="Y40" s="102"/>
      <c r="Z40" s="102"/>
      <c r="AA40" s="102"/>
      <c r="AB40" s="102"/>
      <c r="AC40" s="102"/>
      <c r="AE40" s="88">
        <f t="shared" si="4"/>
        <v>0.77598435012439659</v>
      </c>
      <c r="AF40" s="88">
        <f t="shared" si="4"/>
        <v>0.56182051537509925</v>
      </c>
      <c r="AG40" s="88">
        <f t="shared" si="4"/>
        <v>0.44768100055441884</v>
      </c>
      <c r="AH40" s="88">
        <f t="shared" si="4"/>
        <v>0.67050800208304295</v>
      </c>
      <c r="AI40" s="88">
        <f t="shared" si="4"/>
        <v>0.67724241617472258</v>
      </c>
      <c r="AJ40" s="88">
        <f t="shared" si="4"/>
        <v>0.63920477936767162</v>
      </c>
      <c r="AK40" s="90">
        <f t="shared" si="4"/>
        <v>0</v>
      </c>
      <c r="AL40" s="90">
        <f t="shared" si="4"/>
        <v>0</v>
      </c>
      <c r="AM40" s="90">
        <f t="shared" si="4"/>
        <v>0</v>
      </c>
      <c r="AN40" s="90">
        <f t="shared" si="4"/>
        <v>0</v>
      </c>
      <c r="AO40" s="90">
        <f t="shared" si="4"/>
        <v>0</v>
      </c>
      <c r="AP40" s="90">
        <f t="shared" si="4"/>
        <v>0</v>
      </c>
      <c r="AQ40" s="88"/>
      <c r="AR40" s="90">
        <f t="shared" si="5"/>
        <v>0.77600000000000002</v>
      </c>
      <c r="AS40" s="90">
        <f t="shared" si="5"/>
        <v>0.56179999999999997</v>
      </c>
      <c r="AT40" s="90">
        <f t="shared" si="5"/>
        <v>0.44769999999999999</v>
      </c>
      <c r="AU40" s="90">
        <f t="shared" si="5"/>
        <v>0.67049999999999998</v>
      </c>
      <c r="AV40" s="90">
        <f t="shared" si="5"/>
        <v>0.67720000000000002</v>
      </c>
      <c r="AW40" s="90">
        <f t="shared" si="5"/>
        <v>0.63919999999999999</v>
      </c>
      <c r="AX40" s="90">
        <f t="shared" si="5"/>
        <v>0</v>
      </c>
      <c r="AY40" s="90">
        <f t="shared" si="5"/>
        <v>0</v>
      </c>
      <c r="AZ40" s="90">
        <f t="shared" si="5"/>
        <v>0</v>
      </c>
      <c r="BA40" s="90">
        <f t="shared" si="5"/>
        <v>0</v>
      </c>
      <c r="BB40" s="90">
        <f t="shared" si="5"/>
        <v>0</v>
      </c>
      <c r="BC40" s="90">
        <f t="shared" si="5"/>
        <v>0</v>
      </c>
      <c r="BD40" s="88"/>
      <c r="BE40" s="1">
        <f>IFERROR(VLOOKUP(AR40,'Top WS'!$A$19:$D$28,4),0)</f>
        <v>720</v>
      </c>
      <c r="BF40" s="1">
        <f>IFERROR(VLOOKUP(AS40,'Top WS'!$A$19:$D$28,4),0)</f>
        <v>720</v>
      </c>
      <c r="BG40" s="1">
        <f>IFERROR(VLOOKUP(AT40,'Top WS'!$A$19:$D$28,4),0)</f>
        <v>720</v>
      </c>
      <c r="BH40" s="1">
        <f>IFERROR(VLOOKUP(AU40,'Top WS'!$A$19:$D$28,4),0)</f>
        <v>720</v>
      </c>
      <c r="BI40" s="1">
        <f>IFERROR(VLOOKUP(AV40,'Top WS'!$A$19:$D$28,4),0)</f>
        <v>720</v>
      </c>
      <c r="BJ40" s="1">
        <f>IFERROR(VLOOKUP(AW40,'Top WS'!$A$19:$D$28,4),0)</f>
        <v>720</v>
      </c>
      <c r="BK40" s="89">
        <f>IFERROR(VLOOKUP(AX40,'Top WS'!$A$19:$D$28,4),0)</f>
        <v>720</v>
      </c>
      <c r="BL40" s="89">
        <f>IFERROR(VLOOKUP(AY40,'Top WS'!$A$19:$D$28,4),0)</f>
        <v>720</v>
      </c>
      <c r="BM40" s="89">
        <f>IFERROR(VLOOKUP(AZ40,'Top WS'!$A$19:$D$28,4),0)</f>
        <v>720</v>
      </c>
      <c r="BN40" s="89">
        <f>IFERROR(VLOOKUP(BA40,'Top WS'!$A$19:$D$28,4),0)</f>
        <v>720</v>
      </c>
      <c r="BO40" s="89">
        <f>IFERROR(VLOOKUP(BB40,'Top WS'!$A$19:$D$28,4),0)</f>
        <v>720</v>
      </c>
      <c r="BP40" s="89">
        <f>IFERROR(VLOOKUP(BC40,'Top WS'!$A$19:$D$28,4),0)</f>
        <v>720</v>
      </c>
    </row>
    <row r="41" spans="1:68" x14ac:dyDescent="0.4">
      <c r="A41">
        <v>1190043502</v>
      </c>
      <c r="B41">
        <f>VLOOKUP(A41,'Aji Plus'!$A$2:$D$58,2,0)</f>
        <v>26006</v>
      </c>
      <c r="C41" t="str">
        <f>VLOOKUP(A41,'Aji Plus'!$A$2:$D$58,3,0)</f>
        <v>นายกสิณวัชรฒ์ วงศ์กุลโชติ</v>
      </c>
      <c r="D41" t="str">
        <f>VLOOKUP(A41,'Aji Plus'!$A$2:$D$58,4,0)</f>
        <v>Ubolratchathani</v>
      </c>
      <c r="E41" s="1">
        <v>489.62724999038716</v>
      </c>
      <c r="F41" s="1">
        <v>521.21610482847666</v>
      </c>
      <c r="G41" s="1">
        <v>510.78309213940423</v>
      </c>
      <c r="H41" s="1">
        <v>553.15913002810703</v>
      </c>
      <c r="I41" s="1">
        <v>508.78573944136633</v>
      </c>
      <c r="J41" s="1">
        <v>591.49548177815541</v>
      </c>
      <c r="K41" s="1">
        <v>637.76267084315441</v>
      </c>
      <c r="L41" s="1">
        <v>594.18788545377515</v>
      </c>
      <c r="M41" s="1">
        <v>439.79672509732927</v>
      </c>
      <c r="N41" s="1">
        <v>610.42268521094229</v>
      </c>
      <c r="O41" s="1">
        <v>510.62912285423056</v>
      </c>
      <c r="P41" s="1">
        <v>494.23922797373922</v>
      </c>
      <c r="R41" s="1">
        <f>VLOOKUP(A41,Actual_RDM!$A$2:$H$63,3,0)</f>
        <v>445.2</v>
      </c>
      <c r="S41" s="1">
        <f>VLOOKUP(A41,Actual_RDM!$A$2:$H$63,4,0)</f>
        <v>446.40000000000003</v>
      </c>
      <c r="T41" s="1">
        <f>VLOOKUP(A41,Actual_RDM!$A$2:$H$63,5,0)</f>
        <v>280.90000000000003</v>
      </c>
      <c r="U41" s="1">
        <f>VLOOKUP(A41,Actual_RDM!$A$2:$H$63,6,0)</f>
        <v>375.40000000000009</v>
      </c>
      <c r="V41" s="1">
        <f>VLOOKUP(A41,Actual_RDM!$A$2:$H$63,7,0)</f>
        <v>569.30000000000007</v>
      </c>
      <c r="W41" s="1">
        <f>VLOOKUP(A41,Actual_RDM!$A$2:$H$63,8,0)</f>
        <v>516.6</v>
      </c>
      <c r="X41" s="102"/>
      <c r="Y41" s="102"/>
      <c r="Z41" s="102"/>
      <c r="AA41" s="102"/>
      <c r="AB41" s="102"/>
      <c r="AC41" s="102"/>
      <c r="AE41" s="88">
        <f t="shared" si="4"/>
        <v>0.90926311803262705</v>
      </c>
      <c r="AF41" s="88">
        <f t="shared" si="4"/>
        <v>0.85645857037917639</v>
      </c>
      <c r="AG41" s="88">
        <f t="shared" si="4"/>
        <v>0.54993989488464912</v>
      </c>
      <c r="AH41" s="88">
        <f t="shared" si="4"/>
        <v>0.67864739027434173</v>
      </c>
      <c r="AI41" s="88">
        <f t="shared" si="4"/>
        <v>1.1189385941223056</v>
      </c>
      <c r="AJ41" s="88">
        <f t="shared" si="4"/>
        <v>0.87337945244652693</v>
      </c>
      <c r="AK41" s="90">
        <f t="shared" si="4"/>
        <v>0</v>
      </c>
      <c r="AL41" s="90">
        <f t="shared" si="4"/>
        <v>0</v>
      </c>
      <c r="AM41" s="90">
        <f t="shared" si="4"/>
        <v>0</v>
      </c>
      <c r="AN41" s="90">
        <f t="shared" si="4"/>
        <v>0</v>
      </c>
      <c r="AO41" s="90">
        <f t="shared" si="4"/>
        <v>0</v>
      </c>
      <c r="AP41" s="90">
        <f t="shared" si="4"/>
        <v>0</v>
      </c>
      <c r="AQ41" s="88"/>
      <c r="AR41" s="90">
        <f t="shared" si="5"/>
        <v>0.9093</v>
      </c>
      <c r="AS41" s="90">
        <f t="shared" si="5"/>
        <v>0.85650000000000004</v>
      </c>
      <c r="AT41" s="90">
        <f t="shared" si="5"/>
        <v>0.54990000000000006</v>
      </c>
      <c r="AU41" s="90">
        <f t="shared" si="5"/>
        <v>0.67859999999999998</v>
      </c>
      <c r="AV41" s="90">
        <f t="shared" si="5"/>
        <v>1.1189</v>
      </c>
      <c r="AW41" s="90">
        <f t="shared" si="5"/>
        <v>0.87339999999999995</v>
      </c>
      <c r="AX41" s="90">
        <f t="shared" si="5"/>
        <v>0</v>
      </c>
      <c r="AY41" s="90">
        <f t="shared" si="5"/>
        <v>0</v>
      </c>
      <c r="AZ41" s="90">
        <f t="shared" si="5"/>
        <v>0</v>
      </c>
      <c r="BA41" s="90">
        <f t="shared" si="5"/>
        <v>0</v>
      </c>
      <c r="BB41" s="90">
        <f t="shared" si="5"/>
        <v>0</v>
      </c>
      <c r="BC41" s="90">
        <f t="shared" si="5"/>
        <v>0</v>
      </c>
      <c r="BD41" s="88"/>
      <c r="BE41" s="1">
        <f>IFERROR(VLOOKUP(AR41,'Top WS'!$A$19:$D$28,4),0)</f>
        <v>760</v>
      </c>
      <c r="BF41" s="1">
        <f>IFERROR(VLOOKUP(AS41,'Top WS'!$A$19:$D$28,4),0)</f>
        <v>720</v>
      </c>
      <c r="BG41" s="1">
        <f>IFERROR(VLOOKUP(AT41,'Top WS'!$A$19:$D$28,4),0)</f>
        <v>720</v>
      </c>
      <c r="BH41" s="1">
        <f>IFERROR(VLOOKUP(AU41,'Top WS'!$A$19:$D$28,4),0)</f>
        <v>720</v>
      </c>
      <c r="BI41" s="1">
        <f>IFERROR(VLOOKUP(AV41,'Top WS'!$A$19:$D$28,4),0)</f>
        <v>920</v>
      </c>
      <c r="BJ41" s="1">
        <f>IFERROR(VLOOKUP(AW41,'Top WS'!$A$19:$D$28,4),0)</f>
        <v>720</v>
      </c>
      <c r="BK41" s="89">
        <f>IFERROR(VLOOKUP(AX41,'Top WS'!$A$19:$D$28,4),0)</f>
        <v>720</v>
      </c>
      <c r="BL41" s="89">
        <f>IFERROR(VLOOKUP(AY41,'Top WS'!$A$19:$D$28,4),0)</f>
        <v>720</v>
      </c>
      <c r="BM41" s="89">
        <f>IFERROR(VLOOKUP(AZ41,'Top WS'!$A$19:$D$28,4),0)</f>
        <v>720</v>
      </c>
      <c r="BN41" s="89">
        <f>IFERROR(VLOOKUP(BA41,'Top WS'!$A$19:$D$28,4),0)</f>
        <v>720</v>
      </c>
      <c r="BO41" s="89">
        <f>IFERROR(VLOOKUP(BB41,'Top WS'!$A$19:$D$28,4),0)</f>
        <v>720</v>
      </c>
      <c r="BP41" s="89">
        <f>IFERROR(VLOOKUP(BC41,'Top WS'!$A$19:$D$28,4),0)</f>
        <v>720</v>
      </c>
    </row>
    <row r="42" spans="1:68" x14ac:dyDescent="0.4">
      <c r="A42">
        <v>1190043601</v>
      </c>
      <c r="B42">
        <f>VLOOKUP(A42,'Aji Plus'!$A$2:$D$58,2,0)</f>
        <v>77489</v>
      </c>
      <c r="C42" t="str">
        <f>VLOOKUP(A42,'Aji Plus'!$A$2:$D$58,3,0)</f>
        <v>นายสุริยันต์ จันทร์คำพา</v>
      </c>
      <c r="D42" t="str">
        <f>VLOOKUP(A42,'Aji Plus'!$A$2:$D$58,4,0)</f>
        <v>Roi-et</v>
      </c>
      <c r="E42" s="1">
        <v>1119.0200963809291</v>
      </c>
      <c r="F42" s="1">
        <v>1191.2149413087309</v>
      </c>
      <c r="G42" s="1">
        <v>1167.3707805413339</v>
      </c>
      <c r="H42" s="1">
        <v>1264.2192259728108</v>
      </c>
      <c r="I42" s="1">
        <v>1162.8059247072092</v>
      </c>
      <c r="J42" s="1">
        <v>1351.8351583603048</v>
      </c>
      <c r="K42" s="1">
        <v>1457.5766471516379</v>
      </c>
      <c r="L42" s="1">
        <v>1357.988520577476</v>
      </c>
      <c r="M42" s="1">
        <v>1005.1347708202363</v>
      </c>
      <c r="N42" s="1">
        <v>1395.0923933487466</v>
      </c>
      <c r="O42" s="1">
        <v>1167.0188909675039</v>
      </c>
      <c r="P42" s="1">
        <v>1129.5605555721581</v>
      </c>
      <c r="R42" s="1">
        <f>VLOOKUP(A42,Actual_RDM!$A$2:$H$63,3,0)</f>
        <v>1030.6000000000001</v>
      </c>
      <c r="S42" s="1">
        <f>VLOOKUP(A42,Actual_RDM!$A$2:$H$63,4,0)</f>
        <v>1087.4000000000001</v>
      </c>
      <c r="T42" s="1">
        <f>VLOOKUP(A42,Actual_RDM!$A$2:$H$63,5,0)</f>
        <v>892.50000000000011</v>
      </c>
      <c r="U42" s="1">
        <f>VLOOKUP(A42,Actual_RDM!$A$2:$H$63,6,0)</f>
        <v>1104.2</v>
      </c>
      <c r="V42" s="1">
        <f>VLOOKUP(A42,Actual_RDM!$A$2:$H$63,7,0)</f>
        <v>878.7</v>
      </c>
      <c r="W42" s="1">
        <f>VLOOKUP(A42,Actual_RDM!$A$2:$H$63,8,0)</f>
        <v>986.1</v>
      </c>
      <c r="X42" s="102"/>
      <c r="Y42" s="102"/>
      <c r="Z42" s="102"/>
      <c r="AA42" s="102"/>
      <c r="AB42" s="102"/>
      <c r="AC42" s="102"/>
      <c r="AE42" s="88">
        <f t="shared" si="4"/>
        <v>0.92098435348311247</v>
      </c>
      <c r="AF42" s="88">
        <f t="shared" si="4"/>
        <v>0.91284953058540863</v>
      </c>
      <c r="AG42" s="88">
        <f t="shared" si="4"/>
        <v>0.76453858095208571</v>
      </c>
      <c r="AH42" s="88">
        <f t="shared" si="4"/>
        <v>0.8734244641393768</v>
      </c>
      <c r="AI42" s="88">
        <f t="shared" si="4"/>
        <v>0.75567210428623666</v>
      </c>
      <c r="AJ42" s="88">
        <f t="shared" si="4"/>
        <v>0.72945284334524951</v>
      </c>
      <c r="AK42" s="90">
        <f t="shared" si="4"/>
        <v>0</v>
      </c>
      <c r="AL42" s="90">
        <f t="shared" si="4"/>
        <v>0</v>
      </c>
      <c r="AM42" s="90">
        <f t="shared" si="4"/>
        <v>0</v>
      </c>
      <c r="AN42" s="90">
        <f t="shared" si="4"/>
        <v>0</v>
      </c>
      <c r="AO42" s="90">
        <f t="shared" si="4"/>
        <v>0</v>
      </c>
      <c r="AP42" s="90">
        <f t="shared" si="4"/>
        <v>0</v>
      </c>
      <c r="AQ42" s="88"/>
      <c r="AR42" s="90">
        <f t="shared" si="5"/>
        <v>0.92100000000000004</v>
      </c>
      <c r="AS42" s="90">
        <f t="shared" si="5"/>
        <v>0.91279999999999994</v>
      </c>
      <c r="AT42" s="90">
        <f t="shared" si="5"/>
        <v>0.76449999999999996</v>
      </c>
      <c r="AU42" s="90">
        <f t="shared" si="5"/>
        <v>0.87339999999999995</v>
      </c>
      <c r="AV42" s="90">
        <f t="shared" si="5"/>
        <v>0.75570000000000004</v>
      </c>
      <c r="AW42" s="90">
        <f t="shared" si="5"/>
        <v>0.72950000000000004</v>
      </c>
      <c r="AX42" s="90">
        <f t="shared" si="5"/>
        <v>0</v>
      </c>
      <c r="AY42" s="90">
        <f t="shared" si="5"/>
        <v>0</v>
      </c>
      <c r="AZ42" s="90">
        <f t="shared" si="5"/>
        <v>0</v>
      </c>
      <c r="BA42" s="90">
        <f t="shared" si="5"/>
        <v>0</v>
      </c>
      <c r="BB42" s="90">
        <f t="shared" si="5"/>
        <v>0</v>
      </c>
      <c r="BC42" s="90">
        <f t="shared" si="5"/>
        <v>0</v>
      </c>
      <c r="BD42" s="88"/>
      <c r="BE42" s="1">
        <f>IFERROR(VLOOKUP(AR42,'Top WS'!$A$19:$D$28,4),0)</f>
        <v>760</v>
      </c>
      <c r="BF42" s="1">
        <f>IFERROR(VLOOKUP(AS42,'Top WS'!$A$19:$D$28,4),0)</f>
        <v>760</v>
      </c>
      <c r="BG42" s="1">
        <f>IFERROR(VLOOKUP(AT42,'Top WS'!$A$19:$D$28,4),0)</f>
        <v>720</v>
      </c>
      <c r="BH42" s="1">
        <f>IFERROR(VLOOKUP(AU42,'Top WS'!$A$19:$D$28,4),0)</f>
        <v>720</v>
      </c>
      <c r="BI42" s="1">
        <f>IFERROR(VLOOKUP(AV42,'Top WS'!$A$19:$D$28,4),0)</f>
        <v>720</v>
      </c>
      <c r="BJ42" s="1">
        <f>IFERROR(VLOOKUP(AW42,'Top WS'!$A$19:$D$28,4),0)</f>
        <v>720</v>
      </c>
      <c r="BK42" s="89">
        <f>IFERROR(VLOOKUP(AX42,'Top WS'!$A$19:$D$28,4),0)</f>
        <v>720</v>
      </c>
      <c r="BL42" s="89">
        <f>IFERROR(VLOOKUP(AY42,'Top WS'!$A$19:$D$28,4),0)</f>
        <v>720</v>
      </c>
      <c r="BM42" s="89">
        <f>IFERROR(VLOOKUP(AZ42,'Top WS'!$A$19:$D$28,4),0)</f>
        <v>720</v>
      </c>
      <c r="BN42" s="89">
        <f>IFERROR(VLOOKUP(BA42,'Top WS'!$A$19:$D$28,4),0)</f>
        <v>720</v>
      </c>
      <c r="BO42" s="89">
        <f>IFERROR(VLOOKUP(BB42,'Top WS'!$A$19:$D$28,4),0)</f>
        <v>720</v>
      </c>
      <c r="BP42" s="89">
        <f>IFERROR(VLOOKUP(BC42,'Top WS'!$A$19:$D$28,4),0)</f>
        <v>720</v>
      </c>
    </row>
    <row r="43" spans="1:68" x14ac:dyDescent="0.4">
      <c r="A43">
        <v>1190043602</v>
      </c>
      <c r="B43">
        <f>VLOOKUP(A43,'Aji Plus'!$A$2:$D$58,2,0)</f>
        <v>70403</v>
      </c>
      <c r="C43" t="str">
        <f>VLOOKUP(A43,'Aji Plus'!$A$2:$D$58,3,0)</f>
        <v>นายเดชา ปะโพธิ์ชะกัง</v>
      </c>
      <c r="D43" t="str">
        <f>VLOOKUP(A43,'Aji Plus'!$A$2:$D$58,4,0)</f>
        <v>Roi-et</v>
      </c>
      <c r="E43" s="1">
        <v>638.06304047457286</v>
      </c>
      <c r="F43" s="1">
        <v>679.22839792454533</v>
      </c>
      <c r="G43" s="1">
        <v>665.63250472654613</v>
      </c>
      <c r="H43" s="1">
        <v>720.85529630741144</v>
      </c>
      <c r="I43" s="1">
        <v>663.0296329798548</v>
      </c>
      <c r="J43" s="1">
        <v>770.81372725425695</v>
      </c>
      <c r="K43" s="1">
        <v>831.10731452825917</v>
      </c>
      <c r="L43" s="1">
        <v>774.32236219131266</v>
      </c>
      <c r="M43" s="1">
        <v>573.12585362001641</v>
      </c>
      <c r="N43" s="1">
        <v>795.47891688625123</v>
      </c>
      <c r="O43" s="1">
        <v>665.43185798917693</v>
      </c>
      <c r="P43" s="1">
        <v>644.07318940872051</v>
      </c>
      <c r="R43" s="1">
        <f>VLOOKUP(A43,Actual_RDM!$A$2:$H$63,3,0)</f>
        <v>334.7</v>
      </c>
      <c r="S43" s="1">
        <f>VLOOKUP(A43,Actual_RDM!$A$2:$H$63,4,0)</f>
        <v>465.9</v>
      </c>
      <c r="T43" s="1">
        <f>VLOOKUP(A43,Actual_RDM!$A$2:$H$63,5,0)</f>
        <v>655.29999999999995</v>
      </c>
      <c r="U43" s="1">
        <f>VLOOKUP(A43,Actual_RDM!$A$2:$H$63,6,0)</f>
        <v>605.59999999999991</v>
      </c>
      <c r="V43" s="1">
        <f>VLOOKUP(A43,Actual_RDM!$A$2:$H$63,7,0)</f>
        <v>364.90000000000003</v>
      </c>
      <c r="W43" s="1">
        <f>VLOOKUP(A43,Actual_RDM!$A$2:$H$63,8,0)</f>
        <v>434.8</v>
      </c>
      <c r="X43" s="102"/>
      <c r="Y43" s="102"/>
      <c r="Z43" s="102"/>
      <c r="AA43" s="102"/>
      <c r="AB43" s="102"/>
      <c r="AC43" s="102"/>
      <c r="AE43" s="88">
        <f t="shared" si="4"/>
        <v>0.52455631931142699</v>
      </c>
      <c r="AF43" s="88">
        <f t="shared" si="4"/>
        <v>0.68592538448570028</v>
      </c>
      <c r="AG43" s="88">
        <f t="shared" si="4"/>
        <v>0.98447716321967937</v>
      </c>
      <c r="AH43" s="88">
        <f t="shared" si="4"/>
        <v>0.84011313102947571</v>
      </c>
      <c r="AI43" s="88">
        <f t="shared" si="4"/>
        <v>0.55035247574083468</v>
      </c>
      <c r="AJ43" s="88">
        <f t="shared" si="4"/>
        <v>0.56407921217077517</v>
      </c>
      <c r="AK43" s="90">
        <f t="shared" si="4"/>
        <v>0</v>
      </c>
      <c r="AL43" s="90">
        <f t="shared" si="4"/>
        <v>0</v>
      </c>
      <c r="AM43" s="90">
        <f t="shared" si="4"/>
        <v>0</v>
      </c>
      <c r="AN43" s="90">
        <f t="shared" si="4"/>
        <v>0</v>
      </c>
      <c r="AO43" s="90">
        <f t="shared" si="4"/>
        <v>0</v>
      </c>
      <c r="AP43" s="90">
        <f t="shared" si="4"/>
        <v>0</v>
      </c>
      <c r="AQ43" s="88"/>
      <c r="AR43" s="90">
        <f t="shared" si="5"/>
        <v>0.52459999999999996</v>
      </c>
      <c r="AS43" s="90">
        <f t="shared" si="5"/>
        <v>0.68589999999999995</v>
      </c>
      <c r="AT43" s="90">
        <f t="shared" si="5"/>
        <v>0.98450000000000004</v>
      </c>
      <c r="AU43" s="90">
        <f t="shared" si="5"/>
        <v>0.84009999999999996</v>
      </c>
      <c r="AV43" s="90">
        <f t="shared" si="5"/>
        <v>0.5504</v>
      </c>
      <c r="AW43" s="90">
        <f t="shared" si="5"/>
        <v>0.56410000000000005</v>
      </c>
      <c r="AX43" s="90">
        <f t="shared" si="5"/>
        <v>0</v>
      </c>
      <c r="AY43" s="90">
        <f t="shared" si="5"/>
        <v>0</v>
      </c>
      <c r="AZ43" s="90">
        <f t="shared" si="5"/>
        <v>0</v>
      </c>
      <c r="BA43" s="90">
        <f t="shared" si="5"/>
        <v>0</v>
      </c>
      <c r="BB43" s="90">
        <f t="shared" si="5"/>
        <v>0</v>
      </c>
      <c r="BC43" s="90">
        <f t="shared" si="5"/>
        <v>0</v>
      </c>
      <c r="BD43" s="88"/>
      <c r="BE43" s="1">
        <f>IFERROR(VLOOKUP(AR43,'Top WS'!$A$19:$D$28,4),0)</f>
        <v>720</v>
      </c>
      <c r="BF43" s="1">
        <f>IFERROR(VLOOKUP(AS43,'Top WS'!$A$19:$D$28,4),0)</f>
        <v>720</v>
      </c>
      <c r="BG43" s="1">
        <f>IFERROR(VLOOKUP(AT43,'Top WS'!$A$19:$D$28,4),0)</f>
        <v>800</v>
      </c>
      <c r="BH43" s="1">
        <f>IFERROR(VLOOKUP(AU43,'Top WS'!$A$19:$D$28,4),0)</f>
        <v>720</v>
      </c>
      <c r="BI43" s="1">
        <f>IFERROR(VLOOKUP(AV43,'Top WS'!$A$19:$D$28,4),0)</f>
        <v>720</v>
      </c>
      <c r="BJ43" s="1">
        <f>IFERROR(VLOOKUP(AW43,'Top WS'!$A$19:$D$28,4),0)</f>
        <v>720</v>
      </c>
      <c r="BK43" s="89">
        <f>IFERROR(VLOOKUP(AX43,'Top WS'!$A$19:$D$28,4),0)</f>
        <v>720</v>
      </c>
      <c r="BL43" s="89">
        <f>IFERROR(VLOOKUP(AY43,'Top WS'!$A$19:$D$28,4),0)</f>
        <v>720</v>
      </c>
      <c r="BM43" s="89">
        <f>IFERROR(VLOOKUP(AZ43,'Top WS'!$A$19:$D$28,4),0)</f>
        <v>720</v>
      </c>
      <c r="BN43" s="89">
        <f>IFERROR(VLOOKUP(BA43,'Top WS'!$A$19:$D$28,4),0)</f>
        <v>720</v>
      </c>
      <c r="BO43" s="89">
        <f>IFERROR(VLOOKUP(BB43,'Top WS'!$A$19:$D$28,4),0)</f>
        <v>720</v>
      </c>
      <c r="BP43" s="89">
        <f>IFERROR(VLOOKUP(BC43,'Top WS'!$A$19:$D$28,4),0)</f>
        <v>720</v>
      </c>
    </row>
    <row r="44" spans="1:68" x14ac:dyDescent="0.4">
      <c r="A44">
        <v>1190043701</v>
      </c>
      <c r="B44">
        <f>VLOOKUP(A44,'Aji Plus'!$A$2:$D$58,2,0)</f>
        <v>63286</v>
      </c>
      <c r="C44" t="str">
        <f>VLOOKUP(A44,'Aji Plus'!$A$2:$D$58,3,0)</f>
        <v>นายมานพ ประจวบสุข</v>
      </c>
      <c r="D44" t="str">
        <f>VLOOKUP(A44,'Aji Plus'!$A$2:$D$58,4,0)</f>
        <v>Surin</v>
      </c>
      <c r="E44" s="1">
        <v>1474</v>
      </c>
      <c r="F44" s="1">
        <v>1569</v>
      </c>
      <c r="G44" s="1">
        <v>1537</v>
      </c>
      <c r="H44" s="1">
        <v>1665</v>
      </c>
      <c r="I44" s="1">
        <v>1532</v>
      </c>
      <c r="J44" s="1">
        <v>1780</v>
      </c>
      <c r="K44" s="1">
        <v>1920</v>
      </c>
      <c r="L44" s="1">
        <v>1788</v>
      </c>
      <c r="M44" s="1">
        <v>1324</v>
      </c>
      <c r="N44" s="1">
        <v>1837</v>
      </c>
      <c r="O44" s="1">
        <v>1537</v>
      </c>
      <c r="P44" s="1">
        <v>1488</v>
      </c>
      <c r="R44" s="1">
        <f>VLOOKUP(A44,Actual_RDM!$A$2:$H$63,3,0)</f>
        <v>767.69999999999993</v>
      </c>
      <c r="S44" s="1">
        <f>VLOOKUP(A44,Actual_RDM!$A$2:$H$63,4,0)</f>
        <v>715.4</v>
      </c>
      <c r="T44" s="1">
        <f>VLOOKUP(A44,Actual_RDM!$A$2:$H$63,5,0)</f>
        <v>1402.5</v>
      </c>
      <c r="U44" s="1">
        <f>VLOOKUP(A44,Actual_RDM!$A$2:$H$63,6,0)</f>
        <v>545.60000000000014</v>
      </c>
      <c r="V44" s="1">
        <f>VLOOKUP(A44,Actual_RDM!$A$2:$H$63,7,0)</f>
        <v>1006.1999999999999</v>
      </c>
      <c r="W44" s="1">
        <f>VLOOKUP(A44,Actual_RDM!$A$2:$H$63,8,0)</f>
        <v>1679.5</v>
      </c>
      <c r="X44" s="102"/>
      <c r="Y44" s="102"/>
      <c r="Z44" s="102"/>
      <c r="AA44" s="102"/>
      <c r="AB44" s="102"/>
      <c r="AC44" s="102"/>
      <c r="AE44" s="88">
        <f t="shared" si="4"/>
        <v>0.52082767978290356</v>
      </c>
      <c r="AF44" s="88">
        <f t="shared" si="4"/>
        <v>0.45595920968769915</v>
      </c>
      <c r="AG44" s="88">
        <f t="shared" si="4"/>
        <v>0.91249186727391018</v>
      </c>
      <c r="AH44" s="88">
        <f t="shared" si="4"/>
        <v>0.32768768768768775</v>
      </c>
      <c r="AI44" s="88">
        <f t="shared" si="4"/>
        <v>0.65678851174934716</v>
      </c>
      <c r="AJ44" s="88">
        <f t="shared" si="4"/>
        <v>0.94353932584269662</v>
      </c>
      <c r="AK44" s="90">
        <f t="shared" si="4"/>
        <v>0</v>
      </c>
      <c r="AL44" s="90">
        <f t="shared" si="4"/>
        <v>0</v>
      </c>
      <c r="AM44" s="90">
        <f t="shared" si="4"/>
        <v>0</v>
      </c>
      <c r="AN44" s="90">
        <f t="shared" si="4"/>
        <v>0</v>
      </c>
      <c r="AO44" s="90">
        <f t="shared" si="4"/>
        <v>0</v>
      </c>
      <c r="AP44" s="90">
        <f t="shared" si="4"/>
        <v>0</v>
      </c>
      <c r="AQ44" s="88"/>
      <c r="AR44" s="90">
        <f t="shared" si="5"/>
        <v>0.52080000000000004</v>
      </c>
      <c r="AS44" s="90">
        <f t="shared" si="5"/>
        <v>0.45600000000000002</v>
      </c>
      <c r="AT44" s="90">
        <f t="shared" si="5"/>
        <v>0.91249999999999998</v>
      </c>
      <c r="AU44" s="90">
        <f t="shared" si="5"/>
        <v>0.32769999999999999</v>
      </c>
      <c r="AV44" s="90">
        <f t="shared" si="5"/>
        <v>0.65680000000000005</v>
      </c>
      <c r="AW44" s="90">
        <f t="shared" si="5"/>
        <v>0.94350000000000001</v>
      </c>
      <c r="AX44" s="90">
        <f t="shared" si="5"/>
        <v>0</v>
      </c>
      <c r="AY44" s="90">
        <f t="shared" si="5"/>
        <v>0</v>
      </c>
      <c r="AZ44" s="90">
        <f t="shared" si="5"/>
        <v>0</v>
      </c>
      <c r="BA44" s="90">
        <f t="shared" si="5"/>
        <v>0</v>
      </c>
      <c r="BB44" s="90">
        <f t="shared" si="5"/>
        <v>0</v>
      </c>
      <c r="BC44" s="90">
        <f t="shared" si="5"/>
        <v>0</v>
      </c>
      <c r="BD44" s="88"/>
      <c r="BE44" s="1">
        <f>IFERROR(VLOOKUP(AR44,'Top WS'!$A$19:$D$28,4),0)</f>
        <v>720</v>
      </c>
      <c r="BF44" s="1">
        <f>IFERROR(VLOOKUP(AS44,'Top WS'!$A$19:$D$28,4),0)</f>
        <v>720</v>
      </c>
      <c r="BG44" s="1">
        <f>IFERROR(VLOOKUP(AT44,'Top WS'!$A$19:$D$28,4),0)</f>
        <v>760</v>
      </c>
      <c r="BH44" s="1">
        <f>IFERROR(VLOOKUP(AU44,'Top WS'!$A$19:$D$28,4),0)</f>
        <v>720</v>
      </c>
      <c r="BI44" s="1">
        <f>IFERROR(VLOOKUP(AV44,'Top WS'!$A$19:$D$28,4),0)</f>
        <v>720</v>
      </c>
      <c r="BJ44" s="1">
        <f>IFERROR(VLOOKUP(AW44,'Top WS'!$A$19:$D$28,4),0)</f>
        <v>760</v>
      </c>
      <c r="BK44" s="89">
        <f>IFERROR(VLOOKUP(AX44,'Top WS'!$A$19:$D$28,4),0)</f>
        <v>720</v>
      </c>
      <c r="BL44" s="89">
        <f>IFERROR(VLOOKUP(AY44,'Top WS'!$A$19:$D$28,4),0)</f>
        <v>720</v>
      </c>
      <c r="BM44" s="89">
        <f>IFERROR(VLOOKUP(AZ44,'Top WS'!$A$19:$D$28,4),0)</f>
        <v>720</v>
      </c>
      <c r="BN44" s="89">
        <f>IFERROR(VLOOKUP(BA44,'Top WS'!$A$19:$D$28,4),0)</f>
        <v>720</v>
      </c>
      <c r="BO44" s="89">
        <f>IFERROR(VLOOKUP(BB44,'Top WS'!$A$19:$D$28,4),0)</f>
        <v>720</v>
      </c>
      <c r="BP44" s="89">
        <f>IFERROR(VLOOKUP(BC44,'Top WS'!$A$19:$D$28,4),0)</f>
        <v>720</v>
      </c>
    </row>
    <row r="45" spans="1:68" x14ac:dyDescent="0.4">
      <c r="A45">
        <v>1190043702</v>
      </c>
      <c r="B45">
        <f>VLOOKUP(A45,'Aji Plus'!$A$2:$D$58,2,0)</f>
        <v>70479</v>
      </c>
      <c r="C45" t="str">
        <f>VLOOKUP(A45,'Aji Plus'!$A$2:$D$58,3,0)</f>
        <v>นายภูริต มาตย์วิเศษ</v>
      </c>
      <c r="D45" t="str">
        <f>VLOOKUP(A45,'Aji Plus'!$A$2:$D$58,4,0)</f>
        <v>Surin</v>
      </c>
      <c r="E45" s="1">
        <v>680</v>
      </c>
      <c r="F45" s="1">
        <v>723</v>
      </c>
      <c r="G45" s="1">
        <v>709</v>
      </c>
      <c r="H45" s="1">
        <v>768</v>
      </c>
      <c r="I45" s="1">
        <v>706</v>
      </c>
      <c r="J45" s="1">
        <v>821</v>
      </c>
      <c r="K45" s="1">
        <v>885</v>
      </c>
      <c r="L45" s="1">
        <v>825</v>
      </c>
      <c r="M45" s="1">
        <v>610</v>
      </c>
      <c r="N45" s="1">
        <v>847</v>
      </c>
      <c r="O45" s="1">
        <v>709</v>
      </c>
      <c r="P45" s="1">
        <v>686</v>
      </c>
      <c r="R45" s="1">
        <f>VLOOKUP(A45,Actual_RDM!$A$2:$H$63,3,0)</f>
        <v>818.7</v>
      </c>
      <c r="S45" s="1">
        <f>VLOOKUP(A45,Actual_RDM!$A$2:$H$63,4,0)</f>
        <v>726.50000000000011</v>
      </c>
      <c r="T45" s="1">
        <f>VLOOKUP(A45,Actual_RDM!$A$2:$H$63,5,0)</f>
        <v>596.1</v>
      </c>
      <c r="U45" s="1">
        <f>VLOOKUP(A45,Actual_RDM!$A$2:$H$63,6,0)</f>
        <v>607.80000000000007</v>
      </c>
      <c r="V45" s="1">
        <f>VLOOKUP(A45,Actual_RDM!$A$2:$H$63,7,0)</f>
        <v>653.1</v>
      </c>
      <c r="W45" s="1">
        <f>VLOOKUP(A45,Actual_RDM!$A$2:$H$63,8,0)</f>
        <v>445.9</v>
      </c>
      <c r="X45" s="102"/>
      <c r="Y45" s="102"/>
      <c r="Z45" s="102"/>
      <c r="AA45" s="102"/>
      <c r="AB45" s="102"/>
      <c r="AC45" s="102"/>
      <c r="AE45" s="88">
        <f t="shared" si="4"/>
        <v>1.2039705882352942</v>
      </c>
      <c r="AF45" s="88">
        <f t="shared" si="4"/>
        <v>1.004840940525588</v>
      </c>
      <c r="AG45" s="88">
        <f t="shared" si="4"/>
        <v>0.84076163610719323</v>
      </c>
      <c r="AH45" s="88">
        <f t="shared" si="4"/>
        <v>0.79140625000000009</v>
      </c>
      <c r="AI45" s="88">
        <f t="shared" si="4"/>
        <v>0.92507082152974507</v>
      </c>
      <c r="AJ45" s="88">
        <f t="shared" si="4"/>
        <v>0.5431181485992691</v>
      </c>
      <c r="AK45" s="90">
        <f t="shared" si="4"/>
        <v>0</v>
      </c>
      <c r="AL45" s="90">
        <f t="shared" si="4"/>
        <v>0</v>
      </c>
      <c r="AM45" s="90">
        <f t="shared" si="4"/>
        <v>0</v>
      </c>
      <c r="AN45" s="90">
        <f t="shared" si="4"/>
        <v>0</v>
      </c>
      <c r="AO45" s="90">
        <f t="shared" si="4"/>
        <v>0</v>
      </c>
      <c r="AP45" s="90">
        <f t="shared" si="4"/>
        <v>0</v>
      </c>
      <c r="AQ45" s="88"/>
      <c r="AR45" s="90">
        <f t="shared" si="5"/>
        <v>1.204</v>
      </c>
      <c r="AS45" s="90">
        <f t="shared" si="5"/>
        <v>1.0047999999999999</v>
      </c>
      <c r="AT45" s="90">
        <f t="shared" si="5"/>
        <v>0.84079999999999999</v>
      </c>
      <c r="AU45" s="90">
        <f t="shared" si="5"/>
        <v>0.79139999999999999</v>
      </c>
      <c r="AV45" s="90">
        <f t="shared" si="5"/>
        <v>0.92510000000000003</v>
      </c>
      <c r="AW45" s="90">
        <f t="shared" si="5"/>
        <v>0.54310000000000003</v>
      </c>
      <c r="AX45" s="90">
        <f t="shared" si="5"/>
        <v>0</v>
      </c>
      <c r="AY45" s="90">
        <f t="shared" si="5"/>
        <v>0</v>
      </c>
      <c r="AZ45" s="90">
        <f t="shared" si="5"/>
        <v>0</v>
      </c>
      <c r="BA45" s="90">
        <f t="shared" si="5"/>
        <v>0</v>
      </c>
      <c r="BB45" s="90">
        <f t="shared" si="5"/>
        <v>0</v>
      </c>
      <c r="BC45" s="90">
        <f t="shared" si="5"/>
        <v>0</v>
      </c>
      <c r="BD45" s="88"/>
      <c r="BE45" s="1">
        <f>IFERROR(VLOOKUP(AR45,'Top WS'!$A$19:$D$28,4),0)</f>
        <v>1040</v>
      </c>
      <c r="BF45" s="1">
        <f>IFERROR(VLOOKUP(AS45,'Top WS'!$A$19:$D$28,4),0)</f>
        <v>824</v>
      </c>
      <c r="BG45" s="1">
        <f>IFERROR(VLOOKUP(AT45,'Top WS'!$A$19:$D$28,4),0)</f>
        <v>720</v>
      </c>
      <c r="BH45" s="1">
        <f>IFERROR(VLOOKUP(AU45,'Top WS'!$A$19:$D$28,4),0)</f>
        <v>720</v>
      </c>
      <c r="BI45" s="1">
        <f>IFERROR(VLOOKUP(AV45,'Top WS'!$A$19:$D$28,4),0)</f>
        <v>760</v>
      </c>
      <c r="BJ45" s="1">
        <f>IFERROR(VLOOKUP(AW45,'Top WS'!$A$19:$D$28,4),0)</f>
        <v>720</v>
      </c>
      <c r="BK45" s="89">
        <f>IFERROR(VLOOKUP(AX45,'Top WS'!$A$19:$D$28,4),0)</f>
        <v>720</v>
      </c>
      <c r="BL45" s="89">
        <f>IFERROR(VLOOKUP(AY45,'Top WS'!$A$19:$D$28,4),0)</f>
        <v>720</v>
      </c>
      <c r="BM45" s="89">
        <f>IFERROR(VLOOKUP(AZ45,'Top WS'!$A$19:$D$28,4),0)</f>
        <v>720</v>
      </c>
      <c r="BN45" s="89">
        <f>IFERROR(VLOOKUP(BA45,'Top WS'!$A$19:$D$28,4),0)</f>
        <v>720</v>
      </c>
      <c r="BO45" s="89">
        <f>IFERROR(VLOOKUP(BB45,'Top WS'!$A$19:$D$28,4),0)</f>
        <v>720</v>
      </c>
      <c r="BP45" s="89">
        <f>IFERROR(VLOOKUP(BC45,'Top WS'!$A$19:$D$28,4),0)</f>
        <v>720</v>
      </c>
    </row>
    <row r="46" spans="1:68" x14ac:dyDescent="0.4">
      <c r="A46">
        <v>1190043801</v>
      </c>
      <c r="B46">
        <f>VLOOKUP(A46,'Aji Plus'!$A$2:$D$58,2,0)</f>
        <v>75712</v>
      </c>
      <c r="C46" t="str">
        <f>VLOOKUP(A46,'Aji Plus'!$A$2:$D$58,3,0)</f>
        <v>นายวุฒิพงษ์ วงศ์วณิชชากร</v>
      </c>
      <c r="D46" t="str">
        <f>VLOOKUP(A46,'Aji Plus'!$A$2:$D$58,4,0)</f>
        <v>Khonkaen</v>
      </c>
      <c r="E46" s="1">
        <v>1251.8794689966523</v>
      </c>
      <c r="F46" s="1">
        <v>1253.7520646438686</v>
      </c>
      <c r="G46" s="1">
        <v>1230.8866862147061</v>
      </c>
      <c r="H46" s="1">
        <v>1219.6511123314103</v>
      </c>
      <c r="I46" s="1">
        <v>1292.2486888440019</v>
      </c>
      <c r="J46" s="1">
        <v>1240.7424527789999</v>
      </c>
      <c r="K46" s="1">
        <v>1240.6044720471</v>
      </c>
      <c r="L46" s="1">
        <v>1264.3568694670491</v>
      </c>
      <c r="M46" s="1">
        <v>1268.2794645596382</v>
      </c>
      <c r="N46" s="1">
        <v>1288.8977282121418</v>
      </c>
      <c r="O46" s="1">
        <v>1195.5833303814036</v>
      </c>
      <c r="P46" s="1">
        <v>1237.8251458759692</v>
      </c>
      <c r="R46" s="1">
        <f>VLOOKUP(A46,Actual_RDM!$A$2:$H$63,3,0)</f>
        <v>1097.5999999999999</v>
      </c>
      <c r="S46" s="1">
        <f>VLOOKUP(A46,Actual_RDM!$A$2:$H$63,4,0)</f>
        <v>906.5</v>
      </c>
      <c r="T46" s="1">
        <f>VLOOKUP(A46,Actual_RDM!$A$2:$H$63,5,0)</f>
        <v>329.7</v>
      </c>
      <c r="U46" s="1">
        <f>VLOOKUP(A46,Actual_RDM!$A$2:$H$63,6,0)</f>
        <v>638.4</v>
      </c>
      <c r="V46" s="1">
        <f>VLOOKUP(A46,Actual_RDM!$A$2:$H$63,7,0)</f>
        <v>661.5</v>
      </c>
      <c r="W46" s="1">
        <f>VLOOKUP(A46,Actual_RDM!$A$2:$H$63,8,0)</f>
        <v>492.2</v>
      </c>
      <c r="X46" s="102"/>
      <c r="Y46" s="102"/>
      <c r="Z46" s="102"/>
      <c r="AA46" s="102"/>
      <c r="AB46" s="102"/>
      <c r="AC46" s="102"/>
      <c r="AE46" s="88">
        <f t="shared" si="4"/>
        <v>0.87676172281960718</v>
      </c>
      <c r="AF46" s="88">
        <f t="shared" si="4"/>
        <v>0.72302971661106985</v>
      </c>
      <c r="AG46" s="88">
        <f t="shared" si="4"/>
        <v>0.26785568784882424</v>
      </c>
      <c r="AH46" s="88">
        <f t="shared" si="4"/>
        <v>0.52342837516843133</v>
      </c>
      <c r="AI46" s="88">
        <f t="shared" si="4"/>
        <v>0.51189837197030053</v>
      </c>
      <c r="AJ46" s="88">
        <f t="shared" si="4"/>
        <v>0.39669796007831953</v>
      </c>
      <c r="AK46" s="90">
        <f t="shared" si="4"/>
        <v>0</v>
      </c>
      <c r="AL46" s="90">
        <f t="shared" si="4"/>
        <v>0</v>
      </c>
      <c r="AM46" s="90">
        <f t="shared" si="4"/>
        <v>0</v>
      </c>
      <c r="AN46" s="90">
        <f t="shared" si="4"/>
        <v>0</v>
      </c>
      <c r="AO46" s="90">
        <f t="shared" si="4"/>
        <v>0</v>
      </c>
      <c r="AP46" s="90">
        <f t="shared" si="4"/>
        <v>0</v>
      </c>
      <c r="AQ46" s="88"/>
      <c r="AR46" s="90">
        <f t="shared" si="5"/>
        <v>0.87680000000000002</v>
      </c>
      <c r="AS46" s="90">
        <f t="shared" si="5"/>
        <v>0.72299999999999998</v>
      </c>
      <c r="AT46" s="90">
        <f t="shared" si="5"/>
        <v>0.26790000000000003</v>
      </c>
      <c r="AU46" s="90">
        <f t="shared" si="5"/>
        <v>0.52339999999999998</v>
      </c>
      <c r="AV46" s="90">
        <f t="shared" si="5"/>
        <v>0.51190000000000002</v>
      </c>
      <c r="AW46" s="90">
        <f t="shared" si="5"/>
        <v>0.3967</v>
      </c>
      <c r="AX46" s="90">
        <f t="shared" si="5"/>
        <v>0</v>
      </c>
      <c r="AY46" s="90">
        <f t="shared" si="5"/>
        <v>0</v>
      </c>
      <c r="AZ46" s="90">
        <f t="shared" si="5"/>
        <v>0</v>
      </c>
      <c r="BA46" s="90">
        <f t="shared" si="5"/>
        <v>0</v>
      </c>
      <c r="BB46" s="90">
        <f t="shared" si="5"/>
        <v>0</v>
      </c>
      <c r="BC46" s="90">
        <f t="shared" si="5"/>
        <v>0</v>
      </c>
      <c r="BD46" s="88"/>
      <c r="BE46" s="1">
        <f>IFERROR(VLOOKUP(AR46,'Top WS'!$A$19:$D$28,4),0)</f>
        <v>720</v>
      </c>
      <c r="BF46" s="1">
        <f>IFERROR(VLOOKUP(AS46,'Top WS'!$A$19:$D$28,4),0)</f>
        <v>720</v>
      </c>
      <c r="BG46" s="1">
        <f>IFERROR(VLOOKUP(AT46,'Top WS'!$A$19:$D$28,4),0)</f>
        <v>720</v>
      </c>
      <c r="BH46" s="1">
        <f>IFERROR(VLOOKUP(AU46,'Top WS'!$A$19:$D$28,4),0)</f>
        <v>720</v>
      </c>
      <c r="BI46" s="1">
        <f>IFERROR(VLOOKUP(AV46,'Top WS'!$A$19:$D$28,4),0)</f>
        <v>720</v>
      </c>
      <c r="BJ46" s="1">
        <f>IFERROR(VLOOKUP(AW46,'Top WS'!$A$19:$D$28,4),0)</f>
        <v>720</v>
      </c>
      <c r="BK46" s="89">
        <f>IFERROR(VLOOKUP(AX46,'Top WS'!$A$19:$D$28,4),0)</f>
        <v>720</v>
      </c>
      <c r="BL46" s="89">
        <f>IFERROR(VLOOKUP(AY46,'Top WS'!$A$19:$D$28,4),0)</f>
        <v>720</v>
      </c>
      <c r="BM46" s="89">
        <f>IFERROR(VLOOKUP(AZ46,'Top WS'!$A$19:$D$28,4),0)</f>
        <v>720</v>
      </c>
      <c r="BN46" s="89">
        <f>IFERROR(VLOOKUP(BA46,'Top WS'!$A$19:$D$28,4),0)</f>
        <v>720</v>
      </c>
      <c r="BO46" s="89">
        <f>IFERROR(VLOOKUP(BB46,'Top WS'!$A$19:$D$28,4),0)</f>
        <v>720</v>
      </c>
      <c r="BP46" s="89">
        <f>IFERROR(VLOOKUP(BC46,'Top WS'!$A$19:$D$28,4),0)</f>
        <v>720</v>
      </c>
    </row>
    <row r="47" spans="1:68" x14ac:dyDescent="0.4">
      <c r="A47">
        <v>1190043802</v>
      </c>
      <c r="B47">
        <f>VLOOKUP(A47,'Aji Plus'!$A$2:$D$58,2,0)</f>
        <v>62573</v>
      </c>
      <c r="C47" t="str">
        <f>VLOOKUP(A47,'Aji Plus'!$A$2:$D$58,3,0)</f>
        <v>นายวิฑูรย์ ระวันประโคน</v>
      </c>
      <c r="D47" t="str">
        <f>VLOOKUP(A47,'Aji Plus'!$A$2:$D$58,4,0)</f>
        <v>Khonkaen</v>
      </c>
      <c r="E47" s="1">
        <v>442.3888814374435</v>
      </c>
      <c r="F47" s="1">
        <v>443.05061886047235</v>
      </c>
      <c r="G47" s="1">
        <v>434.97045664243694</v>
      </c>
      <c r="H47" s="1">
        <v>431.00003210426422</v>
      </c>
      <c r="I47" s="1">
        <v>456.65454714652697</v>
      </c>
      <c r="J47" s="1">
        <v>438.45328518469347</v>
      </c>
      <c r="K47" s="1">
        <v>438.40452558510191</v>
      </c>
      <c r="L47" s="1">
        <v>446.79814237194057</v>
      </c>
      <c r="M47" s="1">
        <v>448.18430813175866</v>
      </c>
      <c r="N47" s="1">
        <v>455.47038544215968</v>
      </c>
      <c r="O47" s="1">
        <v>422.49496480407333</v>
      </c>
      <c r="P47" s="1">
        <v>437.42236793618554</v>
      </c>
      <c r="R47" s="1">
        <f>VLOOKUP(A47,Actual_RDM!$A$2:$H$63,3,0)</f>
        <v>416.1</v>
      </c>
      <c r="S47" s="1">
        <f>VLOOKUP(A47,Actual_RDM!$A$2:$H$63,4,0)</f>
        <v>319.60000000000002</v>
      </c>
      <c r="T47" s="1">
        <f>VLOOKUP(A47,Actual_RDM!$A$2:$H$63,5,0)</f>
        <v>357.8</v>
      </c>
      <c r="U47" s="1">
        <f>VLOOKUP(A47,Actual_RDM!$A$2:$H$63,6,0)</f>
        <v>245</v>
      </c>
      <c r="V47" s="1">
        <f>VLOOKUP(A47,Actual_RDM!$A$2:$H$63,7,0)</f>
        <v>279.2</v>
      </c>
      <c r="W47" s="1">
        <f>VLOOKUP(A47,Actual_RDM!$A$2:$H$63,8,0)</f>
        <v>324.8</v>
      </c>
      <c r="X47" s="102"/>
      <c r="Y47" s="102"/>
      <c r="Z47" s="102"/>
      <c r="AA47" s="102"/>
      <c r="AB47" s="102"/>
      <c r="AC47" s="102"/>
      <c r="AE47" s="88">
        <f t="shared" si="4"/>
        <v>0.94057517595825724</v>
      </c>
      <c r="AF47" s="88">
        <f t="shared" si="4"/>
        <v>0.72136226967025185</v>
      </c>
      <c r="AG47" s="88">
        <f t="shared" si="4"/>
        <v>0.82258460209431161</v>
      </c>
      <c r="AH47" s="88">
        <f t="shared" si="4"/>
        <v>0.56844543329577168</v>
      </c>
      <c r="AI47" s="88">
        <f t="shared" si="4"/>
        <v>0.61140308739860849</v>
      </c>
      <c r="AJ47" s="88">
        <f t="shared" si="4"/>
        <v>0.74078587383187633</v>
      </c>
      <c r="AK47" s="90">
        <f t="shared" si="4"/>
        <v>0</v>
      </c>
      <c r="AL47" s="90">
        <f t="shared" si="4"/>
        <v>0</v>
      </c>
      <c r="AM47" s="90">
        <f t="shared" si="4"/>
        <v>0</v>
      </c>
      <c r="AN47" s="90">
        <f t="shared" si="4"/>
        <v>0</v>
      </c>
      <c r="AO47" s="90">
        <f t="shared" si="4"/>
        <v>0</v>
      </c>
      <c r="AP47" s="90">
        <f t="shared" si="4"/>
        <v>0</v>
      </c>
      <c r="AQ47" s="88"/>
      <c r="AR47" s="90">
        <f t="shared" si="5"/>
        <v>0.94059999999999999</v>
      </c>
      <c r="AS47" s="90">
        <f t="shared" si="5"/>
        <v>0.72140000000000004</v>
      </c>
      <c r="AT47" s="90">
        <f t="shared" si="5"/>
        <v>0.8226</v>
      </c>
      <c r="AU47" s="90">
        <f t="shared" si="5"/>
        <v>0.56840000000000002</v>
      </c>
      <c r="AV47" s="90">
        <f t="shared" si="5"/>
        <v>0.61140000000000005</v>
      </c>
      <c r="AW47" s="90">
        <f t="shared" si="5"/>
        <v>0.74080000000000001</v>
      </c>
      <c r="AX47" s="90">
        <f t="shared" si="5"/>
        <v>0</v>
      </c>
      <c r="AY47" s="90">
        <f t="shared" si="5"/>
        <v>0</v>
      </c>
      <c r="AZ47" s="90">
        <f t="shared" si="5"/>
        <v>0</v>
      </c>
      <c r="BA47" s="90">
        <f t="shared" si="5"/>
        <v>0</v>
      </c>
      <c r="BB47" s="90">
        <f t="shared" si="5"/>
        <v>0</v>
      </c>
      <c r="BC47" s="90">
        <f t="shared" si="5"/>
        <v>0</v>
      </c>
      <c r="BD47" s="88"/>
      <c r="BE47" s="1">
        <f>IFERROR(VLOOKUP(AR47,'Top WS'!$A$19:$D$28,4),0)</f>
        <v>760</v>
      </c>
      <c r="BF47" s="1">
        <f>IFERROR(VLOOKUP(AS47,'Top WS'!$A$19:$D$28,4),0)</f>
        <v>720</v>
      </c>
      <c r="BG47" s="1">
        <f>IFERROR(VLOOKUP(AT47,'Top WS'!$A$19:$D$28,4),0)</f>
        <v>720</v>
      </c>
      <c r="BH47" s="1">
        <f>IFERROR(VLOOKUP(AU47,'Top WS'!$A$19:$D$28,4),0)</f>
        <v>720</v>
      </c>
      <c r="BI47" s="1">
        <f>IFERROR(VLOOKUP(AV47,'Top WS'!$A$19:$D$28,4),0)</f>
        <v>720</v>
      </c>
      <c r="BJ47" s="1">
        <f>IFERROR(VLOOKUP(AW47,'Top WS'!$A$19:$D$28,4),0)</f>
        <v>720</v>
      </c>
      <c r="BK47" s="89">
        <f>IFERROR(VLOOKUP(AX47,'Top WS'!$A$19:$D$28,4),0)</f>
        <v>720</v>
      </c>
      <c r="BL47" s="89">
        <f>IFERROR(VLOOKUP(AY47,'Top WS'!$A$19:$D$28,4),0)</f>
        <v>720</v>
      </c>
      <c r="BM47" s="89">
        <f>IFERROR(VLOOKUP(AZ47,'Top WS'!$A$19:$D$28,4),0)</f>
        <v>720</v>
      </c>
      <c r="BN47" s="89">
        <f>IFERROR(VLOOKUP(BA47,'Top WS'!$A$19:$D$28,4),0)</f>
        <v>720</v>
      </c>
      <c r="BO47" s="89">
        <f>IFERROR(VLOOKUP(BB47,'Top WS'!$A$19:$D$28,4),0)</f>
        <v>720</v>
      </c>
      <c r="BP47" s="89">
        <f>IFERROR(VLOOKUP(BC47,'Top WS'!$A$19:$D$28,4),0)</f>
        <v>720</v>
      </c>
    </row>
    <row r="48" spans="1:68" x14ac:dyDescent="0.4">
      <c r="A48">
        <v>1190043901</v>
      </c>
      <c r="B48">
        <f>VLOOKUP(A48,'Aji Plus'!$A$2:$D$58,2,0)</f>
        <v>63244</v>
      </c>
      <c r="C48" t="str">
        <f>VLOOKUP(A48,'Aji Plus'!$A$2:$D$58,3,0)</f>
        <v>นายทรงเกียรติ กล้าหาญ</v>
      </c>
      <c r="D48" t="str">
        <f>VLOOKUP(A48,'Aji Plus'!$A$2:$D$58,4,0)</f>
        <v>Udonthani</v>
      </c>
      <c r="E48" s="1">
        <v>620.68849559776902</v>
      </c>
      <c r="F48" s="1">
        <v>621.61693847419474</v>
      </c>
      <c r="G48" s="1">
        <v>610.28016229889306</v>
      </c>
      <c r="H48" s="1">
        <v>604.70950504033954</v>
      </c>
      <c r="I48" s="1">
        <v>640.70376939692255</v>
      </c>
      <c r="J48" s="1">
        <v>615.16670375376441</v>
      </c>
      <c r="K48" s="1">
        <v>615.0982921733962</v>
      </c>
      <c r="L48" s="1">
        <v>626.8748570796364</v>
      </c>
      <c r="M48" s="1">
        <v>628.81970057867522</v>
      </c>
      <c r="N48" s="1">
        <v>639.04234530226631</v>
      </c>
      <c r="O48" s="1">
        <v>592.77657080754341</v>
      </c>
      <c r="P48" s="1">
        <v>613.72028748312255</v>
      </c>
      <c r="R48" s="1">
        <f>VLOOKUP(A48,Actual_RDM!$A$2:$H$63,3,0)</f>
        <v>342.3</v>
      </c>
      <c r="S48" s="1">
        <f>VLOOKUP(A48,Actual_RDM!$A$2:$H$63,4,0)</f>
        <v>340.29999999999995</v>
      </c>
      <c r="T48" s="1">
        <f>VLOOKUP(A48,Actual_RDM!$A$2:$H$63,5,0)</f>
        <v>428</v>
      </c>
      <c r="U48" s="1">
        <f>VLOOKUP(A48,Actual_RDM!$A$2:$H$63,6,0)</f>
        <v>321.79999999999995</v>
      </c>
      <c r="V48" s="1">
        <f>VLOOKUP(A48,Actual_RDM!$A$2:$H$63,7,0)</f>
        <v>530.29999999999995</v>
      </c>
      <c r="W48" s="1">
        <f>VLOOKUP(A48,Actual_RDM!$A$2:$H$63,8,0)</f>
        <v>489.59999999999997</v>
      </c>
      <c r="X48" s="102"/>
      <c r="Y48" s="102"/>
      <c r="Z48" s="102"/>
      <c r="AA48" s="102"/>
      <c r="AB48" s="102"/>
      <c r="AC48" s="102"/>
      <c r="AE48" s="88">
        <f t="shared" si="4"/>
        <v>0.55148436361840369</v>
      </c>
      <c r="AF48" s="88">
        <f t="shared" si="4"/>
        <v>0.54744325474027744</v>
      </c>
      <c r="AG48" s="88">
        <f t="shared" si="4"/>
        <v>0.70131724155631514</v>
      </c>
      <c r="AH48" s="88">
        <f t="shared" si="4"/>
        <v>0.53215634501814724</v>
      </c>
      <c r="AI48" s="88">
        <f t="shared" si="4"/>
        <v>0.82768359627282551</v>
      </c>
      <c r="AJ48" s="88">
        <f t="shared" si="4"/>
        <v>0.79588182684863651</v>
      </c>
      <c r="AK48" s="90">
        <f t="shared" si="4"/>
        <v>0</v>
      </c>
      <c r="AL48" s="90">
        <f t="shared" si="4"/>
        <v>0</v>
      </c>
      <c r="AM48" s="90">
        <f t="shared" si="4"/>
        <v>0</v>
      </c>
      <c r="AN48" s="90">
        <f t="shared" si="4"/>
        <v>0</v>
      </c>
      <c r="AO48" s="90">
        <f t="shared" si="4"/>
        <v>0</v>
      </c>
      <c r="AP48" s="90">
        <f t="shared" si="4"/>
        <v>0</v>
      </c>
      <c r="AQ48" s="88"/>
      <c r="AR48" s="90">
        <f t="shared" si="5"/>
        <v>0.55149999999999999</v>
      </c>
      <c r="AS48" s="90">
        <f t="shared" si="5"/>
        <v>0.5474</v>
      </c>
      <c r="AT48" s="90">
        <f t="shared" si="5"/>
        <v>0.70130000000000003</v>
      </c>
      <c r="AU48" s="90">
        <f t="shared" si="5"/>
        <v>0.53220000000000001</v>
      </c>
      <c r="AV48" s="90">
        <f t="shared" si="5"/>
        <v>0.82769999999999999</v>
      </c>
      <c r="AW48" s="90">
        <f t="shared" si="5"/>
        <v>0.79590000000000005</v>
      </c>
      <c r="AX48" s="90">
        <f t="shared" si="5"/>
        <v>0</v>
      </c>
      <c r="AY48" s="90">
        <f t="shared" si="5"/>
        <v>0</v>
      </c>
      <c r="AZ48" s="90">
        <f t="shared" si="5"/>
        <v>0</v>
      </c>
      <c r="BA48" s="90">
        <f t="shared" si="5"/>
        <v>0</v>
      </c>
      <c r="BB48" s="90">
        <f t="shared" si="5"/>
        <v>0</v>
      </c>
      <c r="BC48" s="90">
        <f t="shared" si="5"/>
        <v>0</v>
      </c>
      <c r="BD48" s="88"/>
      <c r="BE48" s="1">
        <f>IFERROR(VLOOKUP(AR48,'Top WS'!$A$19:$D$28,4),0)</f>
        <v>720</v>
      </c>
      <c r="BF48" s="1">
        <f>IFERROR(VLOOKUP(AS48,'Top WS'!$A$19:$D$28,4),0)</f>
        <v>720</v>
      </c>
      <c r="BG48" s="1">
        <f>IFERROR(VLOOKUP(AT48,'Top WS'!$A$19:$D$28,4),0)</f>
        <v>720</v>
      </c>
      <c r="BH48" s="1">
        <f>IFERROR(VLOOKUP(AU48,'Top WS'!$A$19:$D$28,4),0)</f>
        <v>720</v>
      </c>
      <c r="BI48" s="1">
        <f>IFERROR(VLOOKUP(AV48,'Top WS'!$A$19:$D$28,4),0)</f>
        <v>720</v>
      </c>
      <c r="BJ48" s="1">
        <f>IFERROR(VLOOKUP(AW48,'Top WS'!$A$19:$D$28,4),0)</f>
        <v>720</v>
      </c>
      <c r="BK48" s="89">
        <f>IFERROR(VLOOKUP(AX48,'Top WS'!$A$19:$D$28,4),0)</f>
        <v>720</v>
      </c>
      <c r="BL48" s="89">
        <f>IFERROR(VLOOKUP(AY48,'Top WS'!$A$19:$D$28,4),0)</f>
        <v>720</v>
      </c>
      <c r="BM48" s="89">
        <f>IFERROR(VLOOKUP(AZ48,'Top WS'!$A$19:$D$28,4),0)</f>
        <v>720</v>
      </c>
      <c r="BN48" s="89">
        <f>IFERROR(VLOOKUP(BA48,'Top WS'!$A$19:$D$28,4),0)</f>
        <v>720</v>
      </c>
      <c r="BO48" s="89">
        <f>IFERROR(VLOOKUP(BB48,'Top WS'!$A$19:$D$28,4),0)</f>
        <v>720</v>
      </c>
      <c r="BP48" s="89">
        <f>IFERROR(VLOOKUP(BC48,'Top WS'!$A$19:$D$28,4),0)</f>
        <v>720</v>
      </c>
    </row>
    <row r="49" spans="1:68" x14ac:dyDescent="0.4">
      <c r="A49">
        <v>1190043902</v>
      </c>
      <c r="B49">
        <f>VLOOKUP(A49,'Aji Plus'!$A$2:$D$58,2,0)</f>
        <v>63553</v>
      </c>
      <c r="C49" t="str">
        <f>VLOOKUP(A49,'Aji Plus'!$A$2:$D$58,3,0)</f>
        <v>นายภัทรพล สงฆ์เจริญ</v>
      </c>
      <c r="D49" t="str">
        <f>VLOOKUP(A49,'Aji Plus'!$A$2:$D$58,4,0)</f>
        <v>Udonthani</v>
      </c>
      <c r="E49" s="1">
        <v>1311.6796969831287</v>
      </c>
      <c r="F49" s="1">
        <v>1313.6417434516125</v>
      </c>
      <c r="G49" s="1">
        <v>1289.6841234153912</v>
      </c>
      <c r="H49" s="1">
        <v>1277.911844604489</v>
      </c>
      <c r="I49" s="1">
        <v>1353.9772882194925</v>
      </c>
      <c r="J49" s="1">
        <v>1300.0106837758312</v>
      </c>
      <c r="K49" s="1">
        <v>1299.8661119307851</v>
      </c>
      <c r="L49" s="1">
        <v>1324.7531223994463</v>
      </c>
      <c r="M49" s="1">
        <v>1328.8630934229013</v>
      </c>
      <c r="N49" s="1">
        <v>1350.4662576969426</v>
      </c>
      <c r="O49" s="1">
        <v>1252.6943842042933</v>
      </c>
      <c r="P49" s="1">
        <v>1296.9540219091409</v>
      </c>
      <c r="R49" s="1">
        <f>VLOOKUP(A49,Actual_RDM!$A$2:$H$63,3,0)</f>
        <v>961.5</v>
      </c>
      <c r="S49" s="1">
        <f>VLOOKUP(A49,Actual_RDM!$A$2:$H$63,4,0)</f>
        <v>359.5</v>
      </c>
      <c r="T49" s="1">
        <f>VLOOKUP(A49,Actual_RDM!$A$2:$H$63,5,0)</f>
        <v>653.70000000000005</v>
      </c>
      <c r="U49" s="1">
        <f>VLOOKUP(A49,Actual_RDM!$A$2:$H$63,6,0)</f>
        <v>664.29999999999984</v>
      </c>
      <c r="V49" s="1">
        <f>VLOOKUP(A49,Actual_RDM!$A$2:$H$63,7,0)</f>
        <v>344.99999999999994</v>
      </c>
      <c r="W49" s="1">
        <f>VLOOKUP(A49,Actual_RDM!$A$2:$H$63,8,0)</f>
        <v>825</v>
      </c>
      <c r="X49" s="102"/>
      <c r="Y49" s="102"/>
      <c r="Z49" s="102"/>
      <c r="AA49" s="102"/>
      <c r="AB49" s="102"/>
      <c r="AC49" s="102"/>
      <c r="AE49" s="88">
        <f t="shared" si="4"/>
        <v>0.73302956675433484</v>
      </c>
      <c r="AF49" s="88">
        <f t="shared" si="4"/>
        <v>0.27366669930525245</v>
      </c>
      <c r="AG49" s="88">
        <f t="shared" si="4"/>
        <v>0.50686830064159161</v>
      </c>
      <c r="AH49" s="88">
        <f t="shared" si="4"/>
        <v>0.51983241473561836</v>
      </c>
      <c r="AI49" s="88">
        <f t="shared" si="4"/>
        <v>0.2548048648982007</v>
      </c>
      <c r="AJ49" s="88">
        <f t="shared" si="4"/>
        <v>0.63461016920554769</v>
      </c>
      <c r="AK49" s="90">
        <f t="shared" si="4"/>
        <v>0</v>
      </c>
      <c r="AL49" s="90">
        <f t="shared" si="4"/>
        <v>0</v>
      </c>
      <c r="AM49" s="90">
        <f t="shared" si="4"/>
        <v>0</v>
      </c>
      <c r="AN49" s="90">
        <f t="shared" si="4"/>
        <v>0</v>
      </c>
      <c r="AO49" s="90">
        <f t="shared" si="4"/>
        <v>0</v>
      </c>
      <c r="AP49" s="90">
        <f t="shared" si="4"/>
        <v>0</v>
      </c>
      <c r="AQ49" s="88"/>
      <c r="AR49" s="90">
        <f t="shared" si="5"/>
        <v>0.73299999999999998</v>
      </c>
      <c r="AS49" s="90">
        <f t="shared" si="5"/>
        <v>0.2737</v>
      </c>
      <c r="AT49" s="90">
        <f t="shared" si="5"/>
        <v>0.50690000000000002</v>
      </c>
      <c r="AU49" s="90">
        <f t="shared" si="5"/>
        <v>0.51980000000000004</v>
      </c>
      <c r="AV49" s="90">
        <f t="shared" si="5"/>
        <v>0.25480000000000003</v>
      </c>
      <c r="AW49" s="90">
        <f t="shared" si="5"/>
        <v>0.63460000000000005</v>
      </c>
      <c r="AX49" s="90">
        <f t="shared" si="5"/>
        <v>0</v>
      </c>
      <c r="AY49" s="90">
        <f t="shared" si="5"/>
        <v>0</v>
      </c>
      <c r="AZ49" s="90">
        <f t="shared" si="5"/>
        <v>0</v>
      </c>
      <c r="BA49" s="90">
        <f t="shared" si="5"/>
        <v>0</v>
      </c>
      <c r="BB49" s="90">
        <f t="shared" si="5"/>
        <v>0</v>
      </c>
      <c r="BC49" s="90">
        <f t="shared" si="5"/>
        <v>0</v>
      </c>
      <c r="BD49" s="88"/>
      <c r="BE49" s="1">
        <f>IFERROR(VLOOKUP(AR49,'Top WS'!$A$19:$D$28,4),0)</f>
        <v>720</v>
      </c>
      <c r="BF49" s="1">
        <f>IFERROR(VLOOKUP(AS49,'Top WS'!$A$19:$D$28,4),0)</f>
        <v>720</v>
      </c>
      <c r="BG49" s="1">
        <f>IFERROR(VLOOKUP(AT49,'Top WS'!$A$19:$D$28,4),0)</f>
        <v>720</v>
      </c>
      <c r="BH49" s="1">
        <f>IFERROR(VLOOKUP(AU49,'Top WS'!$A$19:$D$28,4),0)</f>
        <v>720</v>
      </c>
      <c r="BI49" s="1">
        <f>IFERROR(VLOOKUP(AV49,'Top WS'!$A$19:$D$28,4),0)</f>
        <v>720</v>
      </c>
      <c r="BJ49" s="1">
        <f>IFERROR(VLOOKUP(AW49,'Top WS'!$A$19:$D$28,4),0)</f>
        <v>720</v>
      </c>
      <c r="BK49" s="89">
        <f>IFERROR(VLOOKUP(AX49,'Top WS'!$A$19:$D$28,4),0)</f>
        <v>720</v>
      </c>
      <c r="BL49" s="89">
        <f>IFERROR(VLOOKUP(AY49,'Top WS'!$A$19:$D$28,4),0)</f>
        <v>720</v>
      </c>
      <c r="BM49" s="89">
        <f>IFERROR(VLOOKUP(AZ49,'Top WS'!$A$19:$D$28,4),0)</f>
        <v>720</v>
      </c>
      <c r="BN49" s="89">
        <f>IFERROR(VLOOKUP(BA49,'Top WS'!$A$19:$D$28,4),0)</f>
        <v>720</v>
      </c>
      <c r="BO49" s="89">
        <f>IFERROR(VLOOKUP(BB49,'Top WS'!$A$19:$D$28,4),0)</f>
        <v>720</v>
      </c>
      <c r="BP49" s="89">
        <f>IFERROR(VLOOKUP(BC49,'Top WS'!$A$19:$D$28,4),0)</f>
        <v>720</v>
      </c>
    </row>
    <row r="50" spans="1:68" x14ac:dyDescent="0.4">
      <c r="A50">
        <v>1190044001</v>
      </c>
      <c r="B50">
        <f>VLOOKUP(A50,'Aji Plus'!$A$2:$D$58,2,0)</f>
        <v>78443</v>
      </c>
      <c r="C50" t="str">
        <f>VLOOKUP(A50,'Aji Plus'!$A$2:$D$58,3,0)</f>
        <v>นายจิตติพงศ์ สุระสา</v>
      </c>
      <c r="D50" t="str">
        <f>VLOOKUP(A50,'Aji Plus'!$A$2:$D$58,4,0)</f>
        <v>S.Nakon</v>
      </c>
      <c r="E50" s="1">
        <v>914.97512136719979</v>
      </c>
      <c r="F50" s="1">
        <v>916.34376625036612</v>
      </c>
      <c r="G50" s="1">
        <v>899.63189188749493</v>
      </c>
      <c r="H50" s="1">
        <v>891.42002258849777</v>
      </c>
      <c r="I50" s="1">
        <v>944.48022369061403</v>
      </c>
      <c r="J50" s="1">
        <v>906.83528600942202</v>
      </c>
      <c r="K50" s="1">
        <v>906.73443849171508</v>
      </c>
      <c r="L50" s="1">
        <v>924.09461832555985</v>
      </c>
      <c r="M50" s="1">
        <v>926.96156918608676</v>
      </c>
      <c r="N50" s="1">
        <v>942.0310696891587</v>
      </c>
      <c r="O50" s="1">
        <v>873.82933414275112</v>
      </c>
      <c r="P50" s="1">
        <v>904.70308134933168</v>
      </c>
      <c r="R50" s="1">
        <f>VLOOKUP(A50,Actual_RDM!$A$2:$H$63,3,0)</f>
        <v>770.19999999999993</v>
      </c>
      <c r="S50" s="1">
        <f>VLOOKUP(A50,Actual_RDM!$A$2:$H$63,4,0)</f>
        <v>467.5</v>
      </c>
      <c r="T50" s="1">
        <f>VLOOKUP(A50,Actual_RDM!$A$2:$H$63,5,0)</f>
        <v>775.29999999999984</v>
      </c>
      <c r="U50" s="1">
        <f>VLOOKUP(A50,Actual_RDM!$A$2:$H$63,6,0)</f>
        <v>453.50000000000011</v>
      </c>
      <c r="V50" s="1">
        <f>VLOOKUP(A50,Actual_RDM!$A$2:$H$63,7,0)</f>
        <v>694.2</v>
      </c>
      <c r="W50" s="1">
        <f>VLOOKUP(A50,Actual_RDM!$A$2:$H$63,8,0)</f>
        <v>520.30000000000007</v>
      </c>
      <c r="X50" s="102"/>
      <c r="Y50" s="102"/>
      <c r="Z50" s="102"/>
      <c r="AA50" s="102"/>
      <c r="AB50" s="102"/>
      <c r="AC50" s="102"/>
      <c r="AE50" s="88">
        <f t="shared" si="4"/>
        <v>0.84177152144763245</v>
      </c>
      <c r="AF50" s="88">
        <f t="shared" si="4"/>
        <v>0.51017971335472401</v>
      </c>
      <c r="AG50" s="88">
        <f t="shared" si="4"/>
        <v>0.86179692715579759</v>
      </c>
      <c r="AH50" s="88">
        <f t="shared" si="4"/>
        <v>0.5087388531874466</v>
      </c>
      <c r="AI50" s="88">
        <f t="shared" si="4"/>
        <v>0.73500744916327765</v>
      </c>
      <c r="AJ50" s="88">
        <f t="shared" si="4"/>
        <v>0.57375358902233342</v>
      </c>
      <c r="AK50" s="90">
        <f t="shared" si="4"/>
        <v>0</v>
      </c>
      <c r="AL50" s="90">
        <f t="shared" si="4"/>
        <v>0</v>
      </c>
      <c r="AM50" s="90">
        <f t="shared" si="4"/>
        <v>0</v>
      </c>
      <c r="AN50" s="90">
        <f t="shared" si="4"/>
        <v>0</v>
      </c>
      <c r="AO50" s="90">
        <f t="shared" si="4"/>
        <v>0</v>
      </c>
      <c r="AP50" s="90">
        <f t="shared" si="4"/>
        <v>0</v>
      </c>
      <c r="AQ50" s="88"/>
      <c r="AR50" s="90">
        <f t="shared" si="5"/>
        <v>0.84179999999999999</v>
      </c>
      <c r="AS50" s="90">
        <f t="shared" si="5"/>
        <v>0.51019999999999999</v>
      </c>
      <c r="AT50" s="90">
        <f t="shared" si="5"/>
        <v>0.86180000000000001</v>
      </c>
      <c r="AU50" s="90">
        <f t="shared" si="5"/>
        <v>0.50870000000000004</v>
      </c>
      <c r="AV50" s="90">
        <f t="shared" si="5"/>
        <v>0.73499999999999999</v>
      </c>
      <c r="AW50" s="90">
        <f t="shared" si="5"/>
        <v>0.57379999999999998</v>
      </c>
      <c r="AX50" s="90">
        <f t="shared" si="5"/>
        <v>0</v>
      </c>
      <c r="AY50" s="90">
        <f t="shared" si="5"/>
        <v>0</v>
      </c>
      <c r="AZ50" s="90">
        <f t="shared" si="5"/>
        <v>0</v>
      </c>
      <c r="BA50" s="90">
        <f t="shared" si="5"/>
        <v>0</v>
      </c>
      <c r="BB50" s="90">
        <f t="shared" si="5"/>
        <v>0</v>
      </c>
      <c r="BC50" s="90">
        <f t="shared" si="5"/>
        <v>0</v>
      </c>
      <c r="BD50" s="88"/>
      <c r="BE50" s="1">
        <f>IFERROR(VLOOKUP(AR50,'Top WS'!$A$19:$D$28,4),0)</f>
        <v>720</v>
      </c>
      <c r="BF50" s="1">
        <f>IFERROR(VLOOKUP(AS50,'Top WS'!$A$19:$D$28,4),0)</f>
        <v>720</v>
      </c>
      <c r="BG50" s="1">
        <f>IFERROR(VLOOKUP(AT50,'Top WS'!$A$19:$D$28,4),0)</f>
        <v>720</v>
      </c>
      <c r="BH50" s="1">
        <f>IFERROR(VLOOKUP(AU50,'Top WS'!$A$19:$D$28,4),0)</f>
        <v>720</v>
      </c>
      <c r="BI50" s="1">
        <f>IFERROR(VLOOKUP(AV50,'Top WS'!$A$19:$D$28,4),0)</f>
        <v>720</v>
      </c>
      <c r="BJ50" s="1">
        <f>IFERROR(VLOOKUP(AW50,'Top WS'!$A$19:$D$28,4),0)</f>
        <v>720</v>
      </c>
      <c r="BK50" s="89">
        <f>IFERROR(VLOOKUP(AX50,'Top WS'!$A$19:$D$28,4),0)</f>
        <v>720</v>
      </c>
      <c r="BL50" s="89">
        <f>IFERROR(VLOOKUP(AY50,'Top WS'!$A$19:$D$28,4),0)</f>
        <v>720</v>
      </c>
      <c r="BM50" s="89">
        <f>IFERROR(VLOOKUP(AZ50,'Top WS'!$A$19:$D$28,4),0)</f>
        <v>720</v>
      </c>
      <c r="BN50" s="89">
        <f>IFERROR(VLOOKUP(BA50,'Top WS'!$A$19:$D$28,4),0)</f>
        <v>720</v>
      </c>
      <c r="BO50" s="89">
        <f>IFERROR(VLOOKUP(BB50,'Top WS'!$A$19:$D$28,4),0)</f>
        <v>720</v>
      </c>
      <c r="BP50" s="89">
        <f>IFERROR(VLOOKUP(BC50,'Top WS'!$A$19:$D$28,4),0)</f>
        <v>720</v>
      </c>
    </row>
    <row r="51" spans="1:68" x14ac:dyDescent="0.4">
      <c r="A51">
        <v>1190044002</v>
      </c>
      <c r="B51">
        <f>VLOOKUP(A51,'Aji Plus'!$A$2:$D$58,2,0)</f>
        <v>62434</v>
      </c>
      <c r="C51" t="str">
        <f>VLOOKUP(A51,'Aji Plus'!$A$2:$D$58,3,0)</f>
        <v>นายธนาวัฒน์ กงลีมา</v>
      </c>
      <c r="D51" t="str">
        <f>VLOOKUP(A51,'Aji Plus'!$A$2:$D$58,4,0)</f>
        <v>S.Nakon</v>
      </c>
      <c r="E51" s="1">
        <v>258.81532851441074</v>
      </c>
      <c r="F51" s="1">
        <v>259.20247158178398</v>
      </c>
      <c r="G51" s="1">
        <v>254.47525096964864</v>
      </c>
      <c r="H51" s="1">
        <v>252.15239256540966</v>
      </c>
      <c r="I51" s="1">
        <v>267.16131800893947</v>
      </c>
      <c r="J51" s="1">
        <v>256.51284606108624</v>
      </c>
      <c r="K51" s="1">
        <v>256.48431972980609</v>
      </c>
      <c r="L51" s="1">
        <v>261.39492390017091</v>
      </c>
      <c r="M51" s="1">
        <v>262.20588674656307</v>
      </c>
      <c r="N51" s="1">
        <v>266.46853567785064</v>
      </c>
      <c r="O51" s="1">
        <v>247.17658535211885</v>
      </c>
      <c r="P51" s="1">
        <v>255.90971791402069</v>
      </c>
      <c r="R51" s="1">
        <f>VLOOKUP(A51,Actual_RDM!$A$2:$H$63,3,0)</f>
        <v>60.8</v>
      </c>
      <c r="S51" s="1">
        <f>VLOOKUP(A51,Actual_RDM!$A$2:$H$63,4,0)</f>
        <v>164.20000000000002</v>
      </c>
      <c r="T51" s="1">
        <f>VLOOKUP(A51,Actual_RDM!$A$2:$H$63,5,0)</f>
        <v>179.3</v>
      </c>
      <c r="U51" s="1">
        <f>VLOOKUP(A51,Actual_RDM!$A$2:$H$63,6,0)</f>
        <v>135.4</v>
      </c>
      <c r="V51" s="1">
        <f>VLOOKUP(A51,Actual_RDM!$A$2:$H$63,7,0)</f>
        <v>108.8</v>
      </c>
      <c r="W51" s="1">
        <f>VLOOKUP(A51,Actual_RDM!$A$2:$H$63,8,0)</f>
        <v>310.5</v>
      </c>
      <c r="X51" s="102"/>
      <c r="Y51" s="102"/>
      <c r="Z51" s="102"/>
      <c r="AA51" s="102"/>
      <c r="AB51" s="102"/>
      <c r="AC51" s="102"/>
      <c r="AE51" s="88">
        <f t="shared" si="4"/>
        <v>0.23491653430648593</v>
      </c>
      <c r="AF51" s="88">
        <f t="shared" si="4"/>
        <v>0.6334816138054894</v>
      </c>
      <c r="AG51" s="88">
        <f t="shared" si="4"/>
        <v>0.70458718212006077</v>
      </c>
      <c r="AH51" s="88">
        <f t="shared" si="4"/>
        <v>0.536976859994999</v>
      </c>
      <c r="AI51" s="88">
        <f t="shared" si="4"/>
        <v>0.40724458469829622</v>
      </c>
      <c r="AJ51" s="88">
        <f t="shared" si="4"/>
        <v>1.2104656931140876</v>
      </c>
      <c r="AK51" s="90">
        <f t="shared" si="4"/>
        <v>0</v>
      </c>
      <c r="AL51" s="90">
        <f t="shared" si="4"/>
        <v>0</v>
      </c>
      <c r="AM51" s="90">
        <f t="shared" si="4"/>
        <v>0</v>
      </c>
      <c r="AN51" s="90">
        <f t="shared" si="4"/>
        <v>0</v>
      </c>
      <c r="AO51" s="90">
        <f t="shared" si="4"/>
        <v>0</v>
      </c>
      <c r="AP51" s="90">
        <f t="shared" si="4"/>
        <v>0</v>
      </c>
      <c r="AQ51" s="88"/>
      <c r="AR51" s="90">
        <f t="shared" si="5"/>
        <v>0.2349</v>
      </c>
      <c r="AS51" s="90">
        <f t="shared" si="5"/>
        <v>0.63349999999999995</v>
      </c>
      <c r="AT51" s="90">
        <f t="shared" si="5"/>
        <v>0.7046</v>
      </c>
      <c r="AU51" s="90">
        <f t="shared" si="5"/>
        <v>0.53700000000000003</v>
      </c>
      <c r="AV51" s="90">
        <f t="shared" si="5"/>
        <v>0.40720000000000001</v>
      </c>
      <c r="AW51" s="90">
        <f t="shared" si="5"/>
        <v>1.2104999999999999</v>
      </c>
      <c r="AX51" s="90">
        <f t="shared" si="5"/>
        <v>0</v>
      </c>
      <c r="AY51" s="90">
        <f t="shared" si="5"/>
        <v>0</v>
      </c>
      <c r="AZ51" s="90">
        <f t="shared" si="5"/>
        <v>0</v>
      </c>
      <c r="BA51" s="90">
        <f t="shared" si="5"/>
        <v>0</v>
      </c>
      <c r="BB51" s="90">
        <f t="shared" si="5"/>
        <v>0</v>
      </c>
      <c r="BC51" s="90">
        <f t="shared" si="5"/>
        <v>0</v>
      </c>
      <c r="BD51" s="88"/>
      <c r="BE51" s="1">
        <f>IFERROR(VLOOKUP(AR51,'Top WS'!$A$19:$D$28,4),0)</f>
        <v>720</v>
      </c>
      <c r="BF51" s="1">
        <f>IFERROR(VLOOKUP(AS51,'Top WS'!$A$19:$D$28,4),0)</f>
        <v>720</v>
      </c>
      <c r="BG51" s="1">
        <f>IFERROR(VLOOKUP(AT51,'Top WS'!$A$19:$D$28,4),0)</f>
        <v>720</v>
      </c>
      <c r="BH51" s="1">
        <f>IFERROR(VLOOKUP(AU51,'Top WS'!$A$19:$D$28,4),0)</f>
        <v>720</v>
      </c>
      <c r="BI51" s="1">
        <f>IFERROR(VLOOKUP(AV51,'Top WS'!$A$19:$D$28,4),0)</f>
        <v>720</v>
      </c>
      <c r="BJ51" s="1">
        <f>IFERROR(VLOOKUP(AW51,'Top WS'!$A$19:$D$28,4),0)</f>
        <v>1040</v>
      </c>
      <c r="BK51" s="89">
        <f>IFERROR(VLOOKUP(AX51,'Top WS'!$A$19:$D$28,4),0)</f>
        <v>720</v>
      </c>
      <c r="BL51" s="89">
        <f>IFERROR(VLOOKUP(AY51,'Top WS'!$A$19:$D$28,4),0)</f>
        <v>720</v>
      </c>
      <c r="BM51" s="89">
        <f>IFERROR(VLOOKUP(AZ51,'Top WS'!$A$19:$D$28,4),0)</f>
        <v>720</v>
      </c>
      <c r="BN51" s="89">
        <f>IFERROR(VLOOKUP(BA51,'Top WS'!$A$19:$D$28,4),0)</f>
        <v>720</v>
      </c>
      <c r="BO51" s="89">
        <f>IFERROR(VLOOKUP(BB51,'Top WS'!$A$19:$D$28,4),0)</f>
        <v>720</v>
      </c>
      <c r="BP51" s="89">
        <f>IFERROR(VLOOKUP(BC51,'Top WS'!$A$19:$D$28,4),0)</f>
        <v>720</v>
      </c>
    </row>
    <row r="52" spans="1:68" x14ac:dyDescent="0.4">
      <c r="A52">
        <v>1190044101</v>
      </c>
      <c r="B52">
        <f>VLOOKUP(A52,'Aji Plus'!$A$2:$D$58,2,0)</f>
        <v>61187</v>
      </c>
      <c r="C52" t="str">
        <f>VLOOKUP(A52,'Aji Plus'!$A$2:$D$58,3,0)</f>
        <v>นายสามารถ กิจกรองกาญ</v>
      </c>
      <c r="D52" t="str">
        <f>VLOOKUP(A52,'Aji Plus'!$A$2:$D$58,4,0)</f>
        <v>Chumphae</v>
      </c>
      <c r="E52" s="1">
        <v>1715</v>
      </c>
      <c r="F52" s="1">
        <v>1718.5565640620894</v>
      </c>
      <c r="G52" s="1">
        <v>1687.2142857142862</v>
      </c>
      <c r="H52" s="1">
        <v>1671.8133385951069</v>
      </c>
      <c r="I52" s="1">
        <v>1771.3250723493823</v>
      </c>
      <c r="J52" s="1">
        <v>1700.7238884504079</v>
      </c>
      <c r="K52" s="1">
        <v>1700.5347540121022</v>
      </c>
      <c r="L52" s="1">
        <v>1733.0928966061567</v>
      </c>
      <c r="M52" s="1">
        <v>1738.4697184951331</v>
      </c>
      <c r="N52" s="1">
        <v>1766.7318074191005</v>
      </c>
      <c r="O52" s="1">
        <v>1638.8228887134962</v>
      </c>
      <c r="P52" s="1">
        <v>1696.725046040516</v>
      </c>
      <c r="R52" s="1">
        <f>VLOOKUP(A52,Actual_RDM!$A$2:$H$63,3,0)</f>
        <v>1513.2999999999997</v>
      </c>
      <c r="S52" s="1">
        <f>VLOOKUP(A52,Actual_RDM!$A$2:$H$63,4,0)</f>
        <v>1017.8999999999999</v>
      </c>
      <c r="T52" s="1">
        <f>VLOOKUP(A52,Actual_RDM!$A$2:$H$63,5,0)</f>
        <v>628.4</v>
      </c>
      <c r="U52" s="1">
        <f>VLOOKUP(A52,Actual_RDM!$A$2:$H$63,6,0)</f>
        <v>1314.1999999999998</v>
      </c>
      <c r="V52" s="1">
        <f>VLOOKUP(A52,Actual_RDM!$A$2:$H$63,7,0)</f>
        <v>1027.6999999999998</v>
      </c>
      <c r="W52" s="1">
        <f>VLOOKUP(A52,Actual_RDM!$A$2:$H$63,8,0)</f>
        <v>1178.8</v>
      </c>
      <c r="X52" s="102"/>
      <c r="Y52" s="102"/>
      <c r="Z52" s="102"/>
      <c r="AA52" s="102"/>
      <c r="AB52" s="102"/>
      <c r="AC52" s="102"/>
      <c r="AE52" s="88">
        <f t="shared" si="4"/>
        <v>0.88239067055393572</v>
      </c>
      <c r="AF52" s="88">
        <f t="shared" si="4"/>
        <v>0.59229938733818965</v>
      </c>
      <c r="AG52" s="88">
        <f t="shared" si="4"/>
        <v>0.37244824520553732</v>
      </c>
      <c r="AH52" s="88">
        <f t="shared" si="4"/>
        <v>0.78609254374317639</v>
      </c>
      <c r="AI52" s="88">
        <f t="shared" si="4"/>
        <v>0.58018712434128117</v>
      </c>
      <c r="AJ52" s="88">
        <f t="shared" si="4"/>
        <v>0.69311662404768593</v>
      </c>
      <c r="AK52" s="90">
        <f t="shared" si="4"/>
        <v>0</v>
      </c>
      <c r="AL52" s="90">
        <f t="shared" si="4"/>
        <v>0</v>
      </c>
      <c r="AM52" s="90">
        <f t="shared" si="4"/>
        <v>0</v>
      </c>
      <c r="AN52" s="90">
        <f t="shared" si="4"/>
        <v>0</v>
      </c>
      <c r="AO52" s="90">
        <f t="shared" si="4"/>
        <v>0</v>
      </c>
      <c r="AP52" s="90">
        <f t="shared" si="4"/>
        <v>0</v>
      </c>
      <c r="AQ52" s="88"/>
      <c r="AR52" s="90">
        <f t="shared" si="5"/>
        <v>0.88239999999999996</v>
      </c>
      <c r="AS52" s="90">
        <f t="shared" si="5"/>
        <v>0.59230000000000005</v>
      </c>
      <c r="AT52" s="90">
        <f t="shared" si="5"/>
        <v>0.37240000000000001</v>
      </c>
      <c r="AU52" s="90">
        <f t="shared" si="5"/>
        <v>0.78610000000000002</v>
      </c>
      <c r="AV52" s="90">
        <f t="shared" si="5"/>
        <v>0.58020000000000005</v>
      </c>
      <c r="AW52" s="90">
        <f t="shared" si="5"/>
        <v>0.69310000000000005</v>
      </c>
      <c r="AX52" s="90">
        <f t="shared" si="5"/>
        <v>0</v>
      </c>
      <c r="AY52" s="90">
        <f t="shared" si="5"/>
        <v>0</v>
      </c>
      <c r="AZ52" s="90">
        <f t="shared" si="5"/>
        <v>0</v>
      </c>
      <c r="BA52" s="90">
        <f t="shared" si="5"/>
        <v>0</v>
      </c>
      <c r="BB52" s="90">
        <f t="shared" si="5"/>
        <v>0</v>
      </c>
      <c r="BC52" s="90">
        <f t="shared" si="5"/>
        <v>0</v>
      </c>
      <c r="BD52" s="88"/>
      <c r="BE52" s="1">
        <f>IFERROR(VLOOKUP(AR52,'Top WS'!$A$19:$D$28,4),0)</f>
        <v>720</v>
      </c>
      <c r="BF52" s="1">
        <f>IFERROR(VLOOKUP(AS52,'Top WS'!$A$19:$D$28,4),0)</f>
        <v>720</v>
      </c>
      <c r="BG52" s="1">
        <f>IFERROR(VLOOKUP(AT52,'Top WS'!$A$19:$D$28,4),0)</f>
        <v>720</v>
      </c>
      <c r="BH52" s="1">
        <f>IFERROR(VLOOKUP(AU52,'Top WS'!$A$19:$D$28,4),0)</f>
        <v>720</v>
      </c>
      <c r="BI52" s="1">
        <f>IFERROR(VLOOKUP(AV52,'Top WS'!$A$19:$D$28,4),0)</f>
        <v>720</v>
      </c>
      <c r="BJ52" s="1">
        <f>IFERROR(VLOOKUP(AW52,'Top WS'!$A$19:$D$28,4),0)</f>
        <v>720</v>
      </c>
      <c r="BK52" s="89">
        <f>IFERROR(VLOOKUP(AX52,'Top WS'!$A$19:$D$28,4),0)</f>
        <v>720</v>
      </c>
      <c r="BL52" s="89">
        <f>IFERROR(VLOOKUP(AY52,'Top WS'!$A$19:$D$28,4),0)</f>
        <v>720</v>
      </c>
      <c r="BM52" s="89">
        <f>IFERROR(VLOOKUP(AZ52,'Top WS'!$A$19:$D$28,4),0)</f>
        <v>720</v>
      </c>
      <c r="BN52" s="89">
        <f>IFERROR(VLOOKUP(BA52,'Top WS'!$A$19:$D$28,4),0)</f>
        <v>720</v>
      </c>
      <c r="BO52" s="89">
        <f>IFERROR(VLOOKUP(BB52,'Top WS'!$A$19:$D$28,4),0)</f>
        <v>720</v>
      </c>
      <c r="BP52" s="89">
        <f>IFERROR(VLOOKUP(BC52,'Top WS'!$A$19:$D$28,4),0)</f>
        <v>720</v>
      </c>
    </row>
    <row r="53" spans="1:68" x14ac:dyDescent="0.4">
      <c r="A53">
        <v>1190054201</v>
      </c>
      <c r="B53">
        <f>VLOOKUP(A53,'Aji Plus'!$A$2:$D$58,2,0)</f>
        <v>75411</v>
      </c>
      <c r="C53" t="str">
        <f>VLOOKUP(A53,'Aji Plus'!$A$2:$D$58,3,0)</f>
        <v>นายจักรภัทร เซ่งสวัสดิ์</v>
      </c>
      <c r="D53" t="str">
        <f>VLOOKUP(A53,'Aji Plus'!$A$2:$D$58,4,0)</f>
        <v>Hat-yai</v>
      </c>
      <c r="E53" s="1">
        <v>2272.464272567131</v>
      </c>
      <c r="F53" s="1">
        <v>2305.3850975726941</v>
      </c>
      <c r="G53" s="1">
        <v>2270.4936598027148</v>
      </c>
      <c r="H53" s="1">
        <v>2374.5594015236466</v>
      </c>
      <c r="I53" s="1">
        <v>2060.9131963870141</v>
      </c>
      <c r="J53" s="1">
        <v>2487.0292270928303</v>
      </c>
      <c r="K53" s="1">
        <v>2845.1011582272845</v>
      </c>
      <c r="L53" s="1">
        <v>2145.4756676601078</v>
      </c>
      <c r="M53" s="1">
        <v>2099.9197372826902</v>
      </c>
      <c r="N53" s="1">
        <v>2975.4513966736081</v>
      </c>
      <c r="O53" s="1">
        <v>2003.4466506246627</v>
      </c>
      <c r="P53" s="1">
        <v>2027.7605345856368</v>
      </c>
      <c r="R53" s="1">
        <f>VLOOKUP(A53,Actual_RDM!$A$2:$H$63,3,0)</f>
        <v>1968.6000000000004</v>
      </c>
      <c r="S53" s="1">
        <f>VLOOKUP(A53,Actual_RDM!$A$2:$H$63,4,0)</f>
        <v>1610.1999999999998</v>
      </c>
      <c r="T53" s="1">
        <f>VLOOKUP(A53,Actual_RDM!$A$2:$H$63,5,0)</f>
        <v>1963.3000000000002</v>
      </c>
      <c r="U53" s="1">
        <f>VLOOKUP(A53,Actual_RDM!$A$2:$H$63,6,0)</f>
        <v>1128.2</v>
      </c>
      <c r="V53" s="1">
        <f>VLOOKUP(A53,Actual_RDM!$A$2:$H$63,7,0)</f>
        <v>1697.8000000000004</v>
      </c>
      <c r="W53" s="1">
        <f>VLOOKUP(A53,Actual_RDM!$A$2:$H$63,8,0)</f>
        <v>1868.0000000000002</v>
      </c>
      <c r="X53" s="102"/>
      <c r="Y53" s="102"/>
      <c r="Z53" s="102"/>
      <c r="AA53" s="102"/>
      <c r="AB53" s="102"/>
      <c r="AC53" s="102"/>
      <c r="AE53" s="88">
        <f t="shared" si="4"/>
        <v>0.86628424647404256</v>
      </c>
      <c r="AF53" s="88">
        <f t="shared" si="4"/>
        <v>0.69845163903217544</v>
      </c>
      <c r="AG53" s="88">
        <f t="shared" si="4"/>
        <v>0.86470182003088836</v>
      </c>
      <c r="AH53" s="88">
        <f t="shared" si="4"/>
        <v>0.47511972085267085</v>
      </c>
      <c r="AI53" s="88">
        <f t="shared" si="4"/>
        <v>0.82380956314725573</v>
      </c>
      <c r="AJ53" s="88">
        <f t="shared" si="4"/>
        <v>0.7510969230480522</v>
      </c>
      <c r="AK53" s="90">
        <f t="shared" si="4"/>
        <v>0</v>
      </c>
      <c r="AL53" s="90">
        <f t="shared" si="4"/>
        <v>0</v>
      </c>
      <c r="AM53" s="90">
        <f t="shared" si="4"/>
        <v>0</v>
      </c>
      <c r="AN53" s="90">
        <f t="shared" si="4"/>
        <v>0</v>
      </c>
      <c r="AO53" s="90">
        <f t="shared" si="4"/>
        <v>0</v>
      </c>
      <c r="AP53" s="90">
        <f t="shared" si="4"/>
        <v>0</v>
      </c>
      <c r="AQ53" s="88"/>
      <c r="AR53" s="90">
        <f t="shared" si="5"/>
        <v>0.86629999999999996</v>
      </c>
      <c r="AS53" s="90">
        <f t="shared" si="5"/>
        <v>0.69850000000000001</v>
      </c>
      <c r="AT53" s="90">
        <f t="shared" si="5"/>
        <v>0.86470000000000002</v>
      </c>
      <c r="AU53" s="90">
        <f t="shared" si="5"/>
        <v>0.47510000000000002</v>
      </c>
      <c r="AV53" s="90">
        <f t="shared" si="5"/>
        <v>0.82379999999999998</v>
      </c>
      <c r="AW53" s="90">
        <f t="shared" si="5"/>
        <v>0.75109999999999999</v>
      </c>
      <c r="AX53" s="90">
        <f t="shared" si="5"/>
        <v>0</v>
      </c>
      <c r="AY53" s="90">
        <f t="shared" si="5"/>
        <v>0</v>
      </c>
      <c r="AZ53" s="90">
        <f t="shared" si="5"/>
        <v>0</v>
      </c>
      <c r="BA53" s="90">
        <f t="shared" si="5"/>
        <v>0</v>
      </c>
      <c r="BB53" s="90">
        <f t="shared" si="5"/>
        <v>0</v>
      </c>
      <c r="BC53" s="90">
        <f t="shared" si="5"/>
        <v>0</v>
      </c>
      <c r="BD53" s="88"/>
      <c r="BE53" s="1">
        <f>IFERROR(VLOOKUP(AR53,'Top WS'!$A$19:$D$28,4),0)</f>
        <v>720</v>
      </c>
      <c r="BF53" s="1">
        <f>IFERROR(VLOOKUP(AS53,'Top WS'!$A$19:$D$28,4),0)</f>
        <v>720</v>
      </c>
      <c r="BG53" s="1">
        <f>IFERROR(VLOOKUP(AT53,'Top WS'!$A$19:$D$28,4),0)</f>
        <v>720</v>
      </c>
      <c r="BH53" s="1">
        <f>IFERROR(VLOOKUP(AU53,'Top WS'!$A$19:$D$28,4),0)</f>
        <v>720</v>
      </c>
      <c r="BI53" s="1">
        <f>IFERROR(VLOOKUP(AV53,'Top WS'!$A$19:$D$28,4),0)</f>
        <v>720</v>
      </c>
      <c r="BJ53" s="1">
        <f>IFERROR(VLOOKUP(AW53,'Top WS'!$A$19:$D$28,4),0)</f>
        <v>720</v>
      </c>
      <c r="BK53" s="89">
        <f>IFERROR(VLOOKUP(AX53,'Top WS'!$A$19:$D$28,4),0)</f>
        <v>720</v>
      </c>
      <c r="BL53" s="89">
        <f>IFERROR(VLOOKUP(AY53,'Top WS'!$A$19:$D$28,4),0)</f>
        <v>720</v>
      </c>
      <c r="BM53" s="89">
        <f>IFERROR(VLOOKUP(AZ53,'Top WS'!$A$19:$D$28,4),0)</f>
        <v>720</v>
      </c>
      <c r="BN53" s="89">
        <f>IFERROR(VLOOKUP(BA53,'Top WS'!$A$19:$D$28,4),0)</f>
        <v>720</v>
      </c>
      <c r="BO53" s="89">
        <f>IFERROR(VLOOKUP(BB53,'Top WS'!$A$19:$D$28,4),0)</f>
        <v>720</v>
      </c>
      <c r="BP53" s="89">
        <f>IFERROR(VLOOKUP(BC53,'Top WS'!$A$19:$D$28,4),0)</f>
        <v>720</v>
      </c>
    </row>
    <row r="54" spans="1:68" x14ac:dyDescent="0.4">
      <c r="A54">
        <v>1190054202</v>
      </c>
      <c r="B54">
        <f>VLOOKUP(A54,'Aji Plus'!$A$2:$D$58,2,0)</f>
        <v>65181</v>
      </c>
      <c r="C54" t="str">
        <f>VLOOKUP(A54,'Aji Plus'!$A$2:$D$58,3,0)</f>
        <v>นายอวิรุทธ์ บัวหลวง</v>
      </c>
      <c r="D54" t="str">
        <f>VLOOKUP(A54,'Aji Plus'!$A$2:$D$58,4,0)</f>
        <v>Hat-yai</v>
      </c>
      <c r="E54" s="1">
        <v>994.99817187685278</v>
      </c>
      <c r="F54" s="1">
        <v>1009.41255061655</v>
      </c>
      <c r="G54" s="1">
        <v>994.13533934666009</v>
      </c>
      <c r="H54" s="1">
        <v>1039.7005101690661</v>
      </c>
      <c r="I54" s="1">
        <v>902.37056201788232</v>
      </c>
      <c r="J54" s="1">
        <v>1088.9454079584727</v>
      </c>
      <c r="K54" s="1">
        <v>1245.727154180039</v>
      </c>
      <c r="L54" s="1">
        <v>939.39622853411208</v>
      </c>
      <c r="M54" s="1">
        <v>919.44957063023503</v>
      </c>
      <c r="N54" s="1">
        <v>1302.8009883095797</v>
      </c>
      <c r="O54" s="1">
        <v>877.20884279180893</v>
      </c>
      <c r="P54" s="1">
        <v>887.85467356875063</v>
      </c>
      <c r="R54" s="1">
        <f>VLOOKUP(A54,Actual_RDM!$A$2:$H$63,3,0)</f>
        <v>934.7</v>
      </c>
      <c r="S54" s="1">
        <f>VLOOKUP(A54,Actual_RDM!$A$2:$H$63,4,0)</f>
        <v>1157.6999999999998</v>
      </c>
      <c r="T54" s="1">
        <f>VLOOKUP(A54,Actual_RDM!$A$2:$H$63,5,0)</f>
        <v>526.90000000000009</v>
      </c>
      <c r="U54" s="1">
        <f>VLOOKUP(A54,Actual_RDM!$A$2:$H$63,6,0)</f>
        <v>953</v>
      </c>
      <c r="V54" s="1">
        <f>VLOOKUP(A54,Actual_RDM!$A$2:$H$63,7,0)</f>
        <v>1047.3999999999999</v>
      </c>
      <c r="W54" s="1">
        <f>VLOOKUP(A54,Actual_RDM!$A$2:$H$63,8,0)</f>
        <v>652.20000000000005</v>
      </c>
      <c r="X54" s="102"/>
      <c r="Y54" s="102"/>
      <c r="Z54" s="102"/>
      <c r="AA54" s="102"/>
      <c r="AB54" s="102"/>
      <c r="AC54" s="102"/>
      <c r="AE54" s="88">
        <f t="shared" si="4"/>
        <v>0.93939871089098281</v>
      </c>
      <c r="AF54" s="88">
        <f t="shared" si="4"/>
        <v>1.1469047014452869</v>
      </c>
      <c r="AG54" s="88">
        <f t="shared" si="4"/>
        <v>0.53000831893399514</v>
      </c>
      <c r="AH54" s="88">
        <f t="shared" si="4"/>
        <v>0.91661011096842904</v>
      </c>
      <c r="AI54" s="88">
        <f t="shared" si="4"/>
        <v>1.1607204889949008</v>
      </c>
      <c r="AJ54" s="88">
        <f t="shared" si="4"/>
        <v>0.59892809615013487</v>
      </c>
      <c r="AK54" s="90">
        <f t="shared" si="4"/>
        <v>0</v>
      </c>
      <c r="AL54" s="90">
        <f t="shared" si="4"/>
        <v>0</v>
      </c>
      <c r="AM54" s="90">
        <f t="shared" si="4"/>
        <v>0</v>
      </c>
      <c r="AN54" s="90">
        <f t="shared" si="4"/>
        <v>0</v>
      </c>
      <c r="AO54" s="90">
        <f t="shared" si="4"/>
        <v>0</v>
      </c>
      <c r="AP54" s="90">
        <f t="shared" si="4"/>
        <v>0</v>
      </c>
      <c r="AQ54" s="88"/>
      <c r="AR54" s="90">
        <f t="shared" si="5"/>
        <v>0.93940000000000001</v>
      </c>
      <c r="AS54" s="90">
        <f t="shared" si="5"/>
        <v>1.1469</v>
      </c>
      <c r="AT54" s="90">
        <f t="shared" si="5"/>
        <v>0.53</v>
      </c>
      <c r="AU54" s="90">
        <f t="shared" si="5"/>
        <v>0.91659999999999997</v>
      </c>
      <c r="AV54" s="90">
        <f t="shared" si="5"/>
        <v>1.1607000000000001</v>
      </c>
      <c r="AW54" s="90">
        <f t="shared" si="5"/>
        <v>0.59889999999999999</v>
      </c>
      <c r="AX54" s="90">
        <f t="shared" si="5"/>
        <v>0</v>
      </c>
      <c r="AY54" s="90">
        <f t="shared" si="5"/>
        <v>0</v>
      </c>
      <c r="AZ54" s="90">
        <f t="shared" si="5"/>
        <v>0</v>
      </c>
      <c r="BA54" s="90">
        <f t="shared" si="5"/>
        <v>0</v>
      </c>
      <c r="BB54" s="90">
        <f t="shared" si="5"/>
        <v>0</v>
      </c>
      <c r="BC54" s="90">
        <f t="shared" si="5"/>
        <v>0</v>
      </c>
      <c r="BD54" s="88"/>
      <c r="BE54" s="1">
        <f>IFERROR(VLOOKUP(AR54,'Top WS'!$A$19:$D$28,4),0)</f>
        <v>760</v>
      </c>
      <c r="BF54" s="1">
        <f>IFERROR(VLOOKUP(AS54,'Top WS'!$A$19:$D$28,4),0)</f>
        <v>920</v>
      </c>
      <c r="BG54" s="1">
        <f>IFERROR(VLOOKUP(AT54,'Top WS'!$A$19:$D$28,4),0)</f>
        <v>720</v>
      </c>
      <c r="BH54" s="1">
        <f>IFERROR(VLOOKUP(AU54,'Top WS'!$A$19:$D$28,4),0)</f>
        <v>760</v>
      </c>
      <c r="BI54" s="1">
        <f>IFERROR(VLOOKUP(AV54,'Top WS'!$A$19:$D$28,4),0)</f>
        <v>960</v>
      </c>
      <c r="BJ54" s="1">
        <f>IFERROR(VLOOKUP(AW54,'Top WS'!$A$19:$D$28,4),0)</f>
        <v>720</v>
      </c>
      <c r="BK54" s="89">
        <f>IFERROR(VLOOKUP(AX54,'Top WS'!$A$19:$D$28,4),0)</f>
        <v>720</v>
      </c>
      <c r="BL54" s="89">
        <f>IFERROR(VLOOKUP(AY54,'Top WS'!$A$19:$D$28,4),0)</f>
        <v>720</v>
      </c>
      <c r="BM54" s="89">
        <f>IFERROR(VLOOKUP(AZ54,'Top WS'!$A$19:$D$28,4),0)</f>
        <v>720</v>
      </c>
      <c r="BN54" s="89">
        <f>IFERROR(VLOOKUP(BA54,'Top WS'!$A$19:$D$28,4),0)</f>
        <v>720</v>
      </c>
      <c r="BO54" s="89">
        <f>IFERROR(VLOOKUP(BB54,'Top WS'!$A$19:$D$28,4),0)</f>
        <v>720</v>
      </c>
      <c r="BP54" s="89">
        <f>IFERROR(VLOOKUP(BC54,'Top WS'!$A$19:$D$28,4),0)</f>
        <v>720</v>
      </c>
    </row>
    <row r="55" spans="1:68" x14ac:dyDescent="0.4">
      <c r="A55">
        <v>1190054301</v>
      </c>
      <c r="B55">
        <f>VLOOKUP(A55,'Aji Plus'!$A$2:$D$58,2,0)</f>
        <v>61802</v>
      </c>
      <c r="C55" t="str">
        <f>VLOOKUP(A55,'Aji Plus'!$A$2:$D$58,3,0)</f>
        <v>นายภาคภูมิ รักท้วม</v>
      </c>
      <c r="D55" t="str">
        <f>VLOOKUP(A55,'Aji Plus'!$A$2:$D$58,4,0)</f>
        <v>Suratthani</v>
      </c>
      <c r="E55" s="1">
        <v>1000</v>
      </c>
      <c r="F55" s="1">
        <v>1100</v>
      </c>
      <c r="G55" s="1">
        <v>1200</v>
      </c>
      <c r="H55" s="1">
        <v>1200</v>
      </c>
      <c r="I55" s="1">
        <v>1100</v>
      </c>
      <c r="J55" s="1">
        <v>1300</v>
      </c>
      <c r="K55" s="1">
        <v>1100</v>
      </c>
      <c r="L55" s="1">
        <v>1200</v>
      </c>
      <c r="M55" s="1">
        <v>1200</v>
      </c>
      <c r="N55" s="1">
        <v>1200</v>
      </c>
      <c r="O55" s="1">
        <v>1000</v>
      </c>
      <c r="P55" s="1">
        <v>850</v>
      </c>
      <c r="R55" s="1">
        <f>VLOOKUP(A55,Actual_RDM!$A$2:$H$63,3,0)</f>
        <v>1119.1999999999998</v>
      </c>
      <c r="S55" s="1">
        <f>VLOOKUP(A55,Actual_RDM!$A$2:$H$63,4,0)</f>
        <v>744.3</v>
      </c>
      <c r="T55" s="1">
        <f>VLOOKUP(A55,Actual_RDM!$A$2:$H$63,5,0)</f>
        <v>811.19999999999993</v>
      </c>
      <c r="U55" s="1">
        <f>VLOOKUP(A55,Actual_RDM!$A$2:$H$63,6,0)</f>
        <v>898.09999999999991</v>
      </c>
      <c r="V55" s="1">
        <f>VLOOKUP(A55,Actual_RDM!$A$2:$H$63,7,0)</f>
        <v>768.69999999999993</v>
      </c>
      <c r="W55" s="1">
        <f>VLOOKUP(A55,Actual_RDM!$A$2:$H$63,8,0)</f>
        <v>981.8</v>
      </c>
      <c r="X55" s="102"/>
      <c r="Y55" s="102"/>
      <c r="Z55" s="102"/>
      <c r="AA55" s="102"/>
      <c r="AB55" s="102"/>
      <c r="AC55" s="102"/>
      <c r="AE55" s="88">
        <f t="shared" si="4"/>
        <v>1.1191999999999998</v>
      </c>
      <c r="AF55" s="88">
        <f t="shared" si="4"/>
        <v>0.67663636363636359</v>
      </c>
      <c r="AG55" s="88">
        <f t="shared" si="4"/>
        <v>0.67599999999999993</v>
      </c>
      <c r="AH55" s="88">
        <f t="shared" si="4"/>
        <v>0.74841666666666662</v>
      </c>
      <c r="AI55" s="88">
        <f t="shared" si="4"/>
        <v>0.69881818181818178</v>
      </c>
      <c r="AJ55" s="88">
        <f t="shared" si="4"/>
        <v>0.75523076923076915</v>
      </c>
      <c r="AK55" s="90">
        <f t="shared" si="4"/>
        <v>0</v>
      </c>
      <c r="AL55" s="90">
        <f t="shared" si="4"/>
        <v>0</v>
      </c>
      <c r="AM55" s="90">
        <f t="shared" si="4"/>
        <v>0</v>
      </c>
      <c r="AN55" s="90">
        <f t="shared" si="4"/>
        <v>0</v>
      </c>
      <c r="AO55" s="90">
        <f t="shared" si="4"/>
        <v>0</v>
      </c>
      <c r="AP55" s="90">
        <f t="shared" si="4"/>
        <v>0</v>
      </c>
      <c r="AQ55" s="88"/>
      <c r="AR55" s="90">
        <f t="shared" si="5"/>
        <v>1.1192</v>
      </c>
      <c r="AS55" s="90">
        <f t="shared" si="5"/>
        <v>0.67659999999999998</v>
      </c>
      <c r="AT55" s="90">
        <f t="shared" si="5"/>
        <v>0.67600000000000005</v>
      </c>
      <c r="AU55" s="90">
        <f t="shared" si="5"/>
        <v>0.74839999999999995</v>
      </c>
      <c r="AV55" s="90">
        <f t="shared" si="5"/>
        <v>0.69879999999999998</v>
      </c>
      <c r="AW55" s="90">
        <f t="shared" si="5"/>
        <v>0.75519999999999998</v>
      </c>
      <c r="AX55" s="90">
        <f t="shared" si="5"/>
        <v>0</v>
      </c>
      <c r="AY55" s="90">
        <f t="shared" si="5"/>
        <v>0</v>
      </c>
      <c r="AZ55" s="90">
        <f t="shared" si="5"/>
        <v>0</v>
      </c>
      <c r="BA55" s="90">
        <f t="shared" si="5"/>
        <v>0</v>
      </c>
      <c r="BB55" s="90">
        <f t="shared" si="5"/>
        <v>0</v>
      </c>
      <c r="BC55" s="90">
        <f t="shared" si="5"/>
        <v>0</v>
      </c>
      <c r="BD55" s="88"/>
      <c r="BE55" s="1">
        <f>IFERROR(VLOOKUP(AR55,'Top WS'!$A$19:$D$28,4),0)</f>
        <v>920</v>
      </c>
      <c r="BF55" s="1">
        <f>IFERROR(VLOOKUP(AS55,'Top WS'!$A$19:$D$28,4),0)</f>
        <v>720</v>
      </c>
      <c r="BG55" s="1">
        <f>IFERROR(VLOOKUP(AT55,'Top WS'!$A$19:$D$28,4),0)</f>
        <v>720</v>
      </c>
      <c r="BH55" s="1">
        <f>IFERROR(VLOOKUP(AU55,'Top WS'!$A$19:$D$28,4),0)</f>
        <v>720</v>
      </c>
      <c r="BI55" s="1">
        <f>IFERROR(VLOOKUP(AV55,'Top WS'!$A$19:$D$28,4),0)</f>
        <v>720</v>
      </c>
      <c r="BJ55" s="1">
        <f>IFERROR(VLOOKUP(AW55,'Top WS'!$A$19:$D$28,4),0)</f>
        <v>720</v>
      </c>
      <c r="BK55" s="89">
        <f>IFERROR(VLOOKUP(AX55,'Top WS'!$A$19:$D$28,4),0)</f>
        <v>720</v>
      </c>
      <c r="BL55" s="89">
        <f>IFERROR(VLOOKUP(AY55,'Top WS'!$A$19:$D$28,4),0)</f>
        <v>720</v>
      </c>
      <c r="BM55" s="89">
        <f>IFERROR(VLOOKUP(AZ55,'Top WS'!$A$19:$D$28,4),0)</f>
        <v>720</v>
      </c>
      <c r="BN55" s="89">
        <f>IFERROR(VLOOKUP(BA55,'Top WS'!$A$19:$D$28,4),0)</f>
        <v>720</v>
      </c>
      <c r="BO55" s="89">
        <f>IFERROR(VLOOKUP(BB55,'Top WS'!$A$19:$D$28,4),0)</f>
        <v>720</v>
      </c>
      <c r="BP55" s="89">
        <f>IFERROR(VLOOKUP(BC55,'Top WS'!$A$19:$D$28,4),0)</f>
        <v>720</v>
      </c>
    </row>
    <row r="56" spans="1:68" x14ac:dyDescent="0.4">
      <c r="A56">
        <v>1190054401</v>
      </c>
      <c r="B56">
        <f>VLOOKUP(A56,'Aji Plus'!$A$2:$D$58,2,0)</f>
        <v>75194</v>
      </c>
      <c r="C56" t="str">
        <f>VLOOKUP(A56,'Aji Plus'!$A$2:$D$58,3,0)</f>
        <v>นายพรชัย แซ่อือ</v>
      </c>
      <c r="D56" t="str">
        <f>VLOOKUP(A56,'Aji Plus'!$A$2:$D$58,4,0)</f>
        <v>N.Thamarat</v>
      </c>
      <c r="E56" s="1">
        <v>3730</v>
      </c>
      <c r="F56" s="1">
        <v>3970</v>
      </c>
      <c r="G56" s="1">
        <v>3890</v>
      </c>
      <c r="H56" s="1">
        <v>4210</v>
      </c>
      <c r="I56" s="1">
        <v>3870</v>
      </c>
      <c r="J56" s="1">
        <v>4500</v>
      </c>
      <c r="K56" s="1">
        <v>4850</v>
      </c>
      <c r="L56" s="1">
        <v>4520</v>
      </c>
      <c r="M56" s="1">
        <v>3530</v>
      </c>
      <c r="N56" s="1">
        <v>4640</v>
      </c>
      <c r="O56" s="1">
        <v>3680</v>
      </c>
      <c r="P56" s="1">
        <v>3760</v>
      </c>
      <c r="R56" s="1">
        <f>VLOOKUP(A56,Actual_RDM!$A$2:$H$63,3,0)</f>
        <v>1618.4</v>
      </c>
      <c r="S56" s="1">
        <f>VLOOKUP(A56,Actual_RDM!$A$2:$H$63,4,0)</f>
        <v>4265.8</v>
      </c>
      <c r="T56" s="1">
        <f>VLOOKUP(A56,Actual_RDM!$A$2:$H$63,5,0)</f>
        <v>4082.2000000000003</v>
      </c>
      <c r="U56" s="1">
        <f>VLOOKUP(A56,Actual_RDM!$A$2:$H$63,6,0)</f>
        <v>1511.9999999999998</v>
      </c>
      <c r="V56" s="1">
        <f>VLOOKUP(A56,Actual_RDM!$A$2:$H$63,7,0)</f>
        <v>5188.5999999999995</v>
      </c>
      <c r="W56" s="1">
        <f>VLOOKUP(A56,Actual_RDM!$A$2:$H$63,8,0)</f>
        <v>2692.2</v>
      </c>
      <c r="X56" s="102"/>
      <c r="Y56" s="102"/>
      <c r="Z56" s="102"/>
      <c r="AA56" s="102"/>
      <c r="AB56" s="102"/>
      <c r="AC56" s="102"/>
      <c r="AE56" s="88">
        <f t="shared" si="4"/>
        <v>0.433887399463807</v>
      </c>
      <c r="AF56" s="88">
        <f t="shared" si="4"/>
        <v>1.0745088161209069</v>
      </c>
      <c r="AG56" s="88">
        <f t="shared" si="4"/>
        <v>1.0494087403598973</v>
      </c>
      <c r="AH56" s="88">
        <f t="shared" si="4"/>
        <v>0.35914489311163889</v>
      </c>
      <c r="AI56" s="88">
        <f t="shared" si="4"/>
        <v>1.3407235142118861</v>
      </c>
      <c r="AJ56" s="88">
        <f t="shared" si="4"/>
        <v>0.59826666666666661</v>
      </c>
      <c r="AK56" s="90">
        <f t="shared" si="4"/>
        <v>0</v>
      </c>
      <c r="AL56" s="90">
        <f t="shared" si="4"/>
        <v>0</v>
      </c>
      <c r="AM56" s="90">
        <f t="shared" si="4"/>
        <v>0</v>
      </c>
      <c r="AN56" s="90">
        <f t="shared" si="4"/>
        <v>0</v>
      </c>
      <c r="AO56" s="90">
        <f t="shared" si="4"/>
        <v>0</v>
      </c>
      <c r="AP56" s="90">
        <f t="shared" si="4"/>
        <v>0</v>
      </c>
      <c r="AQ56" s="88"/>
      <c r="AR56" s="90">
        <f t="shared" si="5"/>
        <v>0.43390000000000001</v>
      </c>
      <c r="AS56" s="90">
        <f t="shared" si="5"/>
        <v>1.0745</v>
      </c>
      <c r="AT56" s="90">
        <f t="shared" si="5"/>
        <v>1.0494000000000001</v>
      </c>
      <c r="AU56" s="90">
        <f t="shared" si="5"/>
        <v>0.35909999999999997</v>
      </c>
      <c r="AV56" s="90">
        <f t="shared" si="5"/>
        <v>1.3407</v>
      </c>
      <c r="AW56" s="90">
        <f t="shared" si="5"/>
        <v>0.59830000000000005</v>
      </c>
      <c r="AX56" s="90">
        <f t="shared" si="5"/>
        <v>0</v>
      </c>
      <c r="AY56" s="90">
        <f t="shared" si="5"/>
        <v>0</v>
      </c>
      <c r="AZ56" s="90">
        <f t="shared" si="5"/>
        <v>0</v>
      </c>
      <c r="BA56" s="90">
        <f t="shared" si="5"/>
        <v>0</v>
      </c>
      <c r="BB56" s="90">
        <f t="shared" si="5"/>
        <v>0</v>
      </c>
      <c r="BC56" s="90">
        <f t="shared" si="5"/>
        <v>0</v>
      </c>
      <c r="BD56" s="88"/>
      <c r="BE56" s="1">
        <f>IFERROR(VLOOKUP(AR56,'Top WS'!$A$19:$D$28,4),0)</f>
        <v>720</v>
      </c>
      <c r="BF56" s="1">
        <f>IFERROR(VLOOKUP(AS56,'Top WS'!$A$19:$D$28,4),0)</f>
        <v>880</v>
      </c>
      <c r="BG56" s="1">
        <f>IFERROR(VLOOKUP(AT56,'Top WS'!$A$19:$D$28,4),0)</f>
        <v>864</v>
      </c>
      <c r="BH56" s="1">
        <f>IFERROR(VLOOKUP(AU56,'Top WS'!$A$19:$D$28,4),0)</f>
        <v>720</v>
      </c>
      <c r="BI56" s="1">
        <f>IFERROR(VLOOKUP(AV56,'Top WS'!$A$19:$D$28,4),0)</f>
        <v>1040</v>
      </c>
      <c r="BJ56" s="1">
        <f>IFERROR(VLOOKUP(AW56,'Top WS'!$A$19:$D$28,4),0)</f>
        <v>720</v>
      </c>
      <c r="BK56" s="89">
        <f>IFERROR(VLOOKUP(AX56,'Top WS'!$A$19:$D$28,4),0)</f>
        <v>720</v>
      </c>
      <c r="BL56" s="89">
        <f>IFERROR(VLOOKUP(AY56,'Top WS'!$A$19:$D$28,4),0)</f>
        <v>720</v>
      </c>
      <c r="BM56" s="89">
        <f>IFERROR(VLOOKUP(AZ56,'Top WS'!$A$19:$D$28,4),0)</f>
        <v>720</v>
      </c>
      <c r="BN56" s="89">
        <f>IFERROR(VLOOKUP(BA56,'Top WS'!$A$19:$D$28,4),0)</f>
        <v>720</v>
      </c>
      <c r="BO56" s="89">
        <f>IFERROR(VLOOKUP(BB56,'Top WS'!$A$19:$D$28,4),0)</f>
        <v>720</v>
      </c>
      <c r="BP56" s="89">
        <f>IFERROR(VLOOKUP(BC56,'Top WS'!$A$19:$D$28,4),0)</f>
        <v>720</v>
      </c>
    </row>
    <row r="57" spans="1:68" x14ac:dyDescent="0.4">
      <c r="A57">
        <v>1190054501</v>
      </c>
      <c r="B57">
        <f>VLOOKUP(A57,'Aji Plus'!$A$2:$D$58,2,0)</f>
        <v>70437</v>
      </c>
      <c r="C57" t="str">
        <f>VLOOKUP(A57,'Aji Plus'!$A$2:$D$58,3,0)</f>
        <v>นายมนตรี วัชรมานะกุล</v>
      </c>
      <c r="D57" t="str">
        <f>VLOOKUP(A57,'Aji Plus'!$A$2:$D$58,4,0)</f>
        <v>Trang</v>
      </c>
      <c r="E57" s="1">
        <v>850</v>
      </c>
      <c r="F57" s="1">
        <v>800</v>
      </c>
      <c r="G57" s="1">
        <v>800</v>
      </c>
      <c r="H57" s="1">
        <v>800</v>
      </c>
      <c r="I57" s="1">
        <v>800</v>
      </c>
      <c r="J57" s="1">
        <v>800</v>
      </c>
      <c r="K57" s="1">
        <v>800</v>
      </c>
      <c r="L57" s="1">
        <v>900</v>
      </c>
      <c r="M57" s="1">
        <v>950</v>
      </c>
      <c r="N57" s="1">
        <v>910</v>
      </c>
      <c r="O57" s="1">
        <v>900</v>
      </c>
      <c r="P57" s="1">
        <v>900</v>
      </c>
      <c r="R57" s="1">
        <f>VLOOKUP(A57,Actual_RDM!$A$2:$H$63,3,0)</f>
        <v>345.8</v>
      </c>
      <c r="S57" s="1">
        <f>VLOOKUP(A57,Actual_RDM!$A$2:$H$63,4,0)</f>
        <v>426</v>
      </c>
      <c r="T57" s="1">
        <f>VLOOKUP(A57,Actual_RDM!$A$2:$H$63,5,0)</f>
        <v>333.8</v>
      </c>
      <c r="U57" s="1">
        <f>VLOOKUP(A57,Actual_RDM!$A$2:$H$63,6,0)</f>
        <v>1316.8</v>
      </c>
      <c r="V57" s="1">
        <f>VLOOKUP(A57,Actual_RDM!$A$2:$H$63,7,0)</f>
        <v>223.4</v>
      </c>
      <c r="W57" s="1">
        <f>VLOOKUP(A57,Actual_RDM!$A$2:$H$63,8,0)</f>
        <v>239.8</v>
      </c>
      <c r="X57" s="102"/>
      <c r="Y57" s="102"/>
      <c r="Z57" s="102"/>
      <c r="AA57" s="102"/>
      <c r="AB57" s="102"/>
      <c r="AC57" s="102"/>
      <c r="AE57" s="88">
        <f t="shared" si="4"/>
        <v>0.40682352941176469</v>
      </c>
      <c r="AF57" s="88">
        <f t="shared" si="4"/>
        <v>0.53249999999999997</v>
      </c>
      <c r="AG57" s="88">
        <f t="shared" si="4"/>
        <v>0.41725000000000001</v>
      </c>
      <c r="AH57" s="88">
        <f t="shared" si="4"/>
        <v>1.6459999999999999</v>
      </c>
      <c r="AI57" s="88">
        <f t="shared" si="4"/>
        <v>0.27925</v>
      </c>
      <c r="AJ57" s="88">
        <f t="shared" si="4"/>
        <v>0.29975000000000002</v>
      </c>
      <c r="AK57" s="90">
        <f t="shared" si="4"/>
        <v>0</v>
      </c>
      <c r="AL57" s="90">
        <f t="shared" si="4"/>
        <v>0</v>
      </c>
      <c r="AM57" s="90">
        <f t="shared" si="4"/>
        <v>0</v>
      </c>
      <c r="AN57" s="90">
        <f t="shared" si="4"/>
        <v>0</v>
      </c>
      <c r="AO57" s="90">
        <f t="shared" si="4"/>
        <v>0</v>
      </c>
      <c r="AP57" s="90">
        <f t="shared" si="4"/>
        <v>0</v>
      </c>
      <c r="AQ57" s="88"/>
      <c r="AR57" s="90">
        <f t="shared" si="5"/>
        <v>0.40679999999999999</v>
      </c>
      <c r="AS57" s="90">
        <f t="shared" si="5"/>
        <v>0.53249999999999997</v>
      </c>
      <c r="AT57" s="90">
        <f t="shared" si="5"/>
        <v>0.4173</v>
      </c>
      <c r="AU57" s="90">
        <f t="shared" si="5"/>
        <v>1.6459999999999999</v>
      </c>
      <c r="AV57" s="90">
        <f t="shared" si="5"/>
        <v>0.27929999999999999</v>
      </c>
      <c r="AW57" s="90">
        <f t="shared" si="5"/>
        <v>0.29980000000000001</v>
      </c>
      <c r="AX57" s="90">
        <f t="shared" si="5"/>
        <v>0</v>
      </c>
      <c r="AY57" s="90">
        <f t="shared" si="5"/>
        <v>0</v>
      </c>
      <c r="AZ57" s="90">
        <f t="shared" si="5"/>
        <v>0</v>
      </c>
      <c r="BA57" s="90">
        <f t="shared" si="5"/>
        <v>0</v>
      </c>
      <c r="BB57" s="90">
        <f t="shared" si="5"/>
        <v>0</v>
      </c>
      <c r="BC57" s="90">
        <f t="shared" si="5"/>
        <v>0</v>
      </c>
      <c r="BD57" s="88"/>
      <c r="BE57" s="1">
        <f>IFERROR(VLOOKUP(AR57,'Top WS'!$A$19:$D$28,4),0)</f>
        <v>720</v>
      </c>
      <c r="BF57" s="1">
        <f>IFERROR(VLOOKUP(AS57,'Top WS'!$A$19:$D$28,4),0)</f>
        <v>720</v>
      </c>
      <c r="BG57" s="1">
        <f>IFERROR(VLOOKUP(AT57,'Top WS'!$A$19:$D$28,4),0)</f>
        <v>720</v>
      </c>
      <c r="BH57" s="1">
        <f>IFERROR(VLOOKUP(AU57,'Top WS'!$A$19:$D$28,4),0)</f>
        <v>1040</v>
      </c>
      <c r="BI57" s="1">
        <f>IFERROR(VLOOKUP(AV57,'Top WS'!$A$19:$D$28,4),0)</f>
        <v>720</v>
      </c>
      <c r="BJ57" s="1">
        <f>IFERROR(VLOOKUP(AW57,'Top WS'!$A$19:$D$28,4),0)</f>
        <v>720</v>
      </c>
      <c r="BK57" s="89">
        <f>IFERROR(VLOOKUP(AX57,'Top WS'!$A$19:$D$28,4),0)</f>
        <v>720</v>
      </c>
      <c r="BL57" s="89">
        <f>IFERROR(VLOOKUP(AY57,'Top WS'!$A$19:$D$28,4),0)</f>
        <v>720</v>
      </c>
      <c r="BM57" s="89">
        <f>IFERROR(VLOOKUP(AZ57,'Top WS'!$A$19:$D$28,4),0)</f>
        <v>720</v>
      </c>
      <c r="BN57" s="89">
        <f>IFERROR(VLOOKUP(BA57,'Top WS'!$A$19:$D$28,4),0)</f>
        <v>720</v>
      </c>
      <c r="BO57" s="89">
        <f>IFERROR(VLOOKUP(BB57,'Top WS'!$A$19:$D$28,4),0)</f>
        <v>720</v>
      </c>
      <c r="BP57" s="89">
        <f>IFERROR(VLOOKUP(BC57,'Top WS'!$A$19:$D$28,4),0)</f>
        <v>720</v>
      </c>
    </row>
    <row r="58" spans="1:68" x14ac:dyDescent="0.4">
      <c r="A58">
        <v>1190054601</v>
      </c>
      <c r="B58">
        <f>VLOOKUP(A58,'Aji Plus'!$A$2:$D$58,2,0)</f>
        <v>63804</v>
      </c>
      <c r="C58" t="str">
        <f>VLOOKUP(A58,'Aji Plus'!$A$2:$D$58,3,0)</f>
        <v>นายสมพงษ์ คงบุตร</v>
      </c>
      <c r="D58" t="str">
        <f>VLOOKUP(A58,'Aji Plus'!$A$2:$D$58,4,0)</f>
        <v>Phuket</v>
      </c>
      <c r="E58" s="1">
        <v>3830.4012754328874</v>
      </c>
      <c r="F58" s="1">
        <v>3875.3957745825101</v>
      </c>
      <c r="G58" s="1">
        <v>2814.6015500659219</v>
      </c>
      <c r="H58" s="1">
        <v>3722.3166633452106</v>
      </c>
      <c r="I58" s="1">
        <v>2596.4760433188485</v>
      </c>
      <c r="J58" s="1">
        <v>2814.7971783230946</v>
      </c>
      <c r="K58" s="1">
        <v>3116.3581367541283</v>
      </c>
      <c r="L58" s="1">
        <v>2994.5795466643908</v>
      </c>
      <c r="M58" s="1">
        <v>1993.4519405853539</v>
      </c>
      <c r="N58" s="1">
        <v>3279.2186608500383</v>
      </c>
      <c r="O58" s="1">
        <v>2642.4486837543254</v>
      </c>
      <c r="P58" s="1">
        <v>2149.9545463231652</v>
      </c>
      <c r="R58" s="1">
        <f>VLOOKUP(A58,Actual_RDM!$A$2:$H$63,3,0)</f>
        <v>3332.4</v>
      </c>
      <c r="S58" s="1">
        <f>VLOOKUP(A58,Actual_RDM!$A$2:$H$63,4,0)</f>
        <v>2027.6</v>
      </c>
      <c r="T58" s="1">
        <f>VLOOKUP(A58,Actual_RDM!$A$2:$H$63,5,0)</f>
        <v>2649</v>
      </c>
      <c r="U58" s="1">
        <f>VLOOKUP(A58,Actual_RDM!$A$2:$H$63,6,0)</f>
        <v>2874.6</v>
      </c>
      <c r="V58" s="1">
        <f>VLOOKUP(A58,Actual_RDM!$A$2:$H$63,7,0)</f>
        <v>2627.2999999999997</v>
      </c>
      <c r="W58" s="1">
        <f>VLOOKUP(A58,Actual_RDM!$A$2:$H$63,8,0)</f>
        <v>3077.1</v>
      </c>
      <c r="X58" s="102"/>
      <c r="Y58" s="102"/>
      <c r="Z58" s="102"/>
      <c r="AA58" s="102"/>
      <c r="AB58" s="102"/>
      <c r="AC58" s="102"/>
      <c r="AE58" s="88">
        <f t="shared" si="4"/>
        <v>0.86998717898646105</v>
      </c>
      <c r="AF58" s="88">
        <f t="shared" si="4"/>
        <v>0.52319817586074291</v>
      </c>
      <c r="AG58" s="88">
        <f t="shared" si="4"/>
        <v>0.94116341261090997</v>
      </c>
      <c r="AH58" s="88">
        <f t="shared" si="4"/>
        <v>0.77226100302187195</v>
      </c>
      <c r="AI58" s="88">
        <f t="shared" si="4"/>
        <v>1.0118714581482338</v>
      </c>
      <c r="AJ58" s="88">
        <f t="shared" si="4"/>
        <v>1.0931871126264137</v>
      </c>
      <c r="AK58" s="90">
        <f t="shared" si="4"/>
        <v>0</v>
      </c>
      <c r="AL58" s="90">
        <f t="shared" si="4"/>
        <v>0</v>
      </c>
      <c r="AM58" s="90">
        <f t="shared" si="4"/>
        <v>0</v>
      </c>
      <c r="AN58" s="90">
        <f t="shared" si="4"/>
        <v>0</v>
      </c>
      <c r="AO58" s="90">
        <f t="shared" si="4"/>
        <v>0</v>
      </c>
      <c r="AP58" s="90">
        <f t="shared" si="4"/>
        <v>0</v>
      </c>
      <c r="AQ58" s="88"/>
      <c r="AR58" s="90">
        <f t="shared" si="5"/>
        <v>0.87</v>
      </c>
      <c r="AS58" s="90">
        <f t="shared" si="5"/>
        <v>0.5232</v>
      </c>
      <c r="AT58" s="90">
        <f t="shared" si="5"/>
        <v>0.94120000000000004</v>
      </c>
      <c r="AU58" s="90">
        <f t="shared" si="5"/>
        <v>0.77229999999999999</v>
      </c>
      <c r="AV58" s="90">
        <f t="shared" si="5"/>
        <v>1.0119</v>
      </c>
      <c r="AW58" s="90">
        <f t="shared" si="5"/>
        <v>1.0931999999999999</v>
      </c>
      <c r="AX58" s="90">
        <f t="shared" si="5"/>
        <v>0</v>
      </c>
      <c r="AY58" s="90">
        <f t="shared" si="5"/>
        <v>0</v>
      </c>
      <c r="AZ58" s="90">
        <f t="shared" si="5"/>
        <v>0</v>
      </c>
      <c r="BA58" s="90">
        <f t="shared" si="5"/>
        <v>0</v>
      </c>
      <c r="BB58" s="90">
        <f t="shared" si="5"/>
        <v>0</v>
      </c>
      <c r="BC58" s="90">
        <f t="shared" si="5"/>
        <v>0</v>
      </c>
      <c r="BD58" s="88"/>
      <c r="BE58" s="1">
        <f>IFERROR(VLOOKUP(AR58,'Top WS'!$A$19:$D$28,4),0)</f>
        <v>720</v>
      </c>
      <c r="BF58" s="1">
        <f>IFERROR(VLOOKUP(AS58,'Top WS'!$A$19:$D$28,4),0)</f>
        <v>720</v>
      </c>
      <c r="BG58" s="1">
        <f>IFERROR(VLOOKUP(AT58,'Top WS'!$A$19:$D$28,4),0)</f>
        <v>760</v>
      </c>
      <c r="BH58" s="1">
        <f>IFERROR(VLOOKUP(AU58,'Top WS'!$A$19:$D$28,4),0)</f>
        <v>720</v>
      </c>
      <c r="BI58" s="1">
        <f>IFERROR(VLOOKUP(AV58,'Top WS'!$A$19:$D$28,4),0)</f>
        <v>824</v>
      </c>
      <c r="BJ58" s="1">
        <f>IFERROR(VLOOKUP(AW58,'Top WS'!$A$19:$D$28,4),0)</f>
        <v>880</v>
      </c>
      <c r="BK58" s="89">
        <f>IFERROR(VLOOKUP(AX58,'Top WS'!$A$19:$D$28,4),0)</f>
        <v>720</v>
      </c>
      <c r="BL58" s="89">
        <f>IFERROR(VLOOKUP(AY58,'Top WS'!$A$19:$D$28,4),0)</f>
        <v>720</v>
      </c>
      <c r="BM58" s="89">
        <f>IFERROR(VLOOKUP(AZ58,'Top WS'!$A$19:$D$28,4),0)</f>
        <v>720</v>
      </c>
      <c r="BN58" s="89">
        <f>IFERROR(VLOOKUP(BA58,'Top WS'!$A$19:$D$28,4),0)</f>
        <v>720</v>
      </c>
      <c r="BO58" s="89">
        <f>IFERROR(VLOOKUP(BB58,'Top WS'!$A$19:$D$28,4),0)</f>
        <v>720</v>
      </c>
      <c r="BP58" s="89">
        <f>IFERROR(VLOOKUP(BC58,'Top WS'!$A$19:$D$28,4),0)</f>
        <v>720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F243-643E-41D6-9014-313319D0AFDD}">
  <sheetPr>
    <tabColor rgb="FFFFFF00"/>
  </sheetPr>
  <dimension ref="A1:H63"/>
  <sheetViews>
    <sheetView workbookViewId="0">
      <pane xSplit="2" ySplit="1" topLeftCell="C63" activePane="bottomRight" state="frozen"/>
      <selection activeCell="BE11" sqref="BE11:BP11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2.8984375" customWidth="1"/>
  </cols>
  <sheetData>
    <row r="1" spans="1:8" x14ac:dyDescent="0.4">
      <c r="A1" t="s">
        <v>123</v>
      </c>
      <c r="B1" t="s">
        <v>124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1190011201</v>
      </c>
      <c r="B2" t="s">
        <v>79</v>
      </c>
      <c r="C2">
        <v>1116.2</v>
      </c>
      <c r="D2">
        <v>1363</v>
      </c>
      <c r="E2">
        <v>1646</v>
      </c>
      <c r="F2">
        <v>1212.7</v>
      </c>
      <c r="G2">
        <v>1613.1</v>
      </c>
      <c r="H2">
        <v>718.2</v>
      </c>
    </row>
    <row r="3" spans="1:8" x14ac:dyDescent="0.4">
      <c r="A3">
        <v>1190011203</v>
      </c>
      <c r="B3" t="s">
        <v>79</v>
      </c>
      <c r="D3">
        <v>2.7</v>
      </c>
    </row>
    <row r="4" spans="1:8" x14ac:dyDescent="0.4">
      <c r="A4">
        <v>1190011214</v>
      </c>
      <c r="B4" t="s">
        <v>79</v>
      </c>
      <c r="C4">
        <v>278.2</v>
      </c>
      <c r="D4">
        <v>449.9</v>
      </c>
      <c r="E4">
        <v>374</v>
      </c>
      <c r="F4">
        <v>123</v>
      </c>
      <c r="G4">
        <v>759.8</v>
      </c>
      <c r="H4">
        <v>270.10000000000002</v>
      </c>
    </row>
    <row r="5" spans="1:8" x14ac:dyDescent="0.4">
      <c r="A5">
        <v>1190011401</v>
      </c>
      <c r="B5" t="s">
        <v>80</v>
      </c>
      <c r="C5">
        <v>245.4</v>
      </c>
      <c r="D5">
        <v>714.8</v>
      </c>
      <c r="E5">
        <v>109</v>
      </c>
      <c r="F5">
        <v>282.2</v>
      </c>
      <c r="G5">
        <v>219</v>
      </c>
      <c r="H5">
        <v>210.8</v>
      </c>
    </row>
    <row r="6" spans="1:8" x14ac:dyDescent="0.4">
      <c r="A6">
        <v>1190011412</v>
      </c>
      <c r="B6" t="s">
        <v>80</v>
      </c>
      <c r="C6">
        <v>424.4</v>
      </c>
      <c r="D6">
        <v>438.4</v>
      </c>
      <c r="E6">
        <v>314.39999999999998</v>
      </c>
      <c r="F6">
        <v>478.20000000000005</v>
      </c>
      <c r="G6">
        <v>313</v>
      </c>
      <c r="H6">
        <v>559.4</v>
      </c>
    </row>
    <row r="7" spans="1:8" x14ac:dyDescent="0.4">
      <c r="A7">
        <v>1190011501</v>
      </c>
      <c r="B7" t="s">
        <v>81</v>
      </c>
      <c r="C7">
        <v>2568.2000000000003</v>
      </c>
      <c r="D7">
        <v>1641.5999999999997</v>
      </c>
      <c r="E7">
        <v>2115</v>
      </c>
      <c r="F7">
        <v>1951.7999999999997</v>
      </c>
      <c r="G7">
        <v>1885.7999999999997</v>
      </c>
      <c r="H7">
        <v>2177</v>
      </c>
    </row>
    <row r="8" spans="1:8" x14ac:dyDescent="0.4">
      <c r="A8">
        <v>1190011701</v>
      </c>
      <c r="B8" t="s">
        <v>82</v>
      </c>
      <c r="C8">
        <v>879.3</v>
      </c>
      <c r="D8">
        <v>1087.3999999999999</v>
      </c>
      <c r="E8">
        <v>811.5</v>
      </c>
      <c r="F8">
        <v>937.9</v>
      </c>
      <c r="G8">
        <v>1149.8</v>
      </c>
      <c r="H8">
        <v>798.2</v>
      </c>
    </row>
    <row r="9" spans="1:8" x14ac:dyDescent="0.4">
      <c r="A9">
        <v>1190011801</v>
      </c>
      <c r="B9" t="s">
        <v>83</v>
      </c>
      <c r="C9">
        <v>151.00000000000003</v>
      </c>
      <c r="D9">
        <v>287.2</v>
      </c>
      <c r="E9">
        <v>129.9</v>
      </c>
      <c r="F9">
        <v>386.4</v>
      </c>
      <c r="G9">
        <v>121.5</v>
      </c>
      <c r="H9">
        <v>800.09999999999991</v>
      </c>
    </row>
    <row r="10" spans="1:8" x14ac:dyDescent="0.4">
      <c r="A10">
        <v>1190017001</v>
      </c>
      <c r="B10" t="s">
        <v>84</v>
      </c>
      <c r="C10">
        <v>1953.2999999999997</v>
      </c>
      <c r="D10">
        <v>2885.1000000000004</v>
      </c>
      <c r="E10">
        <v>1150.8000000000002</v>
      </c>
      <c r="F10">
        <v>1282.9000000000001</v>
      </c>
      <c r="G10">
        <v>1408</v>
      </c>
      <c r="H10">
        <v>1512.6</v>
      </c>
    </row>
    <row r="11" spans="1:8" x14ac:dyDescent="0.4">
      <c r="A11">
        <v>1190017013</v>
      </c>
      <c r="B11" t="s">
        <v>84</v>
      </c>
      <c r="C11">
        <v>408.30000000000007</v>
      </c>
      <c r="D11">
        <v>394</v>
      </c>
      <c r="E11">
        <v>138.30000000000001</v>
      </c>
      <c r="F11">
        <v>353.7</v>
      </c>
      <c r="G11">
        <v>463.4</v>
      </c>
      <c r="H11">
        <v>363.29999999999995</v>
      </c>
    </row>
    <row r="12" spans="1:8" x14ac:dyDescent="0.4">
      <c r="A12">
        <v>1190017014</v>
      </c>
      <c r="B12" t="s">
        <v>84</v>
      </c>
      <c r="C12">
        <v>820</v>
      </c>
      <c r="D12">
        <v>761.4</v>
      </c>
      <c r="E12">
        <v>1357.5000000000002</v>
      </c>
      <c r="F12">
        <v>1617.3000000000002</v>
      </c>
      <c r="G12">
        <v>852.4</v>
      </c>
      <c r="H12">
        <v>1364</v>
      </c>
    </row>
    <row r="13" spans="1:8" x14ac:dyDescent="0.4">
      <c r="A13">
        <v>1190021901</v>
      </c>
      <c r="B13" t="s">
        <v>85</v>
      </c>
      <c r="C13">
        <v>782.6</v>
      </c>
      <c r="D13">
        <v>659.8</v>
      </c>
      <c r="E13">
        <v>552.9</v>
      </c>
      <c r="F13">
        <v>867.9</v>
      </c>
      <c r="G13">
        <v>680.60000000000014</v>
      </c>
      <c r="H13">
        <v>861</v>
      </c>
    </row>
    <row r="14" spans="1:8" x14ac:dyDescent="0.4">
      <c r="A14">
        <v>1190021902</v>
      </c>
      <c r="B14" t="s">
        <v>85</v>
      </c>
      <c r="C14">
        <v>310.89999999999998</v>
      </c>
      <c r="D14">
        <v>455.90000000000003</v>
      </c>
      <c r="E14">
        <v>345.3</v>
      </c>
      <c r="F14">
        <v>181.9</v>
      </c>
      <c r="G14">
        <v>260.5</v>
      </c>
      <c r="H14">
        <v>357.2</v>
      </c>
    </row>
    <row r="15" spans="1:8" x14ac:dyDescent="0.4">
      <c r="A15">
        <v>1190022001</v>
      </c>
      <c r="B15" t="s">
        <v>86</v>
      </c>
      <c r="C15">
        <v>4016.2000000000007</v>
      </c>
      <c r="D15">
        <v>1456.5</v>
      </c>
      <c r="E15">
        <v>2403.6000000000004</v>
      </c>
      <c r="F15">
        <v>1999.9</v>
      </c>
      <c r="G15">
        <v>2586.6999999999994</v>
      </c>
      <c r="H15">
        <v>2821.4</v>
      </c>
    </row>
    <row r="16" spans="1:8" x14ac:dyDescent="0.4">
      <c r="A16">
        <v>1190022101</v>
      </c>
      <c r="B16" t="s">
        <v>87</v>
      </c>
      <c r="C16">
        <v>1907.0999999999997</v>
      </c>
      <c r="D16">
        <v>2242.0000000000005</v>
      </c>
      <c r="E16">
        <v>1757.5999999999997</v>
      </c>
      <c r="F16">
        <v>1744.5000000000002</v>
      </c>
      <c r="G16">
        <v>1775.2</v>
      </c>
      <c r="H16">
        <v>1995.8000000000004</v>
      </c>
    </row>
    <row r="17" spans="1:8" x14ac:dyDescent="0.4">
      <c r="A17">
        <v>1190022201</v>
      </c>
      <c r="B17" t="s">
        <v>88</v>
      </c>
      <c r="C17">
        <v>1061.3999999999999</v>
      </c>
      <c r="D17">
        <v>998.19999999999982</v>
      </c>
      <c r="E17">
        <v>862.40000000000009</v>
      </c>
      <c r="F17">
        <v>1237.4999999999998</v>
      </c>
      <c r="G17">
        <v>1165.2999999999997</v>
      </c>
      <c r="H17">
        <v>1146.1999999999998</v>
      </c>
    </row>
    <row r="18" spans="1:8" x14ac:dyDescent="0.4">
      <c r="A18">
        <v>1190022301</v>
      </c>
      <c r="B18" t="s">
        <v>89</v>
      </c>
      <c r="C18">
        <v>680.40000000000009</v>
      </c>
      <c r="D18">
        <v>753.39999999999986</v>
      </c>
      <c r="E18">
        <v>549.4</v>
      </c>
      <c r="F18">
        <v>674.5</v>
      </c>
      <c r="G18">
        <v>1116.7</v>
      </c>
      <c r="H18">
        <v>390.2</v>
      </c>
    </row>
    <row r="19" spans="1:8" x14ac:dyDescent="0.4">
      <c r="A19">
        <v>1190022302</v>
      </c>
      <c r="B19" t="s">
        <v>89</v>
      </c>
      <c r="C19">
        <v>498.70000000000005</v>
      </c>
      <c r="D19">
        <v>519.19999999999993</v>
      </c>
      <c r="E19">
        <v>269.90000000000003</v>
      </c>
      <c r="F19">
        <v>570.80000000000007</v>
      </c>
      <c r="G19">
        <v>647.60000000000014</v>
      </c>
      <c r="H19">
        <v>693</v>
      </c>
    </row>
    <row r="20" spans="1:8" x14ac:dyDescent="0.4">
      <c r="A20">
        <v>1190022401</v>
      </c>
      <c r="B20" t="s">
        <v>90</v>
      </c>
      <c r="C20">
        <v>889.6</v>
      </c>
      <c r="D20">
        <v>1157.4000000000001</v>
      </c>
      <c r="E20">
        <v>689.3</v>
      </c>
      <c r="F20">
        <v>891.8</v>
      </c>
      <c r="G20">
        <v>510.5</v>
      </c>
      <c r="H20">
        <v>872.09999999999991</v>
      </c>
    </row>
    <row r="21" spans="1:8" x14ac:dyDescent="0.4">
      <c r="A21">
        <v>1190022402</v>
      </c>
      <c r="B21" t="s">
        <v>90</v>
      </c>
      <c r="C21">
        <v>182.6</v>
      </c>
      <c r="D21">
        <v>352.2</v>
      </c>
      <c r="E21">
        <v>321.7</v>
      </c>
      <c r="F21">
        <v>249.2</v>
      </c>
      <c r="G21">
        <v>192.6</v>
      </c>
      <c r="H21">
        <v>353.5</v>
      </c>
    </row>
    <row r="22" spans="1:8" x14ac:dyDescent="0.4">
      <c r="A22">
        <v>1190022510</v>
      </c>
      <c r="B22" t="s">
        <v>91</v>
      </c>
      <c r="C22">
        <v>1152.4000000000003</v>
      </c>
      <c r="D22">
        <v>758.90000000000009</v>
      </c>
      <c r="E22">
        <v>553.6</v>
      </c>
      <c r="F22">
        <v>711.59999999999991</v>
      </c>
      <c r="G22">
        <v>959.30000000000007</v>
      </c>
      <c r="H22">
        <v>598.40000000000009</v>
      </c>
    </row>
    <row r="23" spans="1:8" x14ac:dyDescent="0.4">
      <c r="A23">
        <v>1190022511</v>
      </c>
      <c r="B23" t="s">
        <v>91</v>
      </c>
      <c r="D23">
        <v>0.6</v>
      </c>
    </row>
    <row r="24" spans="1:8" x14ac:dyDescent="0.4">
      <c r="A24">
        <v>1190027101</v>
      </c>
      <c r="B24" t="s">
        <v>92</v>
      </c>
      <c r="C24">
        <v>1405</v>
      </c>
      <c r="D24">
        <v>1127.3</v>
      </c>
      <c r="E24">
        <v>1522.5</v>
      </c>
      <c r="F24">
        <v>1777.0999999999997</v>
      </c>
      <c r="G24">
        <v>1533.2999999999997</v>
      </c>
      <c r="H24">
        <v>1034.7</v>
      </c>
    </row>
    <row r="25" spans="1:8" x14ac:dyDescent="0.4">
      <c r="A25">
        <v>1190032602</v>
      </c>
      <c r="B25" t="s">
        <v>93</v>
      </c>
      <c r="C25">
        <v>2618.8000000000002</v>
      </c>
      <c r="D25">
        <v>2312.1</v>
      </c>
      <c r="E25">
        <v>2204.1</v>
      </c>
      <c r="F25">
        <v>2363.4999999999991</v>
      </c>
      <c r="G25">
        <v>2866.1</v>
      </c>
      <c r="H25">
        <v>2815.0999999999995</v>
      </c>
    </row>
    <row r="26" spans="1:8" x14ac:dyDescent="0.4">
      <c r="A26">
        <v>1190032701</v>
      </c>
      <c r="B26" t="s">
        <v>94</v>
      </c>
      <c r="C26">
        <v>913.50000000000011</v>
      </c>
      <c r="D26">
        <v>1050.0999999999999</v>
      </c>
      <c r="E26">
        <v>800.9</v>
      </c>
      <c r="F26">
        <v>843.30000000000018</v>
      </c>
      <c r="G26">
        <v>819.10000000000014</v>
      </c>
      <c r="H26">
        <v>768.6</v>
      </c>
    </row>
    <row r="27" spans="1:8" x14ac:dyDescent="0.4">
      <c r="A27">
        <v>1190032801</v>
      </c>
      <c r="B27" t="s">
        <v>95</v>
      </c>
      <c r="C27">
        <v>1373.4</v>
      </c>
      <c r="D27">
        <v>1183.8</v>
      </c>
      <c r="E27">
        <v>1141.5999999999999</v>
      </c>
      <c r="F27">
        <v>1203.6999999999996</v>
      </c>
      <c r="G27">
        <v>806.4000000000002</v>
      </c>
      <c r="H27">
        <v>919.00000000000011</v>
      </c>
    </row>
    <row r="28" spans="1:8" x14ac:dyDescent="0.4">
      <c r="A28">
        <v>1190032901</v>
      </c>
      <c r="B28" t="s">
        <v>96</v>
      </c>
      <c r="C28">
        <v>304.50000000000006</v>
      </c>
      <c r="D28">
        <v>394.59999999999997</v>
      </c>
      <c r="E28">
        <v>272</v>
      </c>
      <c r="F28">
        <v>331.40000000000003</v>
      </c>
      <c r="G28">
        <v>257.8</v>
      </c>
      <c r="H28">
        <v>368.59999999999997</v>
      </c>
    </row>
    <row r="29" spans="1:8" x14ac:dyDescent="0.4">
      <c r="A29">
        <v>1190032902</v>
      </c>
      <c r="B29" t="s">
        <v>96</v>
      </c>
      <c r="C29">
        <v>287.70000000000005</v>
      </c>
      <c r="D29">
        <v>527.79999999999995</v>
      </c>
      <c r="E29">
        <v>415.4</v>
      </c>
      <c r="F29">
        <v>478</v>
      </c>
      <c r="G29">
        <v>447.9</v>
      </c>
      <c r="H29">
        <v>560</v>
      </c>
    </row>
    <row r="30" spans="1:8" x14ac:dyDescent="0.4">
      <c r="A30">
        <v>1190033001</v>
      </c>
      <c r="B30" t="s">
        <v>97</v>
      </c>
      <c r="C30">
        <v>665.3</v>
      </c>
      <c r="D30">
        <v>1010.6999999999999</v>
      </c>
      <c r="E30">
        <v>998.80000000000007</v>
      </c>
      <c r="F30">
        <v>784.2</v>
      </c>
      <c r="G30">
        <v>624.79999999999995</v>
      </c>
      <c r="H30">
        <v>884.80000000000007</v>
      </c>
    </row>
    <row r="31" spans="1:8" x14ac:dyDescent="0.4">
      <c r="A31">
        <v>1190033002</v>
      </c>
      <c r="B31" t="s">
        <v>97</v>
      </c>
      <c r="C31">
        <v>1035.1999999999998</v>
      </c>
      <c r="D31">
        <v>833.89999999999986</v>
      </c>
      <c r="E31">
        <v>992.6</v>
      </c>
      <c r="F31">
        <v>1140.5999999999999</v>
      </c>
      <c r="G31">
        <v>1107.0000000000002</v>
      </c>
      <c r="H31">
        <v>1031.8</v>
      </c>
    </row>
    <row r="32" spans="1:8" x14ac:dyDescent="0.4">
      <c r="A32">
        <v>1190033101</v>
      </c>
      <c r="B32" t="s">
        <v>98</v>
      </c>
      <c r="C32">
        <v>193.6</v>
      </c>
      <c r="D32">
        <v>227.00000000000003</v>
      </c>
      <c r="E32">
        <v>214.8</v>
      </c>
      <c r="F32">
        <v>226</v>
      </c>
      <c r="G32">
        <v>269.20000000000005</v>
      </c>
      <c r="H32">
        <v>307.60000000000002</v>
      </c>
    </row>
    <row r="33" spans="1:8" x14ac:dyDescent="0.4">
      <c r="A33">
        <v>1190033102</v>
      </c>
      <c r="B33" t="s">
        <v>98</v>
      </c>
      <c r="C33">
        <v>354</v>
      </c>
      <c r="D33">
        <v>212.2</v>
      </c>
      <c r="E33">
        <v>294.39999999999998</v>
      </c>
      <c r="F33">
        <v>61</v>
      </c>
      <c r="G33">
        <v>186.8</v>
      </c>
      <c r="H33">
        <v>152</v>
      </c>
    </row>
    <row r="34" spans="1:8" x14ac:dyDescent="0.4">
      <c r="A34">
        <v>1190033201</v>
      </c>
      <c r="B34" t="s">
        <v>99</v>
      </c>
      <c r="C34">
        <v>1087.2000000000003</v>
      </c>
      <c r="D34">
        <v>744.99999999999977</v>
      </c>
      <c r="E34">
        <v>489.2</v>
      </c>
      <c r="F34">
        <v>697.40000000000009</v>
      </c>
      <c r="G34">
        <v>867.80000000000007</v>
      </c>
      <c r="H34">
        <v>414.59999999999997</v>
      </c>
    </row>
    <row r="35" spans="1:8" x14ac:dyDescent="0.4">
      <c r="A35">
        <v>1190033202</v>
      </c>
      <c r="B35" t="s">
        <v>99</v>
      </c>
      <c r="C35">
        <v>274</v>
      </c>
      <c r="D35">
        <v>230.8</v>
      </c>
      <c r="E35">
        <v>319.39999999999998</v>
      </c>
      <c r="F35">
        <v>315.39999999999998</v>
      </c>
      <c r="G35">
        <v>212.6</v>
      </c>
      <c r="H35">
        <v>280.89999999999998</v>
      </c>
    </row>
    <row r="36" spans="1:8" x14ac:dyDescent="0.4">
      <c r="A36">
        <v>1190033301</v>
      </c>
      <c r="B36" t="s">
        <v>100</v>
      </c>
      <c r="C36">
        <v>1553</v>
      </c>
      <c r="D36">
        <v>474.9</v>
      </c>
      <c r="E36">
        <v>2575.1</v>
      </c>
      <c r="F36">
        <v>355.8</v>
      </c>
      <c r="G36">
        <v>418.5</v>
      </c>
      <c r="H36">
        <v>635</v>
      </c>
    </row>
    <row r="37" spans="1:8" x14ac:dyDescent="0.4">
      <c r="A37">
        <v>1190033302</v>
      </c>
      <c r="B37" t="s">
        <v>100</v>
      </c>
      <c r="C37">
        <v>764.7</v>
      </c>
      <c r="D37">
        <v>327.7</v>
      </c>
      <c r="E37">
        <v>362.59999999999997</v>
      </c>
      <c r="F37">
        <v>676.00000000000011</v>
      </c>
      <c r="G37">
        <v>419.2</v>
      </c>
      <c r="H37">
        <v>487.3</v>
      </c>
    </row>
    <row r="38" spans="1:8" x14ac:dyDescent="0.4">
      <c r="A38">
        <v>1190037301</v>
      </c>
      <c r="B38" t="s">
        <v>101</v>
      </c>
      <c r="C38">
        <v>1125.2</v>
      </c>
      <c r="D38">
        <v>1548.8</v>
      </c>
      <c r="E38">
        <v>1081.1999999999998</v>
      </c>
      <c r="F38">
        <v>294.39999999999998</v>
      </c>
      <c r="G38">
        <v>692.80000000000007</v>
      </c>
      <c r="H38">
        <v>1634.1</v>
      </c>
    </row>
    <row r="39" spans="1:8" x14ac:dyDescent="0.4">
      <c r="A39">
        <v>1190037302</v>
      </c>
      <c r="B39" t="s">
        <v>101</v>
      </c>
      <c r="F39">
        <v>437.1</v>
      </c>
      <c r="G39">
        <v>335.4</v>
      </c>
      <c r="H39">
        <v>376.4</v>
      </c>
    </row>
    <row r="40" spans="1:8" x14ac:dyDescent="0.4">
      <c r="A40">
        <v>1190037401</v>
      </c>
      <c r="B40" t="s">
        <v>102</v>
      </c>
      <c r="C40">
        <v>210</v>
      </c>
      <c r="D40">
        <v>293.60000000000002</v>
      </c>
      <c r="E40">
        <v>244</v>
      </c>
      <c r="F40">
        <v>229</v>
      </c>
      <c r="G40">
        <v>373</v>
      </c>
      <c r="H40">
        <v>273.39999999999998</v>
      </c>
    </row>
    <row r="41" spans="1:8" x14ac:dyDescent="0.4">
      <c r="A41">
        <v>1190043401</v>
      </c>
      <c r="B41" t="s">
        <v>103</v>
      </c>
      <c r="C41">
        <v>953.39999999999986</v>
      </c>
      <c r="D41">
        <v>608.69999999999993</v>
      </c>
      <c r="E41">
        <v>674.6</v>
      </c>
      <c r="F41">
        <v>658.00000000000011</v>
      </c>
      <c r="G41">
        <v>775.09999999999991</v>
      </c>
      <c r="H41">
        <v>696.4</v>
      </c>
    </row>
    <row r="42" spans="1:8" x14ac:dyDescent="0.4">
      <c r="A42">
        <v>1190043402</v>
      </c>
      <c r="B42" t="s">
        <v>103</v>
      </c>
      <c r="C42">
        <v>2390</v>
      </c>
      <c r="D42">
        <v>1625.4</v>
      </c>
      <c r="E42">
        <v>827.40000000000009</v>
      </c>
      <c r="F42">
        <v>1303.6999999999998</v>
      </c>
      <c r="G42">
        <v>1187.9000000000001</v>
      </c>
      <c r="H42">
        <v>2046.9999999999998</v>
      </c>
    </row>
    <row r="43" spans="1:8" x14ac:dyDescent="0.4">
      <c r="A43">
        <v>1190043501</v>
      </c>
      <c r="B43" t="s">
        <v>104</v>
      </c>
      <c r="C43">
        <v>1125.6999999999998</v>
      </c>
      <c r="D43">
        <v>867.59999999999991</v>
      </c>
      <c r="E43">
        <v>677.5</v>
      </c>
      <c r="F43">
        <v>1098.9000000000001</v>
      </c>
      <c r="G43">
        <v>1020.9</v>
      </c>
      <c r="H43">
        <v>1120.2</v>
      </c>
    </row>
    <row r="44" spans="1:8" x14ac:dyDescent="0.4">
      <c r="A44">
        <v>1190043502</v>
      </c>
      <c r="B44" t="s">
        <v>104</v>
      </c>
      <c r="C44">
        <v>445.2</v>
      </c>
      <c r="D44">
        <v>446.40000000000003</v>
      </c>
      <c r="E44">
        <v>280.90000000000003</v>
      </c>
      <c r="F44">
        <v>375.40000000000009</v>
      </c>
      <c r="G44">
        <v>569.30000000000007</v>
      </c>
      <c r="H44">
        <v>516.6</v>
      </c>
    </row>
    <row r="45" spans="1:8" x14ac:dyDescent="0.4">
      <c r="A45">
        <v>1190043601</v>
      </c>
      <c r="B45" t="s">
        <v>105</v>
      </c>
      <c r="C45">
        <v>1030.6000000000001</v>
      </c>
      <c r="D45">
        <v>1087.4000000000001</v>
      </c>
      <c r="E45">
        <v>892.50000000000011</v>
      </c>
      <c r="F45">
        <v>1104.2</v>
      </c>
      <c r="G45">
        <v>878.7</v>
      </c>
      <c r="H45">
        <v>986.1</v>
      </c>
    </row>
    <row r="46" spans="1:8" x14ac:dyDescent="0.4">
      <c r="A46">
        <v>1190043602</v>
      </c>
      <c r="B46" t="s">
        <v>105</v>
      </c>
      <c r="C46">
        <v>334.7</v>
      </c>
      <c r="D46">
        <v>465.9</v>
      </c>
      <c r="E46">
        <v>655.29999999999995</v>
      </c>
      <c r="F46">
        <v>605.59999999999991</v>
      </c>
      <c r="G46">
        <v>364.90000000000003</v>
      </c>
      <c r="H46">
        <v>434.8</v>
      </c>
    </row>
    <row r="47" spans="1:8" x14ac:dyDescent="0.4">
      <c r="A47">
        <v>1190043701</v>
      </c>
      <c r="B47" t="s">
        <v>106</v>
      </c>
      <c r="C47">
        <v>767.69999999999993</v>
      </c>
      <c r="D47">
        <v>715.4</v>
      </c>
      <c r="E47">
        <v>1402.5</v>
      </c>
      <c r="F47">
        <v>545.60000000000014</v>
      </c>
      <c r="G47">
        <v>1006.1999999999999</v>
      </c>
      <c r="H47">
        <v>1679.5</v>
      </c>
    </row>
    <row r="48" spans="1:8" x14ac:dyDescent="0.4">
      <c r="A48">
        <v>1190043702</v>
      </c>
      <c r="B48" t="s">
        <v>106</v>
      </c>
      <c r="C48">
        <v>818.7</v>
      </c>
      <c r="D48">
        <v>726.50000000000011</v>
      </c>
      <c r="E48">
        <v>596.1</v>
      </c>
      <c r="F48">
        <v>607.80000000000007</v>
      </c>
      <c r="G48">
        <v>653.1</v>
      </c>
      <c r="H48">
        <v>445.9</v>
      </c>
    </row>
    <row r="49" spans="1:8" x14ac:dyDescent="0.4">
      <c r="A49">
        <v>1190043801</v>
      </c>
      <c r="B49" t="s">
        <v>107</v>
      </c>
      <c r="C49">
        <v>1097.5999999999999</v>
      </c>
      <c r="D49">
        <v>906.5</v>
      </c>
      <c r="E49">
        <v>329.7</v>
      </c>
      <c r="F49">
        <v>638.4</v>
      </c>
      <c r="G49">
        <v>661.5</v>
      </c>
      <c r="H49">
        <v>492.2</v>
      </c>
    </row>
    <row r="50" spans="1:8" x14ac:dyDescent="0.4">
      <c r="A50">
        <v>1190043802</v>
      </c>
      <c r="B50" t="s">
        <v>107</v>
      </c>
      <c r="C50">
        <v>416.1</v>
      </c>
      <c r="D50">
        <v>319.60000000000002</v>
      </c>
      <c r="E50">
        <v>357.8</v>
      </c>
      <c r="F50">
        <v>245</v>
      </c>
      <c r="G50">
        <v>279.2</v>
      </c>
      <c r="H50">
        <v>324.8</v>
      </c>
    </row>
    <row r="51" spans="1:8" x14ac:dyDescent="0.4">
      <c r="A51">
        <v>1190043901</v>
      </c>
      <c r="B51" t="s">
        <v>108</v>
      </c>
      <c r="C51">
        <v>342.3</v>
      </c>
      <c r="D51">
        <v>340.29999999999995</v>
      </c>
      <c r="E51">
        <v>428</v>
      </c>
      <c r="F51">
        <v>321.79999999999995</v>
      </c>
      <c r="G51">
        <v>530.29999999999995</v>
      </c>
      <c r="H51">
        <v>489.59999999999997</v>
      </c>
    </row>
    <row r="52" spans="1:8" x14ac:dyDescent="0.4">
      <c r="A52">
        <v>1190043902</v>
      </c>
      <c r="B52" t="s">
        <v>108</v>
      </c>
      <c r="C52">
        <v>961.5</v>
      </c>
      <c r="D52">
        <v>359.5</v>
      </c>
      <c r="E52">
        <v>653.70000000000005</v>
      </c>
      <c r="F52">
        <v>664.29999999999984</v>
      </c>
      <c r="G52">
        <v>344.99999999999994</v>
      </c>
      <c r="H52">
        <v>825</v>
      </c>
    </row>
    <row r="53" spans="1:8" x14ac:dyDescent="0.4">
      <c r="A53">
        <v>1190044001</v>
      </c>
      <c r="B53" t="s">
        <v>109</v>
      </c>
      <c r="C53">
        <v>770.19999999999993</v>
      </c>
      <c r="D53">
        <v>467.5</v>
      </c>
      <c r="E53">
        <v>775.29999999999984</v>
      </c>
      <c r="F53">
        <v>453.50000000000011</v>
      </c>
      <c r="G53">
        <v>694.2</v>
      </c>
      <c r="H53">
        <v>520.30000000000007</v>
      </c>
    </row>
    <row r="54" spans="1:8" x14ac:dyDescent="0.4">
      <c r="A54">
        <v>1190044002</v>
      </c>
      <c r="B54" t="s">
        <v>109</v>
      </c>
      <c r="C54">
        <v>60.8</v>
      </c>
      <c r="D54">
        <v>164.20000000000002</v>
      </c>
      <c r="E54">
        <v>179.3</v>
      </c>
      <c r="F54">
        <v>135.4</v>
      </c>
      <c r="G54">
        <v>108.8</v>
      </c>
      <c r="H54">
        <v>310.5</v>
      </c>
    </row>
    <row r="55" spans="1:8" x14ac:dyDescent="0.4">
      <c r="A55">
        <v>1190044013</v>
      </c>
      <c r="B55" t="s">
        <v>109</v>
      </c>
      <c r="H55">
        <v>72.7</v>
      </c>
    </row>
    <row r="56" spans="1:8" x14ac:dyDescent="0.4">
      <c r="A56">
        <v>1190044101</v>
      </c>
      <c r="B56" t="s">
        <v>110</v>
      </c>
      <c r="C56">
        <v>1513.2999999999997</v>
      </c>
      <c r="D56">
        <v>1017.8999999999999</v>
      </c>
      <c r="E56">
        <v>628.4</v>
      </c>
      <c r="F56">
        <v>1314.1999999999998</v>
      </c>
      <c r="G56">
        <v>1027.6999999999998</v>
      </c>
      <c r="H56">
        <v>1178.8</v>
      </c>
    </row>
    <row r="57" spans="1:8" x14ac:dyDescent="0.4">
      <c r="A57">
        <v>1190054201</v>
      </c>
      <c r="B57" t="s">
        <v>111</v>
      </c>
      <c r="C57">
        <v>1968.6000000000004</v>
      </c>
      <c r="D57">
        <v>1610.1999999999998</v>
      </c>
      <c r="E57">
        <v>1963.3000000000002</v>
      </c>
      <c r="F57">
        <v>1128.2</v>
      </c>
      <c r="G57">
        <v>1697.8000000000004</v>
      </c>
      <c r="H57">
        <v>1868.0000000000002</v>
      </c>
    </row>
    <row r="58" spans="1:8" x14ac:dyDescent="0.4">
      <c r="A58">
        <v>1190054202</v>
      </c>
      <c r="B58" t="s">
        <v>111</v>
      </c>
      <c r="C58">
        <v>934.7</v>
      </c>
      <c r="D58">
        <v>1157.6999999999998</v>
      </c>
      <c r="E58">
        <v>526.90000000000009</v>
      </c>
      <c r="F58">
        <v>953</v>
      </c>
      <c r="G58">
        <v>1047.3999999999999</v>
      </c>
      <c r="H58">
        <v>652.20000000000005</v>
      </c>
    </row>
    <row r="59" spans="1:8" x14ac:dyDescent="0.4">
      <c r="A59">
        <v>1190054301</v>
      </c>
      <c r="B59" t="s">
        <v>112</v>
      </c>
      <c r="C59">
        <v>1119.1999999999998</v>
      </c>
      <c r="D59">
        <v>744.3</v>
      </c>
      <c r="E59">
        <v>811.19999999999993</v>
      </c>
      <c r="F59">
        <v>898.09999999999991</v>
      </c>
      <c r="G59">
        <v>768.69999999999993</v>
      </c>
      <c r="H59">
        <v>981.8</v>
      </c>
    </row>
    <row r="60" spans="1:8" x14ac:dyDescent="0.4">
      <c r="A60">
        <v>1190054304</v>
      </c>
      <c r="B60" t="s">
        <v>112</v>
      </c>
      <c r="E60">
        <v>0.6</v>
      </c>
    </row>
    <row r="61" spans="1:8" x14ac:dyDescent="0.4">
      <c r="A61">
        <v>1190054401</v>
      </c>
      <c r="B61" t="s">
        <v>113</v>
      </c>
      <c r="C61">
        <v>1618.4</v>
      </c>
      <c r="D61">
        <v>4265.8</v>
      </c>
      <c r="E61">
        <v>4082.2000000000003</v>
      </c>
      <c r="F61">
        <v>1511.9999999999998</v>
      </c>
      <c r="G61">
        <v>5188.5999999999995</v>
      </c>
      <c r="H61">
        <v>2692.2</v>
      </c>
    </row>
    <row r="62" spans="1:8" x14ac:dyDescent="0.4">
      <c r="A62">
        <v>1190054501</v>
      </c>
      <c r="B62" t="s">
        <v>114</v>
      </c>
      <c r="C62">
        <v>345.8</v>
      </c>
      <c r="D62">
        <v>426</v>
      </c>
      <c r="E62">
        <v>333.8</v>
      </c>
      <c r="F62">
        <v>1316.8</v>
      </c>
      <c r="G62">
        <v>223.4</v>
      </c>
      <c r="H62">
        <v>239.8</v>
      </c>
    </row>
    <row r="63" spans="1:8" x14ac:dyDescent="0.4">
      <c r="A63">
        <v>1190054601</v>
      </c>
      <c r="B63" t="s">
        <v>115</v>
      </c>
      <c r="C63">
        <v>3332.4</v>
      </c>
      <c r="D63">
        <v>2027.6</v>
      </c>
      <c r="E63">
        <v>2649</v>
      </c>
      <c r="F63">
        <v>2874.6</v>
      </c>
      <c r="G63">
        <v>2627.2999999999997</v>
      </c>
      <c r="H63">
        <v>3077.1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2DF2-F934-464A-8F51-174F80378CD5}">
  <sheetPr>
    <tabColor rgb="FF00B0F0"/>
  </sheetPr>
  <dimension ref="A1:BP58"/>
  <sheetViews>
    <sheetView zoomScale="50" zoomScaleNormal="50" workbookViewId="0">
      <pane xSplit="4" ySplit="1" topLeftCell="AE20" activePane="bottomRight" state="frozen"/>
      <selection activeCell="BE11" sqref="BE11:BP11"/>
      <selection pane="topRight" activeCell="BE11" sqref="BE11:BP11"/>
      <selection pane="bottomLeft" activeCell="BE11" sqref="BE11:BP11"/>
      <selection pane="bottomRight" activeCell="BE11" sqref="BE11:BP11"/>
    </sheetView>
  </sheetViews>
  <sheetFormatPr defaultRowHeight="16.8" x14ac:dyDescent="0.4"/>
  <cols>
    <col min="1" max="1" width="18" customWidth="1"/>
    <col min="3" max="3" width="27.5" customWidth="1"/>
    <col min="4" max="4" width="15.8984375" customWidth="1"/>
    <col min="31" max="31" width="9.59765625" bestFit="1" customWidth="1"/>
    <col min="32" max="32" width="10" customWidth="1"/>
    <col min="34" max="34" width="11" customWidth="1"/>
  </cols>
  <sheetData>
    <row r="1" spans="1:68" x14ac:dyDescent="0.4">
      <c r="A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E1" t="s">
        <v>2</v>
      </c>
      <c r="AF1" t="s">
        <v>3</v>
      </c>
      <c r="AG1" t="s">
        <v>4</v>
      </c>
      <c r="AH1" t="s">
        <v>5</v>
      </c>
      <c r="AI1" t="s">
        <v>6</v>
      </c>
      <c r="AJ1" t="s">
        <v>7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R1" t="s">
        <v>2</v>
      </c>
      <c r="AS1" t="s">
        <v>3</v>
      </c>
      <c r="AT1" t="s">
        <v>4</v>
      </c>
      <c r="AU1" t="s">
        <v>5</v>
      </c>
      <c r="AV1" t="s">
        <v>6</v>
      </c>
      <c r="AW1" t="s">
        <v>7</v>
      </c>
      <c r="AX1" t="s">
        <v>116</v>
      </c>
      <c r="AY1" t="s">
        <v>117</v>
      </c>
      <c r="AZ1" t="s">
        <v>118</v>
      </c>
      <c r="BA1" t="s">
        <v>119</v>
      </c>
      <c r="BB1" t="s">
        <v>120</v>
      </c>
      <c r="BC1" t="s">
        <v>121</v>
      </c>
      <c r="BE1" t="s">
        <v>2</v>
      </c>
      <c r="BF1" t="s">
        <v>3</v>
      </c>
      <c r="BG1" t="s">
        <v>4</v>
      </c>
      <c r="BH1" t="s">
        <v>5</v>
      </c>
      <c r="BI1" t="s">
        <v>6</v>
      </c>
      <c r="BJ1" t="s">
        <v>7</v>
      </c>
      <c r="BK1" t="s">
        <v>116</v>
      </c>
      <c r="BL1" t="s">
        <v>117</v>
      </c>
      <c r="BM1" t="s">
        <v>118</v>
      </c>
      <c r="BN1" t="s">
        <v>119</v>
      </c>
      <c r="BO1" t="s">
        <v>120</v>
      </c>
      <c r="BP1" t="s">
        <v>121</v>
      </c>
    </row>
    <row r="2" spans="1:68" x14ac:dyDescent="0.4">
      <c r="A2">
        <v>1190011201</v>
      </c>
      <c r="B2">
        <f>VLOOKUP(A2,'Aji Plus'!$A$2:$D$58,2,0)</f>
        <v>76001</v>
      </c>
      <c r="C2" t="str">
        <f>VLOOKUP(A2,'Aji Plus'!$A$2:$D$58,3,0)</f>
        <v>นายวิโรจน์ แซ่ฉั่ว</v>
      </c>
      <c r="D2" t="str">
        <f>VLOOKUP(A2,'Aji Plus'!$A$2:$D$58,4,0)</f>
        <v>Thonburi</v>
      </c>
      <c r="E2" s="1">
        <v>167.07665</v>
      </c>
      <c r="F2" s="1">
        <v>167.07665</v>
      </c>
      <c r="G2" s="1">
        <v>167.07665</v>
      </c>
      <c r="H2" s="1">
        <v>167.07665</v>
      </c>
      <c r="I2" s="1">
        <v>167.07665</v>
      </c>
      <c r="J2" s="1">
        <v>167.07665</v>
      </c>
      <c r="K2" s="1">
        <v>167.07665</v>
      </c>
      <c r="L2" s="1">
        <v>167.07665</v>
      </c>
      <c r="M2" s="1">
        <v>167.07665</v>
      </c>
      <c r="N2" s="1">
        <v>167.07665</v>
      </c>
      <c r="O2" s="1">
        <v>167.07665</v>
      </c>
      <c r="P2" s="1">
        <v>167.07665</v>
      </c>
      <c r="R2" s="1">
        <f>VLOOKUP(A2,Actual_RDNS!$A$2:$H$62,3,0)</f>
        <v>35.64</v>
      </c>
      <c r="S2" s="1">
        <f>VLOOKUP(A2,Actual_RDNS!$A$2:$H$62,4,0)</f>
        <v>757.61999999999989</v>
      </c>
      <c r="T2" s="1">
        <f>VLOOKUP(A2,Actual_RDNS!$A$2:$H$62,5,0)</f>
        <v>148.5</v>
      </c>
      <c r="U2" s="1">
        <f>VLOOKUP(A2,Actual_RDNS!$A$2:$H$62,6,0)</f>
        <v>0</v>
      </c>
      <c r="V2" s="1">
        <f>VLOOKUP(A2,Actual_RDNS!$A$2:$H$62,7,0)</f>
        <v>122.39999999999999</v>
      </c>
      <c r="W2" s="1">
        <f>VLOOKUP(A2,Actual_RDNS!$A$2:$H$62,8,0)</f>
        <v>70.460000000000008</v>
      </c>
      <c r="X2" s="102"/>
      <c r="Y2" s="102"/>
      <c r="Z2" s="102"/>
      <c r="AA2" s="102"/>
      <c r="AB2" s="102"/>
      <c r="AC2" s="102"/>
      <c r="AE2" s="100">
        <f>R2/E2</f>
        <v>0.2133152657777134</v>
      </c>
      <c r="AF2" s="88">
        <f t="shared" ref="AF2:AP17" si="0">S2/F2</f>
        <v>4.534565422517149</v>
      </c>
      <c r="AG2" s="88">
        <f t="shared" si="0"/>
        <v>0.88881360740713922</v>
      </c>
      <c r="AH2" s="88">
        <f t="shared" si="0"/>
        <v>0</v>
      </c>
      <c r="AI2" s="88">
        <f t="shared" si="0"/>
        <v>0.73259788246891466</v>
      </c>
      <c r="AJ2" s="88">
        <f t="shared" si="0"/>
        <v>0.42172260456503052</v>
      </c>
      <c r="AK2" s="90">
        <f t="shared" si="0"/>
        <v>0</v>
      </c>
      <c r="AL2" s="90">
        <f t="shared" si="0"/>
        <v>0</v>
      </c>
      <c r="AM2" s="90">
        <f t="shared" si="0"/>
        <v>0</v>
      </c>
      <c r="AN2" s="90">
        <f t="shared" si="0"/>
        <v>0</v>
      </c>
      <c r="AO2" s="90">
        <f t="shared" si="0"/>
        <v>0</v>
      </c>
      <c r="AP2" s="90">
        <f t="shared" si="0"/>
        <v>0</v>
      </c>
      <c r="AQ2" s="88"/>
      <c r="AR2" s="90">
        <f>ROUND(AE2,4)</f>
        <v>0.21329999999999999</v>
      </c>
      <c r="AS2" s="90">
        <f t="shared" ref="AS2:BC17" si="1">ROUND(AF2,4)</f>
        <v>4.5346000000000002</v>
      </c>
      <c r="AT2" s="90">
        <f t="shared" si="1"/>
        <v>0.88880000000000003</v>
      </c>
      <c r="AU2" s="90">
        <f t="shared" si="1"/>
        <v>0</v>
      </c>
      <c r="AV2" s="90">
        <f t="shared" si="1"/>
        <v>0.73260000000000003</v>
      </c>
      <c r="AW2" s="90">
        <f t="shared" si="1"/>
        <v>0.42170000000000002</v>
      </c>
      <c r="AX2" s="90">
        <f t="shared" si="1"/>
        <v>0</v>
      </c>
      <c r="AY2" s="90">
        <f t="shared" si="1"/>
        <v>0</v>
      </c>
      <c r="AZ2" s="90">
        <f t="shared" si="1"/>
        <v>0</v>
      </c>
      <c r="BA2" s="90">
        <f t="shared" si="1"/>
        <v>0</v>
      </c>
      <c r="BB2" s="90">
        <f t="shared" si="1"/>
        <v>0</v>
      </c>
      <c r="BC2" s="90">
        <f t="shared" si="1"/>
        <v>0</v>
      </c>
      <c r="BD2" s="88"/>
      <c r="BE2" s="1">
        <f>IFERROR(VLOOKUP(AR2,'Top WS'!$A$19:$E$28,5),0)</f>
        <v>180</v>
      </c>
      <c r="BF2" s="1">
        <f>IFERROR(VLOOKUP(AS2,'Top WS'!$A$19:$E$28,5),0)</f>
        <v>260</v>
      </c>
      <c r="BG2" s="1">
        <f>IFERROR(VLOOKUP(AT2,'Top WS'!$A$19:$E$28,5),0)</f>
        <v>180</v>
      </c>
      <c r="BH2" s="1">
        <f>IFERROR(VLOOKUP(AU2,'Top WS'!$A$19:$E$28,5),0)</f>
        <v>180</v>
      </c>
      <c r="BI2" s="1">
        <f>IFERROR(VLOOKUP(AV2,'Top WS'!$A$19:$E$28,5),0)</f>
        <v>180</v>
      </c>
      <c r="BJ2" s="1">
        <f>IFERROR(VLOOKUP(AW2,'Top WS'!$A$19:$E$28,5),0)</f>
        <v>180</v>
      </c>
      <c r="BK2" s="89">
        <f>IFERROR(VLOOKUP(AX2,'Top WS'!$A$19:$E$28,5),0)</f>
        <v>180</v>
      </c>
      <c r="BL2" s="89">
        <f>IFERROR(VLOOKUP(AY2,'Top WS'!$A$19:$E$28,5),0)</f>
        <v>180</v>
      </c>
      <c r="BM2" s="89">
        <f>IFERROR(VLOOKUP(AZ2,'Top WS'!$A$19:$E$28,5),0)</f>
        <v>180</v>
      </c>
      <c r="BN2" s="89">
        <f>IFERROR(VLOOKUP(BA2,'Top WS'!$A$19:$E$28,5),0)</f>
        <v>180</v>
      </c>
      <c r="BO2" s="89">
        <f>IFERROR(VLOOKUP(BB2,'Top WS'!$A$19:$E$28,5),0)</f>
        <v>180</v>
      </c>
      <c r="BP2" s="89">
        <f>IFERROR(VLOOKUP(BC2,'Top WS'!$A$19:$E$28,5),0)</f>
        <v>180</v>
      </c>
    </row>
    <row r="3" spans="1:68" x14ac:dyDescent="0.4">
      <c r="A3">
        <v>1190011214</v>
      </c>
      <c r="B3">
        <f>VLOOKUP(A3,'Aji Plus'!$A$2:$D$58,2,0)</f>
        <v>71328</v>
      </c>
      <c r="C3" t="str">
        <f>VLOOKUP(A3,'Aji Plus'!$A$2:$D$58,3,0)</f>
        <v>นายประเสริฐ สุขีธรรม</v>
      </c>
      <c r="D3" t="str">
        <f>VLOOKUP(A3,'Aji Plus'!$A$2:$D$58,4,0)</f>
        <v>Thonburi</v>
      </c>
      <c r="E3" s="1">
        <v>167.07665</v>
      </c>
      <c r="F3" s="1">
        <v>167.07665</v>
      </c>
      <c r="G3" s="1">
        <v>167.07665</v>
      </c>
      <c r="H3" s="1">
        <v>167.07665</v>
      </c>
      <c r="I3" s="1">
        <v>167.07665</v>
      </c>
      <c r="J3" s="1">
        <v>167.07665</v>
      </c>
      <c r="K3" s="1">
        <v>167.07665</v>
      </c>
      <c r="L3" s="1">
        <v>167.07665</v>
      </c>
      <c r="M3" s="1">
        <v>167.07665</v>
      </c>
      <c r="N3" s="1">
        <v>167.07665</v>
      </c>
      <c r="O3" s="1">
        <v>167.07665</v>
      </c>
      <c r="P3" s="1">
        <v>167.07665</v>
      </c>
      <c r="R3" s="1">
        <f>VLOOKUP(A3,Actual_RDNS!$A$2:$H$62,3,0)</f>
        <v>0</v>
      </c>
      <c r="S3" s="1">
        <f>VLOOKUP(A3,Actual_RDNS!$A$2:$H$62,4,0)</f>
        <v>427.68</v>
      </c>
      <c r="T3" s="1">
        <f>VLOOKUP(A3,Actual_RDNS!$A$2:$H$62,5,0)</f>
        <v>8.5</v>
      </c>
      <c r="U3" s="1">
        <f>VLOOKUP(A3,Actual_RDNS!$A$2:$H$62,6,0)</f>
        <v>59.400000000000006</v>
      </c>
      <c r="V3" s="1">
        <f>VLOOKUP(A3,Actual_RDNS!$A$2:$H$62,7,0)</f>
        <v>0</v>
      </c>
      <c r="W3" s="1">
        <f>VLOOKUP(A3,Actual_RDNS!$A$2:$H$62,8,0)</f>
        <v>0</v>
      </c>
      <c r="X3" s="102"/>
      <c r="Y3" s="102"/>
      <c r="Z3" s="102"/>
      <c r="AA3" s="102"/>
      <c r="AB3" s="102"/>
      <c r="AC3" s="102"/>
      <c r="AE3" s="88">
        <f t="shared" ref="AE3:AP37" si="2">R3/E3</f>
        <v>0</v>
      </c>
      <c r="AF3" s="88">
        <f t="shared" si="0"/>
        <v>2.5597831893325607</v>
      </c>
      <c r="AG3" s="88">
        <f t="shared" si="0"/>
        <v>5.0874852949230186E-2</v>
      </c>
      <c r="AH3" s="88">
        <f t="shared" si="0"/>
        <v>0.35552544296285571</v>
      </c>
      <c r="AI3" s="88">
        <f t="shared" si="0"/>
        <v>0</v>
      </c>
      <c r="AJ3" s="88">
        <f t="shared" si="0"/>
        <v>0</v>
      </c>
      <c r="AK3" s="90">
        <f t="shared" si="0"/>
        <v>0</v>
      </c>
      <c r="AL3" s="90">
        <f t="shared" si="0"/>
        <v>0</v>
      </c>
      <c r="AM3" s="90">
        <f t="shared" si="0"/>
        <v>0</v>
      </c>
      <c r="AN3" s="90">
        <f t="shared" si="0"/>
        <v>0</v>
      </c>
      <c r="AO3" s="90">
        <f t="shared" si="0"/>
        <v>0</v>
      </c>
      <c r="AP3" s="90">
        <f t="shared" si="0"/>
        <v>0</v>
      </c>
      <c r="AQ3" s="88"/>
      <c r="AR3" s="90">
        <f t="shared" ref="AR3:BC37" si="3">ROUND(AE3,4)</f>
        <v>0</v>
      </c>
      <c r="AS3" s="90">
        <f t="shared" si="1"/>
        <v>2.5598000000000001</v>
      </c>
      <c r="AT3" s="90">
        <f t="shared" si="1"/>
        <v>5.0900000000000001E-2</v>
      </c>
      <c r="AU3" s="90">
        <f t="shared" si="1"/>
        <v>0.35549999999999998</v>
      </c>
      <c r="AV3" s="90">
        <f t="shared" si="1"/>
        <v>0</v>
      </c>
      <c r="AW3" s="90">
        <f t="shared" si="1"/>
        <v>0</v>
      </c>
      <c r="AX3" s="90">
        <f t="shared" si="1"/>
        <v>0</v>
      </c>
      <c r="AY3" s="90">
        <f t="shared" si="1"/>
        <v>0</v>
      </c>
      <c r="AZ3" s="90">
        <f t="shared" si="1"/>
        <v>0</v>
      </c>
      <c r="BA3" s="90">
        <f t="shared" si="1"/>
        <v>0</v>
      </c>
      <c r="BB3" s="90">
        <f t="shared" si="1"/>
        <v>0</v>
      </c>
      <c r="BC3" s="90">
        <f t="shared" si="1"/>
        <v>0</v>
      </c>
      <c r="BD3" s="88"/>
      <c r="BE3" s="1">
        <f>IFERROR(VLOOKUP(AR3,'Top WS'!$A$19:$E$28,5),0)</f>
        <v>180</v>
      </c>
      <c r="BF3" s="1">
        <f>IFERROR(VLOOKUP(AS3,'Top WS'!$A$19:$E$28,5),0)</f>
        <v>260</v>
      </c>
      <c r="BG3" s="1">
        <f>IFERROR(VLOOKUP(AT3,'Top WS'!$A$19:$E$28,5),0)</f>
        <v>180</v>
      </c>
      <c r="BH3" s="1">
        <f>IFERROR(VLOOKUP(AU3,'Top WS'!$A$19:$E$28,5),0)</f>
        <v>180</v>
      </c>
      <c r="BI3" s="1">
        <f>IFERROR(VLOOKUP(AV3,'Top WS'!$A$19:$E$28,5),0)</f>
        <v>180</v>
      </c>
      <c r="BJ3" s="1">
        <f>IFERROR(VLOOKUP(AW3,'Top WS'!$A$19:$E$28,5),0)</f>
        <v>180</v>
      </c>
      <c r="BK3" s="89">
        <f>IFERROR(VLOOKUP(AX3,'Top WS'!$A$19:$E$28,5),0)</f>
        <v>180</v>
      </c>
      <c r="BL3" s="89">
        <f>IFERROR(VLOOKUP(AY3,'Top WS'!$A$19:$E$28,5),0)</f>
        <v>180</v>
      </c>
      <c r="BM3" s="89">
        <f>IFERROR(VLOOKUP(AZ3,'Top WS'!$A$19:$E$28,5),0)</f>
        <v>180</v>
      </c>
      <c r="BN3" s="89">
        <f>IFERROR(VLOOKUP(BA3,'Top WS'!$A$19:$E$28,5),0)</f>
        <v>180</v>
      </c>
      <c r="BO3" s="89">
        <f>IFERROR(VLOOKUP(BB3,'Top WS'!$A$19:$E$28,5),0)</f>
        <v>180</v>
      </c>
      <c r="BP3" s="89">
        <f>IFERROR(VLOOKUP(BC3,'Top WS'!$A$19:$E$28,5),0)</f>
        <v>180</v>
      </c>
    </row>
    <row r="4" spans="1:68" x14ac:dyDescent="0.4">
      <c r="A4">
        <v>1190011401</v>
      </c>
      <c r="B4">
        <f>VLOOKUP(A4,'Aji Plus'!$A$2:$D$58,2,0)</f>
        <v>63723</v>
      </c>
      <c r="C4" t="str">
        <f>VLOOKUP(A4,'Aji Plus'!$A$2:$D$58,3,0)</f>
        <v>นายธนาพัทธ์ จงเทพสกุลชัย</v>
      </c>
      <c r="D4" t="str">
        <f>VLOOKUP(A4,'Aji Plus'!$A$2:$D$58,4,0)</f>
        <v>Nonthaburi</v>
      </c>
      <c r="E4" s="1">
        <v>167</v>
      </c>
      <c r="F4" s="1">
        <v>170</v>
      </c>
      <c r="G4" s="1">
        <v>168</v>
      </c>
      <c r="H4" s="1">
        <v>167</v>
      </c>
      <c r="I4" s="1">
        <v>167</v>
      </c>
      <c r="J4" s="1">
        <v>167</v>
      </c>
      <c r="K4" s="1">
        <v>160</v>
      </c>
      <c r="L4" s="1">
        <v>170</v>
      </c>
      <c r="M4" s="1">
        <v>167</v>
      </c>
      <c r="N4" s="1">
        <v>170</v>
      </c>
      <c r="O4" s="1">
        <v>167</v>
      </c>
      <c r="P4" s="1">
        <v>170</v>
      </c>
      <c r="R4" s="1">
        <f>VLOOKUP(A4,Actual_RDNS!$A$2:$H$62,3,0)</f>
        <v>92.699999999999989</v>
      </c>
      <c r="S4" s="1">
        <f>VLOOKUP(A4,Actual_RDNS!$A$2:$H$62,4,0)</f>
        <v>1504.6200000000001</v>
      </c>
      <c r="T4" s="1">
        <f>VLOOKUP(A4,Actual_RDNS!$A$2:$H$62,5,0)</f>
        <v>5.94</v>
      </c>
      <c r="U4" s="1">
        <f>VLOOKUP(A4,Actual_RDNS!$A$2:$H$62,6,0)</f>
        <v>29.700000000000003</v>
      </c>
      <c r="V4" s="1">
        <f>VLOOKUP(A4,Actual_RDNS!$A$2:$H$62,7,0)</f>
        <v>60.120000000000005</v>
      </c>
      <c r="W4" s="1">
        <f>VLOOKUP(A4,Actual_RDNS!$A$2:$H$62,8,0)</f>
        <v>383.93999999999994</v>
      </c>
      <c r="X4" s="102"/>
      <c r="Y4" s="102"/>
      <c r="Z4" s="102"/>
      <c r="AA4" s="102"/>
      <c r="AB4" s="102"/>
      <c r="AC4" s="102"/>
      <c r="AE4" s="88">
        <f t="shared" si="2"/>
        <v>0.55508982035928134</v>
      </c>
      <c r="AF4" s="88">
        <f t="shared" si="0"/>
        <v>8.8507058823529423</v>
      </c>
      <c r="AG4" s="88">
        <f t="shared" si="0"/>
        <v>3.5357142857142858E-2</v>
      </c>
      <c r="AH4" s="88">
        <f t="shared" si="0"/>
        <v>0.17784431137724552</v>
      </c>
      <c r="AI4" s="88">
        <f t="shared" si="0"/>
        <v>0.36000000000000004</v>
      </c>
      <c r="AJ4" s="88">
        <f t="shared" si="0"/>
        <v>2.2990419161676643</v>
      </c>
      <c r="AK4" s="90">
        <f t="shared" si="0"/>
        <v>0</v>
      </c>
      <c r="AL4" s="90">
        <f t="shared" si="0"/>
        <v>0</v>
      </c>
      <c r="AM4" s="90">
        <f t="shared" si="0"/>
        <v>0</v>
      </c>
      <c r="AN4" s="90">
        <f t="shared" si="0"/>
        <v>0</v>
      </c>
      <c r="AO4" s="90">
        <f t="shared" si="0"/>
        <v>0</v>
      </c>
      <c r="AP4" s="90">
        <f t="shared" si="0"/>
        <v>0</v>
      </c>
      <c r="AQ4" s="88"/>
      <c r="AR4" s="90">
        <f t="shared" si="3"/>
        <v>0.55510000000000004</v>
      </c>
      <c r="AS4" s="90">
        <f t="shared" si="1"/>
        <v>8.8506999999999998</v>
      </c>
      <c r="AT4" s="90">
        <f t="shared" si="1"/>
        <v>3.5400000000000001E-2</v>
      </c>
      <c r="AU4" s="90">
        <f t="shared" si="1"/>
        <v>0.17780000000000001</v>
      </c>
      <c r="AV4" s="90">
        <f t="shared" si="1"/>
        <v>0.36</v>
      </c>
      <c r="AW4" s="90">
        <f t="shared" si="1"/>
        <v>2.2989999999999999</v>
      </c>
      <c r="AX4" s="90">
        <f t="shared" si="1"/>
        <v>0</v>
      </c>
      <c r="AY4" s="90">
        <f t="shared" si="1"/>
        <v>0</v>
      </c>
      <c r="AZ4" s="90">
        <f t="shared" si="1"/>
        <v>0</v>
      </c>
      <c r="BA4" s="90">
        <f t="shared" si="1"/>
        <v>0</v>
      </c>
      <c r="BB4" s="90">
        <f t="shared" si="1"/>
        <v>0</v>
      </c>
      <c r="BC4" s="90">
        <f t="shared" si="1"/>
        <v>0</v>
      </c>
      <c r="BD4" s="88"/>
      <c r="BE4" s="1">
        <f>IFERROR(VLOOKUP(AR4,'Top WS'!$A$19:$E$28,5),0)</f>
        <v>180</v>
      </c>
      <c r="BF4" s="1">
        <f>IFERROR(VLOOKUP(AS4,'Top WS'!$A$19:$E$28,5),0)</f>
        <v>260</v>
      </c>
      <c r="BG4" s="1">
        <f>IFERROR(VLOOKUP(AT4,'Top WS'!$A$19:$E$28,5),0)</f>
        <v>180</v>
      </c>
      <c r="BH4" s="1">
        <f>IFERROR(VLOOKUP(AU4,'Top WS'!$A$19:$E$28,5),0)</f>
        <v>180</v>
      </c>
      <c r="BI4" s="1">
        <f>IFERROR(VLOOKUP(AV4,'Top WS'!$A$19:$E$28,5),0)</f>
        <v>180</v>
      </c>
      <c r="BJ4" s="1">
        <f>IFERROR(VLOOKUP(AW4,'Top WS'!$A$19:$E$28,5),0)</f>
        <v>260</v>
      </c>
      <c r="BK4" s="89">
        <f>IFERROR(VLOOKUP(AX4,'Top WS'!$A$19:$E$28,5),0)</f>
        <v>180</v>
      </c>
      <c r="BL4" s="89">
        <f>IFERROR(VLOOKUP(AY4,'Top WS'!$A$19:$E$28,5),0)</f>
        <v>180</v>
      </c>
      <c r="BM4" s="89">
        <f>IFERROR(VLOOKUP(AZ4,'Top WS'!$A$19:$E$28,5),0)</f>
        <v>180</v>
      </c>
      <c r="BN4" s="89">
        <f>IFERROR(VLOOKUP(BA4,'Top WS'!$A$19:$E$28,5),0)</f>
        <v>180</v>
      </c>
      <c r="BO4" s="89">
        <f>IFERROR(VLOOKUP(BB4,'Top WS'!$A$19:$E$28,5),0)</f>
        <v>180</v>
      </c>
      <c r="BP4" s="89">
        <f>IFERROR(VLOOKUP(BC4,'Top WS'!$A$19:$E$28,5),0)</f>
        <v>180</v>
      </c>
    </row>
    <row r="5" spans="1:68" x14ac:dyDescent="0.4">
      <c r="A5">
        <v>1190011412</v>
      </c>
      <c r="B5">
        <f>VLOOKUP(A5,'Aji Plus'!$A$2:$D$58,2,0)</f>
        <v>71043</v>
      </c>
      <c r="C5" t="str">
        <f>VLOOKUP(A5,'Aji Plus'!$A$2:$D$58,3,0)</f>
        <v>นายเสริมโชค อยู่อุดมสุข</v>
      </c>
      <c r="D5" t="str">
        <f>VLOOKUP(A5,'Aji Plus'!$A$2:$D$58,4,0)</f>
        <v>Nonthaburi</v>
      </c>
      <c r="E5" s="1">
        <v>167</v>
      </c>
      <c r="F5" s="1">
        <v>170</v>
      </c>
      <c r="G5" s="1">
        <v>168</v>
      </c>
      <c r="H5" s="1">
        <v>167</v>
      </c>
      <c r="I5" s="1">
        <v>167</v>
      </c>
      <c r="J5" s="1">
        <v>167</v>
      </c>
      <c r="K5" s="1">
        <v>160</v>
      </c>
      <c r="L5" s="1">
        <v>170</v>
      </c>
      <c r="M5" s="1">
        <v>167</v>
      </c>
      <c r="N5" s="1">
        <v>170</v>
      </c>
      <c r="O5" s="1">
        <v>167</v>
      </c>
      <c r="P5" s="1">
        <v>170</v>
      </c>
      <c r="R5" s="1">
        <f>VLOOKUP(A5,Actual_RDNS!$A$2:$H$62,3,0)</f>
        <v>100.16000000000001</v>
      </c>
      <c r="S5" s="1">
        <f>VLOOKUP(A5,Actual_RDNS!$A$2:$H$62,4,0)</f>
        <v>256.88</v>
      </c>
      <c r="T5" s="1">
        <f>VLOOKUP(A5,Actual_RDNS!$A$2:$H$62,5,0)</f>
        <v>120.54</v>
      </c>
      <c r="U5" s="1">
        <f>VLOOKUP(A5,Actual_RDNS!$A$2:$H$62,6,0)</f>
        <v>118.80000000000001</v>
      </c>
      <c r="V5" s="1">
        <f>VLOOKUP(A5,Actual_RDNS!$A$2:$H$62,7,0)</f>
        <v>0</v>
      </c>
      <c r="W5" s="1">
        <f>VLOOKUP(A5,Actual_RDNS!$A$2:$H$62,8,0)</f>
        <v>154.63999999999999</v>
      </c>
      <c r="X5" s="102"/>
      <c r="Y5" s="102"/>
      <c r="Z5" s="102"/>
      <c r="AA5" s="102"/>
      <c r="AB5" s="102"/>
      <c r="AC5" s="102"/>
      <c r="AE5" s="88">
        <f t="shared" si="2"/>
        <v>0.59976047904191621</v>
      </c>
      <c r="AF5" s="88">
        <f t="shared" si="0"/>
        <v>1.5110588235294118</v>
      </c>
      <c r="AG5" s="88">
        <f t="shared" si="0"/>
        <v>0.71750000000000003</v>
      </c>
      <c r="AH5" s="88">
        <f t="shared" si="0"/>
        <v>0.71137724550898207</v>
      </c>
      <c r="AI5" s="88">
        <f t="shared" si="0"/>
        <v>0</v>
      </c>
      <c r="AJ5" s="88">
        <f t="shared" si="0"/>
        <v>0.92598802395209567</v>
      </c>
      <c r="AK5" s="90">
        <f t="shared" si="0"/>
        <v>0</v>
      </c>
      <c r="AL5" s="90">
        <f t="shared" si="0"/>
        <v>0</v>
      </c>
      <c r="AM5" s="90">
        <f t="shared" si="0"/>
        <v>0</v>
      </c>
      <c r="AN5" s="90">
        <f t="shared" si="0"/>
        <v>0</v>
      </c>
      <c r="AO5" s="90">
        <f t="shared" si="0"/>
        <v>0</v>
      </c>
      <c r="AP5" s="90">
        <f t="shared" si="0"/>
        <v>0</v>
      </c>
      <c r="AQ5" s="88"/>
      <c r="AR5" s="90">
        <f t="shared" si="3"/>
        <v>0.5998</v>
      </c>
      <c r="AS5" s="90">
        <f t="shared" si="1"/>
        <v>1.5111000000000001</v>
      </c>
      <c r="AT5" s="90">
        <f t="shared" si="1"/>
        <v>0.71750000000000003</v>
      </c>
      <c r="AU5" s="90">
        <f t="shared" si="1"/>
        <v>0.71140000000000003</v>
      </c>
      <c r="AV5" s="90">
        <f t="shared" si="1"/>
        <v>0</v>
      </c>
      <c r="AW5" s="90">
        <f t="shared" si="1"/>
        <v>0.92600000000000005</v>
      </c>
      <c r="AX5" s="90">
        <f t="shared" si="1"/>
        <v>0</v>
      </c>
      <c r="AY5" s="90">
        <f t="shared" si="1"/>
        <v>0</v>
      </c>
      <c r="AZ5" s="90">
        <f t="shared" si="1"/>
        <v>0</v>
      </c>
      <c r="BA5" s="90">
        <f t="shared" si="1"/>
        <v>0</v>
      </c>
      <c r="BB5" s="90">
        <f t="shared" si="1"/>
        <v>0</v>
      </c>
      <c r="BC5" s="90">
        <f t="shared" si="1"/>
        <v>0</v>
      </c>
      <c r="BD5" s="88"/>
      <c r="BE5" s="1">
        <f>IFERROR(VLOOKUP(AR5,'Top WS'!$A$19:$E$28,5),0)</f>
        <v>180</v>
      </c>
      <c r="BF5" s="1">
        <f>IFERROR(VLOOKUP(AS5,'Top WS'!$A$19:$E$28,5),0)</f>
        <v>260</v>
      </c>
      <c r="BG5" s="1">
        <f>IFERROR(VLOOKUP(AT5,'Top WS'!$A$19:$E$28,5),0)</f>
        <v>180</v>
      </c>
      <c r="BH5" s="1">
        <f>IFERROR(VLOOKUP(AU5,'Top WS'!$A$19:$E$28,5),0)</f>
        <v>180</v>
      </c>
      <c r="BI5" s="1">
        <f>IFERROR(VLOOKUP(AV5,'Top WS'!$A$19:$E$28,5),0)</f>
        <v>180</v>
      </c>
      <c r="BJ5" s="1">
        <f>IFERROR(VLOOKUP(AW5,'Top WS'!$A$19:$E$28,5),0)</f>
        <v>190</v>
      </c>
      <c r="BK5" s="89">
        <f>IFERROR(VLOOKUP(AX5,'Top WS'!$A$19:$E$28,5),0)</f>
        <v>180</v>
      </c>
      <c r="BL5" s="89">
        <f>IFERROR(VLOOKUP(AY5,'Top WS'!$A$19:$E$28,5),0)</f>
        <v>180</v>
      </c>
      <c r="BM5" s="89">
        <f>IFERROR(VLOOKUP(AZ5,'Top WS'!$A$19:$E$28,5),0)</f>
        <v>180</v>
      </c>
      <c r="BN5" s="89">
        <f>IFERROR(VLOOKUP(BA5,'Top WS'!$A$19:$E$28,5),0)</f>
        <v>180</v>
      </c>
      <c r="BO5" s="89">
        <f>IFERROR(VLOOKUP(BB5,'Top WS'!$A$19:$E$28,5),0)</f>
        <v>180</v>
      </c>
      <c r="BP5" s="89">
        <f>IFERROR(VLOOKUP(BC5,'Top WS'!$A$19:$E$28,5),0)</f>
        <v>180</v>
      </c>
    </row>
    <row r="6" spans="1:68" x14ac:dyDescent="0.4">
      <c r="A6">
        <v>1190011501</v>
      </c>
      <c r="B6">
        <f>VLOOKUP(A6,'Aji Plus'!$A$2:$D$58,2,0)</f>
        <v>71637</v>
      </c>
      <c r="C6" t="str">
        <f>VLOOKUP(A6,'Aji Plus'!$A$2:$D$58,3,0)</f>
        <v>นายพณิชพงศ์ แจ้งธีรภูสิทธิ์</v>
      </c>
      <c r="D6" t="str">
        <f>VLOOKUP(A6,'Aji Plus'!$A$2:$D$58,4,0)</f>
        <v>Pattanakarn</v>
      </c>
      <c r="E6" s="1">
        <v>460</v>
      </c>
      <c r="F6" s="1">
        <v>460</v>
      </c>
      <c r="G6" s="1">
        <v>464</v>
      </c>
      <c r="H6" s="1">
        <v>464</v>
      </c>
      <c r="I6" s="1">
        <v>464</v>
      </c>
      <c r="J6" s="1">
        <v>464</v>
      </c>
      <c r="K6" s="1">
        <v>464</v>
      </c>
      <c r="L6" s="1">
        <v>464</v>
      </c>
      <c r="M6" s="1">
        <v>464</v>
      </c>
      <c r="N6" s="1">
        <v>464</v>
      </c>
      <c r="O6" s="1">
        <v>464</v>
      </c>
      <c r="P6" s="1">
        <v>464</v>
      </c>
      <c r="R6" s="1">
        <f>VLOOKUP(A6,Actual_RDNS!$A$2:$H$62,3,0)</f>
        <v>191.91999999999996</v>
      </c>
      <c r="S6" s="1">
        <f>VLOOKUP(A6,Actual_RDNS!$A$2:$H$62,4,0)</f>
        <v>1993.0000000000002</v>
      </c>
      <c r="T6" s="1">
        <f>VLOOKUP(A6,Actual_RDNS!$A$2:$H$62,5,0)</f>
        <v>240.35999999999996</v>
      </c>
      <c r="U6" s="1">
        <f>VLOOKUP(A6,Actual_RDNS!$A$2:$H$62,6,0)</f>
        <v>186.89999999999998</v>
      </c>
      <c r="V6" s="1">
        <f>VLOOKUP(A6,Actual_RDNS!$A$2:$H$62,7,0)</f>
        <v>230.44</v>
      </c>
      <c r="W6" s="1">
        <f>VLOOKUP(A6,Actual_RDNS!$A$2:$H$62,8,0)</f>
        <v>414.21999999999991</v>
      </c>
      <c r="X6" s="102"/>
      <c r="Y6" s="102"/>
      <c r="Z6" s="102"/>
      <c r="AA6" s="102"/>
      <c r="AB6" s="102"/>
      <c r="AC6" s="102"/>
      <c r="AE6" s="88">
        <f t="shared" si="2"/>
        <v>0.41721739130434776</v>
      </c>
      <c r="AF6" s="88">
        <f t="shared" si="0"/>
        <v>4.3326086956521745</v>
      </c>
      <c r="AG6" s="88">
        <f t="shared" si="0"/>
        <v>0.51801724137931027</v>
      </c>
      <c r="AH6" s="88">
        <f t="shared" si="0"/>
        <v>0.40280172413793097</v>
      </c>
      <c r="AI6" s="88">
        <f t="shared" si="0"/>
        <v>0.49663793103448273</v>
      </c>
      <c r="AJ6" s="88">
        <f t="shared" si="0"/>
        <v>0.8927155172413791</v>
      </c>
      <c r="AK6" s="90">
        <f t="shared" si="0"/>
        <v>0</v>
      </c>
      <c r="AL6" s="90">
        <f t="shared" si="0"/>
        <v>0</v>
      </c>
      <c r="AM6" s="90">
        <f t="shared" si="0"/>
        <v>0</v>
      </c>
      <c r="AN6" s="90">
        <f t="shared" si="0"/>
        <v>0</v>
      </c>
      <c r="AO6" s="90">
        <f t="shared" si="0"/>
        <v>0</v>
      </c>
      <c r="AP6" s="90">
        <f t="shared" si="0"/>
        <v>0</v>
      </c>
      <c r="AQ6" s="88"/>
      <c r="AR6" s="90">
        <f t="shared" si="3"/>
        <v>0.41720000000000002</v>
      </c>
      <c r="AS6" s="90">
        <f t="shared" si="1"/>
        <v>4.3326000000000002</v>
      </c>
      <c r="AT6" s="90">
        <f t="shared" si="1"/>
        <v>0.51800000000000002</v>
      </c>
      <c r="AU6" s="90">
        <f t="shared" si="1"/>
        <v>0.40279999999999999</v>
      </c>
      <c r="AV6" s="90">
        <f t="shared" si="1"/>
        <v>0.49659999999999999</v>
      </c>
      <c r="AW6" s="90">
        <f t="shared" si="1"/>
        <v>0.89270000000000005</v>
      </c>
      <c r="AX6" s="90">
        <f t="shared" si="1"/>
        <v>0</v>
      </c>
      <c r="AY6" s="90">
        <f t="shared" si="1"/>
        <v>0</v>
      </c>
      <c r="AZ6" s="90">
        <f t="shared" si="1"/>
        <v>0</v>
      </c>
      <c r="BA6" s="90">
        <f t="shared" si="1"/>
        <v>0</v>
      </c>
      <c r="BB6" s="90">
        <f t="shared" si="1"/>
        <v>0</v>
      </c>
      <c r="BC6" s="90">
        <f t="shared" si="1"/>
        <v>0</v>
      </c>
      <c r="BD6" s="88"/>
      <c r="BE6" s="1">
        <f>IFERROR(VLOOKUP(AR6,'Top WS'!$A$19:$E$28,5),0)</f>
        <v>180</v>
      </c>
      <c r="BF6" s="1">
        <f>IFERROR(VLOOKUP(AS6,'Top WS'!$A$19:$E$28,5),0)</f>
        <v>260</v>
      </c>
      <c r="BG6" s="1">
        <f>IFERROR(VLOOKUP(AT6,'Top WS'!$A$19:$E$28,5),0)</f>
        <v>180</v>
      </c>
      <c r="BH6" s="1">
        <f>IFERROR(VLOOKUP(AU6,'Top WS'!$A$19:$E$28,5),0)</f>
        <v>180</v>
      </c>
      <c r="BI6" s="1">
        <f>IFERROR(VLOOKUP(AV6,'Top WS'!$A$19:$E$28,5),0)</f>
        <v>180</v>
      </c>
      <c r="BJ6" s="1">
        <f>IFERROR(VLOOKUP(AW6,'Top WS'!$A$19:$E$28,5),0)</f>
        <v>180</v>
      </c>
      <c r="BK6" s="89">
        <f>IFERROR(VLOOKUP(AX6,'Top WS'!$A$19:$E$28,5),0)</f>
        <v>180</v>
      </c>
      <c r="BL6" s="89">
        <f>IFERROR(VLOOKUP(AY6,'Top WS'!$A$19:$E$28,5),0)</f>
        <v>180</v>
      </c>
      <c r="BM6" s="89">
        <f>IFERROR(VLOOKUP(AZ6,'Top WS'!$A$19:$E$28,5),0)</f>
        <v>180</v>
      </c>
      <c r="BN6" s="89">
        <f>IFERROR(VLOOKUP(BA6,'Top WS'!$A$19:$E$28,5),0)</f>
        <v>180</v>
      </c>
      <c r="BO6" s="89">
        <f>IFERROR(VLOOKUP(BB6,'Top WS'!$A$19:$E$28,5),0)</f>
        <v>180</v>
      </c>
      <c r="BP6" s="89">
        <f>IFERROR(VLOOKUP(BC6,'Top WS'!$A$19:$E$28,5),0)</f>
        <v>180</v>
      </c>
    </row>
    <row r="7" spans="1:68" x14ac:dyDescent="0.4">
      <c r="A7">
        <v>1190011701</v>
      </c>
      <c r="B7">
        <f>VLOOKUP(A7,'Aji Plus'!$A$2:$D$58,2,0)</f>
        <v>29698</v>
      </c>
      <c r="C7" t="str">
        <f>VLOOKUP(A7,'Aji Plus'!$A$2:$D$58,3,0)</f>
        <v>นายพูลทวี เกษรบัว</v>
      </c>
      <c r="D7" t="str">
        <f>VLOOKUP(A7,'Aji Plus'!$A$2:$D$58,4,0)</f>
        <v>Bangpoo</v>
      </c>
      <c r="E7" s="1">
        <v>380</v>
      </c>
      <c r="F7" s="1">
        <v>390</v>
      </c>
      <c r="G7" s="1">
        <v>400</v>
      </c>
      <c r="H7" s="1">
        <v>400</v>
      </c>
      <c r="I7" s="1">
        <v>400</v>
      </c>
      <c r="J7" s="1">
        <v>400</v>
      </c>
      <c r="K7" s="1">
        <v>400</v>
      </c>
      <c r="L7" s="1">
        <v>400</v>
      </c>
      <c r="M7" s="1">
        <v>400</v>
      </c>
      <c r="N7" s="1">
        <v>400</v>
      </c>
      <c r="O7" s="1">
        <v>400</v>
      </c>
      <c r="P7" s="1">
        <v>400</v>
      </c>
      <c r="R7" s="1">
        <f>VLOOKUP(A7,Actual_RDNS!$A$2:$H$62,3,0)</f>
        <v>136.62</v>
      </c>
      <c r="S7" s="1">
        <f>VLOOKUP(A7,Actual_RDNS!$A$2:$H$62,4,0)</f>
        <v>935.12</v>
      </c>
      <c r="T7" s="1">
        <f>VLOOKUP(A7,Actual_RDNS!$A$2:$H$62,5,0)</f>
        <v>184.95999999999998</v>
      </c>
      <c r="U7" s="1">
        <f>VLOOKUP(A7,Actual_RDNS!$A$2:$H$62,6,0)</f>
        <v>231.76</v>
      </c>
      <c r="V7" s="1">
        <f>VLOOKUP(A7,Actual_RDNS!$A$2:$H$62,7,0)</f>
        <v>151.98000000000002</v>
      </c>
      <c r="W7" s="1">
        <f>VLOOKUP(A7,Actual_RDNS!$A$2:$H$62,8,0)</f>
        <v>215.47999999999996</v>
      </c>
      <c r="X7" s="102"/>
      <c r="Y7" s="102"/>
      <c r="Z7" s="102"/>
      <c r="AA7" s="102"/>
      <c r="AB7" s="102"/>
      <c r="AC7" s="102"/>
      <c r="AE7" s="88">
        <f t="shared" si="2"/>
        <v>0.35952631578947369</v>
      </c>
      <c r="AF7" s="88">
        <f t="shared" si="0"/>
        <v>2.3977435897435897</v>
      </c>
      <c r="AG7" s="88">
        <f t="shared" si="0"/>
        <v>0.46239999999999992</v>
      </c>
      <c r="AH7" s="88">
        <f t="shared" si="0"/>
        <v>0.57940000000000003</v>
      </c>
      <c r="AI7" s="88">
        <f t="shared" si="0"/>
        <v>0.37995000000000007</v>
      </c>
      <c r="AJ7" s="88">
        <f t="shared" si="0"/>
        <v>0.53869999999999996</v>
      </c>
      <c r="AK7" s="90">
        <f t="shared" si="0"/>
        <v>0</v>
      </c>
      <c r="AL7" s="90">
        <f t="shared" si="0"/>
        <v>0</v>
      </c>
      <c r="AM7" s="90">
        <f t="shared" si="0"/>
        <v>0</v>
      </c>
      <c r="AN7" s="90">
        <f t="shared" si="0"/>
        <v>0</v>
      </c>
      <c r="AO7" s="90">
        <f t="shared" si="0"/>
        <v>0</v>
      </c>
      <c r="AP7" s="90">
        <f t="shared" si="0"/>
        <v>0</v>
      </c>
      <c r="AQ7" s="88"/>
      <c r="AR7" s="90">
        <f t="shared" si="3"/>
        <v>0.35949999999999999</v>
      </c>
      <c r="AS7" s="90">
        <f t="shared" si="1"/>
        <v>2.3976999999999999</v>
      </c>
      <c r="AT7" s="90">
        <f t="shared" si="1"/>
        <v>0.46239999999999998</v>
      </c>
      <c r="AU7" s="90">
        <f t="shared" si="1"/>
        <v>0.57940000000000003</v>
      </c>
      <c r="AV7" s="90">
        <f t="shared" si="1"/>
        <v>0.38</v>
      </c>
      <c r="AW7" s="90">
        <f t="shared" si="1"/>
        <v>0.53869999999999996</v>
      </c>
      <c r="AX7" s="90">
        <f t="shared" si="1"/>
        <v>0</v>
      </c>
      <c r="AY7" s="90">
        <f t="shared" si="1"/>
        <v>0</v>
      </c>
      <c r="AZ7" s="90">
        <f t="shared" si="1"/>
        <v>0</v>
      </c>
      <c r="BA7" s="90">
        <f t="shared" si="1"/>
        <v>0</v>
      </c>
      <c r="BB7" s="90">
        <f t="shared" si="1"/>
        <v>0</v>
      </c>
      <c r="BC7" s="90">
        <f t="shared" si="1"/>
        <v>0</v>
      </c>
      <c r="BD7" s="88"/>
      <c r="BE7" s="1">
        <f>IFERROR(VLOOKUP(AR7,'Top WS'!$A$19:$E$28,5),0)</f>
        <v>180</v>
      </c>
      <c r="BF7" s="1">
        <f>IFERROR(VLOOKUP(AS7,'Top WS'!$A$19:$E$28,5),0)</f>
        <v>260</v>
      </c>
      <c r="BG7" s="1">
        <f>IFERROR(VLOOKUP(AT7,'Top WS'!$A$19:$E$28,5),0)</f>
        <v>180</v>
      </c>
      <c r="BH7" s="1">
        <f>IFERROR(VLOOKUP(AU7,'Top WS'!$A$19:$E$28,5),0)</f>
        <v>180</v>
      </c>
      <c r="BI7" s="1">
        <f>IFERROR(VLOOKUP(AV7,'Top WS'!$A$19:$E$28,5),0)</f>
        <v>180</v>
      </c>
      <c r="BJ7" s="1">
        <f>IFERROR(VLOOKUP(AW7,'Top WS'!$A$19:$E$28,5),0)</f>
        <v>180</v>
      </c>
      <c r="BK7" s="89">
        <f>IFERROR(VLOOKUP(AX7,'Top WS'!$A$19:$E$28,5),0)</f>
        <v>180</v>
      </c>
      <c r="BL7" s="89">
        <f>IFERROR(VLOOKUP(AY7,'Top WS'!$A$19:$E$28,5),0)</f>
        <v>180</v>
      </c>
      <c r="BM7" s="89">
        <f>IFERROR(VLOOKUP(AZ7,'Top WS'!$A$19:$E$28,5),0)</f>
        <v>180</v>
      </c>
      <c r="BN7" s="89">
        <f>IFERROR(VLOOKUP(BA7,'Top WS'!$A$19:$E$28,5),0)</f>
        <v>180</v>
      </c>
      <c r="BO7" s="89">
        <f>IFERROR(VLOOKUP(BB7,'Top WS'!$A$19:$E$28,5),0)</f>
        <v>180</v>
      </c>
      <c r="BP7" s="89">
        <f>IFERROR(VLOOKUP(BC7,'Top WS'!$A$19:$E$28,5),0)</f>
        <v>180</v>
      </c>
    </row>
    <row r="8" spans="1:68" x14ac:dyDescent="0.4">
      <c r="A8">
        <v>1190011801</v>
      </c>
      <c r="B8">
        <f>VLOOKUP(A8,'Aji Plus'!$A$2:$D$58,2,0)</f>
        <v>28236</v>
      </c>
      <c r="C8" t="str">
        <f>VLOOKUP(A8,'Aji Plus'!$A$2:$D$58,3,0)</f>
        <v>นายประวิทย์ ธารีบุญ</v>
      </c>
      <c r="D8" t="str">
        <f>VLOOKUP(A8,'Aji Plus'!$A$2:$D$58,4,0)</f>
        <v>Ramindra</v>
      </c>
      <c r="E8" s="1">
        <v>76.663600000000002</v>
      </c>
      <c r="F8" s="1">
        <v>76.663600000000002</v>
      </c>
      <c r="G8" s="1">
        <v>76.663600000000002</v>
      </c>
      <c r="H8" s="1">
        <v>76.663600000000002</v>
      </c>
      <c r="I8" s="1">
        <v>76.663600000000002</v>
      </c>
      <c r="J8" s="1">
        <v>76.663600000000002</v>
      </c>
      <c r="K8" s="1">
        <v>76.663600000000002</v>
      </c>
      <c r="L8" s="1">
        <v>76.663600000000002</v>
      </c>
      <c r="M8" s="1">
        <v>76.663600000000002</v>
      </c>
      <c r="N8" s="1">
        <v>76.663600000000002</v>
      </c>
      <c r="O8" s="1">
        <v>76.663600000000002</v>
      </c>
      <c r="P8" s="1">
        <v>76.663600000000002</v>
      </c>
      <c r="R8" s="1">
        <f>VLOOKUP(A8,Actual_RDNS!$A$2:$H$62,3,0)</f>
        <v>11.88</v>
      </c>
      <c r="S8" s="1">
        <f>VLOOKUP(A8,Actual_RDNS!$A$2:$H$62,4,0)</f>
        <v>1512</v>
      </c>
      <c r="T8" s="1">
        <f>VLOOKUP(A8,Actual_RDNS!$A$2:$H$62,5,0)</f>
        <v>23.76</v>
      </c>
      <c r="U8" s="1">
        <f>VLOOKUP(A8,Actual_RDNS!$A$2:$H$62,6,0)</f>
        <v>41.58</v>
      </c>
      <c r="V8" s="1">
        <f>VLOOKUP(A8,Actual_RDNS!$A$2:$H$62,7,0)</f>
        <v>0</v>
      </c>
      <c r="W8" s="1">
        <f>VLOOKUP(A8,Actual_RDNS!$A$2:$H$62,8,0)</f>
        <v>17.82</v>
      </c>
      <c r="X8" s="102"/>
      <c r="Y8" s="102"/>
      <c r="Z8" s="102"/>
      <c r="AA8" s="102"/>
      <c r="AB8" s="102"/>
      <c r="AC8" s="102"/>
      <c r="AE8" s="88">
        <f t="shared" si="2"/>
        <v>0.15496272024794036</v>
      </c>
      <c r="AF8" s="88">
        <f t="shared" si="0"/>
        <v>19.722528031556045</v>
      </c>
      <c r="AG8" s="88">
        <f t="shared" si="0"/>
        <v>0.30992544049588072</v>
      </c>
      <c r="AH8" s="88">
        <f t="shared" si="0"/>
        <v>0.54236952086779122</v>
      </c>
      <c r="AI8" s="88">
        <f t="shared" si="0"/>
        <v>0</v>
      </c>
      <c r="AJ8" s="88">
        <f t="shared" si="0"/>
        <v>0.23244408037191053</v>
      </c>
      <c r="AK8" s="90">
        <f t="shared" si="0"/>
        <v>0</v>
      </c>
      <c r="AL8" s="90">
        <f t="shared" si="0"/>
        <v>0</v>
      </c>
      <c r="AM8" s="90">
        <f t="shared" si="0"/>
        <v>0</v>
      </c>
      <c r="AN8" s="90">
        <f t="shared" si="0"/>
        <v>0</v>
      </c>
      <c r="AO8" s="90">
        <f t="shared" si="0"/>
        <v>0</v>
      </c>
      <c r="AP8" s="90">
        <f t="shared" si="0"/>
        <v>0</v>
      </c>
      <c r="AQ8" s="88"/>
      <c r="AR8" s="90">
        <f t="shared" si="3"/>
        <v>0.155</v>
      </c>
      <c r="AS8" s="90">
        <f t="shared" si="1"/>
        <v>19.7225</v>
      </c>
      <c r="AT8" s="90">
        <f t="shared" si="1"/>
        <v>0.30990000000000001</v>
      </c>
      <c r="AU8" s="90">
        <f t="shared" si="1"/>
        <v>0.54239999999999999</v>
      </c>
      <c r="AV8" s="90">
        <f t="shared" si="1"/>
        <v>0</v>
      </c>
      <c r="AW8" s="90">
        <f t="shared" si="1"/>
        <v>0.2324</v>
      </c>
      <c r="AX8" s="90">
        <f t="shared" si="1"/>
        <v>0</v>
      </c>
      <c r="AY8" s="90">
        <f t="shared" si="1"/>
        <v>0</v>
      </c>
      <c r="AZ8" s="90">
        <f t="shared" si="1"/>
        <v>0</v>
      </c>
      <c r="BA8" s="90">
        <f t="shared" si="1"/>
        <v>0</v>
      </c>
      <c r="BB8" s="90">
        <f t="shared" si="1"/>
        <v>0</v>
      </c>
      <c r="BC8" s="90">
        <f t="shared" si="1"/>
        <v>0</v>
      </c>
      <c r="BD8" s="88"/>
      <c r="BE8" s="1">
        <f>IFERROR(VLOOKUP(AR8,'Top WS'!$A$19:$E$28,5),0)</f>
        <v>180</v>
      </c>
      <c r="BF8" s="1">
        <f>IFERROR(VLOOKUP(AS8,'Top WS'!$A$19:$E$28,5),0)</f>
        <v>260</v>
      </c>
      <c r="BG8" s="1">
        <f>IFERROR(VLOOKUP(AT8,'Top WS'!$A$19:$E$28,5),0)</f>
        <v>180</v>
      </c>
      <c r="BH8" s="1">
        <f>IFERROR(VLOOKUP(AU8,'Top WS'!$A$19:$E$28,5),0)</f>
        <v>180</v>
      </c>
      <c r="BI8" s="1">
        <f>IFERROR(VLOOKUP(AV8,'Top WS'!$A$19:$E$28,5),0)</f>
        <v>180</v>
      </c>
      <c r="BJ8" s="1">
        <f>IFERROR(VLOOKUP(AW8,'Top WS'!$A$19:$E$28,5),0)</f>
        <v>180</v>
      </c>
      <c r="BK8" s="89">
        <f>IFERROR(VLOOKUP(AX8,'Top WS'!$A$19:$E$28,5),0)</f>
        <v>180</v>
      </c>
      <c r="BL8" s="89">
        <f>IFERROR(VLOOKUP(AY8,'Top WS'!$A$19:$E$28,5),0)</f>
        <v>180</v>
      </c>
      <c r="BM8" s="89">
        <f>IFERROR(VLOOKUP(AZ8,'Top WS'!$A$19:$E$28,5),0)</f>
        <v>180</v>
      </c>
      <c r="BN8" s="89">
        <f>IFERROR(VLOOKUP(BA8,'Top WS'!$A$19:$E$28,5),0)</f>
        <v>180</v>
      </c>
      <c r="BO8" s="89">
        <f>IFERROR(VLOOKUP(BB8,'Top WS'!$A$19:$E$28,5),0)</f>
        <v>180</v>
      </c>
      <c r="BP8" s="89">
        <f>IFERROR(VLOOKUP(BC8,'Top WS'!$A$19:$E$28,5),0)</f>
        <v>180</v>
      </c>
    </row>
    <row r="9" spans="1:68" x14ac:dyDescent="0.4">
      <c r="A9">
        <v>1190017001</v>
      </c>
      <c r="B9">
        <f>VLOOKUP(A9,'Aji Plus'!$A$2:$D$58,2,0)</f>
        <v>77683</v>
      </c>
      <c r="C9" t="str">
        <f>VLOOKUP(A9,'Aji Plus'!$A$2:$D$58,3,0)</f>
        <v>นายสุพัชธณคุณ ชลมงคล</v>
      </c>
      <c r="D9" t="str">
        <f>VLOOKUP(A9,'Aji Plus'!$A$2:$D$58,4,0)</f>
        <v>Pathumthani</v>
      </c>
      <c r="E9" s="1">
        <v>533.16389144657751</v>
      </c>
      <c r="F9" s="1">
        <v>492.78535135823046</v>
      </c>
      <c r="G9" s="1">
        <v>439.57454901628876</v>
      </c>
      <c r="H9" s="1">
        <v>514.14968676819342</v>
      </c>
      <c r="I9" s="1">
        <v>526.06470993892128</v>
      </c>
      <c r="J9" s="1">
        <v>544.3036692589319</v>
      </c>
      <c r="K9" s="1">
        <v>506.41254293437618</v>
      </c>
      <c r="L9" s="1">
        <v>512.42792873920189</v>
      </c>
      <c r="M9" s="1">
        <v>396.77488133411617</v>
      </c>
      <c r="N9" s="1">
        <v>557.79475547593586</v>
      </c>
      <c r="O9" s="1">
        <v>444.43446929999772</v>
      </c>
      <c r="P9" s="1">
        <v>347.45073660266434</v>
      </c>
      <c r="R9" s="1">
        <f>VLOOKUP(A9,Actual_RDNS!$A$2:$H$62,3,0)</f>
        <v>118.80000000000001</v>
      </c>
      <c r="S9" s="1">
        <f>VLOOKUP(A9,Actual_RDNS!$A$2:$H$62,4,0)</f>
        <v>1686.5800000000002</v>
      </c>
      <c r="T9" s="1">
        <f>VLOOKUP(A9,Actual_RDNS!$A$2:$H$62,5,0)</f>
        <v>89.100000000000009</v>
      </c>
      <c r="U9" s="1">
        <f>VLOOKUP(A9,Actual_RDNS!$A$2:$H$62,6,0)</f>
        <v>368.72</v>
      </c>
      <c r="V9" s="1">
        <f>VLOOKUP(A9,Actual_RDNS!$A$2:$H$62,7,0)</f>
        <v>250.39999999999998</v>
      </c>
      <c r="W9" s="1">
        <f>VLOOKUP(A9,Actual_RDNS!$A$2:$H$62,8,0)</f>
        <v>178.20000000000002</v>
      </c>
      <c r="X9" s="102"/>
      <c r="Y9" s="102"/>
      <c r="Z9" s="102"/>
      <c r="AA9" s="102"/>
      <c r="AB9" s="102"/>
      <c r="AC9" s="102"/>
      <c r="AE9" s="88">
        <f t="shared" si="2"/>
        <v>0.22282079095355176</v>
      </c>
      <c r="AF9" s="88">
        <f t="shared" si="0"/>
        <v>3.4225449180893777</v>
      </c>
      <c r="AG9" s="88">
        <f t="shared" si="0"/>
        <v>0.20269599365885568</v>
      </c>
      <c r="AH9" s="88">
        <f t="shared" si="0"/>
        <v>0.71714523900165095</v>
      </c>
      <c r="AI9" s="88">
        <f t="shared" si="0"/>
        <v>0.47598707016304642</v>
      </c>
      <c r="AJ9" s="88">
        <f t="shared" si="0"/>
        <v>0.32739077479051149</v>
      </c>
      <c r="AK9" s="90">
        <f t="shared" si="0"/>
        <v>0</v>
      </c>
      <c r="AL9" s="90">
        <f t="shared" si="0"/>
        <v>0</v>
      </c>
      <c r="AM9" s="90">
        <f t="shared" si="0"/>
        <v>0</v>
      </c>
      <c r="AN9" s="90">
        <f t="shared" si="0"/>
        <v>0</v>
      </c>
      <c r="AO9" s="90">
        <f t="shared" si="0"/>
        <v>0</v>
      </c>
      <c r="AP9" s="90">
        <f t="shared" si="0"/>
        <v>0</v>
      </c>
      <c r="AQ9" s="88"/>
      <c r="AR9" s="90">
        <f t="shared" si="3"/>
        <v>0.2228</v>
      </c>
      <c r="AS9" s="90">
        <f t="shared" si="1"/>
        <v>3.4224999999999999</v>
      </c>
      <c r="AT9" s="90">
        <f t="shared" si="1"/>
        <v>0.20269999999999999</v>
      </c>
      <c r="AU9" s="90">
        <f t="shared" si="1"/>
        <v>0.71709999999999996</v>
      </c>
      <c r="AV9" s="90">
        <f t="shared" si="1"/>
        <v>0.47599999999999998</v>
      </c>
      <c r="AW9" s="90">
        <f t="shared" si="1"/>
        <v>0.32740000000000002</v>
      </c>
      <c r="AX9" s="90">
        <f t="shared" si="1"/>
        <v>0</v>
      </c>
      <c r="AY9" s="90">
        <f t="shared" si="1"/>
        <v>0</v>
      </c>
      <c r="AZ9" s="90">
        <f t="shared" si="1"/>
        <v>0</v>
      </c>
      <c r="BA9" s="90">
        <f t="shared" si="1"/>
        <v>0</v>
      </c>
      <c r="BB9" s="90">
        <f t="shared" si="1"/>
        <v>0</v>
      </c>
      <c r="BC9" s="90">
        <f t="shared" si="1"/>
        <v>0</v>
      </c>
      <c r="BD9" s="88"/>
      <c r="BE9" s="108">
        <f>IFERROR(VLOOKUP(AR9,'Top WS'!$A$19:$E$28,5),0)</f>
        <v>180</v>
      </c>
      <c r="BF9" s="108">
        <f>IFERROR(VLOOKUP(AS9,'Top WS'!$A$19:$E$28,5),0)</f>
        <v>260</v>
      </c>
      <c r="BG9" s="108">
        <f>IFERROR(VLOOKUP(AT9,'Top WS'!$A$19:$E$28,5),0)</f>
        <v>180</v>
      </c>
      <c r="BH9" s="108">
        <f>IFERROR(VLOOKUP(AU9,'Top WS'!$A$19:$E$28,5),0)</f>
        <v>180</v>
      </c>
      <c r="BI9" s="108">
        <f>IFERROR(VLOOKUP(AV9,'Top WS'!$A$19:$E$28,5),0)</f>
        <v>180</v>
      </c>
      <c r="BJ9" s="108">
        <f>IFERROR(VLOOKUP(AW9,'Top WS'!$A$19:$E$28,5),0)</f>
        <v>180</v>
      </c>
      <c r="BK9" s="108">
        <f>IFERROR(VLOOKUP(AX9,'Top WS'!$A$19:$E$28,5),0)</f>
        <v>180</v>
      </c>
      <c r="BL9" s="108">
        <f>IFERROR(VLOOKUP(AY9,'Top WS'!$A$19:$E$28,5),0)</f>
        <v>180</v>
      </c>
      <c r="BM9" s="108">
        <f>IFERROR(VLOOKUP(AZ9,'Top WS'!$A$19:$E$28,5),0)</f>
        <v>180</v>
      </c>
      <c r="BN9" s="108">
        <f>IFERROR(VLOOKUP(BA9,'Top WS'!$A$19:$E$28,5),0)</f>
        <v>180</v>
      </c>
      <c r="BO9" s="108">
        <f>IFERROR(VLOOKUP(BB9,'Top WS'!$A$19:$E$28,5),0)</f>
        <v>180</v>
      </c>
      <c r="BP9" s="108">
        <f>IFERROR(VLOOKUP(BC9,'Top WS'!$A$19:$E$28,5),0)</f>
        <v>180</v>
      </c>
    </row>
    <row r="10" spans="1:68" x14ac:dyDescent="0.4">
      <c r="A10">
        <v>1190017013</v>
      </c>
      <c r="B10">
        <f>VLOOKUP(A10,'Aji Plus'!$A$2:$D$58,2,0)</f>
        <v>76289</v>
      </c>
      <c r="C10" t="str">
        <f>VLOOKUP(A10,'Aji Plus'!$A$2:$D$58,3,0)</f>
        <v>นายเธียรกวิน ใจผ่อง</v>
      </c>
      <c r="D10" t="str">
        <f>VLOOKUP(A10,'Aji Plus'!$A$2:$D$58,4,0)</f>
        <v>Pathumthani</v>
      </c>
      <c r="E10" s="1">
        <v>43.498989189344549</v>
      </c>
      <c r="F10" s="1">
        <v>40.204644416634984</v>
      </c>
      <c r="G10" s="1">
        <v>35.863359958026081</v>
      </c>
      <c r="H10" s="1">
        <v>41.947686302900138</v>
      </c>
      <c r="I10" s="1">
        <v>42.919791639381295</v>
      </c>
      <c r="J10" s="1">
        <v>44.407844950968943</v>
      </c>
      <c r="K10" s="1">
        <v>41.316439623627701</v>
      </c>
      <c r="L10" s="1">
        <v>41.807214048324596</v>
      </c>
      <c r="M10" s="1">
        <v>32.371483798215074</v>
      </c>
      <c r="N10" s="1">
        <v>45.508535794667559</v>
      </c>
      <c r="O10" s="1">
        <v>36.259863966031119</v>
      </c>
      <c r="P10" s="1">
        <v>28.347298228134942</v>
      </c>
      <c r="R10" s="1">
        <f>VLOOKUP(A10,Actual_RDNS!$A$2:$H$62,3,0)</f>
        <v>43.32</v>
      </c>
      <c r="S10" s="1">
        <f>VLOOKUP(A10,Actual_RDNS!$A$2:$H$62,4,0)</f>
        <v>380.96</v>
      </c>
      <c r="T10" s="1">
        <f>VLOOKUP(A10,Actual_RDNS!$A$2:$H$62,5,0)</f>
        <v>0</v>
      </c>
      <c r="U10" s="1">
        <f>VLOOKUP(A10,Actual_RDNS!$A$2:$H$62,6,0)</f>
        <v>91.46</v>
      </c>
      <c r="V10" s="1">
        <f>VLOOKUP(A10,Actual_RDNS!$A$2:$H$62,7,0)</f>
        <v>188.57999999999998</v>
      </c>
      <c r="W10" s="1">
        <f>VLOOKUP(A10,Actual_RDNS!$A$2:$H$62,8,0)</f>
        <v>163.79999999999998</v>
      </c>
      <c r="X10" s="102"/>
      <c r="Y10" s="102"/>
      <c r="Z10" s="102"/>
      <c r="AA10" s="102"/>
      <c r="AB10" s="102"/>
      <c r="AC10" s="102"/>
      <c r="AE10" s="88">
        <f t="shared" si="2"/>
        <v>0.9958852103766036</v>
      </c>
      <c r="AF10" s="88">
        <f t="shared" si="0"/>
        <v>9.4755221822674507</v>
      </c>
      <c r="AG10" s="88">
        <f t="shared" si="0"/>
        <v>0</v>
      </c>
      <c r="AH10" s="88">
        <f t="shared" si="0"/>
        <v>2.1803347946195717</v>
      </c>
      <c r="AI10" s="88">
        <f t="shared" si="0"/>
        <v>4.3937771549423683</v>
      </c>
      <c r="AJ10" s="88">
        <f t="shared" si="0"/>
        <v>3.6885374685678367</v>
      </c>
      <c r="AK10" s="90">
        <f t="shared" si="0"/>
        <v>0</v>
      </c>
      <c r="AL10" s="90">
        <f t="shared" si="0"/>
        <v>0</v>
      </c>
      <c r="AM10" s="90">
        <f t="shared" si="0"/>
        <v>0</v>
      </c>
      <c r="AN10" s="90">
        <f t="shared" si="0"/>
        <v>0</v>
      </c>
      <c r="AO10" s="90">
        <f t="shared" si="0"/>
        <v>0</v>
      </c>
      <c r="AP10" s="90">
        <f t="shared" si="0"/>
        <v>0</v>
      </c>
      <c r="AQ10" s="88"/>
      <c r="AR10" s="90">
        <f t="shared" si="3"/>
        <v>0.99590000000000001</v>
      </c>
      <c r="AS10" s="90">
        <f t="shared" si="1"/>
        <v>9.4755000000000003</v>
      </c>
      <c r="AT10" s="90">
        <f t="shared" si="1"/>
        <v>0</v>
      </c>
      <c r="AU10" s="90">
        <f t="shared" si="1"/>
        <v>2.1802999999999999</v>
      </c>
      <c r="AV10" s="90">
        <f t="shared" si="1"/>
        <v>4.3937999999999997</v>
      </c>
      <c r="AW10" s="90">
        <f t="shared" si="1"/>
        <v>3.6884999999999999</v>
      </c>
      <c r="AX10" s="90">
        <f t="shared" si="1"/>
        <v>0</v>
      </c>
      <c r="AY10" s="90">
        <f t="shared" si="1"/>
        <v>0</v>
      </c>
      <c r="AZ10" s="90">
        <f t="shared" si="1"/>
        <v>0</v>
      </c>
      <c r="BA10" s="90">
        <f t="shared" si="1"/>
        <v>0</v>
      </c>
      <c r="BB10" s="90">
        <f t="shared" si="1"/>
        <v>0</v>
      </c>
      <c r="BC10" s="90">
        <f t="shared" si="1"/>
        <v>0</v>
      </c>
      <c r="BD10" s="88"/>
      <c r="BE10" s="110">
        <f>IFERROR(VLOOKUP(AR10,' WS SF'!$A$19:$E$28,5),0)</f>
        <v>350</v>
      </c>
      <c r="BF10" s="110">
        <f>IFERROR(VLOOKUP(AS10,' WS SF'!$A$19:$E$28,5),0)</f>
        <v>455</v>
      </c>
      <c r="BG10" s="110">
        <f>IFERROR(VLOOKUP(AT10,' WS SF'!$A$19:$E$28,5),0)</f>
        <v>315</v>
      </c>
      <c r="BH10" s="110">
        <f>IFERROR(VLOOKUP(AU10,' WS SF'!$A$19:$E$28,5),0)</f>
        <v>455</v>
      </c>
      <c r="BI10" s="110">
        <f>IFERROR(VLOOKUP(AV10,' WS SF'!$A$19:$E$28,5),0)</f>
        <v>455</v>
      </c>
      <c r="BJ10" s="110">
        <f>IFERROR(VLOOKUP(AW10,' WS SF'!$A$19:$E$28,5),0)</f>
        <v>455</v>
      </c>
      <c r="BK10" s="110">
        <f>IFERROR(VLOOKUP(AX10,' WS SF'!$A$19:$E$28,5),0)</f>
        <v>315</v>
      </c>
      <c r="BL10" s="110">
        <f>IFERROR(VLOOKUP(AY10,' WS SF'!$A$19:$E$28,5),0)</f>
        <v>315</v>
      </c>
      <c r="BM10" s="110">
        <f>IFERROR(VLOOKUP(AZ10,' WS SF'!$A$19:$E$28,5),0)</f>
        <v>315</v>
      </c>
      <c r="BN10" s="110">
        <f>IFERROR(VLOOKUP(BA10,' WS SF'!$A$19:$E$28,5),0)</f>
        <v>315</v>
      </c>
      <c r="BO10" s="110">
        <f>IFERROR(VLOOKUP(BB10,' WS SF'!$A$19:$E$28,5),0)</f>
        <v>315</v>
      </c>
      <c r="BP10" s="110">
        <f>IFERROR(VLOOKUP(BC10,' WS SF'!$A$19:$E$28,5),0)</f>
        <v>315</v>
      </c>
    </row>
    <row r="11" spans="1:68" x14ac:dyDescent="0.4">
      <c r="A11">
        <v>1190017014</v>
      </c>
      <c r="B11">
        <f>VLOOKUP(A11,'Aji Plus'!$A$2:$D$58,2,0)</f>
        <v>63668</v>
      </c>
      <c r="C11" t="str">
        <f>VLOOKUP(A11,'Aji Plus'!$A$2:$D$58,3,0)</f>
        <v>นายมานพ สุขเจริญ</v>
      </c>
      <c r="D11" t="str">
        <f>VLOOKUP(A11,'Aji Plus'!$A$2:$D$58,4,0)</f>
        <v>Pathumthani</v>
      </c>
      <c r="E11" s="1">
        <v>39.442642473744918</v>
      </c>
      <c r="F11" s="1">
        <v>36.455500347530567</v>
      </c>
      <c r="G11" s="1">
        <v>32.519047248990958</v>
      </c>
      <c r="H11" s="1">
        <v>38.036000934278896</v>
      </c>
      <c r="I11" s="1">
        <v>38.917455973768369</v>
      </c>
      <c r="J11" s="1">
        <v>40.266746057161875</v>
      </c>
      <c r="K11" s="1">
        <v>37.463618965242695</v>
      </c>
      <c r="L11" s="1">
        <v>37.908627930492841</v>
      </c>
      <c r="M11" s="1">
        <v>29.352793837112674</v>
      </c>
      <c r="N11" s="1">
        <v>41.26479581029875</v>
      </c>
      <c r="O11" s="1">
        <v>32.878576656883055</v>
      </c>
      <c r="P11" s="1">
        <v>25.703869674811564</v>
      </c>
      <c r="R11" s="1">
        <f>VLOOKUP(A11,Actual_RDNS!$A$2:$H$62,3,0)</f>
        <v>0</v>
      </c>
      <c r="S11" s="1">
        <f>VLOOKUP(A11,Actual_RDNS!$A$2:$H$62,4,0)</f>
        <v>244.8</v>
      </c>
      <c r="T11" s="1">
        <f>VLOOKUP(A11,Actual_RDNS!$A$2:$H$62,5,0)</f>
        <v>118.80000000000001</v>
      </c>
      <c r="U11" s="1">
        <f>VLOOKUP(A11,Actual_RDNS!$A$2:$H$62,6,0)</f>
        <v>59.400000000000006</v>
      </c>
      <c r="V11" s="1">
        <f>VLOOKUP(A11,Actual_RDNS!$A$2:$H$62,7,0)</f>
        <v>0</v>
      </c>
      <c r="W11" s="1">
        <f>VLOOKUP(A11,Actual_RDNS!$A$2:$H$62,8,0)</f>
        <v>148.5</v>
      </c>
      <c r="X11" s="102"/>
      <c r="Y11" s="102"/>
      <c r="Z11" s="102"/>
      <c r="AA11" s="102"/>
      <c r="AB11" s="102"/>
      <c r="AC11" s="102"/>
      <c r="AE11" s="88">
        <f t="shared" si="2"/>
        <v>0</v>
      </c>
      <c r="AF11" s="88">
        <f t="shared" si="0"/>
        <v>6.7150360759369567</v>
      </c>
      <c r="AG11" s="88">
        <f t="shared" si="0"/>
        <v>3.6532435618539312</v>
      </c>
      <c r="AH11" s="88">
        <f t="shared" si="0"/>
        <v>1.5616783715679057</v>
      </c>
      <c r="AI11" s="88">
        <f t="shared" si="0"/>
        <v>0</v>
      </c>
      <c r="AJ11" s="88">
        <f t="shared" si="0"/>
        <v>3.6879066361407089</v>
      </c>
      <c r="AK11" s="90">
        <f t="shared" si="0"/>
        <v>0</v>
      </c>
      <c r="AL11" s="90">
        <f t="shared" si="0"/>
        <v>0</v>
      </c>
      <c r="AM11" s="90">
        <f t="shared" si="0"/>
        <v>0</v>
      </c>
      <c r="AN11" s="90">
        <f t="shared" si="0"/>
        <v>0</v>
      </c>
      <c r="AO11" s="90">
        <f t="shared" si="0"/>
        <v>0</v>
      </c>
      <c r="AP11" s="90">
        <f t="shared" si="0"/>
        <v>0</v>
      </c>
      <c r="AQ11" s="88"/>
      <c r="AR11" s="90">
        <f t="shared" si="3"/>
        <v>0</v>
      </c>
      <c r="AS11" s="90">
        <f t="shared" si="1"/>
        <v>6.7149999999999999</v>
      </c>
      <c r="AT11" s="90">
        <f t="shared" si="1"/>
        <v>3.6532</v>
      </c>
      <c r="AU11" s="90">
        <f t="shared" si="1"/>
        <v>1.5617000000000001</v>
      </c>
      <c r="AV11" s="90">
        <f t="shared" si="1"/>
        <v>0</v>
      </c>
      <c r="AW11" s="90">
        <f t="shared" si="1"/>
        <v>3.6879</v>
      </c>
      <c r="AX11" s="90">
        <f t="shared" si="1"/>
        <v>0</v>
      </c>
      <c r="AY11" s="90">
        <f t="shared" si="1"/>
        <v>0</v>
      </c>
      <c r="AZ11" s="90">
        <f t="shared" si="1"/>
        <v>0</v>
      </c>
      <c r="BA11" s="90">
        <f t="shared" si="1"/>
        <v>0</v>
      </c>
      <c r="BB11" s="90">
        <f t="shared" si="1"/>
        <v>0</v>
      </c>
      <c r="BC11" s="90">
        <f t="shared" si="1"/>
        <v>0</v>
      </c>
      <c r="BD11" s="88"/>
      <c r="BE11" s="111">
        <f>IFERROR(VLOOKUP(AR11,'WS WH'!$A$19:$E$28,5),0)</f>
        <v>157.5</v>
      </c>
      <c r="BF11" s="111">
        <f>IFERROR(VLOOKUP(AS11,'WS WH'!$A$19:$E$28,5),0)</f>
        <v>227.5</v>
      </c>
      <c r="BG11" s="111">
        <f>IFERROR(VLOOKUP(AT11,'WS WH'!$A$19:$E$28,5),0)</f>
        <v>227.5</v>
      </c>
      <c r="BH11" s="111">
        <f>IFERROR(VLOOKUP(AU11,'WS WH'!$A$19:$E$28,5),0)</f>
        <v>227.5</v>
      </c>
      <c r="BI11" s="111">
        <f>IFERROR(VLOOKUP(AV11,'WS WH'!$A$19:$E$28,5),0)</f>
        <v>157.5</v>
      </c>
      <c r="BJ11" s="111">
        <f>IFERROR(VLOOKUP(AW11,'WS WH'!$A$19:$E$28,5),0)</f>
        <v>227.5</v>
      </c>
      <c r="BK11" s="111">
        <f>IFERROR(VLOOKUP(AX11,'WS WH'!$A$19:$E$28,5),0)</f>
        <v>157.5</v>
      </c>
      <c r="BL11" s="111">
        <f>IFERROR(VLOOKUP(AY11,'WS WH'!$A$19:$E$28,5),0)</f>
        <v>157.5</v>
      </c>
      <c r="BM11" s="111">
        <f>IFERROR(VLOOKUP(AZ11,'WS WH'!$A$19:$E$28,5),0)</f>
        <v>157.5</v>
      </c>
      <c r="BN11" s="111">
        <f>IFERROR(VLOOKUP(BA11,'WS WH'!$A$19:$E$28,5),0)</f>
        <v>157.5</v>
      </c>
      <c r="BO11" s="111">
        <f>IFERROR(VLOOKUP(BB11,'WS WH'!$A$19:$E$28,5),0)</f>
        <v>157.5</v>
      </c>
      <c r="BP11" s="111">
        <f>IFERROR(VLOOKUP(BC11,'WS WH'!$A$19:$E$28,5),0)</f>
        <v>157.5</v>
      </c>
    </row>
    <row r="12" spans="1:68" x14ac:dyDescent="0.4">
      <c r="A12">
        <v>1190021901</v>
      </c>
      <c r="B12">
        <f>VLOOKUP(A12,'Aji Plus'!$A$2:$D$58,2,0)</f>
        <v>76043</v>
      </c>
      <c r="C12" t="str">
        <f>VLOOKUP(A12,'Aji Plus'!$A$2:$D$58,3,0)</f>
        <v>นายธนรัตน์ บัวสอด</v>
      </c>
      <c r="D12" t="str">
        <f>VLOOKUP(A12,'Aji Plus'!$A$2:$D$58,4,0)</f>
        <v>Chiangmai</v>
      </c>
      <c r="E12" s="1">
        <v>1055.6831399905575</v>
      </c>
      <c r="F12" s="1">
        <v>619.66212772323172</v>
      </c>
      <c r="G12" s="1">
        <v>848.22844456630219</v>
      </c>
      <c r="H12" s="1">
        <v>917.63780661215617</v>
      </c>
      <c r="I12" s="1">
        <v>823.39417409967098</v>
      </c>
      <c r="J12" s="1">
        <v>779.74826283612447</v>
      </c>
      <c r="K12" s="1">
        <v>701.65840047276049</v>
      </c>
      <c r="L12" s="1">
        <v>794.42786692620291</v>
      </c>
      <c r="M12" s="1">
        <v>639.03264750985954</v>
      </c>
      <c r="N12" s="1">
        <v>755.99414596213978</v>
      </c>
      <c r="O12" s="1">
        <v>752.23611544695973</v>
      </c>
      <c r="P12" s="1">
        <v>837.29686785403362</v>
      </c>
      <c r="R12" s="1">
        <f>VLOOKUP(A12,Actual_RDNS!$A$2:$H$62,3,0)</f>
        <v>166.51999999999998</v>
      </c>
      <c r="S12" s="1">
        <f>VLOOKUP(A12,Actual_RDNS!$A$2:$H$62,4,0)</f>
        <v>1644.8000000000002</v>
      </c>
      <c r="T12" s="1">
        <f>VLOOKUP(A12,Actual_RDNS!$A$2:$H$62,5,0)</f>
        <v>1233.0399999999997</v>
      </c>
      <c r="U12" s="1">
        <f>VLOOKUP(A12,Actual_RDNS!$A$2:$H$62,6,0)</f>
        <v>576.93999999999994</v>
      </c>
      <c r="V12" s="1">
        <f>VLOOKUP(A12,Actual_RDNS!$A$2:$H$62,7,0)</f>
        <v>759.42000000000007</v>
      </c>
      <c r="W12" s="1">
        <f>VLOOKUP(A12,Actual_RDNS!$A$2:$H$62,8,0)</f>
        <v>668.04000000000008</v>
      </c>
      <c r="X12" s="102"/>
      <c r="Y12" s="102"/>
      <c r="Z12" s="102"/>
      <c r="AA12" s="102"/>
      <c r="AB12" s="102"/>
      <c r="AC12" s="102"/>
      <c r="AE12" s="88">
        <f t="shared" si="2"/>
        <v>0.15773672392029431</v>
      </c>
      <c r="AF12" s="88">
        <f t="shared" si="0"/>
        <v>2.654349727719103</v>
      </c>
      <c r="AG12" s="88">
        <f t="shared" si="0"/>
        <v>1.4536649977948466</v>
      </c>
      <c r="AH12" s="88">
        <f t="shared" si="0"/>
        <v>0.62872300579028595</v>
      </c>
      <c r="AI12" s="88">
        <f t="shared" si="0"/>
        <v>0.92230431534249979</v>
      </c>
      <c r="AJ12" s="88">
        <f t="shared" si="0"/>
        <v>0.85673804205755377</v>
      </c>
      <c r="AK12" s="90">
        <f t="shared" si="0"/>
        <v>0</v>
      </c>
      <c r="AL12" s="90">
        <f t="shared" si="0"/>
        <v>0</v>
      </c>
      <c r="AM12" s="90">
        <f t="shared" si="0"/>
        <v>0</v>
      </c>
      <c r="AN12" s="90">
        <f t="shared" si="0"/>
        <v>0</v>
      </c>
      <c r="AO12" s="90">
        <f t="shared" si="0"/>
        <v>0</v>
      </c>
      <c r="AP12" s="90">
        <f t="shared" si="0"/>
        <v>0</v>
      </c>
      <c r="AQ12" s="88"/>
      <c r="AR12" s="90">
        <f t="shared" si="3"/>
        <v>0.15770000000000001</v>
      </c>
      <c r="AS12" s="90">
        <f t="shared" si="1"/>
        <v>2.6543000000000001</v>
      </c>
      <c r="AT12" s="90">
        <f t="shared" si="1"/>
        <v>1.4537</v>
      </c>
      <c r="AU12" s="90">
        <f t="shared" si="1"/>
        <v>0.62870000000000004</v>
      </c>
      <c r="AV12" s="90">
        <f t="shared" si="1"/>
        <v>0.92230000000000001</v>
      </c>
      <c r="AW12" s="90">
        <f t="shared" si="1"/>
        <v>0.85670000000000002</v>
      </c>
      <c r="AX12" s="90">
        <f t="shared" si="1"/>
        <v>0</v>
      </c>
      <c r="AY12" s="90">
        <f t="shared" si="1"/>
        <v>0</v>
      </c>
      <c r="AZ12" s="90">
        <f t="shared" si="1"/>
        <v>0</v>
      </c>
      <c r="BA12" s="90">
        <f t="shared" si="1"/>
        <v>0</v>
      </c>
      <c r="BB12" s="90">
        <f t="shared" si="1"/>
        <v>0</v>
      </c>
      <c r="BC12" s="90">
        <f t="shared" si="1"/>
        <v>0</v>
      </c>
      <c r="BD12" s="88"/>
      <c r="BE12" s="1">
        <f>IFERROR(VLOOKUP(AR12,'Top WS'!$A$19:$E$28,5),0)</f>
        <v>180</v>
      </c>
      <c r="BF12" s="1">
        <f>IFERROR(VLOOKUP(AS12,'Top WS'!$A$19:$E$28,5),0)</f>
        <v>260</v>
      </c>
      <c r="BG12" s="1">
        <f>IFERROR(VLOOKUP(AT12,'Top WS'!$A$19:$E$28,5),0)</f>
        <v>260</v>
      </c>
      <c r="BH12" s="1">
        <f>IFERROR(VLOOKUP(AU12,'Top WS'!$A$19:$E$28,5),0)</f>
        <v>180</v>
      </c>
      <c r="BI12" s="1">
        <f>IFERROR(VLOOKUP(AV12,'Top WS'!$A$19:$E$28,5),0)</f>
        <v>190</v>
      </c>
      <c r="BJ12" s="1">
        <f>IFERROR(VLOOKUP(AW12,'Top WS'!$A$19:$E$28,5),0)</f>
        <v>180</v>
      </c>
      <c r="BK12" s="89">
        <f>IFERROR(VLOOKUP(AX12,'Top WS'!$A$19:$E$28,5),0)</f>
        <v>180</v>
      </c>
      <c r="BL12" s="89">
        <f>IFERROR(VLOOKUP(AY12,'Top WS'!$A$19:$E$28,5),0)</f>
        <v>180</v>
      </c>
      <c r="BM12" s="89">
        <f>IFERROR(VLOOKUP(AZ12,'Top WS'!$A$19:$E$28,5),0)</f>
        <v>180</v>
      </c>
      <c r="BN12" s="89">
        <f>IFERROR(VLOOKUP(BA12,'Top WS'!$A$19:$E$28,5),0)</f>
        <v>180</v>
      </c>
      <c r="BO12" s="89">
        <f>IFERROR(VLOOKUP(BB12,'Top WS'!$A$19:$E$28,5),0)</f>
        <v>180</v>
      </c>
      <c r="BP12" s="89">
        <f>IFERROR(VLOOKUP(BC12,'Top WS'!$A$19:$E$28,5),0)</f>
        <v>180</v>
      </c>
    </row>
    <row r="13" spans="1:68" x14ac:dyDescent="0.4">
      <c r="A13">
        <v>1190021902</v>
      </c>
      <c r="B13">
        <f>VLOOKUP(A13,'Aji Plus'!$A$2:$D$58,2,0)</f>
        <v>75835</v>
      </c>
      <c r="C13" t="str">
        <f>VLOOKUP(A13,'Aji Plus'!$A$2:$D$58,3,0)</f>
        <v>นายอนุวัฒน์ บุญจง</v>
      </c>
      <c r="D13" t="str">
        <f>VLOOKUP(A13,'Aji Plus'!$A$2:$D$58,4,0)</f>
        <v>Chiangmai</v>
      </c>
      <c r="E13" s="1">
        <v>703.23459561575726</v>
      </c>
      <c r="F13" s="1">
        <v>412.78280319201099</v>
      </c>
      <c r="G13" s="1">
        <v>565.04036543550524</v>
      </c>
      <c r="H13" s="1">
        <v>611.27683810542055</v>
      </c>
      <c r="I13" s="1">
        <v>548.49722148686749</v>
      </c>
      <c r="J13" s="1">
        <v>519.42285855067826</v>
      </c>
      <c r="K13" s="1">
        <v>467.40394236216963</v>
      </c>
      <c r="L13" s="1">
        <v>529.20155544847853</v>
      </c>
      <c r="M13" s="1">
        <v>425.68631479790645</v>
      </c>
      <c r="N13" s="1">
        <v>503.59924998737813</v>
      </c>
      <c r="O13" s="1">
        <v>501.09586903002202</v>
      </c>
      <c r="P13" s="1">
        <v>557.75838598780513</v>
      </c>
      <c r="R13" s="1">
        <f>VLOOKUP(A13,Actual_RDNS!$A$2:$H$62,3,0)</f>
        <v>216</v>
      </c>
      <c r="S13" s="1">
        <f>VLOOKUP(A13,Actual_RDNS!$A$2:$H$62,4,0)</f>
        <v>714.59999999999991</v>
      </c>
      <c r="T13" s="1">
        <f>VLOOKUP(A13,Actual_RDNS!$A$2:$H$62,5,0)</f>
        <v>415.79999999999995</v>
      </c>
      <c r="U13" s="1">
        <f>VLOOKUP(A13,Actual_RDNS!$A$2:$H$62,6,0)</f>
        <v>50.4</v>
      </c>
      <c r="V13" s="1">
        <f>VLOOKUP(A13,Actual_RDNS!$A$2:$H$62,7,0)</f>
        <v>67.5</v>
      </c>
      <c r="W13" s="1">
        <f>VLOOKUP(A13,Actual_RDNS!$A$2:$H$62,8,0)</f>
        <v>281.7</v>
      </c>
      <c r="X13" s="102"/>
      <c r="Y13" s="102"/>
      <c r="Z13" s="102"/>
      <c r="AA13" s="102"/>
      <c r="AB13" s="102"/>
      <c r="AC13" s="102"/>
      <c r="AE13" s="88">
        <f t="shared" si="2"/>
        <v>0.30715212440717432</v>
      </c>
      <c r="AF13" s="88">
        <f t="shared" si="0"/>
        <v>1.731176770141742</v>
      </c>
      <c r="AG13" s="88">
        <f t="shared" si="0"/>
        <v>0.73587663012273796</v>
      </c>
      <c r="AH13" s="88">
        <f t="shared" si="0"/>
        <v>8.2450367588290718E-2</v>
      </c>
      <c r="AI13" s="88">
        <f t="shared" si="0"/>
        <v>0.12306352221260274</v>
      </c>
      <c r="AJ13" s="88">
        <f t="shared" si="0"/>
        <v>0.54233269745966617</v>
      </c>
      <c r="AK13" s="90">
        <f t="shared" si="0"/>
        <v>0</v>
      </c>
      <c r="AL13" s="90">
        <f t="shared" si="0"/>
        <v>0</v>
      </c>
      <c r="AM13" s="90">
        <f t="shared" si="0"/>
        <v>0</v>
      </c>
      <c r="AN13" s="90">
        <f t="shared" si="0"/>
        <v>0</v>
      </c>
      <c r="AO13" s="90">
        <f t="shared" si="0"/>
        <v>0</v>
      </c>
      <c r="AP13" s="90">
        <f t="shared" si="0"/>
        <v>0</v>
      </c>
      <c r="AQ13" s="88"/>
      <c r="AR13" s="90">
        <f t="shared" si="3"/>
        <v>0.30719999999999997</v>
      </c>
      <c r="AS13" s="90">
        <f t="shared" si="1"/>
        <v>1.7312000000000001</v>
      </c>
      <c r="AT13" s="90">
        <f t="shared" si="1"/>
        <v>0.7359</v>
      </c>
      <c r="AU13" s="90">
        <f t="shared" si="1"/>
        <v>8.2500000000000004E-2</v>
      </c>
      <c r="AV13" s="90">
        <f t="shared" si="1"/>
        <v>0.1231</v>
      </c>
      <c r="AW13" s="90">
        <f t="shared" si="1"/>
        <v>0.5423</v>
      </c>
      <c r="AX13" s="90">
        <f t="shared" si="1"/>
        <v>0</v>
      </c>
      <c r="AY13" s="90">
        <f t="shared" si="1"/>
        <v>0</v>
      </c>
      <c r="AZ13" s="90">
        <f t="shared" si="1"/>
        <v>0</v>
      </c>
      <c r="BA13" s="90">
        <f t="shared" si="1"/>
        <v>0</v>
      </c>
      <c r="BB13" s="90">
        <f t="shared" si="1"/>
        <v>0</v>
      </c>
      <c r="BC13" s="90">
        <f t="shared" si="1"/>
        <v>0</v>
      </c>
      <c r="BD13" s="88"/>
      <c r="BE13" s="1">
        <f>IFERROR(VLOOKUP(AR13,'Top WS'!$A$19:$E$28,5),0)</f>
        <v>180</v>
      </c>
      <c r="BF13" s="1">
        <f>IFERROR(VLOOKUP(AS13,'Top WS'!$A$19:$E$28,5),0)</f>
        <v>260</v>
      </c>
      <c r="BG13" s="1">
        <f>IFERROR(VLOOKUP(AT13,'Top WS'!$A$19:$E$28,5),0)</f>
        <v>180</v>
      </c>
      <c r="BH13" s="1">
        <f>IFERROR(VLOOKUP(AU13,'Top WS'!$A$19:$E$28,5),0)</f>
        <v>180</v>
      </c>
      <c r="BI13" s="1">
        <f>IFERROR(VLOOKUP(AV13,'Top WS'!$A$19:$E$28,5),0)</f>
        <v>180</v>
      </c>
      <c r="BJ13" s="1">
        <f>IFERROR(VLOOKUP(AW13,'Top WS'!$A$19:$E$28,5),0)</f>
        <v>180</v>
      </c>
      <c r="BK13" s="89">
        <f>IFERROR(VLOOKUP(AX13,'Top WS'!$A$19:$E$28,5),0)</f>
        <v>180</v>
      </c>
      <c r="BL13" s="89">
        <f>IFERROR(VLOOKUP(AY13,'Top WS'!$A$19:$E$28,5),0)</f>
        <v>180</v>
      </c>
      <c r="BM13" s="89">
        <f>IFERROR(VLOOKUP(AZ13,'Top WS'!$A$19:$E$28,5),0)</f>
        <v>180</v>
      </c>
      <c r="BN13" s="89">
        <f>IFERROR(VLOOKUP(BA13,'Top WS'!$A$19:$E$28,5),0)</f>
        <v>180</v>
      </c>
      <c r="BO13" s="89">
        <f>IFERROR(VLOOKUP(BB13,'Top WS'!$A$19:$E$28,5),0)</f>
        <v>180</v>
      </c>
      <c r="BP13" s="89">
        <f>IFERROR(VLOOKUP(BC13,'Top WS'!$A$19:$E$28,5),0)</f>
        <v>180</v>
      </c>
    </row>
    <row r="14" spans="1:68" x14ac:dyDescent="0.4">
      <c r="A14">
        <v>1190022001</v>
      </c>
      <c r="B14">
        <f>VLOOKUP(A14,'Aji Plus'!$A$2:$D$58,2,0)</f>
        <v>100352</v>
      </c>
      <c r="C14" t="str">
        <f>VLOOKUP(A14,'Aji Plus'!$A$2:$D$58,3,0)</f>
        <v>นายชาตรี ขุนทอง</v>
      </c>
      <c r="D14" t="str">
        <f>VLOOKUP(A14,'Aji Plus'!$A$2:$D$58,4,0)</f>
        <v>Chiangrai</v>
      </c>
      <c r="E14" s="1">
        <v>1755.592749338628</v>
      </c>
      <c r="F14" s="1">
        <v>1030.4932391743821</v>
      </c>
      <c r="G14" s="1">
        <v>1410.5972243496301</v>
      </c>
      <c r="H14" s="1">
        <v>1526.0244469014754</v>
      </c>
      <c r="I14" s="1">
        <v>1369.298028109059</v>
      </c>
      <c r="J14" s="1">
        <v>1296.7152213463739</v>
      </c>
      <c r="K14" s="1">
        <v>1166.8523951169057</v>
      </c>
      <c r="L14" s="1">
        <v>1321.1272873607406</v>
      </c>
      <c r="M14" s="1">
        <v>1062.7062610557664</v>
      </c>
      <c r="N14" s="1">
        <v>1257.2123120252277</v>
      </c>
      <c r="O14" s="1">
        <v>1250.9627368692747</v>
      </c>
      <c r="P14" s="1">
        <v>1392.4180983525346</v>
      </c>
      <c r="R14" s="1">
        <f>VLOOKUP(A14,Actual_RDNS!$A$2:$H$62,3,0)</f>
        <v>620.66</v>
      </c>
      <c r="S14" s="1">
        <f>VLOOKUP(A14,Actual_RDNS!$A$2:$H$62,4,0)</f>
        <v>1893.54</v>
      </c>
      <c r="T14" s="1">
        <f>VLOOKUP(A14,Actual_RDNS!$A$2:$H$62,5,0)</f>
        <v>1227.32</v>
      </c>
      <c r="U14" s="1">
        <f>VLOOKUP(A14,Actual_RDNS!$A$2:$H$62,6,0)</f>
        <v>730.59999999999991</v>
      </c>
      <c r="V14" s="1">
        <f>VLOOKUP(A14,Actual_RDNS!$A$2:$H$62,7,0)</f>
        <v>847.66</v>
      </c>
      <c r="W14" s="1">
        <f>VLOOKUP(A14,Actual_RDNS!$A$2:$H$62,8,0)</f>
        <v>1069.8799999999999</v>
      </c>
      <c r="X14" s="102"/>
      <c r="Y14" s="102"/>
      <c r="Z14" s="102"/>
      <c r="AA14" s="102"/>
      <c r="AB14" s="102"/>
      <c r="AC14" s="102"/>
      <c r="AE14" s="88">
        <f t="shared" si="2"/>
        <v>0.35353301626121253</v>
      </c>
      <c r="AF14" s="88">
        <f t="shared" si="0"/>
        <v>1.8375084163745508</v>
      </c>
      <c r="AG14" s="88">
        <f t="shared" si="0"/>
        <v>0.8700711860296394</v>
      </c>
      <c r="AH14" s="88">
        <f t="shared" si="0"/>
        <v>0.47876035110934867</v>
      </c>
      <c r="AI14" s="88">
        <f t="shared" si="0"/>
        <v>0.61904711947229019</v>
      </c>
      <c r="AJ14" s="88">
        <f t="shared" si="0"/>
        <v>0.82506936171316625</v>
      </c>
      <c r="AK14" s="90">
        <f t="shared" si="0"/>
        <v>0</v>
      </c>
      <c r="AL14" s="90">
        <f t="shared" si="0"/>
        <v>0</v>
      </c>
      <c r="AM14" s="90">
        <f t="shared" si="0"/>
        <v>0</v>
      </c>
      <c r="AN14" s="90">
        <f t="shared" si="0"/>
        <v>0</v>
      </c>
      <c r="AO14" s="90">
        <f t="shared" si="0"/>
        <v>0</v>
      </c>
      <c r="AP14" s="90">
        <f t="shared" si="0"/>
        <v>0</v>
      </c>
      <c r="AQ14" s="88"/>
      <c r="AR14" s="90">
        <f t="shared" si="3"/>
        <v>0.35349999999999998</v>
      </c>
      <c r="AS14" s="90">
        <f t="shared" si="1"/>
        <v>1.8374999999999999</v>
      </c>
      <c r="AT14" s="90">
        <f t="shared" si="1"/>
        <v>0.87009999999999998</v>
      </c>
      <c r="AU14" s="90">
        <f t="shared" si="1"/>
        <v>0.4788</v>
      </c>
      <c r="AV14" s="90">
        <f t="shared" si="1"/>
        <v>0.61899999999999999</v>
      </c>
      <c r="AW14" s="90">
        <f t="shared" si="1"/>
        <v>0.82509999999999994</v>
      </c>
      <c r="AX14" s="90">
        <f t="shared" si="1"/>
        <v>0</v>
      </c>
      <c r="AY14" s="90">
        <f t="shared" si="1"/>
        <v>0</v>
      </c>
      <c r="AZ14" s="90">
        <f t="shared" si="1"/>
        <v>0</v>
      </c>
      <c r="BA14" s="90">
        <f t="shared" si="1"/>
        <v>0</v>
      </c>
      <c r="BB14" s="90">
        <f t="shared" si="1"/>
        <v>0</v>
      </c>
      <c r="BC14" s="90">
        <f t="shared" si="1"/>
        <v>0</v>
      </c>
      <c r="BD14" s="88"/>
      <c r="BE14" s="1">
        <f>IFERROR(VLOOKUP(AR14,'Top WS'!$A$19:$E$28,5),0)</f>
        <v>180</v>
      </c>
      <c r="BF14" s="1">
        <f>IFERROR(VLOOKUP(AS14,'Top WS'!$A$19:$E$28,5),0)</f>
        <v>260</v>
      </c>
      <c r="BG14" s="1">
        <f>IFERROR(VLOOKUP(AT14,'Top WS'!$A$19:$E$28,5),0)</f>
        <v>180</v>
      </c>
      <c r="BH14" s="1">
        <f>IFERROR(VLOOKUP(AU14,'Top WS'!$A$19:$E$28,5),0)</f>
        <v>180</v>
      </c>
      <c r="BI14" s="1">
        <f>IFERROR(VLOOKUP(AV14,'Top WS'!$A$19:$E$28,5),0)</f>
        <v>180</v>
      </c>
      <c r="BJ14" s="1">
        <f>IFERROR(VLOOKUP(AW14,'Top WS'!$A$19:$E$28,5),0)</f>
        <v>180</v>
      </c>
      <c r="BK14" s="89">
        <f>IFERROR(VLOOKUP(AX14,'Top WS'!$A$19:$E$28,5),0)</f>
        <v>180</v>
      </c>
      <c r="BL14" s="89">
        <f>IFERROR(VLOOKUP(AY14,'Top WS'!$A$19:$E$28,5),0)</f>
        <v>180</v>
      </c>
      <c r="BM14" s="89">
        <f>IFERROR(VLOOKUP(AZ14,'Top WS'!$A$19:$E$28,5),0)</f>
        <v>180</v>
      </c>
      <c r="BN14" s="89">
        <f>IFERROR(VLOOKUP(BA14,'Top WS'!$A$19:$E$28,5),0)</f>
        <v>180</v>
      </c>
      <c r="BO14" s="89">
        <f>IFERROR(VLOOKUP(BB14,'Top WS'!$A$19:$E$28,5),0)</f>
        <v>180</v>
      </c>
      <c r="BP14" s="89">
        <f>IFERROR(VLOOKUP(BC14,'Top WS'!$A$19:$E$28,5),0)</f>
        <v>180</v>
      </c>
    </row>
    <row r="15" spans="1:68" x14ac:dyDescent="0.4">
      <c r="A15">
        <v>1190022101</v>
      </c>
      <c r="B15">
        <f>VLOOKUP(A15,'Aji Plus'!$A$2:$D$58,2,0)</f>
        <v>61276</v>
      </c>
      <c r="C15" t="str">
        <f>VLOOKUP(A15,'Aji Plus'!$A$2:$D$58,3,0)</f>
        <v>นายพงษ์ศักดิ์ เวียงนาค</v>
      </c>
      <c r="D15" t="str">
        <f>VLOOKUP(A15,'Aji Plus'!$A$2:$D$58,4,0)</f>
        <v>Phrae</v>
      </c>
      <c r="E15" s="1">
        <v>1229.1365902882187</v>
      </c>
      <c r="F15" s="1">
        <v>721.47538020479146</v>
      </c>
      <c r="G15" s="1">
        <v>987.59616275488611</v>
      </c>
      <c r="H15" s="1">
        <v>1068.4097926854395</v>
      </c>
      <c r="I15" s="1">
        <v>958.68151084150668</v>
      </c>
      <c r="J15" s="1">
        <v>907.86438161182366</v>
      </c>
      <c r="K15" s="1">
        <v>816.94400642970231</v>
      </c>
      <c r="L15" s="1">
        <v>924.9559101534478</v>
      </c>
      <c r="M15" s="1">
        <v>744.0285628225032</v>
      </c>
      <c r="N15" s="1">
        <v>880.20735734594541</v>
      </c>
      <c r="O15" s="1">
        <v>875.83186564900609</v>
      </c>
      <c r="P15" s="1">
        <v>974.86847921272783</v>
      </c>
      <c r="R15" s="1">
        <f>VLOOKUP(A15,Actual_RDNS!$A$2:$H$62,3,0)</f>
        <v>623.54000000000019</v>
      </c>
      <c r="S15" s="1">
        <f>VLOOKUP(A15,Actual_RDNS!$A$2:$H$62,4,0)</f>
        <v>1326.72</v>
      </c>
      <c r="T15" s="1">
        <f>VLOOKUP(A15,Actual_RDNS!$A$2:$H$62,5,0)</f>
        <v>712.75999999999988</v>
      </c>
      <c r="U15" s="1">
        <f>VLOOKUP(A15,Actual_RDNS!$A$2:$H$62,6,0)</f>
        <v>397.32</v>
      </c>
      <c r="V15" s="1">
        <f>VLOOKUP(A15,Actual_RDNS!$A$2:$H$62,7,0)</f>
        <v>310.53999999999996</v>
      </c>
      <c r="W15" s="1">
        <f>VLOOKUP(A15,Actual_RDNS!$A$2:$H$62,8,0)</f>
        <v>563.01999999999987</v>
      </c>
      <c r="X15" s="102"/>
      <c r="Y15" s="102"/>
      <c r="Z15" s="102"/>
      <c r="AA15" s="102"/>
      <c r="AB15" s="102"/>
      <c r="AC15" s="102"/>
      <c r="AE15" s="88">
        <f t="shared" si="2"/>
        <v>0.50729919272339541</v>
      </c>
      <c r="AF15" s="88">
        <f t="shared" si="0"/>
        <v>1.8388985076987787</v>
      </c>
      <c r="AG15" s="88">
        <f t="shared" si="0"/>
        <v>0.72171199816306042</v>
      </c>
      <c r="AH15" s="88">
        <f t="shared" si="0"/>
        <v>0.37187978126009064</v>
      </c>
      <c r="AI15" s="88">
        <f t="shared" si="0"/>
        <v>0.32392405244930167</v>
      </c>
      <c r="AJ15" s="88">
        <f t="shared" si="0"/>
        <v>0.62015870586354915</v>
      </c>
      <c r="AK15" s="90">
        <f t="shared" si="0"/>
        <v>0</v>
      </c>
      <c r="AL15" s="90">
        <f t="shared" si="0"/>
        <v>0</v>
      </c>
      <c r="AM15" s="90">
        <f t="shared" si="0"/>
        <v>0</v>
      </c>
      <c r="AN15" s="90">
        <f t="shared" si="0"/>
        <v>0</v>
      </c>
      <c r="AO15" s="90">
        <f t="shared" si="0"/>
        <v>0</v>
      </c>
      <c r="AP15" s="90">
        <f t="shared" si="0"/>
        <v>0</v>
      </c>
      <c r="AQ15" s="88"/>
      <c r="AR15" s="90">
        <f t="shared" si="3"/>
        <v>0.50729999999999997</v>
      </c>
      <c r="AS15" s="90">
        <f t="shared" si="1"/>
        <v>1.8389</v>
      </c>
      <c r="AT15" s="90">
        <f t="shared" si="1"/>
        <v>0.72170000000000001</v>
      </c>
      <c r="AU15" s="90">
        <f t="shared" si="1"/>
        <v>0.37190000000000001</v>
      </c>
      <c r="AV15" s="90">
        <f t="shared" si="1"/>
        <v>0.32390000000000002</v>
      </c>
      <c r="AW15" s="90">
        <f t="shared" si="1"/>
        <v>0.62019999999999997</v>
      </c>
      <c r="AX15" s="90">
        <f t="shared" si="1"/>
        <v>0</v>
      </c>
      <c r="AY15" s="90">
        <f t="shared" si="1"/>
        <v>0</v>
      </c>
      <c r="AZ15" s="90">
        <f t="shared" si="1"/>
        <v>0</v>
      </c>
      <c r="BA15" s="90">
        <f t="shared" si="1"/>
        <v>0</v>
      </c>
      <c r="BB15" s="90">
        <f t="shared" si="1"/>
        <v>0</v>
      </c>
      <c r="BC15" s="90">
        <f t="shared" si="1"/>
        <v>0</v>
      </c>
      <c r="BD15" s="88"/>
      <c r="BE15" s="1">
        <f>IFERROR(VLOOKUP(AR15,'Top WS'!$A$19:$E$28,5),0)</f>
        <v>180</v>
      </c>
      <c r="BF15" s="1">
        <f>IFERROR(VLOOKUP(AS15,'Top WS'!$A$19:$E$28,5),0)</f>
        <v>260</v>
      </c>
      <c r="BG15" s="1">
        <f>IFERROR(VLOOKUP(AT15,'Top WS'!$A$19:$E$28,5),0)</f>
        <v>180</v>
      </c>
      <c r="BH15" s="1">
        <f>IFERROR(VLOOKUP(AU15,'Top WS'!$A$19:$E$28,5),0)</f>
        <v>180</v>
      </c>
      <c r="BI15" s="1">
        <f>IFERROR(VLOOKUP(AV15,'Top WS'!$A$19:$E$28,5),0)</f>
        <v>180</v>
      </c>
      <c r="BJ15" s="1">
        <f>IFERROR(VLOOKUP(AW15,'Top WS'!$A$19:$E$28,5),0)</f>
        <v>180</v>
      </c>
      <c r="BK15" s="89">
        <f>IFERROR(VLOOKUP(AX15,'Top WS'!$A$19:$E$28,5),0)</f>
        <v>180</v>
      </c>
      <c r="BL15" s="89">
        <f>IFERROR(VLOOKUP(AY15,'Top WS'!$A$19:$E$28,5),0)</f>
        <v>180</v>
      </c>
      <c r="BM15" s="89">
        <f>IFERROR(VLOOKUP(AZ15,'Top WS'!$A$19:$E$28,5),0)</f>
        <v>180</v>
      </c>
      <c r="BN15" s="89">
        <f>IFERROR(VLOOKUP(BA15,'Top WS'!$A$19:$E$28,5),0)</f>
        <v>180</v>
      </c>
      <c r="BO15" s="89">
        <f>IFERROR(VLOOKUP(BB15,'Top WS'!$A$19:$E$28,5),0)</f>
        <v>180</v>
      </c>
      <c r="BP15" s="89">
        <f>IFERROR(VLOOKUP(BC15,'Top WS'!$A$19:$E$28,5),0)</f>
        <v>180</v>
      </c>
    </row>
    <row r="16" spans="1:68" x14ac:dyDescent="0.4">
      <c r="A16">
        <v>1190022201</v>
      </c>
      <c r="B16">
        <f>VLOOKUP(A16,'Aji Plus'!$A$2:$D$58,2,0)</f>
        <v>61616</v>
      </c>
      <c r="C16" t="str">
        <f>VLOOKUP(A16,'Aji Plus'!$A$2:$D$58,3,0)</f>
        <v>นายฐิติพงศ์ ก๋าเมืองลือ</v>
      </c>
      <c r="D16" t="str">
        <f>VLOOKUP(A16,'Aji Plus'!$A$2:$D$58,4,0)</f>
        <v>Lampang</v>
      </c>
      <c r="E16" s="1">
        <v>605</v>
      </c>
      <c r="F16" s="1">
        <v>538</v>
      </c>
      <c r="G16" s="1">
        <v>370</v>
      </c>
      <c r="H16" s="1">
        <v>365</v>
      </c>
      <c r="I16" s="1">
        <v>754</v>
      </c>
      <c r="J16" s="1">
        <v>922</v>
      </c>
      <c r="K16" s="1">
        <v>571</v>
      </c>
      <c r="L16" s="1">
        <v>918</v>
      </c>
      <c r="M16" s="1">
        <v>749</v>
      </c>
      <c r="N16" s="1">
        <v>941</v>
      </c>
      <c r="O16" s="1">
        <v>634</v>
      </c>
      <c r="P16" s="1">
        <v>831</v>
      </c>
      <c r="R16" s="1">
        <f>VLOOKUP(A16,Actual_RDNS!$A$2:$H$62,3,0)</f>
        <v>469.2</v>
      </c>
      <c r="S16" s="1">
        <f>VLOOKUP(A16,Actual_RDNS!$A$2:$H$62,4,0)</f>
        <v>1822.06</v>
      </c>
      <c r="T16" s="1">
        <f>VLOOKUP(A16,Actual_RDNS!$A$2:$H$62,5,0)</f>
        <v>670.68</v>
      </c>
      <c r="U16" s="1">
        <f>VLOOKUP(A16,Actual_RDNS!$A$2:$H$62,6,0)</f>
        <v>536.22</v>
      </c>
      <c r="V16" s="1">
        <f>VLOOKUP(A16,Actual_RDNS!$A$2:$H$62,7,0)</f>
        <v>865.81999999999982</v>
      </c>
      <c r="W16" s="1">
        <f>VLOOKUP(A16,Actual_RDNS!$A$2:$H$62,8,0)</f>
        <v>1280.74</v>
      </c>
      <c r="X16" s="102"/>
      <c r="Y16" s="102"/>
      <c r="Z16" s="102"/>
      <c r="AA16" s="102"/>
      <c r="AB16" s="102"/>
      <c r="AC16" s="102"/>
      <c r="AE16" s="88">
        <f t="shared" si="2"/>
        <v>0.77553719008264466</v>
      </c>
      <c r="AF16" s="88">
        <f t="shared" si="0"/>
        <v>3.3867286245353161</v>
      </c>
      <c r="AG16" s="88">
        <f t="shared" si="0"/>
        <v>1.8126486486486486</v>
      </c>
      <c r="AH16" s="88">
        <f t="shared" si="0"/>
        <v>1.469095890410959</v>
      </c>
      <c r="AI16" s="88">
        <f t="shared" si="0"/>
        <v>1.1483023872679043</v>
      </c>
      <c r="AJ16" s="88">
        <f t="shared" si="0"/>
        <v>1.3890889370932755</v>
      </c>
      <c r="AK16" s="90">
        <f t="shared" si="0"/>
        <v>0</v>
      </c>
      <c r="AL16" s="90">
        <f t="shared" si="0"/>
        <v>0</v>
      </c>
      <c r="AM16" s="90">
        <f t="shared" si="0"/>
        <v>0</v>
      </c>
      <c r="AN16" s="90">
        <f t="shared" si="0"/>
        <v>0</v>
      </c>
      <c r="AO16" s="90">
        <f t="shared" si="0"/>
        <v>0</v>
      </c>
      <c r="AP16" s="90">
        <f t="shared" si="0"/>
        <v>0</v>
      </c>
      <c r="AQ16" s="88"/>
      <c r="AR16" s="90">
        <f t="shared" si="3"/>
        <v>0.77549999999999997</v>
      </c>
      <c r="AS16" s="90">
        <f t="shared" si="1"/>
        <v>3.3866999999999998</v>
      </c>
      <c r="AT16" s="90">
        <f t="shared" si="1"/>
        <v>1.8126</v>
      </c>
      <c r="AU16" s="90">
        <f t="shared" si="1"/>
        <v>1.4691000000000001</v>
      </c>
      <c r="AV16" s="90">
        <f t="shared" si="1"/>
        <v>1.1483000000000001</v>
      </c>
      <c r="AW16" s="90">
        <f t="shared" si="1"/>
        <v>1.3891</v>
      </c>
      <c r="AX16" s="90">
        <f t="shared" si="1"/>
        <v>0</v>
      </c>
      <c r="AY16" s="90">
        <f t="shared" si="1"/>
        <v>0</v>
      </c>
      <c r="AZ16" s="90">
        <f t="shared" si="1"/>
        <v>0</v>
      </c>
      <c r="BA16" s="90">
        <f t="shared" si="1"/>
        <v>0</v>
      </c>
      <c r="BB16" s="90">
        <f t="shared" si="1"/>
        <v>0</v>
      </c>
      <c r="BC16" s="90">
        <f t="shared" si="1"/>
        <v>0</v>
      </c>
      <c r="BD16" s="88"/>
      <c r="BE16" s="1">
        <f>IFERROR(VLOOKUP(AR16,'Top WS'!$A$19:$E$28,5),0)</f>
        <v>180</v>
      </c>
      <c r="BF16" s="1">
        <f>IFERROR(VLOOKUP(AS16,'Top WS'!$A$19:$E$28,5),0)</f>
        <v>260</v>
      </c>
      <c r="BG16" s="1">
        <f>IFERROR(VLOOKUP(AT16,'Top WS'!$A$19:$E$28,5),0)</f>
        <v>260</v>
      </c>
      <c r="BH16" s="1">
        <f>IFERROR(VLOOKUP(AU16,'Top WS'!$A$19:$E$28,5),0)</f>
        <v>260</v>
      </c>
      <c r="BI16" s="1">
        <f>IFERROR(VLOOKUP(AV16,'Top WS'!$A$19:$E$28,5),0)</f>
        <v>230</v>
      </c>
      <c r="BJ16" s="1">
        <f>IFERROR(VLOOKUP(AW16,'Top WS'!$A$19:$E$28,5),0)</f>
        <v>260</v>
      </c>
      <c r="BK16" s="89">
        <f>IFERROR(VLOOKUP(AX16,'Top WS'!$A$19:$E$28,5),0)</f>
        <v>180</v>
      </c>
      <c r="BL16" s="89">
        <f>IFERROR(VLOOKUP(AY16,'Top WS'!$A$19:$E$28,5),0)</f>
        <v>180</v>
      </c>
      <c r="BM16" s="89">
        <f>IFERROR(VLOOKUP(AZ16,'Top WS'!$A$19:$E$28,5),0)</f>
        <v>180</v>
      </c>
      <c r="BN16" s="89">
        <f>IFERROR(VLOOKUP(BA16,'Top WS'!$A$19:$E$28,5),0)</f>
        <v>180</v>
      </c>
      <c r="BO16" s="89">
        <f>IFERROR(VLOOKUP(BB16,'Top WS'!$A$19:$E$28,5),0)</f>
        <v>180</v>
      </c>
      <c r="BP16" s="89">
        <f>IFERROR(VLOOKUP(BC16,'Top WS'!$A$19:$E$28,5),0)</f>
        <v>180</v>
      </c>
    </row>
    <row r="17" spans="1:68" x14ac:dyDescent="0.4">
      <c r="A17">
        <v>1190022301</v>
      </c>
      <c r="B17">
        <f>VLOOKUP(A17,'Aji Plus'!$A$2:$D$58,2,0)</f>
        <v>64151</v>
      </c>
      <c r="C17" t="str">
        <f>VLOOKUP(A17,'Aji Plus'!$A$2:$D$58,3,0)</f>
        <v>นายยุทธพร แผงไม้</v>
      </c>
      <c r="D17" t="str">
        <f>VLOOKUP(A17,'Aji Plus'!$A$2:$D$58,4,0)</f>
        <v>P.Sanulok</v>
      </c>
      <c r="E17" s="1">
        <v>669</v>
      </c>
      <c r="F17" s="1">
        <v>608</v>
      </c>
      <c r="G17" s="1">
        <v>717</v>
      </c>
      <c r="H17" s="1">
        <v>523</v>
      </c>
      <c r="I17" s="1">
        <v>623</v>
      </c>
      <c r="J17" s="1">
        <v>581</v>
      </c>
      <c r="K17" s="1">
        <v>496</v>
      </c>
      <c r="L17" s="1">
        <v>598</v>
      </c>
      <c r="M17" s="1">
        <v>533</v>
      </c>
      <c r="N17" s="1">
        <v>700</v>
      </c>
      <c r="O17" s="1">
        <v>612</v>
      </c>
      <c r="P17" s="1">
        <v>629</v>
      </c>
      <c r="R17" s="1">
        <f>VLOOKUP(A17,Actual_RDNS!$A$2:$H$62,3,0)</f>
        <v>60.12</v>
      </c>
      <c r="S17" s="1">
        <f>VLOOKUP(A17,Actual_RDNS!$A$2:$H$62,4,0)</f>
        <v>771.14</v>
      </c>
      <c r="T17" s="1">
        <f>VLOOKUP(A17,Actual_RDNS!$A$2:$H$62,5,0)</f>
        <v>695.33999999999992</v>
      </c>
      <c r="U17" s="1">
        <f>VLOOKUP(A17,Actual_RDNS!$A$2:$H$62,6,0)</f>
        <v>161.32</v>
      </c>
      <c r="V17" s="1">
        <f>VLOOKUP(A17,Actual_RDNS!$A$2:$H$62,7,0)</f>
        <v>404.65999999999997</v>
      </c>
      <c r="W17" s="1">
        <f>VLOOKUP(A17,Actual_RDNS!$A$2:$H$62,8,0)</f>
        <v>226.16</v>
      </c>
      <c r="X17" s="102"/>
      <c r="Y17" s="102"/>
      <c r="Z17" s="102"/>
      <c r="AA17" s="102"/>
      <c r="AB17" s="102"/>
      <c r="AC17" s="102"/>
      <c r="AE17" s="88">
        <f t="shared" si="2"/>
        <v>8.9865470852017931E-2</v>
      </c>
      <c r="AF17" s="88">
        <f t="shared" si="0"/>
        <v>1.2683223684210525</v>
      </c>
      <c r="AG17" s="88">
        <f t="shared" si="0"/>
        <v>0.96979079497907938</v>
      </c>
      <c r="AH17" s="88">
        <f t="shared" si="0"/>
        <v>0.30845124282982789</v>
      </c>
      <c r="AI17" s="88">
        <f t="shared" si="0"/>
        <v>0.64953451043338684</v>
      </c>
      <c r="AJ17" s="88">
        <f t="shared" si="0"/>
        <v>0.38925989672977623</v>
      </c>
      <c r="AK17" s="90">
        <f t="shared" si="0"/>
        <v>0</v>
      </c>
      <c r="AL17" s="90">
        <f t="shared" si="0"/>
        <v>0</v>
      </c>
      <c r="AM17" s="90">
        <f t="shared" si="0"/>
        <v>0</v>
      </c>
      <c r="AN17" s="90">
        <f t="shared" si="0"/>
        <v>0</v>
      </c>
      <c r="AO17" s="90">
        <f t="shared" si="0"/>
        <v>0</v>
      </c>
      <c r="AP17" s="90">
        <f t="shared" si="0"/>
        <v>0</v>
      </c>
      <c r="AQ17" s="88"/>
      <c r="AR17" s="90">
        <f t="shared" si="3"/>
        <v>8.9899999999999994E-2</v>
      </c>
      <c r="AS17" s="90">
        <f t="shared" si="1"/>
        <v>1.2683</v>
      </c>
      <c r="AT17" s="90">
        <f t="shared" si="1"/>
        <v>0.9698</v>
      </c>
      <c r="AU17" s="90">
        <f t="shared" si="1"/>
        <v>0.3085</v>
      </c>
      <c r="AV17" s="90">
        <f t="shared" si="1"/>
        <v>0.64949999999999997</v>
      </c>
      <c r="AW17" s="90">
        <f t="shared" si="1"/>
        <v>0.38929999999999998</v>
      </c>
      <c r="AX17" s="90">
        <f t="shared" si="1"/>
        <v>0</v>
      </c>
      <c r="AY17" s="90">
        <f t="shared" si="1"/>
        <v>0</v>
      </c>
      <c r="AZ17" s="90">
        <f t="shared" si="1"/>
        <v>0</v>
      </c>
      <c r="BA17" s="90">
        <f t="shared" si="1"/>
        <v>0</v>
      </c>
      <c r="BB17" s="90">
        <f t="shared" si="1"/>
        <v>0</v>
      </c>
      <c r="BC17" s="90">
        <f t="shared" si="1"/>
        <v>0</v>
      </c>
      <c r="BD17" s="88"/>
      <c r="BE17" s="1">
        <f>IFERROR(VLOOKUP(AR17,'Top WS'!$A$19:$E$28,5),0)</f>
        <v>180</v>
      </c>
      <c r="BF17" s="1">
        <f>IFERROR(VLOOKUP(AS17,'Top WS'!$A$19:$E$28,5),0)</f>
        <v>260</v>
      </c>
      <c r="BG17" s="1">
        <f>IFERROR(VLOOKUP(AT17,'Top WS'!$A$19:$E$28,5),0)</f>
        <v>200</v>
      </c>
      <c r="BH17" s="1">
        <f>IFERROR(VLOOKUP(AU17,'Top WS'!$A$19:$E$28,5),0)</f>
        <v>180</v>
      </c>
      <c r="BI17" s="1">
        <f>IFERROR(VLOOKUP(AV17,'Top WS'!$A$19:$E$28,5),0)</f>
        <v>180</v>
      </c>
      <c r="BJ17" s="1">
        <f>IFERROR(VLOOKUP(AW17,'Top WS'!$A$19:$E$28,5),0)</f>
        <v>180</v>
      </c>
      <c r="BK17" s="89">
        <f>IFERROR(VLOOKUP(AX17,'Top WS'!$A$19:$E$28,5),0)</f>
        <v>180</v>
      </c>
      <c r="BL17" s="89">
        <f>IFERROR(VLOOKUP(AY17,'Top WS'!$A$19:$E$28,5),0)</f>
        <v>180</v>
      </c>
      <c r="BM17" s="89">
        <f>IFERROR(VLOOKUP(AZ17,'Top WS'!$A$19:$E$28,5),0)</f>
        <v>180</v>
      </c>
      <c r="BN17" s="89">
        <f>IFERROR(VLOOKUP(BA17,'Top WS'!$A$19:$E$28,5),0)</f>
        <v>180</v>
      </c>
      <c r="BO17" s="89">
        <f>IFERROR(VLOOKUP(BB17,'Top WS'!$A$19:$E$28,5),0)</f>
        <v>180</v>
      </c>
      <c r="BP17" s="89">
        <f>IFERROR(VLOOKUP(BC17,'Top WS'!$A$19:$E$28,5),0)</f>
        <v>180</v>
      </c>
    </row>
    <row r="18" spans="1:68" x14ac:dyDescent="0.4">
      <c r="A18">
        <v>1190022302</v>
      </c>
      <c r="B18">
        <f>VLOOKUP(A18,'Aji Plus'!$A$2:$D$58,2,0)</f>
        <v>65589</v>
      </c>
      <c r="C18" t="str">
        <f>VLOOKUP(A18,'Aji Plus'!$A$2:$D$58,3,0)</f>
        <v>นายไกรสร อิ่มเพ็ง</v>
      </c>
      <c r="D18" t="str">
        <f>VLOOKUP(A18,'Aji Plus'!$A$2:$D$58,4,0)</f>
        <v>P.Sanulok</v>
      </c>
      <c r="E18" s="1">
        <v>748</v>
      </c>
      <c r="F18" s="1">
        <v>681</v>
      </c>
      <c r="G18" s="1">
        <v>500</v>
      </c>
      <c r="H18" s="1">
        <v>587</v>
      </c>
      <c r="I18" s="1">
        <v>698</v>
      </c>
      <c r="J18" s="1">
        <v>651</v>
      </c>
      <c r="K18" s="1">
        <v>558</v>
      </c>
      <c r="L18" s="1">
        <v>669</v>
      </c>
      <c r="M18" s="1">
        <v>597</v>
      </c>
      <c r="N18" s="1">
        <v>500</v>
      </c>
      <c r="O18" s="1">
        <v>500</v>
      </c>
      <c r="P18" s="1">
        <v>600</v>
      </c>
      <c r="R18" s="1">
        <f>VLOOKUP(A18,Actual_RDNS!$A$2:$H$62,3,0)</f>
        <v>142.56</v>
      </c>
      <c r="S18" s="1">
        <f>VLOOKUP(A18,Actual_RDNS!$A$2:$H$62,4,0)</f>
        <v>1963.76</v>
      </c>
      <c r="T18" s="1">
        <f>VLOOKUP(A18,Actual_RDNS!$A$2:$H$62,5,0)</f>
        <v>97.2</v>
      </c>
      <c r="U18" s="1">
        <f>VLOOKUP(A18,Actual_RDNS!$A$2:$H$62,6,0)</f>
        <v>188.03999999999996</v>
      </c>
      <c r="V18" s="1">
        <f>VLOOKUP(A18,Actual_RDNS!$A$2:$H$62,7,0)</f>
        <v>254.6</v>
      </c>
      <c r="W18" s="1">
        <f>VLOOKUP(A18,Actual_RDNS!$A$2:$H$62,8,0)</f>
        <v>135</v>
      </c>
      <c r="X18" s="102"/>
      <c r="Y18" s="102"/>
      <c r="Z18" s="102"/>
      <c r="AA18" s="102"/>
      <c r="AB18" s="102"/>
      <c r="AC18" s="102"/>
      <c r="AE18" s="88">
        <f t="shared" si="2"/>
        <v>0.19058823529411764</v>
      </c>
      <c r="AF18" s="88">
        <f t="shared" si="2"/>
        <v>2.883641703377386</v>
      </c>
      <c r="AG18" s="88">
        <f t="shared" si="2"/>
        <v>0.19440000000000002</v>
      </c>
      <c r="AH18" s="88">
        <f t="shared" si="2"/>
        <v>0.32034071550255533</v>
      </c>
      <c r="AI18" s="88">
        <f t="shared" si="2"/>
        <v>0.36475644699140403</v>
      </c>
      <c r="AJ18" s="88">
        <f t="shared" si="2"/>
        <v>0.20737327188940091</v>
      </c>
      <c r="AK18" s="90">
        <f t="shared" si="2"/>
        <v>0</v>
      </c>
      <c r="AL18" s="90">
        <f t="shared" si="2"/>
        <v>0</v>
      </c>
      <c r="AM18" s="90">
        <f t="shared" si="2"/>
        <v>0</v>
      </c>
      <c r="AN18" s="90">
        <f t="shared" si="2"/>
        <v>0</v>
      </c>
      <c r="AO18" s="90">
        <f t="shared" si="2"/>
        <v>0</v>
      </c>
      <c r="AP18" s="90">
        <f t="shared" si="2"/>
        <v>0</v>
      </c>
      <c r="AQ18" s="88"/>
      <c r="AR18" s="90">
        <f t="shared" si="3"/>
        <v>0.19059999999999999</v>
      </c>
      <c r="AS18" s="90">
        <f t="shared" si="3"/>
        <v>2.8835999999999999</v>
      </c>
      <c r="AT18" s="90">
        <f t="shared" si="3"/>
        <v>0.19439999999999999</v>
      </c>
      <c r="AU18" s="90">
        <f t="shared" si="3"/>
        <v>0.32029999999999997</v>
      </c>
      <c r="AV18" s="90">
        <f t="shared" si="3"/>
        <v>0.36480000000000001</v>
      </c>
      <c r="AW18" s="90">
        <f t="shared" si="3"/>
        <v>0.2074</v>
      </c>
      <c r="AX18" s="90">
        <f t="shared" si="3"/>
        <v>0</v>
      </c>
      <c r="AY18" s="90">
        <f t="shared" si="3"/>
        <v>0</v>
      </c>
      <c r="AZ18" s="90">
        <f t="shared" si="3"/>
        <v>0</v>
      </c>
      <c r="BA18" s="90">
        <f t="shared" si="3"/>
        <v>0</v>
      </c>
      <c r="BB18" s="90">
        <f t="shared" si="3"/>
        <v>0</v>
      </c>
      <c r="BC18" s="90">
        <f t="shared" si="3"/>
        <v>0</v>
      </c>
      <c r="BD18" s="88"/>
      <c r="BE18" s="1">
        <f>IFERROR(VLOOKUP(AR18,'Top WS'!$A$19:$E$28,5),0)</f>
        <v>180</v>
      </c>
      <c r="BF18" s="1">
        <f>IFERROR(VLOOKUP(AS18,'Top WS'!$A$19:$E$28,5),0)</f>
        <v>260</v>
      </c>
      <c r="BG18" s="1">
        <f>IFERROR(VLOOKUP(AT18,'Top WS'!$A$19:$E$28,5),0)</f>
        <v>180</v>
      </c>
      <c r="BH18" s="1">
        <f>IFERROR(VLOOKUP(AU18,'Top WS'!$A$19:$E$28,5),0)</f>
        <v>180</v>
      </c>
      <c r="BI18" s="1">
        <f>IFERROR(VLOOKUP(AV18,'Top WS'!$A$19:$E$28,5),0)</f>
        <v>180</v>
      </c>
      <c r="BJ18" s="1">
        <f>IFERROR(VLOOKUP(AW18,'Top WS'!$A$19:$E$28,5),0)</f>
        <v>180</v>
      </c>
      <c r="BK18" s="89">
        <f>IFERROR(VLOOKUP(AX18,'Top WS'!$A$19:$E$28,5),0)</f>
        <v>180</v>
      </c>
      <c r="BL18" s="89">
        <f>IFERROR(VLOOKUP(AY18,'Top WS'!$A$19:$E$28,5),0)</f>
        <v>180</v>
      </c>
      <c r="BM18" s="89">
        <f>IFERROR(VLOOKUP(AZ18,'Top WS'!$A$19:$E$28,5),0)</f>
        <v>180</v>
      </c>
      <c r="BN18" s="89">
        <f>IFERROR(VLOOKUP(BA18,'Top WS'!$A$19:$E$28,5),0)</f>
        <v>180</v>
      </c>
      <c r="BO18" s="89">
        <f>IFERROR(VLOOKUP(BB18,'Top WS'!$A$19:$E$28,5),0)</f>
        <v>180</v>
      </c>
      <c r="BP18" s="89">
        <f>IFERROR(VLOOKUP(BC18,'Top WS'!$A$19:$E$28,5),0)</f>
        <v>180</v>
      </c>
    </row>
    <row r="19" spans="1:68" x14ac:dyDescent="0.4">
      <c r="A19">
        <v>1190022401</v>
      </c>
      <c r="B19">
        <f>VLOOKUP(A19,'Aji Plus'!$A$2:$D$58,2,0)</f>
        <v>75673</v>
      </c>
      <c r="C19" t="str">
        <f>VLOOKUP(A19,'Aji Plus'!$A$2:$D$58,3,0)</f>
        <v>นายพิเชษฐ เพชรสันทัด</v>
      </c>
      <c r="D19" t="str">
        <f>VLOOKUP(A19,'Aji Plus'!$A$2:$D$58,4,0)</f>
        <v>N.Sawan</v>
      </c>
      <c r="E19" s="1">
        <v>1169.6558497918534</v>
      </c>
      <c r="F19" s="1">
        <v>1077.6679099138692</v>
      </c>
      <c r="G19" s="1">
        <v>1243.7895001538818</v>
      </c>
      <c r="H19" s="1">
        <v>947.52041957470794</v>
      </c>
      <c r="I19" s="1">
        <v>1100.3012021482039</v>
      </c>
      <c r="J19" s="1">
        <v>1035.5592337572764</v>
      </c>
      <c r="K19" s="1">
        <v>907.52024762176018</v>
      </c>
      <c r="L19" s="1">
        <v>1061.4736230588933</v>
      </c>
      <c r="M19" s="1">
        <v>963.46397815597061</v>
      </c>
      <c r="N19" s="1">
        <v>1216.7237745750504</v>
      </c>
      <c r="O19" s="1">
        <v>1090.1519901324712</v>
      </c>
      <c r="P19" s="1">
        <v>985.76934714486049</v>
      </c>
      <c r="R19" s="1">
        <f>VLOOKUP(A19,Actual_RDNS!$A$2:$H$62,3,0)</f>
        <v>1059.8399999999999</v>
      </c>
      <c r="S19" s="1">
        <f>VLOOKUP(A19,Actual_RDNS!$A$2:$H$62,4,0)</f>
        <v>938.88000000000011</v>
      </c>
      <c r="T19" s="1">
        <f>VLOOKUP(A19,Actual_RDNS!$A$2:$H$62,5,0)</f>
        <v>1164.6000000000001</v>
      </c>
      <c r="U19" s="1">
        <f>VLOOKUP(A19,Actual_RDNS!$A$2:$H$62,6,0)</f>
        <v>178.20000000000002</v>
      </c>
      <c r="V19" s="1">
        <f>VLOOKUP(A19,Actual_RDNS!$A$2:$H$62,7,0)</f>
        <v>1037.3400000000001</v>
      </c>
      <c r="W19" s="1">
        <f>VLOOKUP(A19,Actual_RDNS!$A$2:$H$62,8,0)</f>
        <v>1056.5999999999999</v>
      </c>
      <c r="X19" s="102"/>
      <c r="Y19" s="102"/>
      <c r="Z19" s="102"/>
      <c r="AA19" s="102"/>
      <c r="AB19" s="102"/>
      <c r="AC19" s="102"/>
      <c r="AE19" s="88">
        <f t="shared" si="2"/>
        <v>0.90611268279349366</v>
      </c>
      <c r="AF19" s="88">
        <f t="shared" si="2"/>
        <v>0.87121458416168163</v>
      </c>
      <c r="AG19" s="88">
        <f t="shared" si="2"/>
        <v>0.93633207215201253</v>
      </c>
      <c r="AH19" s="88">
        <f t="shared" si="2"/>
        <v>0.18806982553472001</v>
      </c>
      <c r="AI19" s="88">
        <f t="shared" si="2"/>
        <v>0.94277821197933831</v>
      </c>
      <c r="AJ19" s="88">
        <f t="shared" si="2"/>
        <v>1.0203182643318067</v>
      </c>
      <c r="AK19" s="90">
        <f t="shared" si="2"/>
        <v>0</v>
      </c>
      <c r="AL19" s="90">
        <f t="shared" si="2"/>
        <v>0</v>
      </c>
      <c r="AM19" s="90">
        <f t="shared" si="2"/>
        <v>0</v>
      </c>
      <c r="AN19" s="90">
        <f t="shared" si="2"/>
        <v>0</v>
      </c>
      <c r="AO19" s="90">
        <f t="shared" si="2"/>
        <v>0</v>
      </c>
      <c r="AP19" s="90">
        <f t="shared" si="2"/>
        <v>0</v>
      </c>
      <c r="AQ19" s="88"/>
      <c r="AR19" s="90">
        <f t="shared" si="3"/>
        <v>0.90610000000000002</v>
      </c>
      <c r="AS19" s="90">
        <f t="shared" si="3"/>
        <v>0.87119999999999997</v>
      </c>
      <c r="AT19" s="90">
        <f t="shared" si="3"/>
        <v>0.93630000000000002</v>
      </c>
      <c r="AU19" s="90">
        <f t="shared" si="3"/>
        <v>0.18809999999999999</v>
      </c>
      <c r="AV19" s="90">
        <f t="shared" si="3"/>
        <v>0.94279999999999997</v>
      </c>
      <c r="AW19" s="90">
        <f t="shared" si="3"/>
        <v>1.0203</v>
      </c>
      <c r="AX19" s="90">
        <f t="shared" si="3"/>
        <v>0</v>
      </c>
      <c r="AY19" s="90">
        <f t="shared" si="3"/>
        <v>0</v>
      </c>
      <c r="AZ19" s="90">
        <f t="shared" si="3"/>
        <v>0</v>
      </c>
      <c r="BA19" s="90">
        <f t="shared" si="3"/>
        <v>0</v>
      </c>
      <c r="BB19" s="90">
        <f t="shared" si="3"/>
        <v>0</v>
      </c>
      <c r="BC19" s="90">
        <f t="shared" si="3"/>
        <v>0</v>
      </c>
      <c r="BD19" s="88"/>
      <c r="BE19" s="1">
        <f>IFERROR(VLOOKUP(AR19,'Top WS'!$A$19:$E$28,5),0)</f>
        <v>190</v>
      </c>
      <c r="BF19" s="1">
        <f>IFERROR(VLOOKUP(AS19,'Top WS'!$A$19:$E$28,5),0)</f>
        <v>180</v>
      </c>
      <c r="BG19" s="1">
        <f>IFERROR(VLOOKUP(AT19,'Top WS'!$A$19:$E$28,5),0)</f>
        <v>190</v>
      </c>
      <c r="BH19" s="1">
        <f>IFERROR(VLOOKUP(AU19,'Top WS'!$A$19:$E$28,5),0)</f>
        <v>180</v>
      </c>
      <c r="BI19" s="1">
        <f>IFERROR(VLOOKUP(AV19,'Top WS'!$A$19:$E$28,5),0)</f>
        <v>190</v>
      </c>
      <c r="BJ19" s="1">
        <f>IFERROR(VLOOKUP(AW19,'Top WS'!$A$19:$E$28,5),0)</f>
        <v>206</v>
      </c>
      <c r="BK19" s="89">
        <f>IFERROR(VLOOKUP(AX19,'Top WS'!$A$19:$E$28,5),0)</f>
        <v>180</v>
      </c>
      <c r="BL19" s="89">
        <f>IFERROR(VLOOKUP(AY19,'Top WS'!$A$19:$E$28,5),0)</f>
        <v>180</v>
      </c>
      <c r="BM19" s="89">
        <f>IFERROR(VLOOKUP(AZ19,'Top WS'!$A$19:$E$28,5),0)</f>
        <v>180</v>
      </c>
      <c r="BN19" s="89">
        <f>IFERROR(VLOOKUP(BA19,'Top WS'!$A$19:$E$28,5),0)</f>
        <v>180</v>
      </c>
      <c r="BO19" s="89">
        <f>IFERROR(VLOOKUP(BB19,'Top WS'!$A$19:$E$28,5),0)</f>
        <v>180</v>
      </c>
      <c r="BP19" s="89">
        <f>IFERROR(VLOOKUP(BC19,'Top WS'!$A$19:$E$28,5),0)</f>
        <v>180</v>
      </c>
    </row>
    <row r="20" spans="1:68" x14ac:dyDescent="0.4">
      <c r="A20">
        <v>1190022402</v>
      </c>
      <c r="B20">
        <f>VLOOKUP(A20,'Aji Plus'!$A$2:$D$58,2,0)</f>
        <v>63074</v>
      </c>
      <c r="C20" t="str">
        <f>VLOOKUP(A20,'Aji Plus'!$A$2:$D$58,3,0)</f>
        <v>นายวีรยุทธ ตันพงษ์</v>
      </c>
      <c r="D20" t="str">
        <f>VLOOKUP(A20,'Aji Plus'!$A$2:$D$58,4,0)</f>
        <v>N.Sawan</v>
      </c>
      <c r="E20" s="1">
        <v>219.35419569875128</v>
      </c>
      <c r="F20" s="1">
        <v>202.10301829514907</v>
      </c>
      <c r="G20" s="1">
        <v>233.25702639230016</v>
      </c>
      <c r="H20" s="1">
        <v>177.69549870668379</v>
      </c>
      <c r="I20" s="1">
        <v>206.34760666271103</v>
      </c>
      <c r="J20" s="1">
        <v>194.20606741689519</v>
      </c>
      <c r="K20" s="1">
        <v>170.19397118633492</v>
      </c>
      <c r="L20" s="1">
        <v>199.06598413794785</v>
      </c>
      <c r="M20" s="1">
        <v>180.68551193988495</v>
      </c>
      <c r="N20" s="1">
        <v>228.18119108022591</v>
      </c>
      <c r="O20" s="1">
        <v>204.44425001375885</v>
      </c>
      <c r="P20" s="1">
        <v>184.8686024405587</v>
      </c>
      <c r="R20" s="1">
        <f>VLOOKUP(A20,Actual_RDNS!$A$2:$H$62,3,0)</f>
        <v>53.46</v>
      </c>
      <c r="S20" s="1">
        <f>VLOOKUP(A20,Actual_RDNS!$A$2:$H$62,4,0)</f>
        <v>371.42</v>
      </c>
      <c r="T20" s="1">
        <f>VLOOKUP(A20,Actual_RDNS!$A$2:$H$62,5,0)</f>
        <v>60.120000000000005</v>
      </c>
      <c r="U20" s="1">
        <f>VLOOKUP(A20,Actual_RDNS!$A$2:$H$62,6,0)</f>
        <v>56.02</v>
      </c>
      <c r="V20" s="1">
        <f>VLOOKUP(A20,Actual_RDNS!$A$2:$H$62,7,0)</f>
        <v>94.939999999999984</v>
      </c>
      <c r="W20" s="1">
        <f>VLOOKUP(A20,Actual_RDNS!$A$2:$H$62,8,0)</f>
        <v>55.62</v>
      </c>
      <c r="X20" s="102"/>
      <c r="Y20" s="102"/>
      <c r="Z20" s="102"/>
      <c r="AA20" s="102"/>
      <c r="AB20" s="102"/>
      <c r="AC20" s="102"/>
      <c r="AE20" s="88">
        <f t="shared" si="2"/>
        <v>0.24371542030323851</v>
      </c>
      <c r="AF20" s="88">
        <f t="shared" si="2"/>
        <v>1.8377756212308629</v>
      </c>
      <c r="AG20" s="88">
        <f t="shared" si="2"/>
        <v>0.25774143197250571</v>
      </c>
      <c r="AH20" s="88">
        <f t="shared" si="2"/>
        <v>0.31525840782534625</v>
      </c>
      <c r="AI20" s="88">
        <f t="shared" si="2"/>
        <v>0.46009741297937984</v>
      </c>
      <c r="AJ20" s="88">
        <f t="shared" si="2"/>
        <v>0.2863968193156527</v>
      </c>
      <c r="AK20" s="90">
        <f t="shared" si="2"/>
        <v>0</v>
      </c>
      <c r="AL20" s="90">
        <f t="shared" si="2"/>
        <v>0</v>
      </c>
      <c r="AM20" s="90">
        <f t="shared" si="2"/>
        <v>0</v>
      </c>
      <c r="AN20" s="90">
        <f t="shared" si="2"/>
        <v>0</v>
      </c>
      <c r="AO20" s="90">
        <f t="shared" si="2"/>
        <v>0</v>
      </c>
      <c r="AP20" s="90">
        <f t="shared" si="2"/>
        <v>0</v>
      </c>
      <c r="AQ20" s="88"/>
      <c r="AR20" s="90">
        <f t="shared" si="3"/>
        <v>0.2437</v>
      </c>
      <c r="AS20" s="90">
        <f t="shared" si="3"/>
        <v>1.8378000000000001</v>
      </c>
      <c r="AT20" s="90">
        <f t="shared" si="3"/>
        <v>0.25769999999999998</v>
      </c>
      <c r="AU20" s="90">
        <f t="shared" si="3"/>
        <v>0.31530000000000002</v>
      </c>
      <c r="AV20" s="90">
        <f t="shared" si="3"/>
        <v>0.46010000000000001</v>
      </c>
      <c r="AW20" s="90">
        <f t="shared" si="3"/>
        <v>0.28639999999999999</v>
      </c>
      <c r="AX20" s="90">
        <f t="shared" si="3"/>
        <v>0</v>
      </c>
      <c r="AY20" s="90">
        <f t="shared" si="3"/>
        <v>0</v>
      </c>
      <c r="AZ20" s="90">
        <f t="shared" si="3"/>
        <v>0</v>
      </c>
      <c r="BA20" s="90">
        <f t="shared" si="3"/>
        <v>0</v>
      </c>
      <c r="BB20" s="90">
        <f t="shared" si="3"/>
        <v>0</v>
      </c>
      <c r="BC20" s="90">
        <f t="shared" si="3"/>
        <v>0</v>
      </c>
      <c r="BD20" s="88"/>
      <c r="BE20" s="1">
        <f>IFERROR(VLOOKUP(AR20,'Top WS'!$A$19:$E$28,5),0)</f>
        <v>180</v>
      </c>
      <c r="BF20" s="1">
        <f>IFERROR(VLOOKUP(AS20,'Top WS'!$A$19:$E$28,5),0)</f>
        <v>260</v>
      </c>
      <c r="BG20" s="1">
        <f>IFERROR(VLOOKUP(AT20,'Top WS'!$A$19:$E$28,5),0)</f>
        <v>180</v>
      </c>
      <c r="BH20" s="1">
        <f>IFERROR(VLOOKUP(AU20,'Top WS'!$A$19:$E$28,5),0)</f>
        <v>180</v>
      </c>
      <c r="BI20" s="1">
        <f>IFERROR(VLOOKUP(AV20,'Top WS'!$A$19:$E$28,5),0)</f>
        <v>180</v>
      </c>
      <c r="BJ20" s="1">
        <f>IFERROR(VLOOKUP(AW20,'Top WS'!$A$19:$E$28,5),0)</f>
        <v>180</v>
      </c>
      <c r="BK20" s="89">
        <f>IFERROR(VLOOKUP(AX20,'Top WS'!$A$19:$E$28,5),0)</f>
        <v>180</v>
      </c>
      <c r="BL20" s="89">
        <f>IFERROR(VLOOKUP(AY20,'Top WS'!$A$19:$E$28,5),0)</f>
        <v>180</v>
      </c>
      <c r="BM20" s="89">
        <f>IFERROR(VLOOKUP(AZ20,'Top WS'!$A$19:$E$28,5),0)</f>
        <v>180</v>
      </c>
      <c r="BN20" s="89">
        <f>IFERROR(VLOOKUP(BA20,'Top WS'!$A$19:$E$28,5),0)</f>
        <v>180</v>
      </c>
      <c r="BO20" s="89">
        <f>IFERROR(VLOOKUP(BB20,'Top WS'!$A$19:$E$28,5),0)</f>
        <v>180</v>
      </c>
      <c r="BP20" s="89">
        <f>IFERROR(VLOOKUP(BC20,'Top WS'!$A$19:$E$28,5),0)</f>
        <v>180</v>
      </c>
    </row>
    <row r="21" spans="1:68" x14ac:dyDescent="0.4">
      <c r="A21">
        <v>1190022510</v>
      </c>
      <c r="B21">
        <f>VLOOKUP(A21,'Aji Plus'!$A$2:$D$58,2,0)</f>
        <v>60961</v>
      </c>
      <c r="C21" t="str">
        <f>VLOOKUP(A21,'Aji Plus'!$A$2:$D$58,3,0)</f>
        <v>นายสิงหา แสนโดด</v>
      </c>
      <c r="D21" t="str">
        <f>VLOOKUP(A21,'Aji Plus'!$A$2:$D$58,4,0)</f>
        <v>Kampeng.P</v>
      </c>
      <c r="E21" s="1">
        <v>450</v>
      </c>
      <c r="F21" s="1">
        <v>450</v>
      </c>
      <c r="G21" s="1">
        <v>450</v>
      </c>
      <c r="H21" s="1">
        <v>460.45019813883266</v>
      </c>
      <c r="I21" s="1">
        <v>435</v>
      </c>
      <c r="J21" s="1">
        <v>489</v>
      </c>
      <c r="K21" s="1">
        <v>441.01200269647046</v>
      </c>
      <c r="L21" s="1">
        <v>515.8260761029178</v>
      </c>
      <c r="M21" s="1">
        <v>468.1980150260672</v>
      </c>
      <c r="N21" s="1">
        <v>591.27032147209331</v>
      </c>
      <c r="O21" s="1">
        <v>529.76240879668092</v>
      </c>
      <c r="P21" s="1">
        <v>479.03737147508599</v>
      </c>
      <c r="R21" s="1">
        <f>VLOOKUP(A21,Actual_RDNS!$A$2:$H$62,3,0)</f>
        <v>241.20000000000002</v>
      </c>
      <c r="S21" s="1">
        <f>VLOOKUP(A21,Actual_RDNS!$A$2:$H$62,4,0)</f>
        <v>1946.7</v>
      </c>
      <c r="T21" s="1">
        <f>VLOOKUP(A21,Actual_RDNS!$A$2:$H$62,5,0)</f>
        <v>221.12</v>
      </c>
      <c r="U21" s="1">
        <f>VLOOKUP(A21,Actual_RDNS!$A$2:$H$62,6,0)</f>
        <v>89.820000000000007</v>
      </c>
      <c r="V21" s="1">
        <f>VLOOKUP(A21,Actual_RDNS!$A$2:$H$62,7,0)</f>
        <v>652.5</v>
      </c>
      <c r="W21" s="1">
        <f>VLOOKUP(A21,Actual_RDNS!$A$2:$H$62,8,0)</f>
        <v>968.44</v>
      </c>
      <c r="X21" s="102"/>
      <c r="Y21" s="102"/>
      <c r="Z21" s="102"/>
      <c r="AA21" s="102"/>
      <c r="AB21" s="102"/>
      <c r="AC21" s="102"/>
      <c r="AE21" s="88">
        <f t="shared" si="2"/>
        <v>0.53600000000000003</v>
      </c>
      <c r="AF21" s="88">
        <f t="shared" si="2"/>
        <v>4.3260000000000005</v>
      </c>
      <c r="AG21" s="88">
        <f t="shared" si="2"/>
        <v>0.4913777777777778</v>
      </c>
      <c r="AH21" s="88">
        <f t="shared" si="2"/>
        <v>0.19506995623643522</v>
      </c>
      <c r="AI21" s="88">
        <f t="shared" si="2"/>
        <v>1.5</v>
      </c>
      <c r="AJ21" s="88">
        <f t="shared" si="2"/>
        <v>1.9804498977505114</v>
      </c>
      <c r="AK21" s="90">
        <f t="shared" si="2"/>
        <v>0</v>
      </c>
      <c r="AL21" s="90">
        <f t="shared" si="2"/>
        <v>0</v>
      </c>
      <c r="AM21" s="90">
        <f t="shared" si="2"/>
        <v>0</v>
      </c>
      <c r="AN21" s="90">
        <f t="shared" si="2"/>
        <v>0</v>
      </c>
      <c r="AO21" s="90">
        <f t="shared" si="2"/>
        <v>0</v>
      </c>
      <c r="AP21" s="90">
        <f t="shared" si="2"/>
        <v>0</v>
      </c>
      <c r="AQ21" s="88"/>
      <c r="AR21" s="90">
        <f t="shared" si="3"/>
        <v>0.53600000000000003</v>
      </c>
      <c r="AS21" s="90">
        <f t="shared" si="3"/>
        <v>4.3259999999999996</v>
      </c>
      <c r="AT21" s="90">
        <f t="shared" si="3"/>
        <v>0.4914</v>
      </c>
      <c r="AU21" s="90">
        <f t="shared" si="3"/>
        <v>0.1951</v>
      </c>
      <c r="AV21" s="90">
        <f t="shared" si="3"/>
        <v>1.5</v>
      </c>
      <c r="AW21" s="90">
        <f t="shared" si="3"/>
        <v>1.9803999999999999</v>
      </c>
      <c r="AX21" s="90">
        <f t="shared" si="3"/>
        <v>0</v>
      </c>
      <c r="AY21" s="90">
        <f t="shared" si="3"/>
        <v>0</v>
      </c>
      <c r="AZ21" s="90">
        <f t="shared" si="3"/>
        <v>0</v>
      </c>
      <c r="BA21" s="90">
        <f t="shared" si="3"/>
        <v>0</v>
      </c>
      <c r="BB21" s="90">
        <f t="shared" si="3"/>
        <v>0</v>
      </c>
      <c r="BC21" s="90">
        <f t="shared" si="3"/>
        <v>0</v>
      </c>
      <c r="BD21" s="88"/>
      <c r="BE21" s="1">
        <f>IFERROR(VLOOKUP(AR21,'Top WS'!$A$19:$E$28,5),0)</f>
        <v>180</v>
      </c>
      <c r="BF21" s="1">
        <f>IFERROR(VLOOKUP(AS21,'Top WS'!$A$19:$E$28,5),0)</f>
        <v>260</v>
      </c>
      <c r="BG21" s="1">
        <f>IFERROR(VLOOKUP(AT21,'Top WS'!$A$19:$E$28,5),0)</f>
        <v>180</v>
      </c>
      <c r="BH21" s="1">
        <f>IFERROR(VLOOKUP(AU21,'Top WS'!$A$19:$E$28,5),0)</f>
        <v>180</v>
      </c>
      <c r="BI21" s="1">
        <f>IFERROR(VLOOKUP(AV21,'Top WS'!$A$19:$E$28,5),0)</f>
        <v>260</v>
      </c>
      <c r="BJ21" s="1">
        <f>IFERROR(VLOOKUP(AW21,'Top WS'!$A$19:$E$28,5),0)</f>
        <v>260</v>
      </c>
      <c r="BK21" s="89">
        <f>IFERROR(VLOOKUP(AX21,'Top WS'!$A$19:$E$28,5),0)</f>
        <v>180</v>
      </c>
      <c r="BL21" s="89">
        <f>IFERROR(VLOOKUP(AY21,'Top WS'!$A$19:$E$28,5),0)</f>
        <v>180</v>
      </c>
      <c r="BM21" s="89">
        <f>IFERROR(VLOOKUP(AZ21,'Top WS'!$A$19:$E$28,5),0)</f>
        <v>180</v>
      </c>
      <c r="BN21" s="89">
        <f>IFERROR(VLOOKUP(BA21,'Top WS'!$A$19:$E$28,5),0)</f>
        <v>180</v>
      </c>
      <c r="BO21" s="89">
        <f>IFERROR(VLOOKUP(BB21,'Top WS'!$A$19:$E$28,5),0)</f>
        <v>180</v>
      </c>
      <c r="BP21" s="89">
        <f>IFERROR(VLOOKUP(BC21,'Top WS'!$A$19:$E$28,5),0)</f>
        <v>180</v>
      </c>
    </row>
    <row r="22" spans="1:68" x14ac:dyDescent="0.4">
      <c r="A22">
        <v>1190027101</v>
      </c>
      <c r="B22">
        <f>VLOOKUP(A22,'Aji Plus'!$A$2:$D$58,2,0)</f>
        <v>70526</v>
      </c>
      <c r="C22" t="str">
        <f>VLOOKUP(A22,'Aji Plus'!$A$2:$D$58,3,0)</f>
        <v>นายสมฤกษ นิลสนธิ์</v>
      </c>
      <c r="D22" t="str">
        <f>VLOOKUP(A22,'Aji Plus'!$A$2:$D$58,4,0)</f>
        <v>Tak</v>
      </c>
      <c r="E22" s="1">
        <v>538</v>
      </c>
      <c r="F22" s="1">
        <v>496</v>
      </c>
      <c r="G22" s="1">
        <v>572</v>
      </c>
      <c r="H22" s="1">
        <v>436</v>
      </c>
      <c r="I22" s="1">
        <v>506</v>
      </c>
      <c r="J22" s="1">
        <v>477</v>
      </c>
      <c r="K22" s="1">
        <v>418</v>
      </c>
      <c r="L22" s="1">
        <v>488</v>
      </c>
      <c r="M22" s="1">
        <v>443</v>
      </c>
      <c r="N22" s="1">
        <v>560</v>
      </c>
      <c r="O22" s="1">
        <v>502</v>
      </c>
      <c r="P22" s="1">
        <v>454</v>
      </c>
      <c r="R22" s="1">
        <f>VLOOKUP(A22,Actual_RDNS!$A$2:$H$62,3,0)</f>
        <v>653.91999999999996</v>
      </c>
      <c r="S22" s="1">
        <f>VLOOKUP(A22,Actual_RDNS!$A$2:$H$62,4,0)</f>
        <v>2099.7800000000002</v>
      </c>
      <c r="T22" s="1">
        <f>VLOOKUP(A22,Actual_RDNS!$A$2:$H$62,5,0)</f>
        <v>170.94</v>
      </c>
      <c r="U22" s="1">
        <f>VLOOKUP(A22,Actual_RDNS!$A$2:$H$62,6,0)</f>
        <v>62.58</v>
      </c>
      <c r="V22" s="1">
        <f>VLOOKUP(A22,Actual_RDNS!$A$2:$H$62,7,0)</f>
        <v>186.89999999999998</v>
      </c>
      <c r="W22" s="1">
        <f>VLOOKUP(A22,Actual_RDNS!$A$2:$H$62,8,0)</f>
        <v>67.8</v>
      </c>
      <c r="X22" s="102"/>
      <c r="Y22" s="102"/>
      <c r="Z22" s="102"/>
      <c r="AA22" s="102"/>
      <c r="AB22" s="102"/>
      <c r="AC22" s="102"/>
      <c r="AE22" s="88">
        <f t="shared" si="2"/>
        <v>1.2154646840148697</v>
      </c>
      <c r="AF22" s="88">
        <f t="shared" si="2"/>
        <v>4.2334274193548387</v>
      </c>
      <c r="AG22" s="88">
        <f t="shared" si="2"/>
        <v>0.29884615384615382</v>
      </c>
      <c r="AH22" s="88">
        <f t="shared" si="2"/>
        <v>0.1435321100917431</v>
      </c>
      <c r="AI22" s="88">
        <f t="shared" si="2"/>
        <v>0.3693675889328063</v>
      </c>
      <c r="AJ22" s="88">
        <f t="shared" si="2"/>
        <v>0.14213836477987421</v>
      </c>
      <c r="AK22" s="90">
        <f t="shared" si="2"/>
        <v>0</v>
      </c>
      <c r="AL22" s="90">
        <f t="shared" si="2"/>
        <v>0</v>
      </c>
      <c r="AM22" s="90">
        <f t="shared" si="2"/>
        <v>0</v>
      </c>
      <c r="AN22" s="90">
        <f t="shared" si="2"/>
        <v>0</v>
      </c>
      <c r="AO22" s="90">
        <f t="shared" si="2"/>
        <v>0</v>
      </c>
      <c r="AP22" s="90">
        <f t="shared" si="2"/>
        <v>0</v>
      </c>
      <c r="AQ22" s="88"/>
      <c r="AR22" s="90">
        <f t="shared" si="3"/>
        <v>1.2155</v>
      </c>
      <c r="AS22" s="90">
        <f t="shared" si="3"/>
        <v>4.2333999999999996</v>
      </c>
      <c r="AT22" s="90">
        <f t="shared" si="3"/>
        <v>0.29880000000000001</v>
      </c>
      <c r="AU22" s="90">
        <f t="shared" si="3"/>
        <v>0.14349999999999999</v>
      </c>
      <c r="AV22" s="90">
        <f t="shared" si="3"/>
        <v>0.36940000000000001</v>
      </c>
      <c r="AW22" s="90">
        <f t="shared" si="3"/>
        <v>0.1421</v>
      </c>
      <c r="AX22" s="90">
        <f t="shared" si="3"/>
        <v>0</v>
      </c>
      <c r="AY22" s="90">
        <f t="shared" si="3"/>
        <v>0</v>
      </c>
      <c r="AZ22" s="90">
        <f t="shared" si="3"/>
        <v>0</v>
      </c>
      <c r="BA22" s="90">
        <f t="shared" si="3"/>
        <v>0</v>
      </c>
      <c r="BB22" s="90">
        <f t="shared" si="3"/>
        <v>0</v>
      </c>
      <c r="BC22" s="90">
        <f t="shared" si="3"/>
        <v>0</v>
      </c>
      <c r="BD22" s="88"/>
      <c r="BE22" s="1">
        <f>IFERROR(VLOOKUP(AR22,'Top WS'!$A$19:$E$28,5),0)</f>
        <v>260</v>
      </c>
      <c r="BF22" s="1">
        <f>IFERROR(VLOOKUP(AS22,'Top WS'!$A$19:$E$28,5),0)</f>
        <v>260</v>
      </c>
      <c r="BG22" s="1">
        <f>IFERROR(VLOOKUP(AT22,'Top WS'!$A$19:$E$28,5),0)</f>
        <v>180</v>
      </c>
      <c r="BH22" s="1">
        <f>IFERROR(VLOOKUP(AU22,'Top WS'!$A$19:$E$28,5),0)</f>
        <v>180</v>
      </c>
      <c r="BI22" s="1">
        <f>IFERROR(VLOOKUP(AV22,'Top WS'!$A$19:$E$28,5),0)</f>
        <v>180</v>
      </c>
      <c r="BJ22" s="1">
        <f>IFERROR(VLOOKUP(AW22,'Top WS'!$A$19:$E$28,5),0)</f>
        <v>180</v>
      </c>
      <c r="BK22" s="89">
        <f>IFERROR(VLOOKUP(AX22,'Top WS'!$A$19:$E$28,5),0)</f>
        <v>180</v>
      </c>
      <c r="BL22" s="89">
        <f>IFERROR(VLOOKUP(AY22,'Top WS'!$A$19:$E$28,5),0)</f>
        <v>180</v>
      </c>
      <c r="BM22" s="89">
        <f>IFERROR(VLOOKUP(AZ22,'Top WS'!$A$19:$E$28,5),0)</f>
        <v>180</v>
      </c>
      <c r="BN22" s="89">
        <f>IFERROR(VLOOKUP(BA22,'Top WS'!$A$19:$E$28,5),0)</f>
        <v>180</v>
      </c>
      <c r="BO22" s="89">
        <f>IFERROR(VLOOKUP(BB22,'Top WS'!$A$19:$E$28,5),0)</f>
        <v>180</v>
      </c>
      <c r="BP22" s="89">
        <f>IFERROR(VLOOKUP(BC22,'Top WS'!$A$19:$E$28,5),0)</f>
        <v>180</v>
      </c>
    </row>
    <row r="23" spans="1:68" x14ac:dyDescent="0.4">
      <c r="A23">
        <v>1190032602</v>
      </c>
      <c r="B23">
        <f>VLOOKUP(A23,'Aji Plus'!$A$2:$D$58,2,0)</f>
        <v>66632</v>
      </c>
      <c r="C23" t="str">
        <f>VLOOKUP(A23,'Aji Plus'!$A$2:$D$58,3,0)</f>
        <v>นายสิทธิชัย ใจเย็น</v>
      </c>
      <c r="D23" t="str">
        <f>VLOOKUP(A23,'Aji Plus'!$A$2:$D$58,4,0)</f>
        <v>Rayong</v>
      </c>
      <c r="E23" s="1">
        <v>2100</v>
      </c>
      <c r="F23" s="1">
        <v>2500</v>
      </c>
      <c r="G23" s="1">
        <v>2500</v>
      </c>
      <c r="H23" s="1">
        <v>2100</v>
      </c>
      <c r="I23" s="1">
        <v>2200</v>
      </c>
      <c r="J23" s="1">
        <v>2200</v>
      </c>
      <c r="K23" s="1">
        <v>2000</v>
      </c>
      <c r="L23" s="1">
        <v>3300</v>
      </c>
      <c r="M23" s="1">
        <v>1800</v>
      </c>
      <c r="N23" s="1">
        <v>2800</v>
      </c>
      <c r="O23" s="1">
        <v>2500</v>
      </c>
      <c r="P23" s="1">
        <v>2100</v>
      </c>
      <c r="R23" s="1">
        <f>VLOOKUP(A23,Actual_RDNS!$A$2:$H$62,3,0)</f>
        <v>475.19999999999993</v>
      </c>
      <c r="S23" s="1">
        <f>VLOOKUP(A23,Actual_RDNS!$A$2:$H$62,4,0)</f>
        <v>2758.4</v>
      </c>
      <c r="T23" s="1">
        <f>VLOOKUP(A23,Actual_RDNS!$A$2:$H$62,5,0)</f>
        <v>1856.7600000000002</v>
      </c>
      <c r="U23" s="1">
        <f>VLOOKUP(A23,Actual_RDNS!$A$2:$H$62,6,0)</f>
        <v>780.32</v>
      </c>
      <c r="V23" s="1">
        <f>VLOOKUP(A23,Actual_RDNS!$A$2:$H$62,7,0)</f>
        <v>460.45999999999992</v>
      </c>
      <c r="W23" s="1">
        <f>VLOOKUP(A23,Actual_RDNS!$A$2:$H$62,8,0)</f>
        <v>1471.3400000000001</v>
      </c>
      <c r="X23" s="102"/>
      <c r="Y23" s="102"/>
      <c r="Z23" s="102"/>
      <c r="AA23" s="102"/>
      <c r="AB23" s="102"/>
      <c r="AC23" s="102"/>
      <c r="AE23" s="88">
        <f t="shared" si="2"/>
        <v>0.22628571428571426</v>
      </c>
      <c r="AF23" s="88">
        <f t="shared" si="2"/>
        <v>1.1033600000000001</v>
      </c>
      <c r="AG23" s="88">
        <f t="shared" si="2"/>
        <v>0.74270400000000014</v>
      </c>
      <c r="AH23" s="88">
        <f t="shared" si="2"/>
        <v>0.3715809523809524</v>
      </c>
      <c r="AI23" s="88">
        <f t="shared" si="2"/>
        <v>0.20929999999999996</v>
      </c>
      <c r="AJ23" s="88">
        <f t="shared" si="2"/>
        <v>0.6687909090909091</v>
      </c>
      <c r="AK23" s="90">
        <f t="shared" si="2"/>
        <v>0</v>
      </c>
      <c r="AL23" s="90">
        <f t="shared" si="2"/>
        <v>0</v>
      </c>
      <c r="AM23" s="90">
        <f t="shared" si="2"/>
        <v>0</v>
      </c>
      <c r="AN23" s="90">
        <f t="shared" si="2"/>
        <v>0</v>
      </c>
      <c r="AO23" s="90">
        <f t="shared" si="2"/>
        <v>0</v>
      </c>
      <c r="AP23" s="90">
        <f t="shared" si="2"/>
        <v>0</v>
      </c>
      <c r="AQ23" s="88"/>
      <c r="AR23" s="90">
        <f t="shared" si="3"/>
        <v>0.2263</v>
      </c>
      <c r="AS23" s="90">
        <f t="shared" si="3"/>
        <v>1.1033999999999999</v>
      </c>
      <c r="AT23" s="90">
        <f t="shared" si="3"/>
        <v>0.74270000000000003</v>
      </c>
      <c r="AU23" s="90">
        <f t="shared" si="3"/>
        <v>0.37159999999999999</v>
      </c>
      <c r="AV23" s="90">
        <f t="shared" si="3"/>
        <v>0.20930000000000001</v>
      </c>
      <c r="AW23" s="90">
        <f t="shared" si="3"/>
        <v>0.66879999999999995</v>
      </c>
      <c r="AX23" s="90">
        <f t="shared" si="3"/>
        <v>0</v>
      </c>
      <c r="AY23" s="90">
        <f t="shared" si="3"/>
        <v>0</v>
      </c>
      <c r="AZ23" s="90">
        <f t="shared" si="3"/>
        <v>0</v>
      </c>
      <c r="BA23" s="90">
        <f t="shared" si="3"/>
        <v>0</v>
      </c>
      <c r="BB23" s="90">
        <f t="shared" si="3"/>
        <v>0</v>
      </c>
      <c r="BC23" s="90">
        <f t="shared" si="3"/>
        <v>0</v>
      </c>
      <c r="BD23" s="88"/>
      <c r="BE23" s="1">
        <f>IFERROR(VLOOKUP(AR23,'Top WS'!$A$19:$E$28,5),0)</f>
        <v>180</v>
      </c>
      <c r="BF23" s="1">
        <f>IFERROR(VLOOKUP(AS23,'Top WS'!$A$19:$E$28,5),0)</f>
        <v>230</v>
      </c>
      <c r="BG23" s="1">
        <f>IFERROR(VLOOKUP(AT23,'Top WS'!$A$19:$E$28,5),0)</f>
        <v>180</v>
      </c>
      <c r="BH23" s="1">
        <f>IFERROR(VLOOKUP(AU23,'Top WS'!$A$19:$E$28,5),0)</f>
        <v>180</v>
      </c>
      <c r="BI23" s="1">
        <f>IFERROR(VLOOKUP(AV23,'Top WS'!$A$19:$E$28,5),0)</f>
        <v>180</v>
      </c>
      <c r="BJ23" s="1">
        <f>IFERROR(VLOOKUP(AW23,'Top WS'!$A$19:$E$28,5),0)</f>
        <v>180</v>
      </c>
      <c r="BK23" s="89">
        <f>IFERROR(VLOOKUP(AX23,'Top WS'!$A$19:$E$28,5),0)</f>
        <v>180</v>
      </c>
      <c r="BL23" s="89">
        <f>IFERROR(VLOOKUP(AY23,'Top WS'!$A$19:$E$28,5),0)</f>
        <v>180</v>
      </c>
      <c r="BM23" s="89">
        <f>IFERROR(VLOOKUP(AZ23,'Top WS'!$A$19:$E$28,5),0)</f>
        <v>180</v>
      </c>
      <c r="BN23" s="89">
        <f>IFERROR(VLOOKUP(BA23,'Top WS'!$A$19:$E$28,5),0)</f>
        <v>180</v>
      </c>
      <c r="BO23" s="89">
        <f>IFERROR(VLOOKUP(BB23,'Top WS'!$A$19:$E$28,5),0)</f>
        <v>180</v>
      </c>
      <c r="BP23" s="89">
        <f>IFERROR(VLOOKUP(BC23,'Top WS'!$A$19:$E$28,5),0)</f>
        <v>180</v>
      </c>
    </row>
    <row r="24" spans="1:68" x14ac:dyDescent="0.4">
      <c r="A24">
        <v>1190032701</v>
      </c>
      <c r="B24">
        <f>VLOOKUP(A24,'Aji Plus'!$A$2:$D$58,2,0)</f>
        <v>70330</v>
      </c>
      <c r="C24" t="str">
        <f>VLOOKUP(A24,'Aji Plus'!$A$2:$D$58,3,0)</f>
        <v>นายสุรวรรณ ทวีสิน</v>
      </c>
      <c r="D24" t="str">
        <f>VLOOKUP(A24,'Aji Plus'!$A$2:$D$58,4,0)</f>
        <v>Chachoengsao</v>
      </c>
      <c r="E24" s="1">
        <v>71</v>
      </c>
      <c r="F24" s="1">
        <v>143</v>
      </c>
      <c r="G24" s="1">
        <v>360</v>
      </c>
      <c r="H24" s="1">
        <v>240</v>
      </c>
      <c r="I24" s="1">
        <v>300</v>
      </c>
      <c r="J24" s="1">
        <v>256</v>
      </c>
      <c r="K24" s="1">
        <v>270</v>
      </c>
      <c r="L24" s="1">
        <v>300</v>
      </c>
      <c r="M24" s="1">
        <v>200</v>
      </c>
      <c r="N24" s="1">
        <v>269</v>
      </c>
      <c r="O24" s="1">
        <v>226</v>
      </c>
      <c r="P24" s="1">
        <v>220</v>
      </c>
      <c r="R24" s="1">
        <f>VLOOKUP(A24,Actual_RDNS!$A$2:$H$62,3,0)</f>
        <v>107.63999999999999</v>
      </c>
      <c r="S24" s="1">
        <f>VLOOKUP(A24,Actual_RDNS!$A$2:$H$62,4,0)</f>
        <v>2306.7000000000003</v>
      </c>
      <c r="T24" s="1">
        <f>VLOOKUP(A24,Actual_RDNS!$A$2:$H$62,5,0)</f>
        <v>833.21999999999991</v>
      </c>
      <c r="U24" s="1">
        <f>VLOOKUP(A24,Actual_RDNS!$A$2:$H$62,6,0)</f>
        <v>112.86</v>
      </c>
      <c r="V24" s="1">
        <f>VLOOKUP(A24,Actual_RDNS!$A$2:$H$62,7,0)</f>
        <v>95.04</v>
      </c>
      <c r="W24" s="1">
        <f>VLOOKUP(A24,Actual_RDNS!$A$2:$H$62,8,0)</f>
        <v>352.97999999999996</v>
      </c>
      <c r="X24" s="102"/>
      <c r="Y24" s="102"/>
      <c r="Z24" s="102"/>
      <c r="AA24" s="102"/>
      <c r="AB24" s="102"/>
      <c r="AC24" s="102"/>
      <c r="AE24" s="88">
        <f t="shared" si="2"/>
        <v>1.5160563380281689</v>
      </c>
      <c r="AF24" s="88">
        <f t="shared" si="2"/>
        <v>16.130769230769232</v>
      </c>
      <c r="AG24" s="88">
        <f t="shared" si="2"/>
        <v>2.3144999999999998</v>
      </c>
      <c r="AH24" s="88">
        <f t="shared" si="2"/>
        <v>0.47025</v>
      </c>
      <c r="AI24" s="88">
        <f t="shared" si="2"/>
        <v>0.31680000000000003</v>
      </c>
      <c r="AJ24" s="88">
        <f t="shared" si="2"/>
        <v>1.3788281249999998</v>
      </c>
      <c r="AK24" s="90">
        <f t="shared" si="2"/>
        <v>0</v>
      </c>
      <c r="AL24" s="90">
        <f t="shared" si="2"/>
        <v>0</v>
      </c>
      <c r="AM24" s="90">
        <f t="shared" si="2"/>
        <v>0</v>
      </c>
      <c r="AN24" s="90">
        <f t="shared" si="2"/>
        <v>0</v>
      </c>
      <c r="AO24" s="90">
        <f t="shared" si="2"/>
        <v>0</v>
      </c>
      <c r="AP24" s="90">
        <f t="shared" si="2"/>
        <v>0</v>
      </c>
      <c r="AQ24" s="88"/>
      <c r="AR24" s="90">
        <f t="shared" si="3"/>
        <v>1.5161</v>
      </c>
      <c r="AS24" s="90">
        <f t="shared" si="3"/>
        <v>16.130800000000001</v>
      </c>
      <c r="AT24" s="90">
        <f t="shared" si="3"/>
        <v>2.3144999999999998</v>
      </c>
      <c r="AU24" s="90">
        <f t="shared" si="3"/>
        <v>0.4703</v>
      </c>
      <c r="AV24" s="90">
        <f t="shared" si="3"/>
        <v>0.31680000000000003</v>
      </c>
      <c r="AW24" s="90">
        <f t="shared" si="3"/>
        <v>1.3788</v>
      </c>
      <c r="AX24" s="90">
        <f t="shared" si="3"/>
        <v>0</v>
      </c>
      <c r="AY24" s="90">
        <f t="shared" si="3"/>
        <v>0</v>
      </c>
      <c r="AZ24" s="90">
        <f t="shared" si="3"/>
        <v>0</v>
      </c>
      <c r="BA24" s="90">
        <f t="shared" si="3"/>
        <v>0</v>
      </c>
      <c r="BB24" s="90">
        <f t="shared" si="3"/>
        <v>0</v>
      </c>
      <c r="BC24" s="90">
        <f t="shared" si="3"/>
        <v>0</v>
      </c>
      <c r="BD24" s="88"/>
      <c r="BE24" s="1">
        <f>IFERROR(VLOOKUP(AR24,'Top WS'!$A$19:$E$28,5),0)</f>
        <v>260</v>
      </c>
      <c r="BF24" s="1">
        <f>IFERROR(VLOOKUP(AS24,'Top WS'!$A$19:$E$28,5),0)</f>
        <v>260</v>
      </c>
      <c r="BG24" s="1">
        <f>IFERROR(VLOOKUP(AT24,'Top WS'!$A$19:$E$28,5),0)</f>
        <v>260</v>
      </c>
      <c r="BH24" s="1">
        <f>IFERROR(VLOOKUP(AU24,'Top WS'!$A$19:$E$28,5),0)</f>
        <v>180</v>
      </c>
      <c r="BI24" s="1">
        <f>IFERROR(VLOOKUP(AV24,'Top WS'!$A$19:$E$28,5),0)</f>
        <v>180</v>
      </c>
      <c r="BJ24" s="1">
        <f>IFERROR(VLOOKUP(AW24,'Top WS'!$A$19:$E$28,5),0)</f>
        <v>260</v>
      </c>
      <c r="BK24" s="89">
        <f>IFERROR(VLOOKUP(AX24,'Top WS'!$A$19:$E$28,5),0)</f>
        <v>180</v>
      </c>
      <c r="BL24" s="89">
        <f>IFERROR(VLOOKUP(AY24,'Top WS'!$A$19:$E$28,5),0)</f>
        <v>180</v>
      </c>
      <c r="BM24" s="89">
        <f>IFERROR(VLOOKUP(AZ24,'Top WS'!$A$19:$E$28,5),0)</f>
        <v>180</v>
      </c>
      <c r="BN24" s="89">
        <f>IFERROR(VLOOKUP(BA24,'Top WS'!$A$19:$E$28,5),0)</f>
        <v>180</v>
      </c>
      <c r="BO24" s="89">
        <f>IFERROR(VLOOKUP(BB24,'Top WS'!$A$19:$E$28,5),0)</f>
        <v>180</v>
      </c>
      <c r="BP24" s="89">
        <f>IFERROR(VLOOKUP(BC24,'Top WS'!$A$19:$E$28,5),0)</f>
        <v>180</v>
      </c>
    </row>
    <row r="25" spans="1:68" x14ac:dyDescent="0.4">
      <c r="A25">
        <v>1190032801</v>
      </c>
      <c r="B25">
        <f>VLOOKUP(A25,'Aji Plus'!$A$2:$D$58,2,0)</f>
        <v>71360</v>
      </c>
      <c r="C25" t="str">
        <f>VLOOKUP(A25,'Aji Plus'!$A$2:$D$58,3,0)</f>
        <v>นายทนงศักดิ์ เวชมณีศรี</v>
      </c>
      <c r="D25" t="str">
        <f>VLOOKUP(A25,'Aji Plus'!$A$2:$D$58,4,0)</f>
        <v>Chantaburi</v>
      </c>
      <c r="E25" s="1">
        <v>593.03839999999991</v>
      </c>
      <c r="F25" s="1">
        <v>496.87415599999997</v>
      </c>
      <c r="G25" s="1">
        <v>440.33101199999993</v>
      </c>
      <c r="H25" s="1">
        <v>397.74472000000009</v>
      </c>
      <c r="I25" s="1">
        <v>350.71063999999984</v>
      </c>
      <c r="J25" s="1">
        <v>420.08590800000047</v>
      </c>
      <c r="K25" s="1">
        <v>446.87488400000007</v>
      </c>
      <c r="L25" s="1">
        <v>480.61672400000009</v>
      </c>
      <c r="M25" s="1">
        <v>502.67673000000059</v>
      </c>
      <c r="N25" s="1">
        <v>732.45354800000109</v>
      </c>
      <c r="O25" s="1">
        <v>1936.1170040000004</v>
      </c>
      <c r="P25" s="1">
        <v>3182.5201239999969</v>
      </c>
      <c r="R25" s="1">
        <f>VLOOKUP(A25,Actual_RDNS!$A$2:$H$62,3,0)</f>
        <v>264.11999999999995</v>
      </c>
      <c r="S25" s="1">
        <f>VLOOKUP(A25,Actual_RDNS!$A$2:$H$62,4,0)</f>
        <v>2264.5000000000005</v>
      </c>
      <c r="T25" s="1">
        <f>VLOOKUP(A25,Actual_RDNS!$A$2:$H$62,5,0)</f>
        <v>665.2399999999999</v>
      </c>
      <c r="U25" s="1">
        <f>VLOOKUP(A25,Actual_RDNS!$A$2:$H$62,6,0)</f>
        <v>301.82</v>
      </c>
      <c r="V25" s="1">
        <f>VLOOKUP(A25,Actual_RDNS!$A$2:$H$62,7,0)</f>
        <v>320.65999999999997</v>
      </c>
      <c r="W25" s="1">
        <f>VLOOKUP(A25,Actual_RDNS!$A$2:$H$62,8,0)</f>
        <v>562.81999999999994</v>
      </c>
      <c r="X25" s="102"/>
      <c r="Y25" s="102"/>
      <c r="Z25" s="102"/>
      <c r="AA25" s="102"/>
      <c r="AB25" s="102"/>
      <c r="AC25" s="102"/>
      <c r="AE25" s="88">
        <f t="shared" si="2"/>
        <v>0.44536745006731432</v>
      </c>
      <c r="AF25" s="88">
        <f t="shared" si="2"/>
        <v>4.557492018160028</v>
      </c>
      <c r="AG25" s="88">
        <f t="shared" si="2"/>
        <v>1.5107725367297091</v>
      </c>
      <c r="AH25" s="88">
        <f t="shared" si="2"/>
        <v>0.75882842643391957</v>
      </c>
      <c r="AI25" s="88">
        <f t="shared" si="2"/>
        <v>0.91431500338854876</v>
      </c>
      <c r="AJ25" s="88">
        <f t="shared" si="2"/>
        <v>1.3397735779320628</v>
      </c>
      <c r="AK25" s="90">
        <f t="shared" si="2"/>
        <v>0</v>
      </c>
      <c r="AL25" s="90">
        <f t="shared" si="2"/>
        <v>0</v>
      </c>
      <c r="AM25" s="90">
        <f t="shared" si="2"/>
        <v>0</v>
      </c>
      <c r="AN25" s="90">
        <f t="shared" si="2"/>
        <v>0</v>
      </c>
      <c r="AO25" s="90">
        <f t="shared" si="2"/>
        <v>0</v>
      </c>
      <c r="AP25" s="90">
        <f t="shared" si="2"/>
        <v>0</v>
      </c>
      <c r="AQ25" s="88"/>
      <c r="AR25" s="90">
        <f t="shared" si="3"/>
        <v>0.44540000000000002</v>
      </c>
      <c r="AS25" s="90">
        <f t="shared" si="3"/>
        <v>4.5575000000000001</v>
      </c>
      <c r="AT25" s="90">
        <f t="shared" si="3"/>
        <v>1.5107999999999999</v>
      </c>
      <c r="AU25" s="90">
        <f t="shared" si="3"/>
        <v>0.75880000000000003</v>
      </c>
      <c r="AV25" s="90">
        <f t="shared" si="3"/>
        <v>0.9143</v>
      </c>
      <c r="AW25" s="90">
        <f t="shared" si="3"/>
        <v>1.3398000000000001</v>
      </c>
      <c r="AX25" s="90">
        <f t="shared" si="3"/>
        <v>0</v>
      </c>
      <c r="AY25" s="90">
        <f t="shared" si="3"/>
        <v>0</v>
      </c>
      <c r="AZ25" s="90">
        <f t="shared" si="3"/>
        <v>0</v>
      </c>
      <c r="BA25" s="90">
        <f t="shared" si="3"/>
        <v>0</v>
      </c>
      <c r="BB25" s="90">
        <f t="shared" si="3"/>
        <v>0</v>
      </c>
      <c r="BC25" s="90">
        <f t="shared" si="3"/>
        <v>0</v>
      </c>
      <c r="BD25" s="88"/>
      <c r="BE25" s="1">
        <f>IFERROR(VLOOKUP(AR25,'Top WS'!$A$19:$E$28,5),0)</f>
        <v>180</v>
      </c>
      <c r="BF25" s="1">
        <f>IFERROR(VLOOKUP(AS25,'Top WS'!$A$19:$E$28,5),0)</f>
        <v>260</v>
      </c>
      <c r="BG25" s="1">
        <f>IFERROR(VLOOKUP(AT25,'Top WS'!$A$19:$E$28,5),0)</f>
        <v>260</v>
      </c>
      <c r="BH25" s="1">
        <f>IFERROR(VLOOKUP(AU25,'Top WS'!$A$19:$E$28,5),0)</f>
        <v>180</v>
      </c>
      <c r="BI25" s="1">
        <f>IFERROR(VLOOKUP(AV25,'Top WS'!$A$19:$E$28,5),0)</f>
        <v>190</v>
      </c>
      <c r="BJ25" s="1">
        <f>IFERROR(VLOOKUP(AW25,'Top WS'!$A$19:$E$28,5),0)</f>
        <v>260</v>
      </c>
      <c r="BK25" s="89">
        <f>IFERROR(VLOOKUP(AX25,'Top WS'!$A$19:$E$28,5),0)</f>
        <v>180</v>
      </c>
      <c r="BL25" s="89">
        <f>IFERROR(VLOOKUP(AY25,'Top WS'!$A$19:$E$28,5),0)</f>
        <v>180</v>
      </c>
      <c r="BM25" s="89">
        <f>IFERROR(VLOOKUP(AZ25,'Top WS'!$A$19:$E$28,5),0)</f>
        <v>180</v>
      </c>
      <c r="BN25" s="89">
        <f>IFERROR(VLOOKUP(BA25,'Top WS'!$A$19:$E$28,5),0)</f>
        <v>180</v>
      </c>
      <c r="BO25" s="89">
        <f>IFERROR(VLOOKUP(BB25,'Top WS'!$A$19:$E$28,5),0)</f>
        <v>180</v>
      </c>
      <c r="BP25" s="89">
        <f>IFERROR(VLOOKUP(BC25,'Top WS'!$A$19:$E$28,5),0)</f>
        <v>180</v>
      </c>
    </row>
    <row r="26" spans="1:68" x14ac:dyDescent="0.4">
      <c r="A26">
        <v>1190032901</v>
      </c>
      <c r="B26">
        <f>VLOOKUP(A26,'Aji Plus'!$A$2:$D$58,2,0)</f>
        <v>70259</v>
      </c>
      <c r="C26" t="str">
        <f>VLOOKUP(A26,'Aji Plus'!$A$2:$D$58,3,0)</f>
        <v>นายจิรศักดิ์ งามสม</v>
      </c>
      <c r="D26" t="str">
        <f>VLOOKUP(A26,'Aji Plus'!$A$2:$D$58,4,0)</f>
        <v>Lopburi</v>
      </c>
      <c r="E26" s="1">
        <v>114.84729164807446</v>
      </c>
      <c r="F26" s="1">
        <v>125.7297219945723</v>
      </c>
      <c r="G26" s="1">
        <v>114.1266216022877</v>
      </c>
      <c r="H26" s="1">
        <v>125.03422068574248</v>
      </c>
      <c r="I26" s="1">
        <v>116.94466033989617</v>
      </c>
      <c r="J26" s="1">
        <v>128.38076381755786</v>
      </c>
      <c r="K26" s="1">
        <v>117.35521559103449</v>
      </c>
      <c r="L26" s="1">
        <v>123.00333028827446</v>
      </c>
      <c r="M26" s="1">
        <v>106.03807738557322</v>
      </c>
      <c r="N26" s="1">
        <v>132.64944413648496</v>
      </c>
      <c r="O26" s="1">
        <v>122.93212308526888</v>
      </c>
      <c r="P26" s="1">
        <v>105.21008847071214</v>
      </c>
      <c r="R26" s="1">
        <f>VLOOKUP(A26,Actual_RDNS!$A$2:$H$62,3,0)</f>
        <v>269.09999999999997</v>
      </c>
      <c r="S26" s="1">
        <f>VLOOKUP(A26,Actual_RDNS!$A$2:$H$62,4,0)</f>
        <v>887.40000000000009</v>
      </c>
      <c r="T26" s="1">
        <f>VLOOKUP(A26,Actual_RDNS!$A$2:$H$62,5,0)</f>
        <v>469.97999999999996</v>
      </c>
      <c r="U26" s="1">
        <f>VLOOKUP(A26,Actual_RDNS!$A$2:$H$62,6,0)</f>
        <v>191.33999999999997</v>
      </c>
      <c r="V26" s="1">
        <f>VLOOKUP(A26,Actual_RDNS!$A$2:$H$62,7,0)</f>
        <v>380.51999999999992</v>
      </c>
      <c r="W26" s="1">
        <f>VLOOKUP(A26,Actual_RDNS!$A$2:$H$62,8,0)</f>
        <v>248.39999999999998</v>
      </c>
      <c r="X26" s="102"/>
      <c r="Y26" s="102"/>
      <c r="Z26" s="102"/>
      <c r="AA26" s="102"/>
      <c r="AB26" s="102"/>
      <c r="AC26" s="102"/>
      <c r="AE26" s="88">
        <f t="shared" si="2"/>
        <v>2.3431114146304881</v>
      </c>
      <c r="AF26" s="88">
        <f t="shared" si="2"/>
        <v>7.0579969948419103</v>
      </c>
      <c r="AG26" s="88">
        <f t="shared" si="2"/>
        <v>4.1180575872805747</v>
      </c>
      <c r="AH26" s="88">
        <f t="shared" si="2"/>
        <v>1.5303010563876636</v>
      </c>
      <c r="AI26" s="88">
        <f t="shared" si="2"/>
        <v>3.25384672454501</v>
      </c>
      <c r="AJ26" s="88">
        <f t="shared" si="2"/>
        <v>1.9348693107403665</v>
      </c>
      <c r="AK26" s="90">
        <f t="shared" si="2"/>
        <v>0</v>
      </c>
      <c r="AL26" s="90">
        <f t="shared" si="2"/>
        <v>0</v>
      </c>
      <c r="AM26" s="90">
        <f t="shared" si="2"/>
        <v>0</v>
      </c>
      <c r="AN26" s="90">
        <f t="shared" si="2"/>
        <v>0</v>
      </c>
      <c r="AO26" s="90">
        <f t="shared" si="2"/>
        <v>0</v>
      </c>
      <c r="AP26" s="90">
        <f t="shared" si="2"/>
        <v>0</v>
      </c>
      <c r="AQ26" s="88"/>
      <c r="AR26" s="90">
        <f t="shared" si="3"/>
        <v>2.3431000000000002</v>
      </c>
      <c r="AS26" s="90">
        <f t="shared" si="3"/>
        <v>7.0579999999999998</v>
      </c>
      <c r="AT26" s="90">
        <f t="shared" si="3"/>
        <v>4.1181000000000001</v>
      </c>
      <c r="AU26" s="90">
        <f t="shared" si="3"/>
        <v>1.5303</v>
      </c>
      <c r="AV26" s="90">
        <f t="shared" si="3"/>
        <v>3.2538</v>
      </c>
      <c r="AW26" s="90">
        <f t="shared" si="3"/>
        <v>1.9349000000000001</v>
      </c>
      <c r="AX26" s="90">
        <f t="shared" si="3"/>
        <v>0</v>
      </c>
      <c r="AY26" s="90">
        <f t="shared" si="3"/>
        <v>0</v>
      </c>
      <c r="AZ26" s="90">
        <f t="shared" si="3"/>
        <v>0</v>
      </c>
      <c r="BA26" s="90">
        <f t="shared" si="3"/>
        <v>0</v>
      </c>
      <c r="BB26" s="90">
        <f t="shared" si="3"/>
        <v>0</v>
      </c>
      <c r="BC26" s="90">
        <f t="shared" si="3"/>
        <v>0</v>
      </c>
      <c r="BD26" s="88"/>
      <c r="BE26" s="1">
        <f>IFERROR(VLOOKUP(AR26,'Top WS'!$A$19:$E$28,5),0)</f>
        <v>260</v>
      </c>
      <c r="BF26" s="1">
        <f>IFERROR(VLOOKUP(AS26,'Top WS'!$A$19:$E$28,5),0)</f>
        <v>260</v>
      </c>
      <c r="BG26" s="1">
        <f>IFERROR(VLOOKUP(AT26,'Top WS'!$A$19:$E$28,5),0)</f>
        <v>260</v>
      </c>
      <c r="BH26" s="1">
        <f>IFERROR(VLOOKUP(AU26,'Top WS'!$A$19:$E$28,5),0)</f>
        <v>260</v>
      </c>
      <c r="BI26" s="1">
        <f>IFERROR(VLOOKUP(AV26,'Top WS'!$A$19:$E$28,5),0)</f>
        <v>260</v>
      </c>
      <c r="BJ26" s="1">
        <f>IFERROR(VLOOKUP(AW26,'Top WS'!$A$19:$E$28,5),0)</f>
        <v>260</v>
      </c>
      <c r="BK26" s="89">
        <f>IFERROR(VLOOKUP(AX26,'Top WS'!$A$19:$E$28,5),0)</f>
        <v>180</v>
      </c>
      <c r="BL26" s="89">
        <f>IFERROR(VLOOKUP(AY26,'Top WS'!$A$19:$E$28,5),0)</f>
        <v>180</v>
      </c>
      <c r="BM26" s="89">
        <f>IFERROR(VLOOKUP(AZ26,'Top WS'!$A$19:$E$28,5),0)</f>
        <v>180</v>
      </c>
      <c r="BN26" s="89">
        <f>IFERROR(VLOOKUP(BA26,'Top WS'!$A$19:$E$28,5),0)</f>
        <v>180</v>
      </c>
      <c r="BO26" s="89">
        <f>IFERROR(VLOOKUP(BB26,'Top WS'!$A$19:$E$28,5),0)</f>
        <v>180</v>
      </c>
      <c r="BP26" s="89">
        <f>IFERROR(VLOOKUP(BC26,'Top WS'!$A$19:$E$28,5),0)</f>
        <v>180</v>
      </c>
    </row>
    <row r="27" spans="1:68" x14ac:dyDescent="0.4">
      <c r="A27">
        <v>1190032902</v>
      </c>
      <c r="B27">
        <f>VLOOKUP(A27,'Aji Plus'!$A$2:$D$58,2,0)</f>
        <v>71996</v>
      </c>
      <c r="C27" t="str">
        <f>VLOOKUP(A27,'Aji Plus'!$A$2:$D$58,3,0)</f>
        <v>นายสุนทร ม่วงกุน</v>
      </c>
      <c r="D27" t="str">
        <f>VLOOKUP(A27,'Aji Plus'!$A$2:$D$58,4,0)</f>
        <v>Lopburi</v>
      </c>
      <c r="E27" s="1">
        <v>359.85700332208836</v>
      </c>
      <c r="F27" s="1">
        <v>393.95548938262345</v>
      </c>
      <c r="G27" s="1">
        <v>357.59889031533589</v>
      </c>
      <c r="H27" s="1">
        <v>391.7762388908572</v>
      </c>
      <c r="I27" s="1">
        <v>366.42879793273812</v>
      </c>
      <c r="J27" s="1">
        <v>402.26213686565188</v>
      </c>
      <c r="K27" s="1">
        <v>367.71521209412299</v>
      </c>
      <c r="L27" s="1">
        <v>385.41274418392123</v>
      </c>
      <c r="M27" s="1">
        <v>332.25463324757345</v>
      </c>
      <c r="N27" s="1">
        <v>415.63741533905448</v>
      </c>
      <c r="O27" s="1">
        <v>385.18962694431713</v>
      </c>
      <c r="P27" s="1">
        <v>329.66025243623619</v>
      </c>
      <c r="R27" s="1">
        <f>VLOOKUP(A27,Actual_RDNS!$A$2:$H$62,3,0)</f>
        <v>325.43999999999994</v>
      </c>
      <c r="S27" s="1">
        <f>VLOOKUP(A27,Actual_RDNS!$A$2:$H$62,4,0)</f>
        <v>1056.2199999999998</v>
      </c>
      <c r="T27" s="1">
        <f>VLOOKUP(A27,Actual_RDNS!$A$2:$H$62,5,0)</f>
        <v>298.27999999999997</v>
      </c>
      <c r="U27" s="1">
        <f>VLOOKUP(A27,Actual_RDNS!$A$2:$H$62,6,0)</f>
        <v>483.29999999999995</v>
      </c>
      <c r="V27" s="1">
        <f>VLOOKUP(A27,Actual_RDNS!$A$2:$H$62,7,0)</f>
        <v>329.94</v>
      </c>
      <c r="W27" s="1">
        <f>VLOOKUP(A27,Actual_RDNS!$A$2:$H$62,8,0)</f>
        <v>463.71999999999997</v>
      </c>
      <c r="X27" s="102"/>
      <c r="Y27" s="102"/>
      <c r="Z27" s="102"/>
      <c r="AA27" s="102"/>
      <c r="AB27" s="102"/>
      <c r="AC27" s="102"/>
      <c r="AE27" s="88">
        <f t="shared" si="2"/>
        <v>0.90435922323489248</v>
      </c>
      <c r="AF27" s="88">
        <f t="shared" si="2"/>
        <v>2.681064304130464</v>
      </c>
      <c r="AG27" s="88">
        <f t="shared" si="2"/>
        <v>0.8341189194881794</v>
      </c>
      <c r="AH27" s="88">
        <f t="shared" si="2"/>
        <v>1.2336123328159263</v>
      </c>
      <c r="AI27" s="88">
        <f t="shared" si="2"/>
        <v>0.90042049604563001</v>
      </c>
      <c r="AJ27" s="88">
        <f t="shared" si="2"/>
        <v>1.1527806310909989</v>
      </c>
      <c r="AK27" s="90">
        <f t="shared" si="2"/>
        <v>0</v>
      </c>
      <c r="AL27" s="90">
        <f t="shared" si="2"/>
        <v>0</v>
      </c>
      <c r="AM27" s="90">
        <f t="shared" si="2"/>
        <v>0</v>
      </c>
      <c r="AN27" s="90">
        <f t="shared" si="2"/>
        <v>0</v>
      </c>
      <c r="AO27" s="90">
        <f t="shared" si="2"/>
        <v>0</v>
      </c>
      <c r="AP27" s="90">
        <f t="shared" si="2"/>
        <v>0</v>
      </c>
      <c r="AQ27" s="88"/>
      <c r="AR27" s="90">
        <f t="shared" si="3"/>
        <v>0.90439999999999998</v>
      </c>
      <c r="AS27" s="90">
        <f t="shared" si="3"/>
        <v>2.6810999999999998</v>
      </c>
      <c r="AT27" s="90">
        <f t="shared" si="3"/>
        <v>0.83409999999999995</v>
      </c>
      <c r="AU27" s="90">
        <f t="shared" si="3"/>
        <v>1.2336</v>
      </c>
      <c r="AV27" s="90">
        <f t="shared" si="3"/>
        <v>0.90039999999999998</v>
      </c>
      <c r="AW27" s="90">
        <f t="shared" si="3"/>
        <v>1.1528</v>
      </c>
      <c r="AX27" s="90">
        <f t="shared" si="3"/>
        <v>0</v>
      </c>
      <c r="AY27" s="90">
        <f t="shared" si="3"/>
        <v>0</v>
      </c>
      <c r="AZ27" s="90">
        <f t="shared" si="3"/>
        <v>0</v>
      </c>
      <c r="BA27" s="90">
        <f t="shared" si="3"/>
        <v>0</v>
      </c>
      <c r="BB27" s="90">
        <f t="shared" si="3"/>
        <v>0</v>
      </c>
      <c r="BC27" s="90">
        <f t="shared" si="3"/>
        <v>0</v>
      </c>
      <c r="BD27" s="88"/>
      <c r="BE27" s="1">
        <f>IFERROR(VLOOKUP(AR27,'Top WS'!$A$19:$E$28,5),0)</f>
        <v>190</v>
      </c>
      <c r="BF27" s="1">
        <f>IFERROR(VLOOKUP(AS27,'Top WS'!$A$19:$E$28,5),0)</f>
        <v>260</v>
      </c>
      <c r="BG27" s="1">
        <f>IFERROR(VLOOKUP(AT27,'Top WS'!$A$19:$E$28,5),0)</f>
        <v>180</v>
      </c>
      <c r="BH27" s="1">
        <f>IFERROR(VLOOKUP(AU27,'Top WS'!$A$19:$E$28,5),0)</f>
        <v>260</v>
      </c>
      <c r="BI27" s="1">
        <f>IFERROR(VLOOKUP(AV27,'Top WS'!$A$19:$E$28,5),0)</f>
        <v>190</v>
      </c>
      <c r="BJ27" s="1">
        <f>IFERROR(VLOOKUP(AW27,'Top WS'!$A$19:$E$28,5),0)</f>
        <v>240</v>
      </c>
      <c r="BK27" s="89">
        <f>IFERROR(VLOOKUP(AX27,'Top WS'!$A$19:$E$28,5),0)</f>
        <v>180</v>
      </c>
      <c r="BL27" s="89">
        <f>IFERROR(VLOOKUP(AY27,'Top WS'!$A$19:$E$28,5),0)</f>
        <v>180</v>
      </c>
      <c r="BM27" s="89">
        <f>IFERROR(VLOOKUP(AZ27,'Top WS'!$A$19:$E$28,5),0)</f>
        <v>180</v>
      </c>
      <c r="BN27" s="89">
        <f>IFERROR(VLOOKUP(BA27,'Top WS'!$A$19:$E$28,5),0)</f>
        <v>180</v>
      </c>
      <c r="BO27" s="89">
        <f>IFERROR(VLOOKUP(BB27,'Top WS'!$A$19:$E$28,5),0)</f>
        <v>180</v>
      </c>
      <c r="BP27" s="89">
        <f>IFERROR(VLOOKUP(BC27,'Top WS'!$A$19:$E$28,5),0)</f>
        <v>180</v>
      </c>
    </row>
    <row r="28" spans="1:68" x14ac:dyDescent="0.4">
      <c r="A28">
        <v>1190033001</v>
      </c>
      <c r="B28">
        <f>VLOOKUP(A28,'Aji Plus'!$A$2:$D$58,2,0)</f>
        <v>75518</v>
      </c>
      <c r="C28" t="str">
        <f>VLOOKUP(A28,'Aji Plus'!$A$2:$D$58,3,0)</f>
        <v>นายธนพันธ์ นิยมทัศน์</v>
      </c>
      <c r="D28" t="str">
        <f>VLOOKUP(A28,'Aji Plus'!$A$2:$D$58,4,0)</f>
        <v>Ratchaburi</v>
      </c>
      <c r="E28" s="1">
        <v>240.42272594734123</v>
      </c>
      <c r="F28" s="1">
        <v>286.32653311074034</v>
      </c>
      <c r="G28" s="1">
        <v>321.88363592354904</v>
      </c>
      <c r="H28" s="1">
        <v>261.14721069921563</v>
      </c>
      <c r="I28" s="1">
        <v>310.88662231581378</v>
      </c>
      <c r="J28" s="1">
        <v>378.99197989210353</v>
      </c>
      <c r="K28" s="1">
        <v>218.1495862274856</v>
      </c>
      <c r="L28" s="1">
        <v>321.40195713780389</v>
      </c>
      <c r="M28" s="1">
        <v>277.68252942727332</v>
      </c>
      <c r="N28" s="1">
        <v>297.68692679590657</v>
      </c>
      <c r="O28" s="1">
        <v>352.82813769051847</v>
      </c>
      <c r="P28" s="1">
        <v>267.59215483224745</v>
      </c>
      <c r="R28" s="1">
        <f>VLOOKUP(A28,Actual_RDNS!$A$2:$H$62,3,0)</f>
        <v>749.69999999999993</v>
      </c>
      <c r="S28" s="1">
        <f>VLOOKUP(A28,Actual_RDNS!$A$2:$H$62,4,0)</f>
        <v>2470.0400000000004</v>
      </c>
      <c r="T28" s="1">
        <f>VLOOKUP(A28,Actual_RDNS!$A$2:$H$62,5,0)</f>
        <v>110.39999999999999</v>
      </c>
      <c r="U28" s="1">
        <f>VLOOKUP(A28,Actual_RDNS!$A$2:$H$62,6,0)</f>
        <v>287.79999999999995</v>
      </c>
      <c r="V28" s="1">
        <f>VLOOKUP(A28,Actual_RDNS!$A$2:$H$62,7,0)</f>
        <v>163.26</v>
      </c>
      <c r="W28" s="1">
        <f>VLOOKUP(A28,Actual_RDNS!$A$2:$H$62,8,0)</f>
        <v>156.18</v>
      </c>
      <c r="X28" s="102"/>
      <c r="Y28" s="102"/>
      <c r="Z28" s="102"/>
      <c r="AA28" s="102"/>
      <c r="AB28" s="102"/>
      <c r="AC28" s="102"/>
      <c r="AE28" s="88">
        <f t="shared" si="2"/>
        <v>3.1182576316192487</v>
      </c>
      <c r="AF28" s="88">
        <f t="shared" si="2"/>
        <v>8.6266542369116799</v>
      </c>
      <c r="AG28" s="88">
        <f t="shared" si="2"/>
        <v>0.34298108906108299</v>
      </c>
      <c r="AH28" s="88">
        <f t="shared" si="2"/>
        <v>1.1020604019833184</v>
      </c>
      <c r="AI28" s="88">
        <f t="shared" si="2"/>
        <v>0.52514321389536189</v>
      </c>
      <c r="AJ28" s="88">
        <f t="shared" si="2"/>
        <v>0.4120931531175499</v>
      </c>
      <c r="AK28" s="90">
        <f t="shared" si="2"/>
        <v>0</v>
      </c>
      <c r="AL28" s="90">
        <f t="shared" si="2"/>
        <v>0</v>
      </c>
      <c r="AM28" s="90">
        <f t="shared" si="2"/>
        <v>0</v>
      </c>
      <c r="AN28" s="90">
        <f t="shared" si="2"/>
        <v>0</v>
      </c>
      <c r="AO28" s="90">
        <f t="shared" si="2"/>
        <v>0</v>
      </c>
      <c r="AP28" s="90">
        <f t="shared" si="2"/>
        <v>0</v>
      </c>
      <c r="AQ28" s="88"/>
      <c r="AR28" s="90">
        <f t="shared" si="3"/>
        <v>3.1183000000000001</v>
      </c>
      <c r="AS28" s="90">
        <f t="shared" si="3"/>
        <v>8.6266999999999996</v>
      </c>
      <c r="AT28" s="90">
        <f t="shared" si="3"/>
        <v>0.34300000000000003</v>
      </c>
      <c r="AU28" s="90">
        <f t="shared" si="3"/>
        <v>1.1021000000000001</v>
      </c>
      <c r="AV28" s="90">
        <f t="shared" si="3"/>
        <v>0.52510000000000001</v>
      </c>
      <c r="AW28" s="90">
        <f t="shared" si="3"/>
        <v>0.41210000000000002</v>
      </c>
      <c r="AX28" s="90">
        <f t="shared" si="3"/>
        <v>0</v>
      </c>
      <c r="AY28" s="90">
        <f t="shared" si="3"/>
        <v>0</v>
      </c>
      <c r="AZ28" s="90">
        <f t="shared" si="3"/>
        <v>0</v>
      </c>
      <c r="BA28" s="90">
        <f t="shared" si="3"/>
        <v>0</v>
      </c>
      <c r="BB28" s="90">
        <f t="shared" si="3"/>
        <v>0</v>
      </c>
      <c r="BC28" s="90">
        <f t="shared" si="3"/>
        <v>0</v>
      </c>
      <c r="BD28" s="88"/>
      <c r="BE28" s="1">
        <f>IFERROR(VLOOKUP(AR28,'Top WS'!$A$19:$E$28,5),0)</f>
        <v>260</v>
      </c>
      <c r="BF28" s="1">
        <f>IFERROR(VLOOKUP(AS28,'Top WS'!$A$19:$E$28,5),0)</f>
        <v>260</v>
      </c>
      <c r="BG28" s="1">
        <f>IFERROR(VLOOKUP(AT28,'Top WS'!$A$19:$E$28,5),0)</f>
        <v>180</v>
      </c>
      <c r="BH28" s="1">
        <f>IFERROR(VLOOKUP(AU28,'Top WS'!$A$19:$E$28,5),0)</f>
        <v>230</v>
      </c>
      <c r="BI28" s="1">
        <f>IFERROR(VLOOKUP(AV28,'Top WS'!$A$19:$E$28,5),0)</f>
        <v>180</v>
      </c>
      <c r="BJ28" s="1">
        <f>IFERROR(VLOOKUP(AW28,'Top WS'!$A$19:$E$28,5),0)</f>
        <v>180</v>
      </c>
      <c r="BK28" s="89">
        <f>IFERROR(VLOOKUP(AX28,'Top WS'!$A$19:$E$28,5),0)</f>
        <v>180</v>
      </c>
      <c r="BL28" s="89">
        <f>IFERROR(VLOOKUP(AY28,'Top WS'!$A$19:$E$28,5),0)</f>
        <v>180</v>
      </c>
      <c r="BM28" s="89">
        <f>IFERROR(VLOOKUP(AZ28,'Top WS'!$A$19:$E$28,5),0)</f>
        <v>180</v>
      </c>
      <c r="BN28" s="89">
        <f>IFERROR(VLOOKUP(BA28,'Top WS'!$A$19:$E$28,5),0)</f>
        <v>180</v>
      </c>
      <c r="BO28" s="89">
        <f>IFERROR(VLOOKUP(BB28,'Top WS'!$A$19:$E$28,5),0)</f>
        <v>180</v>
      </c>
      <c r="BP28" s="89">
        <f>IFERROR(VLOOKUP(BC28,'Top WS'!$A$19:$E$28,5),0)</f>
        <v>180</v>
      </c>
    </row>
    <row r="29" spans="1:68" x14ac:dyDescent="0.4">
      <c r="A29">
        <v>1190033002</v>
      </c>
      <c r="B29">
        <f>VLOOKUP(A29,'Aji Plus'!$A$2:$D$58,2,0)</f>
        <v>27905</v>
      </c>
      <c r="C29" t="str">
        <f>VLOOKUP(A29,'Aji Plus'!$A$2:$D$58,3,0)</f>
        <v>นายปัญญา ธนาโภคาสิน</v>
      </c>
      <c r="D29" t="str">
        <f>VLOOKUP(A29,'Aji Plus'!$A$2:$D$58,4,0)</f>
        <v>Ratchaburi</v>
      </c>
      <c r="E29" s="1">
        <v>240.42272594734123</v>
      </c>
      <c r="F29" s="1">
        <v>286.32653311074034</v>
      </c>
      <c r="G29" s="1">
        <v>321.88363592354904</v>
      </c>
      <c r="H29" s="1">
        <v>261.14721069921563</v>
      </c>
      <c r="I29" s="1">
        <v>310.88662231581378</v>
      </c>
      <c r="J29" s="1">
        <v>378.99197989210353</v>
      </c>
      <c r="K29" s="1">
        <v>218.1495862274856</v>
      </c>
      <c r="L29" s="1">
        <v>321.40195713780389</v>
      </c>
      <c r="M29" s="1">
        <v>277.68252942727332</v>
      </c>
      <c r="N29" s="1">
        <v>297.68692679590657</v>
      </c>
      <c r="O29" s="1">
        <v>352.82813769051847</v>
      </c>
      <c r="P29" s="1">
        <v>267.59215483224745</v>
      </c>
      <c r="R29" s="1">
        <f>VLOOKUP(A29,Actual_RDNS!$A$2:$H$62,3,0)</f>
        <v>298.08</v>
      </c>
      <c r="S29" s="1">
        <f>VLOOKUP(A29,Actual_RDNS!$A$2:$H$62,4,0)</f>
        <v>576.90000000000009</v>
      </c>
      <c r="T29" s="1">
        <f>VLOOKUP(A29,Actual_RDNS!$A$2:$H$62,5,0)</f>
        <v>143.82</v>
      </c>
      <c r="U29" s="1">
        <f>VLOOKUP(A29,Actual_RDNS!$A$2:$H$62,6,0)</f>
        <v>114.69999999999999</v>
      </c>
      <c r="V29" s="1">
        <f>VLOOKUP(A29,Actual_RDNS!$A$2:$H$62,7,0)</f>
        <v>164.7</v>
      </c>
      <c r="W29" s="1">
        <f>VLOOKUP(A29,Actual_RDNS!$A$2:$H$62,8,0)</f>
        <v>67.5</v>
      </c>
      <c r="X29" s="102"/>
      <c r="Y29" s="102"/>
      <c r="Z29" s="102"/>
      <c r="AA29" s="102"/>
      <c r="AB29" s="102"/>
      <c r="AC29" s="102"/>
      <c r="AE29" s="88">
        <f t="shared" si="2"/>
        <v>1.2398162396065968</v>
      </c>
      <c r="AF29" s="88">
        <f t="shared" si="2"/>
        <v>2.0148324842003968</v>
      </c>
      <c r="AG29" s="88">
        <f t="shared" si="2"/>
        <v>0.44680742960837827</v>
      </c>
      <c r="AH29" s="88">
        <f t="shared" si="2"/>
        <v>0.43921587250690286</v>
      </c>
      <c r="AI29" s="88">
        <f t="shared" si="2"/>
        <v>0.52977512757911371</v>
      </c>
      <c r="AJ29" s="88">
        <f t="shared" si="2"/>
        <v>0.1781040327534551</v>
      </c>
      <c r="AK29" s="90">
        <f t="shared" si="2"/>
        <v>0</v>
      </c>
      <c r="AL29" s="90">
        <f t="shared" si="2"/>
        <v>0</v>
      </c>
      <c r="AM29" s="90">
        <f t="shared" si="2"/>
        <v>0</v>
      </c>
      <c r="AN29" s="90">
        <f t="shared" si="2"/>
        <v>0</v>
      </c>
      <c r="AO29" s="90">
        <f t="shared" si="2"/>
        <v>0</v>
      </c>
      <c r="AP29" s="90">
        <f t="shared" si="2"/>
        <v>0</v>
      </c>
      <c r="AQ29" s="88"/>
      <c r="AR29" s="90">
        <f t="shared" si="3"/>
        <v>1.2398</v>
      </c>
      <c r="AS29" s="90">
        <f t="shared" si="3"/>
        <v>2.0148000000000001</v>
      </c>
      <c r="AT29" s="90">
        <f t="shared" si="3"/>
        <v>0.44679999999999997</v>
      </c>
      <c r="AU29" s="90">
        <f t="shared" si="3"/>
        <v>0.43919999999999998</v>
      </c>
      <c r="AV29" s="90">
        <f t="shared" si="3"/>
        <v>0.52980000000000005</v>
      </c>
      <c r="AW29" s="90">
        <f t="shared" si="3"/>
        <v>0.17810000000000001</v>
      </c>
      <c r="AX29" s="90">
        <f t="shared" si="3"/>
        <v>0</v>
      </c>
      <c r="AY29" s="90">
        <f t="shared" si="3"/>
        <v>0</v>
      </c>
      <c r="AZ29" s="90">
        <f t="shared" si="3"/>
        <v>0</v>
      </c>
      <c r="BA29" s="90">
        <f t="shared" si="3"/>
        <v>0</v>
      </c>
      <c r="BB29" s="90">
        <f t="shared" si="3"/>
        <v>0</v>
      </c>
      <c r="BC29" s="90">
        <f t="shared" si="3"/>
        <v>0</v>
      </c>
      <c r="BD29" s="88"/>
      <c r="BE29" s="1">
        <f>IFERROR(VLOOKUP(AR29,'Top WS'!$A$19:$E$28,5),0)</f>
        <v>260</v>
      </c>
      <c r="BF29" s="1">
        <f>IFERROR(VLOOKUP(AS29,'Top WS'!$A$19:$E$28,5),0)</f>
        <v>260</v>
      </c>
      <c r="BG29" s="1">
        <f>IFERROR(VLOOKUP(AT29,'Top WS'!$A$19:$E$28,5),0)</f>
        <v>180</v>
      </c>
      <c r="BH29" s="1">
        <f>IFERROR(VLOOKUP(AU29,'Top WS'!$A$19:$E$28,5),0)</f>
        <v>180</v>
      </c>
      <c r="BI29" s="1">
        <f>IFERROR(VLOOKUP(AV29,'Top WS'!$A$19:$E$28,5),0)</f>
        <v>180</v>
      </c>
      <c r="BJ29" s="1">
        <f>IFERROR(VLOOKUP(AW29,'Top WS'!$A$19:$E$28,5),0)</f>
        <v>180</v>
      </c>
      <c r="BK29" s="89">
        <f>IFERROR(VLOOKUP(AX29,'Top WS'!$A$19:$E$28,5),0)</f>
        <v>180</v>
      </c>
      <c r="BL29" s="89">
        <f>IFERROR(VLOOKUP(AY29,'Top WS'!$A$19:$E$28,5),0)</f>
        <v>180</v>
      </c>
      <c r="BM29" s="89">
        <f>IFERROR(VLOOKUP(AZ29,'Top WS'!$A$19:$E$28,5),0)</f>
        <v>180</v>
      </c>
      <c r="BN29" s="89">
        <f>IFERROR(VLOOKUP(BA29,'Top WS'!$A$19:$E$28,5),0)</f>
        <v>180</v>
      </c>
      <c r="BO29" s="89">
        <f>IFERROR(VLOOKUP(BB29,'Top WS'!$A$19:$E$28,5),0)</f>
        <v>180</v>
      </c>
      <c r="BP29" s="89">
        <f>IFERROR(VLOOKUP(BC29,'Top WS'!$A$19:$E$28,5),0)</f>
        <v>180</v>
      </c>
    </row>
    <row r="30" spans="1:68" x14ac:dyDescent="0.4">
      <c r="A30">
        <v>1190033101</v>
      </c>
      <c r="B30">
        <f>VLOOKUP(A30,'Aji Plus'!$A$2:$D$58,2,0)</f>
        <v>66381</v>
      </c>
      <c r="C30" t="str">
        <f>VLOOKUP(A30,'Aji Plus'!$A$2:$D$58,3,0)</f>
        <v>นายเอกศักดิ์ แซ่ลิ้ม</v>
      </c>
      <c r="D30" t="str">
        <f>VLOOKUP(A30,'Aji Plus'!$A$2:$D$58,4,0)</f>
        <v>Huahin</v>
      </c>
      <c r="E30" s="1">
        <v>399.73513106520056</v>
      </c>
      <c r="F30" s="1">
        <v>369.46166117464981</v>
      </c>
      <c r="G30" s="1">
        <v>329.56731088297812</v>
      </c>
      <c r="H30" s="1">
        <v>385.47939146777145</v>
      </c>
      <c r="I30" s="1">
        <v>394.41257960223646</v>
      </c>
      <c r="J30" s="1">
        <v>408.08708553041572</v>
      </c>
      <c r="K30" s="1">
        <v>379.67853313115404</v>
      </c>
      <c r="L30" s="1">
        <v>384.18851790633397</v>
      </c>
      <c r="M30" s="1">
        <v>297.47862099803206</v>
      </c>
      <c r="N30" s="1">
        <v>418.20191364177583</v>
      </c>
      <c r="O30" s="1">
        <v>333.21099512855596</v>
      </c>
      <c r="P30" s="1">
        <v>260.49825947090227</v>
      </c>
      <c r="R30" s="1">
        <f>VLOOKUP(A30,Actual_RDNS!$A$2:$H$62,3,0)</f>
        <v>194.07999999999998</v>
      </c>
      <c r="S30" s="1">
        <f>VLOOKUP(A30,Actual_RDNS!$A$2:$H$62,4,0)</f>
        <v>847.16</v>
      </c>
      <c r="T30" s="1">
        <f>VLOOKUP(A30,Actual_RDNS!$A$2:$H$62,5,0)</f>
        <v>177.47999999999996</v>
      </c>
      <c r="U30" s="1">
        <f>VLOOKUP(A30,Actual_RDNS!$A$2:$H$62,6,0)</f>
        <v>101.19999999999999</v>
      </c>
      <c r="V30" s="1">
        <f>VLOOKUP(A30,Actual_RDNS!$A$2:$H$62,7,0)</f>
        <v>129.66</v>
      </c>
      <c r="W30" s="1">
        <f>VLOOKUP(A30,Actual_RDNS!$A$2:$H$62,8,0)</f>
        <v>160.07999999999998</v>
      </c>
      <c r="X30" s="102"/>
      <c r="Y30" s="102"/>
      <c r="Z30" s="102"/>
      <c r="AA30" s="102"/>
      <c r="AB30" s="102"/>
      <c r="AC30" s="102"/>
      <c r="AE30" s="88">
        <f t="shared" si="2"/>
        <v>0.48552149890559332</v>
      </c>
      <c r="AF30" s="88">
        <f t="shared" si="2"/>
        <v>2.2929578059779669</v>
      </c>
      <c r="AG30" s="88">
        <f t="shared" si="2"/>
        <v>0.53852428362659754</v>
      </c>
      <c r="AH30" s="88">
        <f t="shared" si="2"/>
        <v>0.26253024737500386</v>
      </c>
      <c r="AI30" s="88">
        <f t="shared" si="2"/>
        <v>0.3287420500906984</v>
      </c>
      <c r="AJ30" s="88">
        <f t="shared" si="2"/>
        <v>0.39226921330268077</v>
      </c>
      <c r="AK30" s="90">
        <f t="shared" si="2"/>
        <v>0</v>
      </c>
      <c r="AL30" s="90">
        <f t="shared" si="2"/>
        <v>0</v>
      </c>
      <c r="AM30" s="90">
        <f t="shared" si="2"/>
        <v>0</v>
      </c>
      <c r="AN30" s="90">
        <f t="shared" si="2"/>
        <v>0</v>
      </c>
      <c r="AO30" s="90">
        <f t="shared" si="2"/>
        <v>0</v>
      </c>
      <c r="AP30" s="90">
        <f t="shared" si="2"/>
        <v>0</v>
      </c>
      <c r="AQ30" s="88"/>
      <c r="AR30" s="90">
        <f t="shared" si="3"/>
        <v>0.48549999999999999</v>
      </c>
      <c r="AS30" s="90">
        <f t="shared" si="3"/>
        <v>2.2930000000000001</v>
      </c>
      <c r="AT30" s="90">
        <f t="shared" si="3"/>
        <v>0.53849999999999998</v>
      </c>
      <c r="AU30" s="90">
        <f t="shared" si="3"/>
        <v>0.26250000000000001</v>
      </c>
      <c r="AV30" s="90">
        <f t="shared" si="3"/>
        <v>0.32869999999999999</v>
      </c>
      <c r="AW30" s="90">
        <f t="shared" si="3"/>
        <v>0.39229999999999998</v>
      </c>
      <c r="AX30" s="90">
        <f t="shared" si="3"/>
        <v>0</v>
      </c>
      <c r="AY30" s="90">
        <f t="shared" si="3"/>
        <v>0</v>
      </c>
      <c r="AZ30" s="90">
        <f t="shared" si="3"/>
        <v>0</v>
      </c>
      <c r="BA30" s="90">
        <f t="shared" si="3"/>
        <v>0</v>
      </c>
      <c r="BB30" s="90">
        <f t="shared" si="3"/>
        <v>0</v>
      </c>
      <c r="BC30" s="90">
        <f t="shared" si="3"/>
        <v>0</v>
      </c>
      <c r="BD30" s="88"/>
      <c r="BE30" s="1">
        <f>IFERROR(VLOOKUP(AR30,'Top WS'!$A$19:$E$28,5),0)</f>
        <v>180</v>
      </c>
      <c r="BF30" s="1">
        <f>IFERROR(VLOOKUP(AS30,'Top WS'!$A$19:$E$28,5),0)</f>
        <v>260</v>
      </c>
      <c r="BG30" s="1">
        <f>IFERROR(VLOOKUP(AT30,'Top WS'!$A$19:$E$28,5),0)</f>
        <v>180</v>
      </c>
      <c r="BH30" s="1">
        <f>IFERROR(VLOOKUP(AU30,'Top WS'!$A$19:$E$28,5),0)</f>
        <v>180</v>
      </c>
      <c r="BI30" s="1">
        <f>IFERROR(VLOOKUP(AV30,'Top WS'!$A$19:$E$28,5),0)</f>
        <v>180</v>
      </c>
      <c r="BJ30" s="1">
        <f>IFERROR(VLOOKUP(AW30,'Top WS'!$A$19:$E$28,5),0)</f>
        <v>180</v>
      </c>
      <c r="BK30" s="89">
        <f>IFERROR(VLOOKUP(AX30,'Top WS'!$A$19:$E$28,5),0)</f>
        <v>180</v>
      </c>
      <c r="BL30" s="89">
        <f>IFERROR(VLOOKUP(AY30,'Top WS'!$A$19:$E$28,5),0)</f>
        <v>180</v>
      </c>
      <c r="BM30" s="89">
        <f>IFERROR(VLOOKUP(AZ30,'Top WS'!$A$19:$E$28,5),0)</f>
        <v>180</v>
      </c>
      <c r="BN30" s="89">
        <f>IFERROR(VLOOKUP(BA30,'Top WS'!$A$19:$E$28,5),0)</f>
        <v>180</v>
      </c>
      <c r="BO30" s="89">
        <f>IFERROR(VLOOKUP(BB30,'Top WS'!$A$19:$E$28,5),0)</f>
        <v>180</v>
      </c>
      <c r="BP30" s="89">
        <f>IFERROR(VLOOKUP(BC30,'Top WS'!$A$19:$E$28,5),0)</f>
        <v>180</v>
      </c>
    </row>
    <row r="31" spans="1:68" x14ac:dyDescent="0.4">
      <c r="A31">
        <v>1190033102</v>
      </c>
      <c r="B31">
        <f>VLOOKUP(A31,'Aji Plus'!$A$2:$D$58,2,0)</f>
        <v>28090</v>
      </c>
      <c r="C31" t="str">
        <f>VLOOKUP(A31,'Aji Plus'!$A$2:$D$58,3,0)</f>
        <v>นายนิกร กิจเถกิง</v>
      </c>
      <c r="D31" t="str">
        <f>VLOOKUP(A31,'Aji Plus'!$A$2:$D$58,4,0)</f>
        <v>Huahin</v>
      </c>
      <c r="E31" s="1">
        <v>399.73513106520056</v>
      </c>
      <c r="F31" s="1">
        <v>369.46166117464981</v>
      </c>
      <c r="G31" s="1">
        <v>329.56731088297812</v>
      </c>
      <c r="H31" s="1">
        <v>385.47939146777145</v>
      </c>
      <c r="I31" s="1">
        <v>394.41257960223646</v>
      </c>
      <c r="J31" s="1">
        <v>408.08708553041572</v>
      </c>
      <c r="K31" s="1">
        <v>379.67853313115404</v>
      </c>
      <c r="L31" s="1">
        <v>384.18851790633397</v>
      </c>
      <c r="M31" s="1">
        <v>297.47862099803206</v>
      </c>
      <c r="N31" s="1">
        <v>418.20191364177583</v>
      </c>
      <c r="O31" s="1">
        <v>333.21099512855596</v>
      </c>
      <c r="P31" s="1">
        <v>260.49825947090227</v>
      </c>
      <c r="R31" s="1">
        <f>VLOOKUP(A31,Actual_RDNS!$A$2:$H$62,3,0)</f>
        <v>180.07999999999998</v>
      </c>
      <c r="S31" s="1">
        <f>VLOOKUP(A31,Actual_RDNS!$A$2:$H$62,4,0)</f>
        <v>885.78000000000009</v>
      </c>
      <c r="T31" s="1">
        <f>VLOOKUP(A31,Actual_RDNS!$A$2:$H$62,5,0)</f>
        <v>104.05999999999999</v>
      </c>
      <c r="U31" s="1">
        <f>VLOOKUP(A31,Actual_RDNS!$A$2:$H$62,6,0)</f>
        <v>89.32</v>
      </c>
      <c r="V31" s="1">
        <f>VLOOKUP(A31,Actual_RDNS!$A$2:$H$62,7,0)</f>
        <v>126.69999999999999</v>
      </c>
      <c r="W31" s="1">
        <f>VLOOKUP(A31,Actual_RDNS!$A$2:$H$62,8,0)</f>
        <v>421.29999999999995</v>
      </c>
      <c r="X31" s="102"/>
      <c r="Y31" s="102"/>
      <c r="Z31" s="102"/>
      <c r="AA31" s="102"/>
      <c r="AB31" s="102"/>
      <c r="AC31" s="102"/>
      <c r="AE31" s="88">
        <f t="shared" si="2"/>
        <v>0.45049830751710246</v>
      </c>
      <c r="AF31" s="88">
        <f t="shared" si="2"/>
        <v>2.3974882730289009</v>
      </c>
      <c r="AG31" s="88">
        <f t="shared" si="2"/>
        <v>0.31574733465282706</v>
      </c>
      <c r="AH31" s="88">
        <f t="shared" si="2"/>
        <v>0.23171147920489471</v>
      </c>
      <c r="AI31" s="88">
        <f t="shared" si="2"/>
        <v>0.32123721846746484</v>
      </c>
      <c r="AJ31" s="88">
        <f t="shared" si="2"/>
        <v>1.0323776834359033</v>
      </c>
      <c r="AK31" s="90">
        <f t="shared" si="2"/>
        <v>0</v>
      </c>
      <c r="AL31" s="90">
        <f t="shared" si="2"/>
        <v>0</v>
      </c>
      <c r="AM31" s="90">
        <f t="shared" si="2"/>
        <v>0</v>
      </c>
      <c r="AN31" s="90">
        <f t="shared" si="2"/>
        <v>0</v>
      </c>
      <c r="AO31" s="90">
        <f t="shared" si="2"/>
        <v>0</v>
      </c>
      <c r="AP31" s="90">
        <f t="shared" si="2"/>
        <v>0</v>
      </c>
      <c r="AQ31" s="88"/>
      <c r="AR31" s="90">
        <f t="shared" si="3"/>
        <v>0.45050000000000001</v>
      </c>
      <c r="AS31" s="90">
        <f t="shared" si="3"/>
        <v>2.3975</v>
      </c>
      <c r="AT31" s="90">
        <f t="shared" si="3"/>
        <v>0.31569999999999998</v>
      </c>
      <c r="AU31" s="90">
        <f t="shared" si="3"/>
        <v>0.23169999999999999</v>
      </c>
      <c r="AV31" s="90">
        <f t="shared" si="3"/>
        <v>0.32119999999999999</v>
      </c>
      <c r="AW31" s="90">
        <f t="shared" si="3"/>
        <v>1.0324</v>
      </c>
      <c r="AX31" s="90">
        <f t="shared" si="3"/>
        <v>0</v>
      </c>
      <c r="AY31" s="90">
        <f t="shared" si="3"/>
        <v>0</v>
      </c>
      <c r="AZ31" s="90">
        <f t="shared" si="3"/>
        <v>0</v>
      </c>
      <c r="BA31" s="90">
        <f t="shared" si="3"/>
        <v>0</v>
      </c>
      <c r="BB31" s="90">
        <f t="shared" si="3"/>
        <v>0</v>
      </c>
      <c r="BC31" s="90">
        <f t="shared" si="3"/>
        <v>0</v>
      </c>
      <c r="BD31" s="88"/>
      <c r="BE31" s="1">
        <f>IFERROR(VLOOKUP(AR31,'Top WS'!$A$19:$E$28,5),0)</f>
        <v>180</v>
      </c>
      <c r="BF31" s="1">
        <f>IFERROR(VLOOKUP(AS31,'Top WS'!$A$19:$E$28,5),0)</f>
        <v>260</v>
      </c>
      <c r="BG31" s="1">
        <f>IFERROR(VLOOKUP(AT31,'Top WS'!$A$19:$E$28,5),0)</f>
        <v>180</v>
      </c>
      <c r="BH31" s="1">
        <f>IFERROR(VLOOKUP(AU31,'Top WS'!$A$19:$E$28,5),0)</f>
        <v>180</v>
      </c>
      <c r="BI31" s="1">
        <f>IFERROR(VLOOKUP(AV31,'Top WS'!$A$19:$E$28,5),0)</f>
        <v>180</v>
      </c>
      <c r="BJ31" s="1">
        <f>IFERROR(VLOOKUP(AW31,'Top WS'!$A$19:$E$28,5),0)</f>
        <v>216</v>
      </c>
      <c r="BK31" s="89">
        <f>IFERROR(VLOOKUP(AX31,'Top WS'!$A$19:$E$28,5),0)</f>
        <v>180</v>
      </c>
      <c r="BL31" s="89">
        <f>IFERROR(VLOOKUP(AY31,'Top WS'!$A$19:$E$28,5),0)</f>
        <v>180</v>
      </c>
      <c r="BM31" s="89">
        <f>IFERROR(VLOOKUP(AZ31,'Top WS'!$A$19:$E$28,5),0)</f>
        <v>180</v>
      </c>
      <c r="BN31" s="89">
        <f>IFERROR(VLOOKUP(BA31,'Top WS'!$A$19:$E$28,5),0)</f>
        <v>180</v>
      </c>
      <c r="BO31" s="89">
        <f>IFERROR(VLOOKUP(BB31,'Top WS'!$A$19:$E$28,5),0)</f>
        <v>180</v>
      </c>
      <c r="BP31" s="89">
        <f>IFERROR(VLOOKUP(BC31,'Top WS'!$A$19:$E$28,5),0)</f>
        <v>180</v>
      </c>
    </row>
    <row r="32" spans="1:68" x14ac:dyDescent="0.4">
      <c r="A32">
        <v>1190033201</v>
      </c>
      <c r="B32">
        <f>VLOOKUP(A32,'Aji Plus'!$A$2:$D$58,2,0)</f>
        <v>76475</v>
      </c>
      <c r="C32" t="str">
        <f>VLOOKUP(A32,'Aji Plus'!$A$2:$D$58,3,0)</f>
        <v>นายดานุกาญจน์ ตั้งพัฒนารุ่งเรือง</v>
      </c>
      <c r="D32" t="str">
        <f>VLOOKUP(A32,'Aji Plus'!$A$2:$D$58,4,0)</f>
        <v>Suphanburi</v>
      </c>
      <c r="E32" s="1">
        <v>402.48560215051157</v>
      </c>
      <c r="F32" s="1">
        <v>372.00382856805334</v>
      </c>
      <c r="G32" s="1">
        <v>331.83497586611793</v>
      </c>
      <c r="H32" s="1">
        <v>388.13177260172404</v>
      </c>
      <c r="I32" s="1">
        <v>397.12642762702251</v>
      </c>
      <c r="J32" s="1">
        <v>410.89502419232224</v>
      </c>
      <c r="K32" s="1">
        <v>382.29100010223999</v>
      </c>
      <c r="L32" s="1">
        <v>386.83201688275375</v>
      </c>
      <c r="M32" s="1">
        <v>299.52549224343136</v>
      </c>
      <c r="N32" s="1">
        <v>421.07944974481558</v>
      </c>
      <c r="O32" s="1">
        <v>335.50373133356896</v>
      </c>
      <c r="P32" s="1">
        <v>262.29067868744517</v>
      </c>
      <c r="R32" s="1">
        <f>VLOOKUP(A32,Actual_RDNS!$A$2:$H$62,3,0)</f>
        <v>441.66</v>
      </c>
      <c r="S32" s="1">
        <f>VLOOKUP(A32,Actual_RDNS!$A$2:$H$62,4,0)</f>
        <v>864.3599999999999</v>
      </c>
      <c r="T32" s="1">
        <f>VLOOKUP(A32,Actual_RDNS!$A$2:$H$62,5,0)</f>
        <v>550.82000000000005</v>
      </c>
      <c r="U32" s="1">
        <f>VLOOKUP(A32,Actual_RDNS!$A$2:$H$62,6,0)</f>
        <v>289.43999999999994</v>
      </c>
      <c r="V32" s="1">
        <f>VLOOKUP(A32,Actual_RDNS!$A$2:$H$62,7,0)</f>
        <v>241.17999999999995</v>
      </c>
      <c r="W32" s="1">
        <f>VLOOKUP(A32,Actual_RDNS!$A$2:$H$62,8,0)</f>
        <v>244.07999999999993</v>
      </c>
      <c r="X32" s="102"/>
      <c r="Y32" s="102"/>
      <c r="Z32" s="102"/>
      <c r="AA32" s="102"/>
      <c r="AB32" s="102"/>
      <c r="AC32" s="102"/>
      <c r="AE32" s="88">
        <f t="shared" si="2"/>
        <v>1.0973311781593593</v>
      </c>
      <c r="AF32" s="88">
        <f t="shared" si="2"/>
        <v>2.3235244737323351</v>
      </c>
      <c r="AG32" s="88">
        <f t="shared" si="2"/>
        <v>1.6599214671760032</v>
      </c>
      <c r="AH32" s="88">
        <f t="shared" si="2"/>
        <v>0.74572611785895904</v>
      </c>
      <c r="AI32" s="88">
        <f t="shared" si="2"/>
        <v>0.60731289388404541</v>
      </c>
      <c r="AJ32" s="88">
        <f t="shared" si="2"/>
        <v>0.59402033519334274</v>
      </c>
      <c r="AK32" s="90">
        <f t="shared" si="2"/>
        <v>0</v>
      </c>
      <c r="AL32" s="90">
        <f t="shared" si="2"/>
        <v>0</v>
      </c>
      <c r="AM32" s="90">
        <f t="shared" si="2"/>
        <v>0</v>
      </c>
      <c r="AN32" s="90">
        <f t="shared" si="2"/>
        <v>0</v>
      </c>
      <c r="AO32" s="90">
        <f t="shared" si="2"/>
        <v>0</v>
      </c>
      <c r="AP32" s="90">
        <f t="shared" si="2"/>
        <v>0</v>
      </c>
      <c r="AQ32" s="88"/>
      <c r="AR32" s="90">
        <f t="shared" si="3"/>
        <v>1.0972999999999999</v>
      </c>
      <c r="AS32" s="90">
        <f t="shared" si="3"/>
        <v>2.3235000000000001</v>
      </c>
      <c r="AT32" s="90">
        <f t="shared" si="3"/>
        <v>1.6598999999999999</v>
      </c>
      <c r="AU32" s="90">
        <f t="shared" si="3"/>
        <v>0.74570000000000003</v>
      </c>
      <c r="AV32" s="90">
        <f t="shared" si="3"/>
        <v>0.60729999999999995</v>
      </c>
      <c r="AW32" s="90">
        <f t="shared" si="3"/>
        <v>0.59399999999999997</v>
      </c>
      <c r="AX32" s="90">
        <f t="shared" si="3"/>
        <v>0</v>
      </c>
      <c r="AY32" s="90">
        <f t="shared" si="3"/>
        <v>0</v>
      </c>
      <c r="AZ32" s="90">
        <f t="shared" si="3"/>
        <v>0</v>
      </c>
      <c r="BA32" s="90">
        <f t="shared" si="3"/>
        <v>0</v>
      </c>
      <c r="BB32" s="90">
        <f t="shared" si="3"/>
        <v>0</v>
      </c>
      <c r="BC32" s="90">
        <f t="shared" si="3"/>
        <v>0</v>
      </c>
      <c r="BD32" s="88"/>
      <c r="BE32" s="1">
        <f>IFERROR(VLOOKUP(AR32,'Top WS'!$A$19:$E$28,5),0)</f>
        <v>220</v>
      </c>
      <c r="BF32" s="1">
        <f>IFERROR(VLOOKUP(AS32,'Top WS'!$A$19:$E$28,5),0)</f>
        <v>260</v>
      </c>
      <c r="BG32" s="1">
        <f>IFERROR(VLOOKUP(AT32,'Top WS'!$A$19:$E$28,5),0)</f>
        <v>260</v>
      </c>
      <c r="BH32" s="1">
        <f>IFERROR(VLOOKUP(AU32,'Top WS'!$A$19:$E$28,5),0)</f>
        <v>180</v>
      </c>
      <c r="BI32" s="1">
        <f>IFERROR(VLOOKUP(AV32,'Top WS'!$A$19:$E$28,5),0)</f>
        <v>180</v>
      </c>
      <c r="BJ32" s="1">
        <f>IFERROR(VLOOKUP(AW32,'Top WS'!$A$19:$E$28,5),0)</f>
        <v>180</v>
      </c>
      <c r="BK32" s="89">
        <f>IFERROR(VLOOKUP(AX32,'Top WS'!$A$19:$E$28,5),0)</f>
        <v>180</v>
      </c>
      <c r="BL32" s="89">
        <f>IFERROR(VLOOKUP(AY32,'Top WS'!$A$19:$E$28,5),0)</f>
        <v>180</v>
      </c>
      <c r="BM32" s="89">
        <f>IFERROR(VLOOKUP(AZ32,'Top WS'!$A$19:$E$28,5),0)</f>
        <v>180</v>
      </c>
      <c r="BN32" s="89">
        <f>IFERROR(VLOOKUP(BA32,'Top WS'!$A$19:$E$28,5),0)</f>
        <v>180</v>
      </c>
      <c r="BO32" s="89">
        <f>IFERROR(VLOOKUP(BB32,'Top WS'!$A$19:$E$28,5),0)</f>
        <v>180</v>
      </c>
      <c r="BP32" s="89">
        <f>IFERROR(VLOOKUP(BC32,'Top WS'!$A$19:$E$28,5),0)</f>
        <v>180</v>
      </c>
    </row>
    <row r="33" spans="1:68" x14ac:dyDescent="0.4">
      <c r="A33">
        <v>1190033202</v>
      </c>
      <c r="B33">
        <f>VLOOKUP(A33,'Aji Plus'!$A$2:$D$58,2,0)</f>
        <v>63537</v>
      </c>
      <c r="C33" t="str">
        <f>VLOOKUP(A33,'Aji Plus'!$A$2:$D$58,3,0)</f>
        <v>นายอำนาจ แตงสี</v>
      </c>
      <c r="D33" t="str">
        <f>VLOOKUP(A33,'Aji Plus'!$A$2:$D$58,4,0)</f>
        <v>Suphanburi</v>
      </c>
      <c r="E33" s="1">
        <v>402.48560215051157</v>
      </c>
      <c r="F33" s="1">
        <v>372.00382856805334</v>
      </c>
      <c r="G33" s="1">
        <v>331.83497586611793</v>
      </c>
      <c r="H33" s="1">
        <v>388.13177260172404</v>
      </c>
      <c r="I33" s="1">
        <v>397.12642762702251</v>
      </c>
      <c r="J33" s="1">
        <v>410.89502419232224</v>
      </c>
      <c r="K33" s="1">
        <v>382.29100010223999</v>
      </c>
      <c r="L33" s="1">
        <v>386.83201688275375</v>
      </c>
      <c r="M33" s="1">
        <v>299.52549224343136</v>
      </c>
      <c r="N33" s="1">
        <v>421.07944974481558</v>
      </c>
      <c r="O33" s="1">
        <v>335.50373133356896</v>
      </c>
      <c r="P33" s="1">
        <v>262.29067868744517</v>
      </c>
      <c r="R33" s="1">
        <f>VLOOKUP(A33,Actual_RDNS!$A$2:$H$62,3,0)</f>
        <v>79.680000000000007</v>
      </c>
      <c r="S33" s="1">
        <f>VLOOKUP(A33,Actual_RDNS!$A$2:$H$62,4,0)</f>
        <v>814.18</v>
      </c>
      <c r="T33" s="1">
        <f>VLOOKUP(A33,Actual_RDNS!$A$2:$H$62,5,0)</f>
        <v>93.419999999999987</v>
      </c>
      <c r="U33" s="1">
        <f>VLOOKUP(A33,Actual_RDNS!$A$2:$H$62,6,0)</f>
        <v>55.62</v>
      </c>
      <c r="V33" s="1">
        <f>VLOOKUP(A33,Actual_RDNS!$A$2:$H$62,7,0)</f>
        <v>476.12</v>
      </c>
      <c r="W33" s="1">
        <f>VLOOKUP(A33,Actual_RDNS!$A$2:$H$62,8,0)</f>
        <v>429.82</v>
      </c>
      <c r="X33" s="102"/>
      <c r="Y33" s="102"/>
      <c r="Z33" s="102"/>
      <c r="AA33" s="102"/>
      <c r="AB33" s="102"/>
      <c r="AC33" s="102"/>
      <c r="AE33" s="88">
        <f t="shared" si="2"/>
        <v>0.19796981450830448</v>
      </c>
      <c r="AF33" s="88">
        <f t="shared" si="2"/>
        <v>2.1886333888928138</v>
      </c>
      <c r="AG33" s="88">
        <f t="shared" si="2"/>
        <v>0.28152547740383821</v>
      </c>
      <c r="AH33" s="88">
        <f t="shared" si="2"/>
        <v>0.14330184727513581</v>
      </c>
      <c r="AI33" s="88">
        <f t="shared" si="2"/>
        <v>1.1989129075216509</v>
      </c>
      <c r="AJ33" s="88">
        <f t="shared" si="2"/>
        <v>1.0460579337627116</v>
      </c>
      <c r="AK33" s="90">
        <f t="shared" si="2"/>
        <v>0</v>
      </c>
      <c r="AL33" s="90">
        <f t="shared" si="2"/>
        <v>0</v>
      </c>
      <c r="AM33" s="90">
        <f t="shared" si="2"/>
        <v>0</v>
      </c>
      <c r="AN33" s="90">
        <f t="shared" si="2"/>
        <v>0</v>
      </c>
      <c r="AO33" s="90">
        <f t="shared" si="2"/>
        <v>0</v>
      </c>
      <c r="AP33" s="90">
        <f t="shared" si="2"/>
        <v>0</v>
      </c>
      <c r="AQ33" s="88"/>
      <c r="AR33" s="90">
        <f t="shared" si="3"/>
        <v>0.19800000000000001</v>
      </c>
      <c r="AS33" s="90">
        <f t="shared" si="3"/>
        <v>2.1886000000000001</v>
      </c>
      <c r="AT33" s="90">
        <f t="shared" si="3"/>
        <v>0.28149999999999997</v>
      </c>
      <c r="AU33" s="90">
        <f t="shared" si="3"/>
        <v>0.14330000000000001</v>
      </c>
      <c r="AV33" s="90">
        <f t="shared" si="3"/>
        <v>1.1989000000000001</v>
      </c>
      <c r="AW33" s="90">
        <f t="shared" si="3"/>
        <v>1.0461</v>
      </c>
      <c r="AX33" s="90">
        <f t="shared" si="3"/>
        <v>0</v>
      </c>
      <c r="AY33" s="90">
        <f t="shared" si="3"/>
        <v>0</v>
      </c>
      <c r="AZ33" s="90">
        <f t="shared" si="3"/>
        <v>0</v>
      </c>
      <c r="BA33" s="90">
        <f t="shared" si="3"/>
        <v>0</v>
      </c>
      <c r="BB33" s="90">
        <f t="shared" si="3"/>
        <v>0</v>
      </c>
      <c r="BC33" s="90">
        <f t="shared" si="3"/>
        <v>0</v>
      </c>
      <c r="BD33" s="88"/>
      <c r="BE33" s="1">
        <f>IFERROR(VLOOKUP(AR33,'Top WS'!$A$19:$E$28,5),0)</f>
        <v>180</v>
      </c>
      <c r="BF33" s="1">
        <f>IFERROR(VLOOKUP(AS33,'Top WS'!$A$19:$E$28,5),0)</f>
        <v>260</v>
      </c>
      <c r="BG33" s="1">
        <f>IFERROR(VLOOKUP(AT33,'Top WS'!$A$19:$E$28,5),0)</f>
        <v>180</v>
      </c>
      <c r="BH33" s="1">
        <f>IFERROR(VLOOKUP(AU33,'Top WS'!$A$19:$E$28,5),0)</f>
        <v>180</v>
      </c>
      <c r="BI33" s="1">
        <f>IFERROR(VLOOKUP(AV33,'Top WS'!$A$19:$E$28,5),0)</f>
        <v>240</v>
      </c>
      <c r="BJ33" s="1">
        <f>IFERROR(VLOOKUP(AW33,'Top WS'!$A$19:$E$28,5),0)</f>
        <v>216</v>
      </c>
      <c r="BK33" s="89">
        <f>IFERROR(VLOOKUP(AX33,'Top WS'!$A$19:$E$28,5),0)</f>
        <v>180</v>
      </c>
      <c r="BL33" s="89">
        <f>IFERROR(VLOOKUP(AY33,'Top WS'!$A$19:$E$28,5),0)</f>
        <v>180</v>
      </c>
      <c r="BM33" s="89">
        <f>IFERROR(VLOOKUP(AZ33,'Top WS'!$A$19:$E$28,5),0)</f>
        <v>180</v>
      </c>
      <c r="BN33" s="89">
        <f>IFERROR(VLOOKUP(BA33,'Top WS'!$A$19:$E$28,5),0)</f>
        <v>180</v>
      </c>
      <c r="BO33" s="89">
        <f>IFERROR(VLOOKUP(BB33,'Top WS'!$A$19:$E$28,5),0)</f>
        <v>180</v>
      </c>
      <c r="BP33" s="89">
        <f>IFERROR(VLOOKUP(BC33,'Top WS'!$A$19:$E$28,5),0)</f>
        <v>180</v>
      </c>
    </row>
    <row r="34" spans="1:68" x14ac:dyDescent="0.4">
      <c r="A34">
        <v>1190033301</v>
      </c>
      <c r="B34">
        <f>VLOOKUP(A34,'Aji Plus'!$A$2:$D$58,2,0)</f>
        <v>63139</v>
      </c>
      <c r="C34" t="str">
        <f>VLOOKUP(A34,'Aji Plus'!$A$2:$D$58,3,0)</f>
        <v>นายเมธา กันทสัง</v>
      </c>
      <c r="D34" t="str">
        <f>VLOOKUP(A34,'Aji Plus'!$A$2:$D$58,4,0)</f>
        <v>Nakornpathom</v>
      </c>
      <c r="E34" s="1">
        <v>859.5089501970366</v>
      </c>
      <c r="F34" s="1">
        <v>504.51231501245792</v>
      </c>
      <c r="G34" s="1">
        <v>690.60489108783975</v>
      </c>
      <c r="H34" s="1">
        <v>747.11613546218064</v>
      </c>
      <c r="I34" s="1">
        <v>670.38549292839355</v>
      </c>
      <c r="J34" s="1">
        <v>634.85016045082887</v>
      </c>
      <c r="K34" s="1">
        <v>571.27148510931841</v>
      </c>
      <c r="L34" s="1">
        <v>646.80190110369597</v>
      </c>
      <c r="M34" s="1">
        <v>520.28327364188567</v>
      </c>
      <c r="N34" s="1">
        <v>615.5101944290177</v>
      </c>
      <c r="O34" s="1">
        <v>612.4505065922491</v>
      </c>
      <c r="P34" s="1">
        <v>681.7046939850951</v>
      </c>
      <c r="R34" s="1">
        <f>VLOOKUP(A34,Actual_RDNS!$A$2:$H$62,3,0)</f>
        <v>333.9</v>
      </c>
      <c r="S34" s="1">
        <f>VLOOKUP(A34,Actual_RDNS!$A$2:$H$62,4,0)</f>
        <v>2404.0400000000004</v>
      </c>
      <c r="T34" s="1">
        <f>VLOOKUP(A34,Actual_RDNS!$A$2:$H$62,5,0)</f>
        <v>840.83999999999992</v>
      </c>
      <c r="U34" s="1">
        <f>VLOOKUP(A34,Actual_RDNS!$A$2:$H$62,6,0)</f>
        <v>1208.3600000000004</v>
      </c>
      <c r="V34" s="1">
        <f>VLOOKUP(A34,Actual_RDNS!$A$2:$H$62,7,0)</f>
        <v>619.93999999999994</v>
      </c>
      <c r="W34" s="1">
        <f>VLOOKUP(A34,Actual_RDNS!$A$2:$H$62,8,0)</f>
        <v>324.76</v>
      </c>
      <c r="X34" s="102"/>
      <c r="Y34" s="102"/>
      <c r="Z34" s="102"/>
      <c r="AA34" s="102"/>
      <c r="AB34" s="102"/>
      <c r="AC34" s="102"/>
      <c r="AE34" s="88">
        <f t="shared" si="2"/>
        <v>0.38847763007407388</v>
      </c>
      <c r="AF34" s="88">
        <f t="shared" si="2"/>
        <v>4.7650769435442575</v>
      </c>
      <c r="AG34" s="88">
        <f t="shared" si="2"/>
        <v>1.2175413334758027</v>
      </c>
      <c r="AH34" s="88">
        <f t="shared" si="2"/>
        <v>1.6173656847238151</v>
      </c>
      <c r="AI34" s="88">
        <f t="shared" si="2"/>
        <v>0.92475151467249628</v>
      </c>
      <c r="AJ34" s="88">
        <f t="shared" si="2"/>
        <v>0.51155378108336114</v>
      </c>
      <c r="AK34" s="90">
        <f t="shared" si="2"/>
        <v>0</v>
      </c>
      <c r="AL34" s="90">
        <f t="shared" si="2"/>
        <v>0</v>
      </c>
      <c r="AM34" s="90">
        <f t="shared" si="2"/>
        <v>0</v>
      </c>
      <c r="AN34" s="90">
        <f t="shared" si="2"/>
        <v>0</v>
      </c>
      <c r="AO34" s="90">
        <f t="shared" si="2"/>
        <v>0</v>
      </c>
      <c r="AP34" s="90">
        <f t="shared" si="2"/>
        <v>0</v>
      </c>
      <c r="AQ34" s="88"/>
      <c r="AR34" s="90">
        <f t="shared" si="3"/>
        <v>0.38850000000000001</v>
      </c>
      <c r="AS34" s="90">
        <f t="shared" si="3"/>
        <v>4.7651000000000003</v>
      </c>
      <c r="AT34" s="90">
        <f t="shared" si="3"/>
        <v>1.2175</v>
      </c>
      <c r="AU34" s="90">
        <f t="shared" si="3"/>
        <v>1.6173999999999999</v>
      </c>
      <c r="AV34" s="90">
        <f t="shared" si="3"/>
        <v>0.92479999999999996</v>
      </c>
      <c r="AW34" s="90">
        <f t="shared" si="3"/>
        <v>0.51160000000000005</v>
      </c>
      <c r="AX34" s="90">
        <f t="shared" si="3"/>
        <v>0</v>
      </c>
      <c r="AY34" s="90">
        <f t="shared" si="3"/>
        <v>0</v>
      </c>
      <c r="AZ34" s="90">
        <f t="shared" si="3"/>
        <v>0</v>
      </c>
      <c r="BA34" s="90">
        <f t="shared" si="3"/>
        <v>0</v>
      </c>
      <c r="BB34" s="90">
        <f t="shared" si="3"/>
        <v>0</v>
      </c>
      <c r="BC34" s="90">
        <f t="shared" si="3"/>
        <v>0</v>
      </c>
      <c r="BD34" s="88"/>
      <c r="BE34" s="1">
        <f>IFERROR(VLOOKUP(AR34,'Top WS'!$A$19:$E$28,5),0)</f>
        <v>180</v>
      </c>
      <c r="BF34" s="1">
        <f>IFERROR(VLOOKUP(AS34,'Top WS'!$A$19:$E$28,5),0)</f>
        <v>260</v>
      </c>
      <c r="BG34" s="1">
        <f>IFERROR(VLOOKUP(AT34,'Top WS'!$A$19:$E$28,5),0)</f>
        <v>260</v>
      </c>
      <c r="BH34" s="1">
        <f>IFERROR(VLOOKUP(AU34,'Top WS'!$A$19:$E$28,5),0)</f>
        <v>260</v>
      </c>
      <c r="BI34" s="1">
        <f>IFERROR(VLOOKUP(AV34,'Top WS'!$A$19:$E$28,5),0)</f>
        <v>190</v>
      </c>
      <c r="BJ34" s="1">
        <f>IFERROR(VLOOKUP(AW34,'Top WS'!$A$19:$E$28,5),0)</f>
        <v>180</v>
      </c>
      <c r="BK34" s="89">
        <f>IFERROR(VLOOKUP(AX34,'Top WS'!$A$19:$E$28,5),0)</f>
        <v>180</v>
      </c>
      <c r="BL34" s="89">
        <f>IFERROR(VLOOKUP(AY34,'Top WS'!$A$19:$E$28,5),0)</f>
        <v>180</v>
      </c>
      <c r="BM34" s="89">
        <f>IFERROR(VLOOKUP(AZ34,'Top WS'!$A$19:$E$28,5),0)</f>
        <v>180</v>
      </c>
      <c r="BN34" s="89">
        <f>IFERROR(VLOOKUP(BA34,'Top WS'!$A$19:$E$28,5),0)</f>
        <v>180</v>
      </c>
      <c r="BO34" s="89">
        <f>IFERROR(VLOOKUP(BB34,'Top WS'!$A$19:$E$28,5),0)</f>
        <v>180</v>
      </c>
      <c r="BP34" s="89">
        <f>IFERROR(VLOOKUP(BC34,'Top WS'!$A$19:$E$28,5),0)</f>
        <v>180</v>
      </c>
    </row>
    <row r="35" spans="1:68" x14ac:dyDescent="0.4">
      <c r="A35">
        <v>1190033302</v>
      </c>
      <c r="B35">
        <f>VLOOKUP(A35,'Aji Plus'!$A$2:$D$58,2,0)</f>
        <v>101039</v>
      </c>
      <c r="C35" t="str">
        <f>VLOOKUP(A35,'Aji Plus'!$A$2:$D$58,3,0)</f>
        <v>นายสุชล ลีลากิจทรัพย์</v>
      </c>
      <c r="D35" t="str">
        <f>VLOOKUP(A35,'Aji Plus'!$A$2:$D$58,4,0)</f>
        <v>Nakornpathom</v>
      </c>
      <c r="E35" s="1">
        <v>859.5089501970366</v>
      </c>
      <c r="F35" s="1">
        <v>504.51231501245792</v>
      </c>
      <c r="G35" s="1">
        <v>690.60489108783975</v>
      </c>
      <c r="H35" s="1">
        <v>747.11613546218064</v>
      </c>
      <c r="I35" s="1">
        <v>670.38549292839355</v>
      </c>
      <c r="J35" s="1">
        <v>634.85016045082887</v>
      </c>
      <c r="K35" s="1">
        <v>571.27148510931841</v>
      </c>
      <c r="L35" s="1">
        <v>646.80190110369597</v>
      </c>
      <c r="M35" s="1">
        <v>520.28327364188567</v>
      </c>
      <c r="N35" s="1">
        <v>615.5101944290177</v>
      </c>
      <c r="O35" s="1">
        <v>612.4505065922491</v>
      </c>
      <c r="P35" s="1">
        <v>681.7046939850951</v>
      </c>
      <c r="R35" s="1">
        <f>VLOOKUP(A35,Actual_RDNS!$A$2:$H$62,3,0)</f>
        <v>428.32</v>
      </c>
      <c r="S35" s="1">
        <f>VLOOKUP(A35,Actual_RDNS!$A$2:$H$62,4,0)</f>
        <v>535.21999999999991</v>
      </c>
      <c r="T35" s="1">
        <f>VLOOKUP(A35,Actual_RDNS!$A$2:$H$62,5,0)</f>
        <v>180.16</v>
      </c>
      <c r="U35" s="1">
        <f>VLOOKUP(A35,Actual_RDNS!$A$2:$H$62,6,0)</f>
        <v>441.84</v>
      </c>
      <c r="V35" s="1">
        <f>VLOOKUP(A35,Actual_RDNS!$A$2:$H$62,7,0)</f>
        <v>698.98</v>
      </c>
      <c r="W35" s="1">
        <f>VLOOKUP(A35,Actual_RDNS!$A$2:$H$62,8,0)</f>
        <v>359.93999999999994</v>
      </c>
      <c r="X35" s="102"/>
      <c r="Y35" s="102"/>
      <c r="Z35" s="102"/>
      <c r="AA35" s="102"/>
      <c r="AB35" s="102"/>
      <c r="AC35" s="102"/>
      <c r="AE35" s="88">
        <f t="shared" si="2"/>
        <v>0.49833105275030648</v>
      </c>
      <c r="AF35" s="88">
        <f t="shared" si="2"/>
        <v>1.0608660761567015</v>
      </c>
      <c r="AG35" s="88">
        <f t="shared" si="2"/>
        <v>0.26087275419699424</v>
      </c>
      <c r="AH35" s="88">
        <f t="shared" si="2"/>
        <v>0.59139400024692157</v>
      </c>
      <c r="AI35" s="88">
        <f t="shared" si="2"/>
        <v>1.0426538273474555</v>
      </c>
      <c r="AJ35" s="88">
        <f t="shared" si="2"/>
        <v>0.56696843195943147</v>
      </c>
      <c r="AK35" s="90">
        <f t="shared" si="2"/>
        <v>0</v>
      </c>
      <c r="AL35" s="90">
        <f t="shared" si="2"/>
        <v>0</v>
      </c>
      <c r="AM35" s="90">
        <f t="shared" si="2"/>
        <v>0</v>
      </c>
      <c r="AN35" s="90">
        <f t="shared" si="2"/>
        <v>0</v>
      </c>
      <c r="AO35" s="90">
        <f t="shared" si="2"/>
        <v>0</v>
      </c>
      <c r="AP35" s="90">
        <f t="shared" si="2"/>
        <v>0</v>
      </c>
      <c r="AQ35" s="88"/>
      <c r="AR35" s="90">
        <f t="shared" si="3"/>
        <v>0.49830000000000002</v>
      </c>
      <c r="AS35" s="90">
        <f t="shared" si="3"/>
        <v>1.0609</v>
      </c>
      <c r="AT35" s="90">
        <f t="shared" si="3"/>
        <v>0.26090000000000002</v>
      </c>
      <c r="AU35" s="90">
        <f t="shared" si="3"/>
        <v>0.59140000000000004</v>
      </c>
      <c r="AV35" s="90">
        <f t="shared" si="3"/>
        <v>1.0427</v>
      </c>
      <c r="AW35" s="90">
        <f t="shared" si="3"/>
        <v>0.56699999999999995</v>
      </c>
      <c r="AX35" s="90">
        <f t="shared" si="3"/>
        <v>0</v>
      </c>
      <c r="AY35" s="90">
        <f t="shared" si="3"/>
        <v>0</v>
      </c>
      <c r="AZ35" s="90">
        <f t="shared" si="3"/>
        <v>0</v>
      </c>
      <c r="BA35" s="90">
        <f t="shared" si="3"/>
        <v>0</v>
      </c>
      <c r="BB35" s="90">
        <f t="shared" si="3"/>
        <v>0</v>
      </c>
      <c r="BC35" s="90">
        <f t="shared" si="3"/>
        <v>0</v>
      </c>
      <c r="BD35" s="88"/>
      <c r="BE35" s="1">
        <f>IFERROR(VLOOKUP(AR35,'Top WS'!$A$19:$E$28,5),0)</f>
        <v>180</v>
      </c>
      <c r="BF35" s="1">
        <f>IFERROR(VLOOKUP(AS35,'Top WS'!$A$19:$E$28,5),0)</f>
        <v>220</v>
      </c>
      <c r="BG35" s="1">
        <f>IFERROR(VLOOKUP(AT35,'Top WS'!$A$19:$E$28,5),0)</f>
        <v>180</v>
      </c>
      <c r="BH35" s="1">
        <f>IFERROR(VLOOKUP(AU35,'Top WS'!$A$19:$E$28,5),0)</f>
        <v>180</v>
      </c>
      <c r="BI35" s="1">
        <f>IFERROR(VLOOKUP(AV35,'Top WS'!$A$19:$E$28,5),0)</f>
        <v>216</v>
      </c>
      <c r="BJ35" s="1">
        <f>IFERROR(VLOOKUP(AW35,'Top WS'!$A$19:$E$28,5),0)</f>
        <v>180</v>
      </c>
      <c r="BK35" s="89">
        <f>IFERROR(VLOOKUP(AX35,'Top WS'!$A$19:$E$28,5),0)</f>
        <v>180</v>
      </c>
      <c r="BL35" s="89">
        <f>IFERROR(VLOOKUP(AY35,'Top WS'!$A$19:$E$28,5),0)</f>
        <v>180</v>
      </c>
      <c r="BM35" s="89">
        <f>IFERROR(VLOOKUP(AZ35,'Top WS'!$A$19:$E$28,5),0)</f>
        <v>180</v>
      </c>
      <c r="BN35" s="89">
        <f>IFERROR(VLOOKUP(BA35,'Top WS'!$A$19:$E$28,5),0)</f>
        <v>180</v>
      </c>
      <c r="BO35" s="89">
        <f>IFERROR(VLOOKUP(BB35,'Top WS'!$A$19:$E$28,5),0)</f>
        <v>180</v>
      </c>
      <c r="BP35" s="89">
        <f>IFERROR(VLOOKUP(BC35,'Top WS'!$A$19:$E$28,5),0)</f>
        <v>180</v>
      </c>
    </row>
    <row r="36" spans="1:68" x14ac:dyDescent="0.4">
      <c r="A36">
        <v>1190037301</v>
      </c>
      <c r="B36">
        <f>VLOOKUP(A36,'Aji Plus'!$A$2:$D$58,2,0)</f>
        <v>100570</v>
      </c>
      <c r="C36" t="str">
        <f>VLOOKUP(A36,'Aji Plus'!$A$2:$D$58,3,0)</f>
        <v>นายอดิเรก ศรีนุกูล</v>
      </c>
      <c r="D36" t="str">
        <f>VLOOKUP(A36,'Aji Plus'!$A$2:$D$58,4,0)</f>
        <v>Chonburi</v>
      </c>
      <c r="E36" s="1">
        <v>261</v>
      </c>
      <c r="F36" s="1">
        <v>642</v>
      </c>
      <c r="G36" s="1">
        <v>333</v>
      </c>
      <c r="H36" s="1">
        <v>570</v>
      </c>
      <c r="I36" s="1">
        <v>166</v>
      </c>
      <c r="J36" s="1">
        <v>689</v>
      </c>
      <c r="K36" s="1">
        <v>499</v>
      </c>
      <c r="L36" s="1">
        <v>546</v>
      </c>
      <c r="M36" s="1">
        <v>832</v>
      </c>
      <c r="N36" s="1">
        <v>594</v>
      </c>
      <c r="O36" s="1">
        <v>1806</v>
      </c>
      <c r="P36" s="1">
        <v>748</v>
      </c>
      <c r="R36" s="1">
        <f>VLOOKUP(A36,Actual_RDNS!$A$2:$H$62,3,0)</f>
        <v>489.2399999999999</v>
      </c>
      <c r="S36" s="1">
        <f>VLOOKUP(A36,Actual_RDNS!$A$2:$H$62,4,0)</f>
        <v>2014.7399999999998</v>
      </c>
      <c r="T36" s="1">
        <f>VLOOKUP(A36,Actual_RDNS!$A$2:$H$62,5,0)</f>
        <v>260.97999999999996</v>
      </c>
      <c r="U36" s="1">
        <f>VLOOKUP(A36,Actual_RDNS!$A$2:$H$62,6,0)</f>
        <v>67.5</v>
      </c>
      <c r="V36" s="1">
        <f>VLOOKUP(A36,Actual_RDNS!$A$2:$H$62,7,0)</f>
        <v>65.34</v>
      </c>
      <c r="W36" s="1">
        <f>VLOOKUP(A36,Actual_RDNS!$A$2:$H$62,8,0)</f>
        <v>169.2</v>
      </c>
      <c r="X36" s="102"/>
      <c r="Y36" s="102"/>
      <c r="Z36" s="102"/>
      <c r="AA36" s="102"/>
      <c r="AB36" s="102"/>
      <c r="AC36" s="102"/>
      <c r="AE36" s="88">
        <f t="shared" si="2"/>
        <v>1.8744827586206894</v>
      </c>
      <c r="AF36" s="88">
        <f t="shared" si="2"/>
        <v>3.1382242990654201</v>
      </c>
      <c r="AG36" s="88">
        <f t="shared" si="2"/>
        <v>0.78372372372372356</v>
      </c>
      <c r="AH36" s="88">
        <f t="shared" si="2"/>
        <v>0.11842105263157894</v>
      </c>
      <c r="AI36" s="88">
        <f t="shared" si="2"/>
        <v>0.39361445783132532</v>
      </c>
      <c r="AJ36" s="88">
        <f t="shared" si="2"/>
        <v>0.24557329462989838</v>
      </c>
      <c r="AK36" s="90">
        <f t="shared" si="2"/>
        <v>0</v>
      </c>
      <c r="AL36" s="90">
        <f t="shared" si="2"/>
        <v>0</v>
      </c>
      <c r="AM36" s="90">
        <f t="shared" si="2"/>
        <v>0</v>
      </c>
      <c r="AN36" s="90">
        <f t="shared" si="2"/>
        <v>0</v>
      </c>
      <c r="AO36" s="90">
        <f t="shared" si="2"/>
        <v>0</v>
      </c>
      <c r="AP36" s="90">
        <f t="shared" si="2"/>
        <v>0</v>
      </c>
      <c r="AQ36" s="88"/>
      <c r="AR36" s="90">
        <f t="shared" si="3"/>
        <v>1.8745000000000001</v>
      </c>
      <c r="AS36" s="90">
        <f t="shared" si="3"/>
        <v>3.1381999999999999</v>
      </c>
      <c r="AT36" s="90">
        <f t="shared" si="3"/>
        <v>0.78369999999999995</v>
      </c>
      <c r="AU36" s="90">
        <f t="shared" si="3"/>
        <v>0.11840000000000001</v>
      </c>
      <c r="AV36" s="90">
        <f t="shared" si="3"/>
        <v>0.39360000000000001</v>
      </c>
      <c r="AW36" s="90">
        <f t="shared" si="3"/>
        <v>0.24560000000000001</v>
      </c>
      <c r="AX36" s="90">
        <f t="shared" si="3"/>
        <v>0</v>
      </c>
      <c r="AY36" s="90">
        <f t="shared" si="3"/>
        <v>0</v>
      </c>
      <c r="AZ36" s="90">
        <f t="shared" si="3"/>
        <v>0</v>
      </c>
      <c r="BA36" s="90">
        <f t="shared" si="3"/>
        <v>0</v>
      </c>
      <c r="BB36" s="90">
        <f t="shared" si="3"/>
        <v>0</v>
      </c>
      <c r="BC36" s="90">
        <f t="shared" si="3"/>
        <v>0</v>
      </c>
      <c r="BD36" s="88"/>
      <c r="BE36" s="1">
        <f>IFERROR(VLOOKUP(AR36,'Top WS'!$A$19:$E$28,5),0)</f>
        <v>260</v>
      </c>
      <c r="BF36" s="1">
        <f>IFERROR(VLOOKUP(AS36,'Top WS'!$A$19:$E$28,5),0)</f>
        <v>260</v>
      </c>
      <c r="BG36" s="1">
        <f>IFERROR(VLOOKUP(AT36,'Top WS'!$A$19:$E$28,5),0)</f>
        <v>180</v>
      </c>
      <c r="BH36" s="1">
        <f>IFERROR(VLOOKUP(AU36,'Top WS'!$A$19:$E$28,5),0)</f>
        <v>180</v>
      </c>
      <c r="BI36" s="1">
        <f>IFERROR(VLOOKUP(AV36,'Top WS'!$A$19:$E$28,5),0)</f>
        <v>180</v>
      </c>
      <c r="BJ36" s="1">
        <f>IFERROR(VLOOKUP(AW36,'Top WS'!$A$19:$E$28,5),0)</f>
        <v>180</v>
      </c>
      <c r="BK36" s="89">
        <f>IFERROR(VLOOKUP(AX36,'Top WS'!$A$19:$E$28,5),0)</f>
        <v>180</v>
      </c>
      <c r="BL36" s="89">
        <f>IFERROR(VLOOKUP(AY36,'Top WS'!$A$19:$E$28,5),0)</f>
        <v>180</v>
      </c>
      <c r="BM36" s="89">
        <f>IFERROR(VLOOKUP(AZ36,'Top WS'!$A$19:$E$28,5),0)</f>
        <v>180</v>
      </c>
      <c r="BN36" s="89">
        <f>IFERROR(VLOOKUP(BA36,'Top WS'!$A$19:$E$28,5),0)</f>
        <v>180</v>
      </c>
      <c r="BO36" s="89">
        <f>IFERROR(VLOOKUP(BB36,'Top WS'!$A$19:$E$28,5),0)</f>
        <v>180</v>
      </c>
      <c r="BP36" s="89">
        <f>IFERROR(VLOOKUP(BC36,'Top WS'!$A$19:$E$28,5),0)</f>
        <v>180</v>
      </c>
    </row>
    <row r="37" spans="1:68" x14ac:dyDescent="0.4">
      <c r="A37">
        <v>1190037401</v>
      </c>
      <c r="B37">
        <f>VLOOKUP(A37,'Aji Plus'!$A$2:$D$58,2,0)</f>
        <v>28171</v>
      </c>
      <c r="C37" t="str">
        <f>VLOOKUP(A37,'Aji Plus'!$A$2:$D$58,3,0)</f>
        <v>นายไพฑูรย์ ไกรลาศ</v>
      </c>
      <c r="D37" t="str">
        <f>VLOOKUP(A37,'Aji Plus'!$A$2:$D$58,4,0)</f>
        <v>Sa Kaeo</v>
      </c>
      <c r="E37" s="1">
        <v>150.78086205144064</v>
      </c>
      <c r="F37" s="1">
        <v>227.67407355500643</v>
      </c>
      <c r="G37" s="1">
        <v>188.11618032552209</v>
      </c>
      <c r="H37" s="1">
        <v>200.11181123100707</v>
      </c>
      <c r="I37" s="1">
        <v>298.78673293263813</v>
      </c>
      <c r="J37" s="1">
        <v>187.85412802516532</v>
      </c>
      <c r="K37" s="1">
        <v>150.20455083427746</v>
      </c>
      <c r="L37" s="1">
        <v>187.47939550058433</v>
      </c>
      <c r="M37" s="1">
        <v>256.00403360766558</v>
      </c>
      <c r="N37" s="1">
        <v>197.30726273561572</v>
      </c>
      <c r="O37" s="1">
        <v>256.20232815300903</v>
      </c>
      <c r="P37" s="1">
        <v>149.47864104806868</v>
      </c>
      <c r="R37" s="1">
        <f>VLOOKUP(A37,Actual_RDNS!$A$2:$H$62,3,0)</f>
        <v>25.5</v>
      </c>
      <c r="S37" s="1">
        <f>VLOOKUP(A37,Actual_RDNS!$A$2:$H$62,4,0)</f>
        <v>2026.4399999999998</v>
      </c>
      <c r="T37" s="1">
        <f>VLOOKUP(A37,Actual_RDNS!$A$2:$H$62,5,0)</f>
        <v>1182.2399999999998</v>
      </c>
      <c r="U37" s="113">
        <f>VLOOKUP(A37,Actual_RDNS!$A$2:$H$62,6,0)</f>
        <v>-995.39999999999986</v>
      </c>
      <c r="V37" s="1">
        <f>VLOOKUP(A37,Actual_RDNS!$A$2:$H$62,7,0)</f>
        <v>96.78</v>
      </c>
      <c r="W37" s="1">
        <f>VLOOKUP(A37,Actual_RDNS!$A$2:$H$62,8,0)</f>
        <v>403.2</v>
      </c>
      <c r="X37" s="102"/>
      <c r="Y37" s="102"/>
      <c r="Z37" s="102"/>
      <c r="AA37" s="102"/>
      <c r="AB37" s="102"/>
      <c r="AC37" s="102"/>
      <c r="AE37" s="88">
        <f t="shared" si="2"/>
        <v>0.16911960611619517</v>
      </c>
      <c r="AF37" s="88">
        <f t="shared" si="2"/>
        <v>8.9006181879132953</v>
      </c>
      <c r="AG37" s="88">
        <f t="shared" si="2"/>
        <v>6.2846268617309518</v>
      </c>
      <c r="AH37" s="114">
        <v>0</v>
      </c>
      <c r="AI37" s="88">
        <f t="shared" si="2"/>
        <v>0.32390996430828534</v>
      </c>
      <c r="AJ37" s="88">
        <f t="shared" si="2"/>
        <v>2.146346232785401</v>
      </c>
      <c r="AK37" s="90">
        <f t="shared" si="2"/>
        <v>0</v>
      </c>
      <c r="AL37" s="90">
        <f t="shared" si="2"/>
        <v>0</v>
      </c>
      <c r="AM37" s="90">
        <f t="shared" si="2"/>
        <v>0</v>
      </c>
      <c r="AN37" s="90">
        <f t="shared" si="2"/>
        <v>0</v>
      </c>
      <c r="AO37" s="90">
        <f t="shared" si="2"/>
        <v>0</v>
      </c>
      <c r="AP37" s="90">
        <f t="shared" si="2"/>
        <v>0</v>
      </c>
      <c r="AQ37" s="88"/>
      <c r="AR37" s="90">
        <f t="shared" si="3"/>
        <v>0.1691</v>
      </c>
      <c r="AS37" s="90">
        <f t="shared" si="3"/>
        <v>8.9006000000000007</v>
      </c>
      <c r="AT37" s="90">
        <f t="shared" si="3"/>
        <v>6.2846000000000002</v>
      </c>
      <c r="AU37" s="90">
        <f t="shared" si="3"/>
        <v>0</v>
      </c>
      <c r="AV37" s="90">
        <f t="shared" si="3"/>
        <v>0.32390000000000002</v>
      </c>
      <c r="AW37" s="90">
        <f t="shared" si="3"/>
        <v>2.1463000000000001</v>
      </c>
      <c r="AX37" s="90">
        <f t="shared" si="3"/>
        <v>0</v>
      </c>
      <c r="AY37" s="90">
        <f t="shared" si="3"/>
        <v>0</v>
      </c>
      <c r="AZ37" s="90">
        <f t="shared" si="3"/>
        <v>0</v>
      </c>
      <c r="BA37" s="90">
        <f t="shared" si="3"/>
        <v>0</v>
      </c>
      <c r="BB37" s="90">
        <f t="shared" si="3"/>
        <v>0</v>
      </c>
      <c r="BC37" s="90">
        <f t="shared" si="3"/>
        <v>0</v>
      </c>
      <c r="BD37" s="88"/>
      <c r="BE37" s="1">
        <f>IFERROR(VLOOKUP(AR37,'Top WS'!$A$19:$E$28,5),0)</f>
        <v>180</v>
      </c>
      <c r="BF37" s="1">
        <f>IFERROR(VLOOKUP(AS37,'Top WS'!$A$19:$E$28,5),0)</f>
        <v>260</v>
      </c>
      <c r="BG37" s="1">
        <f>IFERROR(VLOOKUP(AT37,'Top WS'!$A$19:$E$28,5),0)</f>
        <v>260</v>
      </c>
      <c r="BH37" s="1">
        <f>IFERROR(VLOOKUP(AU37,'Top WS'!$A$19:$E$28,5),0)</f>
        <v>180</v>
      </c>
      <c r="BI37" s="1">
        <f>IFERROR(VLOOKUP(AV37,'Top WS'!$A$19:$E$28,5),0)</f>
        <v>180</v>
      </c>
      <c r="BJ37" s="1">
        <f>IFERROR(VLOOKUP(AW37,'Top WS'!$A$19:$E$28,5),0)</f>
        <v>260</v>
      </c>
      <c r="BK37" s="89">
        <f>IFERROR(VLOOKUP(AX37,'Top WS'!$A$19:$E$28,5),0)</f>
        <v>180</v>
      </c>
      <c r="BL37" s="89">
        <f>IFERROR(VLOOKUP(AY37,'Top WS'!$A$19:$E$28,5),0)</f>
        <v>180</v>
      </c>
      <c r="BM37" s="89">
        <f>IFERROR(VLOOKUP(AZ37,'Top WS'!$A$19:$E$28,5),0)</f>
        <v>180</v>
      </c>
      <c r="BN37" s="89">
        <f>IFERROR(VLOOKUP(BA37,'Top WS'!$A$19:$E$28,5),0)</f>
        <v>180</v>
      </c>
      <c r="BO37" s="89">
        <f>IFERROR(VLOOKUP(BB37,'Top WS'!$A$19:$E$28,5),0)</f>
        <v>180</v>
      </c>
      <c r="BP37" s="89">
        <f>IFERROR(VLOOKUP(BC37,'Top WS'!$A$19:$E$28,5),0)</f>
        <v>180</v>
      </c>
    </row>
    <row r="38" spans="1:68" x14ac:dyDescent="0.4">
      <c r="A38">
        <v>1190043401</v>
      </c>
      <c r="B38">
        <f>VLOOKUP(A38,'Aji Plus'!$A$2:$D$58,2,0)</f>
        <v>75885</v>
      </c>
      <c r="C38" t="str">
        <f>VLOOKUP(A38,'Aji Plus'!$A$2:$D$58,3,0)</f>
        <v>นายมารุต ปราสัย</v>
      </c>
      <c r="D38" t="str">
        <f>VLOOKUP(A38,'Aji Plus'!$A$2:$D$58,4,0)</f>
        <v>Korat</v>
      </c>
      <c r="E38" s="1">
        <v>928.98465287447561</v>
      </c>
      <c r="F38" s="1">
        <v>986.15293920521253</v>
      </c>
      <c r="G38" s="1">
        <v>957.56879603984407</v>
      </c>
      <c r="H38" s="1">
        <v>1071.9053687013179</v>
      </c>
      <c r="I38" s="1">
        <v>957.56879603984407</v>
      </c>
      <c r="J38" s="1">
        <v>1186.241941362792</v>
      </c>
      <c r="K38" s="1">
        <v>1300.5785140242658</v>
      </c>
      <c r="L38" s="1">
        <v>1186.241941362792</v>
      </c>
      <c r="M38" s="1">
        <v>857.52429496105447</v>
      </c>
      <c r="N38" s="1">
        <v>1114.7815834493708</v>
      </c>
      <c r="O38" s="1">
        <v>986.15293920521253</v>
      </c>
      <c r="P38" s="1">
        <v>928.98465287447561</v>
      </c>
      <c r="R38" s="1">
        <f>VLOOKUP(A38,Actual_RDNS!$A$2:$H$62,3,0)</f>
        <v>432.54</v>
      </c>
      <c r="S38" s="1">
        <f>VLOOKUP(A38,Actual_RDNS!$A$2:$H$62,4,0)</f>
        <v>839.15999999999985</v>
      </c>
      <c r="T38" s="1">
        <f>VLOOKUP(A38,Actual_RDNS!$A$2:$H$62,5,0)</f>
        <v>254.33999999999997</v>
      </c>
      <c r="U38" s="1">
        <f>VLOOKUP(A38,Actual_RDNS!$A$2:$H$62,6,0)</f>
        <v>607.5</v>
      </c>
      <c r="V38" s="1">
        <f>VLOOKUP(A38,Actual_RDNS!$A$2:$H$62,7,0)</f>
        <v>370.79999999999995</v>
      </c>
      <c r="W38" s="1">
        <f>VLOOKUP(A38,Actual_RDNS!$A$2:$H$62,8,0)</f>
        <v>684.04</v>
      </c>
      <c r="X38" s="102"/>
      <c r="Y38" s="102"/>
      <c r="Z38" s="102"/>
      <c r="AA38" s="102"/>
      <c r="AB38" s="102"/>
      <c r="AC38" s="102"/>
      <c r="AE38" s="88">
        <f t="shared" ref="AE38:AP58" si="4">R38/E38</f>
        <v>0.46560510839617153</v>
      </c>
      <c r="AF38" s="88">
        <f t="shared" si="4"/>
        <v>0.85094306028872024</v>
      </c>
      <c r="AG38" s="88">
        <f t="shared" si="4"/>
        <v>0.26561015882290401</v>
      </c>
      <c r="AH38" s="88">
        <f t="shared" si="4"/>
        <v>0.56674779111893547</v>
      </c>
      <c r="AI38" s="88">
        <f t="shared" si="4"/>
        <v>0.38723066325207522</v>
      </c>
      <c r="AJ38" s="88">
        <f t="shared" si="4"/>
        <v>0.57664459175516369</v>
      </c>
      <c r="AK38" s="90">
        <f t="shared" si="4"/>
        <v>0</v>
      </c>
      <c r="AL38" s="90">
        <f t="shared" si="4"/>
        <v>0</v>
      </c>
      <c r="AM38" s="90">
        <f t="shared" si="4"/>
        <v>0</v>
      </c>
      <c r="AN38" s="90">
        <f t="shared" si="4"/>
        <v>0</v>
      </c>
      <c r="AO38" s="90">
        <f t="shared" si="4"/>
        <v>0</v>
      </c>
      <c r="AP38" s="90">
        <f t="shared" si="4"/>
        <v>0</v>
      </c>
      <c r="AQ38" s="88"/>
      <c r="AR38" s="90">
        <f t="shared" ref="AR38:BC58" si="5">ROUND(AE38,4)</f>
        <v>0.46560000000000001</v>
      </c>
      <c r="AS38" s="90">
        <f t="shared" si="5"/>
        <v>0.85089999999999999</v>
      </c>
      <c r="AT38" s="90">
        <f t="shared" si="5"/>
        <v>0.2656</v>
      </c>
      <c r="AU38" s="90">
        <f t="shared" si="5"/>
        <v>0.56669999999999998</v>
      </c>
      <c r="AV38" s="90">
        <f t="shared" si="5"/>
        <v>0.38719999999999999</v>
      </c>
      <c r="AW38" s="90">
        <f t="shared" si="5"/>
        <v>0.5766</v>
      </c>
      <c r="AX38" s="90">
        <f t="shared" si="5"/>
        <v>0</v>
      </c>
      <c r="AY38" s="90">
        <f t="shared" si="5"/>
        <v>0</v>
      </c>
      <c r="AZ38" s="90">
        <f t="shared" si="5"/>
        <v>0</v>
      </c>
      <c r="BA38" s="90">
        <f t="shared" si="5"/>
        <v>0</v>
      </c>
      <c r="BB38" s="90">
        <f t="shared" si="5"/>
        <v>0</v>
      </c>
      <c r="BC38" s="90">
        <f t="shared" si="5"/>
        <v>0</v>
      </c>
      <c r="BD38" s="88"/>
      <c r="BE38" s="1">
        <f>IFERROR(VLOOKUP(AR38,'Top WS'!$A$19:$E$28,5),0)</f>
        <v>180</v>
      </c>
      <c r="BF38" s="1">
        <f>IFERROR(VLOOKUP(AS38,'Top WS'!$A$19:$E$28,5),0)</f>
        <v>180</v>
      </c>
      <c r="BG38" s="1">
        <f>IFERROR(VLOOKUP(AT38,'Top WS'!$A$19:$E$28,5),0)</f>
        <v>180</v>
      </c>
      <c r="BH38" s="1">
        <f>IFERROR(VLOOKUP(AU38,'Top WS'!$A$19:$E$28,5),0)</f>
        <v>180</v>
      </c>
      <c r="BI38" s="1">
        <f>IFERROR(VLOOKUP(AV38,'Top WS'!$A$19:$E$28,5),0)</f>
        <v>180</v>
      </c>
      <c r="BJ38" s="1">
        <f>IFERROR(VLOOKUP(AW38,'Top WS'!$A$19:$E$28,5),0)</f>
        <v>180</v>
      </c>
      <c r="BK38" s="89">
        <f>IFERROR(VLOOKUP(AX38,'Top WS'!$A$19:$E$28,5),0)</f>
        <v>180</v>
      </c>
      <c r="BL38" s="89">
        <f>IFERROR(VLOOKUP(AY38,'Top WS'!$A$19:$E$28,5),0)</f>
        <v>180</v>
      </c>
      <c r="BM38" s="89">
        <f>IFERROR(VLOOKUP(AZ38,'Top WS'!$A$19:$E$28,5),0)</f>
        <v>180</v>
      </c>
      <c r="BN38" s="89">
        <f>IFERROR(VLOOKUP(BA38,'Top WS'!$A$19:$E$28,5),0)</f>
        <v>180</v>
      </c>
      <c r="BO38" s="89">
        <f>IFERROR(VLOOKUP(BB38,'Top WS'!$A$19:$E$28,5),0)</f>
        <v>180</v>
      </c>
      <c r="BP38" s="89">
        <f>IFERROR(VLOOKUP(BC38,'Top WS'!$A$19:$E$28,5),0)</f>
        <v>180</v>
      </c>
    </row>
    <row r="39" spans="1:68" x14ac:dyDescent="0.4">
      <c r="A39">
        <v>1190043402</v>
      </c>
      <c r="B39">
        <f>VLOOKUP(A39,'Aji Plus'!$A$2:$D$58,2,0)</f>
        <v>63707</v>
      </c>
      <c r="C39" t="str">
        <f>VLOOKUP(A39,'Aji Plus'!$A$2:$D$58,3,0)</f>
        <v>นายเกิดศักดิ์ คำศรี</v>
      </c>
      <c r="D39" t="str">
        <f>VLOOKUP(A39,'Aji Plus'!$A$2:$D$58,4,0)</f>
        <v>Korat</v>
      </c>
      <c r="E39" s="1">
        <v>946.47406272185617</v>
      </c>
      <c r="F39" s="1">
        <v>1004.7186204278165</v>
      </c>
      <c r="G39" s="1">
        <v>975.59634157483629</v>
      </c>
      <c r="H39" s="1">
        <v>1092.085456986757</v>
      </c>
      <c r="I39" s="1">
        <v>975.59634157483629</v>
      </c>
      <c r="J39" s="1">
        <v>1208.5745723986779</v>
      </c>
      <c r="K39" s="1">
        <v>1325.0636878105986</v>
      </c>
      <c r="L39" s="1">
        <v>1208.5745723986779</v>
      </c>
      <c r="M39" s="1">
        <v>873.66836558940577</v>
      </c>
      <c r="N39" s="1">
        <v>1135.7688752662275</v>
      </c>
      <c r="O39" s="1">
        <v>1004.7186204278165</v>
      </c>
      <c r="P39" s="1">
        <v>946.47406272185617</v>
      </c>
      <c r="R39" s="1">
        <f>VLOOKUP(A39,Actual_RDNS!$A$2:$H$62,3,0)</f>
        <v>495.78</v>
      </c>
      <c r="S39" s="1">
        <f>VLOOKUP(A39,Actual_RDNS!$A$2:$H$62,4,0)</f>
        <v>1168.0200000000002</v>
      </c>
      <c r="T39" s="1">
        <f>VLOOKUP(A39,Actual_RDNS!$A$2:$H$62,5,0)</f>
        <v>275.08</v>
      </c>
      <c r="U39" s="1">
        <f>VLOOKUP(A39,Actual_RDNS!$A$2:$H$62,6,0)</f>
        <v>383.76</v>
      </c>
      <c r="V39" s="1">
        <f>VLOOKUP(A39,Actual_RDNS!$A$2:$H$62,7,0)</f>
        <v>267.3</v>
      </c>
      <c r="W39" s="1">
        <f>VLOOKUP(A39,Actual_RDNS!$A$2:$H$62,8,0)</f>
        <v>526.5</v>
      </c>
      <c r="X39" s="102"/>
      <c r="Y39" s="102"/>
      <c r="Z39" s="102"/>
      <c r="AA39" s="102"/>
      <c r="AB39" s="102"/>
      <c r="AC39" s="102"/>
      <c r="AE39" s="88">
        <f t="shared" si="4"/>
        <v>0.52381784089702699</v>
      </c>
      <c r="AF39" s="88">
        <f t="shared" si="4"/>
        <v>1.1625344412375365</v>
      </c>
      <c r="AG39" s="88">
        <f t="shared" si="4"/>
        <v>0.28196087692985583</v>
      </c>
      <c r="AH39" s="88">
        <f t="shared" si="4"/>
        <v>0.35140107172460372</v>
      </c>
      <c r="AI39" s="88">
        <f t="shared" si="4"/>
        <v>0.2739862672798839</v>
      </c>
      <c r="AJ39" s="88">
        <f t="shared" si="4"/>
        <v>0.43563716466005631</v>
      </c>
      <c r="AK39" s="90">
        <f t="shared" si="4"/>
        <v>0</v>
      </c>
      <c r="AL39" s="90">
        <f t="shared" si="4"/>
        <v>0</v>
      </c>
      <c r="AM39" s="90">
        <f t="shared" si="4"/>
        <v>0</v>
      </c>
      <c r="AN39" s="90">
        <f t="shared" si="4"/>
        <v>0</v>
      </c>
      <c r="AO39" s="90">
        <f t="shared" si="4"/>
        <v>0</v>
      </c>
      <c r="AP39" s="90">
        <f t="shared" si="4"/>
        <v>0</v>
      </c>
      <c r="AQ39" s="88"/>
      <c r="AR39" s="90">
        <f t="shared" si="5"/>
        <v>0.52380000000000004</v>
      </c>
      <c r="AS39" s="90">
        <f t="shared" si="5"/>
        <v>1.1625000000000001</v>
      </c>
      <c r="AT39" s="90">
        <f t="shared" si="5"/>
        <v>0.28199999999999997</v>
      </c>
      <c r="AU39" s="90">
        <f t="shared" si="5"/>
        <v>0.35139999999999999</v>
      </c>
      <c r="AV39" s="90">
        <f t="shared" si="5"/>
        <v>0.27400000000000002</v>
      </c>
      <c r="AW39" s="90">
        <f t="shared" si="5"/>
        <v>0.43559999999999999</v>
      </c>
      <c r="AX39" s="90">
        <f t="shared" si="5"/>
        <v>0</v>
      </c>
      <c r="AY39" s="90">
        <f t="shared" si="5"/>
        <v>0</v>
      </c>
      <c r="AZ39" s="90">
        <f t="shared" si="5"/>
        <v>0</v>
      </c>
      <c r="BA39" s="90">
        <f t="shared" si="5"/>
        <v>0</v>
      </c>
      <c r="BB39" s="90">
        <f t="shared" si="5"/>
        <v>0</v>
      </c>
      <c r="BC39" s="90">
        <f t="shared" si="5"/>
        <v>0</v>
      </c>
      <c r="BD39" s="88"/>
      <c r="BE39" s="1">
        <f>IFERROR(VLOOKUP(AR39,'Top WS'!$A$19:$E$28,5),0)</f>
        <v>180</v>
      </c>
      <c r="BF39" s="1">
        <f>IFERROR(VLOOKUP(AS39,'Top WS'!$A$19:$E$28,5),0)</f>
        <v>240</v>
      </c>
      <c r="BG39" s="1">
        <f>IFERROR(VLOOKUP(AT39,'Top WS'!$A$19:$E$28,5),0)</f>
        <v>180</v>
      </c>
      <c r="BH39" s="1">
        <f>IFERROR(VLOOKUP(AU39,'Top WS'!$A$19:$E$28,5),0)</f>
        <v>180</v>
      </c>
      <c r="BI39" s="1">
        <f>IFERROR(VLOOKUP(AV39,'Top WS'!$A$19:$E$28,5),0)</f>
        <v>180</v>
      </c>
      <c r="BJ39" s="1">
        <f>IFERROR(VLOOKUP(AW39,'Top WS'!$A$19:$E$28,5),0)</f>
        <v>180</v>
      </c>
      <c r="BK39" s="89">
        <f>IFERROR(VLOOKUP(AX39,'Top WS'!$A$19:$E$28,5),0)</f>
        <v>180</v>
      </c>
      <c r="BL39" s="89">
        <f>IFERROR(VLOOKUP(AY39,'Top WS'!$A$19:$E$28,5),0)</f>
        <v>180</v>
      </c>
      <c r="BM39" s="89">
        <f>IFERROR(VLOOKUP(AZ39,'Top WS'!$A$19:$E$28,5),0)</f>
        <v>180</v>
      </c>
      <c r="BN39" s="89">
        <f>IFERROR(VLOOKUP(BA39,'Top WS'!$A$19:$E$28,5),0)</f>
        <v>180</v>
      </c>
      <c r="BO39" s="89">
        <f>IFERROR(VLOOKUP(BB39,'Top WS'!$A$19:$E$28,5),0)</f>
        <v>180</v>
      </c>
      <c r="BP39" s="89">
        <f>IFERROR(VLOOKUP(BC39,'Top WS'!$A$19:$E$28,5),0)</f>
        <v>180</v>
      </c>
    </row>
    <row r="40" spans="1:68" x14ac:dyDescent="0.4">
      <c r="A40">
        <v>1190043501</v>
      </c>
      <c r="B40">
        <f>VLOOKUP(A40,'Aji Plus'!$A$2:$D$58,2,0)</f>
        <v>76645</v>
      </c>
      <c r="C40" t="str">
        <f>VLOOKUP(A40,'Aji Plus'!$A$2:$D$58,3,0)</f>
        <v>นายอัครวินท์ เปลื้องทุกข์</v>
      </c>
      <c r="D40" t="str">
        <f>VLOOKUP(A40,'Aji Plus'!$A$2:$D$58,4,0)</f>
        <v>Ubolratchathani</v>
      </c>
      <c r="E40" s="1">
        <v>853.6615729116802</v>
      </c>
      <c r="F40" s="1">
        <v>906.19459278316822</v>
      </c>
      <c r="G40" s="1">
        <v>879.92808284742421</v>
      </c>
      <c r="H40" s="1">
        <v>984.99412259040025</v>
      </c>
      <c r="I40" s="1">
        <v>879.92808284742421</v>
      </c>
      <c r="J40" s="1">
        <v>1090.0601623333764</v>
      </c>
      <c r="K40" s="1">
        <v>1195.1262020763525</v>
      </c>
      <c r="L40" s="1">
        <v>1090.0601623333764</v>
      </c>
      <c r="M40" s="1">
        <v>787.99529807232034</v>
      </c>
      <c r="N40" s="1">
        <v>1024.3938874940163</v>
      </c>
      <c r="O40" s="1">
        <v>906.19459278316822</v>
      </c>
      <c r="P40" s="1">
        <v>853.6615729116802</v>
      </c>
      <c r="R40" s="1">
        <f>VLOOKUP(A40,Actual_RDNS!$A$2:$H$62,3,0)</f>
        <v>372.41999999999996</v>
      </c>
      <c r="S40" s="1">
        <f>VLOOKUP(A40,Actual_RDNS!$A$2:$H$62,4,0)</f>
        <v>764.64000000000021</v>
      </c>
      <c r="T40" s="1">
        <f>VLOOKUP(A40,Actual_RDNS!$A$2:$H$62,5,0)</f>
        <v>255.95999999999998</v>
      </c>
      <c r="U40" s="1">
        <f>VLOOKUP(A40,Actual_RDNS!$A$2:$H$62,6,0)</f>
        <v>484.37999999999994</v>
      </c>
      <c r="V40" s="1">
        <f>VLOOKUP(A40,Actual_RDNS!$A$2:$H$62,7,0)</f>
        <v>321.29999999999995</v>
      </c>
      <c r="W40" s="1">
        <f>VLOOKUP(A40,Actual_RDNS!$A$2:$H$62,8,0)</f>
        <v>395.46</v>
      </c>
      <c r="X40" s="102"/>
      <c r="Y40" s="102"/>
      <c r="Z40" s="102"/>
      <c r="AA40" s="102"/>
      <c r="AB40" s="102"/>
      <c r="AC40" s="102"/>
      <c r="AE40" s="88">
        <f t="shared" si="4"/>
        <v>0.43626187685799761</v>
      </c>
      <c r="AF40" s="88">
        <f t="shared" si="4"/>
        <v>0.84379227826948777</v>
      </c>
      <c r="AG40" s="88">
        <f t="shared" si="4"/>
        <v>0.29088740885700581</v>
      </c>
      <c r="AH40" s="88">
        <f t="shared" si="4"/>
        <v>0.49175927946264958</v>
      </c>
      <c r="AI40" s="88">
        <f t="shared" si="4"/>
        <v>0.36514347736269714</v>
      </c>
      <c r="AJ40" s="88">
        <f t="shared" si="4"/>
        <v>0.36278731547576293</v>
      </c>
      <c r="AK40" s="90">
        <f t="shared" si="4"/>
        <v>0</v>
      </c>
      <c r="AL40" s="90">
        <f t="shared" si="4"/>
        <v>0</v>
      </c>
      <c r="AM40" s="90">
        <f t="shared" si="4"/>
        <v>0</v>
      </c>
      <c r="AN40" s="90">
        <f t="shared" si="4"/>
        <v>0</v>
      </c>
      <c r="AO40" s="90">
        <f t="shared" si="4"/>
        <v>0</v>
      </c>
      <c r="AP40" s="90">
        <f t="shared" si="4"/>
        <v>0</v>
      </c>
      <c r="AQ40" s="88"/>
      <c r="AR40" s="90">
        <f t="shared" si="5"/>
        <v>0.43630000000000002</v>
      </c>
      <c r="AS40" s="90">
        <f t="shared" si="5"/>
        <v>0.84379999999999999</v>
      </c>
      <c r="AT40" s="90">
        <f t="shared" si="5"/>
        <v>0.29089999999999999</v>
      </c>
      <c r="AU40" s="90">
        <f t="shared" si="5"/>
        <v>0.49180000000000001</v>
      </c>
      <c r="AV40" s="90">
        <f t="shared" si="5"/>
        <v>0.36509999999999998</v>
      </c>
      <c r="AW40" s="90">
        <f t="shared" si="5"/>
        <v>0.36280000000000001</v>
      </c>
      <c r="AX40" s="90">
        <f t="shared" si="5"/>
        <v>0</v>
      </c>
      <c r="AY40" s="90">
        <f t="shared" si="5"/>
        <v>0</v>
      </c>
      <c r="AZ40" s="90">
        <f t="shared" si="5"/>
        <v>0</v>
      </c>
      <c r="BA40" s="90">
        <f t="shared" si="5"/>
        <v>0</v>
      </c>
      <c r="BB40" s="90">
        <f t="shared" si="5"/>
        <v>0</v>
      </c>
      <c r="BC40" s="90">
        <f t="shared" si="5"/>
        <v>0</v>
      </c>
      <c r="BD40" s="88"/>
      <c r="BE40" s="1">
        <f>IFERROR(VLOOKUP(AR40,'Top WS'!$A$19:$E$28,5),0)</f>
        <v>180</v>
      </c>
      <c r="BF40" s="1">
        <f>IFERROR(VLOOKUP(AS40,'Top WS'!$A$19:$E$28,5),0)</f>
        <v>180</v>
      </c>
      <c r="BG40" s="1">
        <f>IFERROR(VLOOKUP(AT40,'Top WS'!$A$19:$E$28,5),0)</f>
        <v>180</v>
      </c>
      <c r="BH40" s="1">
        <f>IFERROR(VLOOKUP(AU40,'Top WS'!$A$19:$E$28,5),0)</f>
        <v>180</v>
      </c>
      <c r="BI40" s="1">
        <f>IFERROR(VLOOKUP(AV40,'Top WS'!$A$19:$E$28,5),0)</f>
        <v>180</v>
      </c>
      <c r="BJ40" s="1">
        <f>IFERROR(VLOOKUP(AW40,'Top WS'!$A$19:$E$28,5),0)</f>
        <v>180</v>
      </c>
      <c r="BK40" s="89">
        <f>IFERROR(VLOOKUP(AX40,'Top WS'!$A$19:$E$28,5),0)</f>
        <v>180</v>
      </c>
      <c r="BL40" s="89">
        <f>IFERROR(VLOOKUP(AY40,'Top WS'!$A$19:$E$28,5),0)</f>
        <v>180</v>
      </c>
      <c r="BM40" s="89">
        <f>IFERROR(VLOOKUP(AZ40,'Top WS'!$A$19:$E$28,5),0)</f>
        <v>180</v>
      </c>
      <c r="BN40" s="89">
        <f>IFERROR(VLOOKUP(BA40,'Top WS'!$A$19:$E$28,5),0)</f>
        <v>180</v>
      </c>
      <c r="BO40" s="89">
        <f>IFERROR(VLOOKUP(BB40,'Top WS'!$A$19:$E$28,5),0)</f>
        <v>180</v>
      </c>
      <c r="BP40" s="89">
        <f>IFERROR(VLOOKUP(BC40,'Top WS'!$A$19:$E$28,5),0)</f>
        <v>180</v>
      </c>
    </row>
    <row r="41" spans="1:68" x14ac:dyDescent="0.4">
      <c r="A41">
        <v>1190043502</v>
      </c>
      <c r="B41">
        <f>VLOOKUP(A41,'Aji Plus'!$A$2:$D$58,2,0)</f>
        <v>26006</v>
      </c>
      <c r="C41" t="str">
        <f>VLOOKUP(A41,'Aji Plus'!$A$2:$D$58,3,0)</f>
        <v>นายกสิณวัชรฒ์ วงศ์กุลโชติ</v>
      </c>
      <c r="D41" t="str">
        <f>VLOOKUP(A41,'Aji Plus'!$A$2:$D$58,4,0)</f>
        <v>Ubolratchathani</v>
      </c>
      <c r="E41" s="1">
        <v>869.73292250116515</v>
      </c>
      <c r="F41" s="1">
        <v>923.25494850123675</v>
      </c>
      <c r="G41" s="1">
        <v>896.49393550120089</v>
      </c>
      <c r="H41" s="1">
        <v>1003.5379875013443</v>
      </c>
      <c r="I41" s="1">
        <v>896.49393550120089</v>
      </c>
      <c r="J41" s="1">
        <v>1110.5820395014878</v>
      </c>
      <c r="K41" s="1">
        <v>1217.6260915016312</v>
      </c>
      <c r="L41" s="1">
        <v>1110.5820395014878</v>
      </c>
      <c r="M41" s="1">
        <v>802.83039000107556</v>
      </c>
      <c r="N41" s="1">
        <v>1043.6795070013982</v>
      </c>
      <c r="O41" s="1">
        <v>923.25494850123675</v>
      </c>
      <c r="P41" s="1">
        <v>869.73292250116515</v>
      </c>
      <c r="R41" s="1">
        <f>VLOOKUP(A41,Actual_RDNS!$A$2:$H$62,3,0)</f>
        <v>813.29000000000019</v>
      </c>
      <c r="S41" s="1">
        <f>VLOOKUP(A41,Actual_RDNS!$A$2:$H$62,4,0)</f>
        <v>1143.69</v>
      </c>
      <c r="T41" s="1">
        <f>VLOOKUP(A41,Actual_RDNS!$A$2:$H$62,5,0)</f>
        <v>389.81999999999994</v>
      </c>
      <c r="U41" s="1">
        <f>VLOOKUP(A41,Actual_RDNS!$A$2:$H$62,6,0)</f>
        <v>339.19999999999993</v>
      </c>
      <c r="V41" s="1">
        <f>VLOOKUP(A41,Actual_RDNS!$A$2:$H$62,7,0)</f>
        <v>367.36</v>
      </c>
      <c r="W41" s="1">
        <f>VLOOKUP(A41,Actual_RDNS!$A$2:$H$62,8,0)</f>
        <v>418.97999999999996</v>
      </c>
      <c r="X41" s="102"/>
      <c r="Y41" s="102"/>
      <c r="Z41" s="102"/>
      <c r="AA41" s="102"/>
      <c r="AB41" s="102"/>
      <c r="AC41" s="102"/>
      <c r="AE41" s="88">
        <f t="shared" si="4"/>
        <v>0.93510315518602283</v>
      </c>
      <c r="AF41" s="88">
        <f t="shared" si="4"/>
        <v>1.2387585919323865</v>
      </c>
      <c r="AG41" s="88">
        <f t="shared" si="4"/>
        <v>0.43482725823690499</v>
      </c>
      <c r="AH41" s="88">
        <f t="shared" si="4"/>
        <v>0.33800414555761454</v>
      </c>
      <c r="AI41" s="88">
        <f t="shared" si="4"/>
        <v>0.40977410493537902</v>
      </c>
      <c r="AJ41" s="88">
        <f t="shared" si="4"/>
        <v>0.37726163858013545</v>
      </c>
      <c r="AK41" s="90">
        <f t="shared" si="4"/>
        <v>0</v>
      </c>
      <c r="AL41" s="90">
        <f t="shared" si="4"/>
        <v>0</v>
      </c>
      <c r="AM41" s="90">
        <f t="shared" si="4"/>
        <v>0</v>
      </c>
      <c r="AN41" s="90">
        <f t="shared" si="4"/>
        <v>0</v>
      </c>
      <c r="AO41" s="90">
        <f t="shared" si="4"/>
        <v>0</v>
      </c>
      <c r="AP41" s="90">
        <f t="shared" si="4"/>
        <v>0</v>
      </c>
      <c r="AQ41" s="88"/>
      <c r="AR41" s="90">
        <f t="shared" si="5"/>
        <v>0.93510000000000004</v>
      </c>
      <c r="AS41" s="90">
        <f t="shared" si="5"/>
        <v>1.2387999999999999</v>
      </c>
      <c r="AT41" s="90">
        <f t="shared" si="5"/>
        <v>0.43480000000000002</v>
      </c>
      <c r="AU41" s="90">
        <f t="shared" si="5"/>
        <v>0.33800000000000002</v>
      </c>
      <c r="AV41" s="90">
        <f t="shared" si="5"/>
        <v>0.4098</v>
      </c>
      <c r="AW41" s="90">
        <f t="shared" si="5"/>
        <v>0.37730000000000002</v>
      </c>
      <c r="AX41" s="90">
        <f t="shared" si="5"/>
        <v>0</v>
      </c>
      <c r="AY41" s="90">
        <f t="shared" si="5"/>
        <v>0</v>
      </c>
      <c r="AZ41" s="90">
        <f t="shared" si="5"/>
        <v>0</v>
      </c>
      <c r="BA41" s="90">
        <f t="shared" si="5"/>
        <v>0</v>
      </c>
      <c r="BB41" s="90">
        <f t="shared" si="5"/>
        <v>0</v>
      </c>
      <c r="BC41" s="90">
        <f t="shared" si="5"/>
        <v>0</v>
      </c>
      <c r="BD41" s="88"/>
      <c r="BE41" s="1">
        <f>IFERROR(VLOOKUP(AR41,'Top WS'!$A$19:$E$28,5),0)</f>
        <v>190</v>
      </c>
      <c r="BF41" s="1">
        <f>IFERROR(VLOOKUP(AS41,'Top WS'!$A$19:$E$28,5),0)</f>
        <v>260</v>
      </c>
      <c r="BG41" s="1">
        <f>IFERROR(VLOOKUP(AT41,'Top WS'!$A$19:$E$28,5),0)</f>
        <v>180</v>
      </c>
      <c r="BH41" s="1">
        <f>IFERROR(VLOOKUP(AU41,'Top WS'!$A$19:$E$28,5),0)</f>
        <v>180</v>
      </c>
      <c r="BI41" s="1">
        <f>IFERROR(VLOOKUP(AV41,'Top WS'!$A$19:$E$28,5),0)</f>
        <v>180</v>
      </c>
      <c r="BJ41" s="1">
        <f>IFERROR(VLOOKUP(AW41,'Top WS'!$A$19:$E$28,5),0)</f>
        <v>180</v>
      </c>
      <c r="BK41" s="89">
        <f>IFERROR(VLOOKUP(AX41,'Top WS'!$A$19:$E$28,5),0)</f>
        <v>180</v>
      </c>
      <c r="BL41" s="89">
        <f>IFERROR(VLOOKUP(AY41,'Top WS'!$A$19:$E$28,5),0)</f>
        <v>180</v>
      </c>
      <c r="BM41" s="89">
        <f>IFERROR(VLOOKUP(AZ41,'Top WS'!$A$19:$E$28,5),0)</f>
        <v>180</v>
      </c>
      <c r="BN41" s="89">
        <f>IFERROR(VLOOKUP(BA41,'Top WS'!$A$19:$E$28,5),0)</f>
        <v>180</v>
      </c>
      <c r="BO41" s="89">
        <f>IFERROR(VLOOKUP(BB41,'Top WS'!$A$19:$E$28,5),0)</f>
        <v>180</v>
      </c>
      <c r="BP41" s="89">
        <f>IFERROR(VLOOKUP(BC41,'Top WS'!$A$19:$E$28,5),0)</f>
        <v>180</v>
      </c>
    </row>
    <row r="42" spans="1:68" x14ac:dyDescent="0.4">
      <c r="A42">
        <v>1190043601</v>
      </c>
      <c r="B42">
        <f>VLOOKUP(A42,'Aji Plus'!$A$2:$D$58,2,0)</f>
        <v>77489</v>
      </c>
      <c r="C42" t="str">
        <f>VLOOKUP(A42,'Aji Plus'!$A$2:$D$58,3,0)</f>
        <v>นายสุริยันต์ จันทร์คำพา</v>
      </c>
      <c r="D42" t="str">
        <f>VLOOKUP(A42,'Aji Plus'!$A$2:$D$58,4,0)</f>
        <v>Roi-et</v>
      </c>
      <c r="E42" s="1">
        <v>196.43820831084727</v>
      </c>
      <c r="F42" s="1">
        <v>208.52671343766866</v>
      </c>
      <c r="G42" s="1">
        <v>202.48246087425798</v>
      </c>
      <c r="H42" s="1">
        <v>226.6594711279007</v>
      </c>
      <c r="I42" s="1">
        <v>202.48246087425798</v>
      </c>
      <c r="J42" s="1">
        <v>250.83648138154345</v>
      </c>
      <c r="K42" s="1">
        <v>275.0134916351862</v>
      </c>
      <c r="L42" s="1">
        <v>250.83648138154345</v>
      </c>
      <c r="M42" s="1">
        <v>181.32757690232057</v>
      </c>
      <c r="N42" s="1">
        <v>235.72584997301675</v>
      </c>
      <c r="O42" s="1">
        <v>208.52671343766866</v>
      </c>
      <c r="P42" s="1">
        <v>196.43820831084727</v>
      </c>
      <c r="R42" s="1">
        <f>VLOOKUP(A42,Actual_RDNS!$A$2:$H$62,3,0)</f>
        <v>161.09999999999997</v>
      </c>
      <c r="S42" s="1">
        <f>VLOOKUP(A42,Actual_RDNS!$A$2:$H$62,4,0)</f>
        <v>889.2</v>
      </c>
      <c r="T42" s="1">
        <f>VLOOKUP(A42,Actual_RDNS!$A$2:$H$62,5,0)</f>
        <v>219.6</v>
      </c>
      <c r="U42" s="1">
        <f>VLOOKUP(A42,Actual_RDNS!$A$2:$H$62,6,0)</f>
        <v>203.22</v>
      </c>
      <c r="V42" s="1">
        <f>VLOOKUP(A42,Actual_RDNS!$A$2:$H$62,7,0)</f>
        <v>146.16</v>
      </c>
      <c r="W42" s="1">
        <f>VLOOKUP(A42,Actual_RDNS!$A$2:$H$62,8,0)</f>
        <v>506.34</v>
      </c>
      <c r="X42" s="102"/>
      <c r="Y42" s="102"/>
      <c r="Z42" s="102"/>
      <c r="AA42" s="102"/>
      <c r="AB42" s="102"/>
      <c r="AC42" s="102"/>
      <c r="AE42" s="88">
        <f t="shared" si="4"/>
        <v>0.82010521978021966</v>
      </c>
      <c r="AF42" s="88">
        <f t="shared" si="4"/>
        <v>4.2642018633540371</v>
      </c>
      <c r="AG42" s="88">
        <f t="shared" si="4"/>
        <v>1.0845383795309167</v>
      </c>
      <c r="AH42" s="88">
        <f t="shared" si="4"/>
        <v>0.8965872857142857</v>
      </c>
      <c r="AI42" s="88">
        <f t="shared" si="4"/>
        <v>0.72184029850746256</v>
      </c>
      <c r="AJ42" s="88">
        <f t="shared" si="4"/>
        <v>2.0186058950086059</v>
      </c>
      <c r="AK42" s="90">
        <f t="shared" si="4"/>
        <v>0</v>
      </c>
      <c r="AL42" s="90">
        <f t="shared" si="4"/>
        <v>0</v>
      </c>
      <c r="AM42" s="90">
        <f t="shared" si="4"/>
        <v>0</v>
      </c>
      <c r="AN42" s="90">
        <f t="shared" si="4"/>
        <v>0</v>
      </c>
      <c r="AO42" s="90">
        <f t="shared" si="4"/>
        <v>0</v>
      </c>
      <c r="AP42" s="90">
        <f t="shared" si="4"/>
        <v>0</v>
      </c>
      <c r="AQ42" s="88"/>
      <c r="AR42" s="90">
        <f t="shared" si="5"/>
        <v>0.82010000000000005</v>
      </c>
      <c r="AS42" s="90">
        <f t="shared" si="5"/>
        <v>4.2641999999999998</v>
      </c>
      <c r="AT42" s="90">
        <f t="shared" si="5"/>
        <v>1.0845</v>
      </c>
      <c r="AU42" s="90">
        <f t="shared" si="5"/>
        <v>0.89659999999999995</v>
      </c>
      <c r="AV42" s="90">
        <f t="shared" si="5"/>
        <v>0.7218</v>
      </c>
      <c r="AW42" s="90">
        <f t="shared" si="5"/>
        <v>2.0186000000000002</v>
      </c>
      <c r="AX42" s="90">
        <f t="shared" si="5"/>
        <v>0</v>
      </c>
      <c r="AY42" s="90">
        <f t="shared" si="5"/>
        <v>0</v>
      </c>
      <c r="AZ42" s="90">
        <f t="shared" si="5"/>
        <v>0</v>
      </c>
      <c r="BA42" s="90">
        <f t="shared" si="5"/>
        <v>0</v>
      </c>
      <c r="BB42" s="90">
        <f t="shared" si="5"/>
        <v>0</v>
      </c>
      <c r="BC42" s="90">
        <f t="shared" si="5"/>
        <v>0</v>
      </c>
      <c r="BD42" s="88"/>
      <c r="BE42" s="1">
        <f>IFERROR(VLOOKUP(AR42,'Top WS'!$A$19:$E$28,5),0)</f>
        <v>180</v>
      </c>
      <c r="BF42" s="1">
        <f>IFERROR(VLOOKUP(AS42,'Top WS'!$A$19:$E$28,5),0)</f>
        <v>260</v>
      </c>
      <c r="BG42" s="1">
        <f>IFERROR(VLOOKUP(AT42,'Top WS'!$A$19:$E$28,5),0)</f>
        <v>220</v>
      </c>
      <c r="BH42" s="1">
        <f>IFERROR(VLOOKUP(AU42,'Top WS'!$A$19:$E$28,5),0)</f>
        <v>180</v>
      </c>
      <c r="BI42" s="1">
        <f>IFERROR(VLOOKUP(AV42,'Top WS'!$A$19:$E$28,5),0)</f>
        <v>180</v>
      </c>
      <c r="BJ42" s="1">
        <f>IFERROR(VLOOKUP(AW42,'Top WS'!$A$19:$E$28,5),0)</f>
        <v>260</v>
      </c>
      <c r="BK42" s="89">
        <f>IFERROR(VLOOKUP(AX42,'Top WS'!$A$19:$E$28,5),0)</f>
        <v>180</v>
      </c>
      <c r="BL42" s="89">
        <f>IFERROR(VLOOKUP(AY42,'Top WS'!$A$19:$E$28,5),0)</f>
        <v>180</v>
      </c>
      <c r="BM42" s="89">
        <f>IFERROR(VLOOKUP(AZ42,'Top WS'!$A$19:$E$28,5),0)</f>
        <v>180</v>
      </c>
      <c r="BN42" s="89">
        <f>IFERROR(VLOOKUP(BA42,'Top WS'!$A$19:$E$28,5),0)</f>
        <v>180</v>
      </c>
      <c r="BO42" s="89">
        <f>IFERROR(VLOOKUP(BB42,'Top WS'!$A$19:$E$28,5),0)</f>
        <v>180</v>
      </c>
      <c r="BP42" s="89">
        <f>IFERROR(VLOOKUP(BC42,'Top WS'!$A$19:$E$28,5),0)</f>
        <v>180</v>
      </c>
    </row>
    <row r="43" spans="1:68" x14ac:dyDescent="0.4">
      <c r="A43">
        <v>1190043602</v>
      </c>
      <c r="B43">
        <f>VLOOKUP(A43,'Aji Plus'!$A$2:$D$58,2,0)</f>
        <v>70403</v>
      </c>
      <c r="C43" t="str">
        <f>VLOOKUP(A43,'Aji Plus'!$A$2:$D$58,3,0)</f>
        <v>นายเดชา ปะโพธิ์ชะกัง</v>
      </c>
      <c r="D43" t="str">
        <f>VLOOKUP(A43,'Aji Plus'!$A$2:$D$58,4,0)</f>
        <v>Roi-et</v>
      </c>
      <c r="E43" s="1">
        <v>471.45169994603344</v>
      </c>
      <c r="F43" s="1">
        <v>500.46411225040475</v>
      </c>
      <c r="G43" s="1">
        <v>485.9579060982191</v>
      </c>
      <c r="H43" s="1">
        <v>543.98273070696166</v>
      </c>
      <c r="I43" s="1">
        <v>485.9579060982191</v>
      </c>
      <c r="J43" s="1">
        <v>602.00755531570428</v>
      </c>
      <c r="K43" s="1">
        <v>660.0323799244469</v>
      </c>
      <c r="L43" s="1">
        <v>602.00755531570428</v>
      </c>
      <c r="M43" s="1">
        <v>435.18618456556936</v>
      </c>
      <c r="N43" s="1">
        <v>565.7420399352402</v>
      </c>
      <c r="O43" s="1">
        <v>500.46411225040475</v>
      </c>
      <c r="P43" s="1">
        <v>471.45169994603344</v>
      </c>
      <c r="R43" s="1">
        <f>VLOOKUP(A43,Actual_RDNS!$A$2:$H$62,3,0)</f>
        <v>352.43999999999994</v>
      </c>
      <c r="S43" s="1">
        <f>VLOOKUP(A43,Actual_RDNS!$A$2:$H$62,4,0)</f>
        <v>903.96000000000038</v>
      </c>
      <c r="T43" s="1">
        <f>VLOOKUP(A43,Actual_RDNS!$A$2:$H$62,5,0)</f>
        <v>245.51999999999998</v>
      </c>
      <c r="U43" s="1">
        <f>VLOOKUP(A43,Actual_RDNS!$A$2:$H$62,6,0)</f>
        <v>604.43999999999994</v>
      </c>
      <c r="V43" s="1">
        <f>VLOOKUP(A43,Actual_RDNS!$A$2:$H$62,7,0)</f>
        <v>504.35999999999996</v>
      </c>
      <c r="W43" s="1">
        <f>VLOOKUP(A43,Actual_RDNS!$A$2:$H$62,8,0)</f>
        <v>552.41999999999996</v>
      </c>
      <c r="X43" s="102"/>
      <c r="Y43" s="102"/>
      <c r="Z43" s="102"/>
      <c r="AA43" s="102"/>
      <c r="AB43" s="102"/>
      <c r="AC43" s="102"/>
      <c r="AE43" s="88">
        <f t="shared" si="4"/>
        <v>0.74756332417582405</v>
      </c>
      <c r="AF43" s="88">
        <f t="shared" si="4"/>
        <v>1.8062434006211188</v>
      </c>
      <c r="AG43" s="88">
        <f t="shared" si="4"/>
        <v>0.5052289445628998</v>
      </c>
      <c r="AH43" s="88">
        <f t="shared" si="4"/>
        <v>1.1111382142857142</v>
      </c>
      <c r="AI43" s="88">
        <f t="shared" si="4"/>
        <v>1.0378676705756928</v>
      </c>
      <c r="AJ43" s="88">
        <f t="shared" si="4"/>
        <v>0.91762967943201368</v>
      </c>
      <c r="AK43" s="90">
        <f t="shared" si="4"/>
        <v>0</v>
      </c>
      <c r="AL43" s="90">
        <f t="shared" si="4"/>
        <v>0</v>
      </c>
      <c r="AM43" s="90">
        <f t="shared" si="4"/>
        <v>0</v>
      </c>
      <c r="AN43" s="90">
        <f t="shared" si="4"/>
        <v>0</v>
      </c>
      <c r="AO43" s="90">
        <f t="shared" si="4"/>
        <v>0</v>
      </c>
      <c r="AP43" s="90">
        <f t="shared" si="4"/>
        <v>0</v>
      </c>
      <c r="AQ43" s="88"/>
      <c r="AR43" s="90">
        <f t="shared" si="5"/>
        <v>0.74760000000000004</v>
      </c>
      <c r="AS43" s="90">
        <f t="shared" si="5"/>
        <v>1.8062</v>
      </c>
      <c r="AT43" s="90">
        <f t="shared" si="5"/>
        <v>0.50519999999999998</v>
      </c>
      <c r="AU43" s="90">
        <f t="shared" si="5"/>
        <v>1.1111</v>
      </c>
      <c r="AV43" s="90">
        <f t="shared" si="5"/>
        <v>1.0379</v>
      </c>
      <c r="AW43" s="90">
        <f t="shared" si="5"/>
        <v>0.91759999999999997</v>
      </c>
      <c r="AX43" s="90">
        <f t="shared" si="5"/>
        <v>0</v>
      </c>
      <c r="AY43" s="90">
        <f t="shared" si="5"/>
        <v>0</v>
      </c>
      <c r="AZ43" s="90">
        <f t="shared" si="5"/>
        <v>0</v>
      </c>
      <c r="BA43" s="90">
        <f t="shared" si="5"/>
        <v>0</v>
      </c>
      <c r="BB43" s="90">
        <f t="shared" si="5"/>
        <v>0</v>
      </c>
      <c r="BC43" s="90">
        <f t="shared" si="5"/>
        <v>0</v>
      </c>
      <c r="BD43" s="88"/>
      <c r="BE43" s="1">
        <f>IFERROR(VLOOKUP(AR43,'Top WS'!$A$19:$E$28,5),0)</f>
        <v>180</v>
      </c>
      <c r="BF43" s="1">
        <f>IFERROR(VLOOKUP(AS43,'Top WS'!$A$19:$E$28,5),0)</f>
        <v>260</v>
      </c>
      <c r="BG43" s="1">
        <f>IFERROR(VLOOKUP(AT43,'Top WS'!$A$19:$E$28,5),0)</f>
        <v>180</v>
      </c>
      <c r="BH43" s="1">
        <f>IFERROR(VLOOKUP(AU43,'Top WS'!$A$19:$E$28,5),0)</f>
        <v>230</v>
      </c>
      <c r="BI43" s="1">
        <f>IFERROR(VLOOKUP(AV43,'Top WS'!$A$19:$E$28,5),0)</f>
        <v>216</v>
      </c>
      <c r="BJ43" s="1">
        <f>IFERROR(VLOOKUP(AW43,'Top WS'!$A$19:$E$28,5),0)</f>
        <v>190</v>
      </c>
      <c r="BK43" s="89">
        <f>IFERROR(VLOOKUP(AX43,'Top WS'!$A$19:$E$28,5),0)</f>
        <v>180</v>
      </c>
      <c r="BL43" s="89">
        <f>IFERROR(VLOOKUP(AY43,'Top WS'!$A$19:$E$28,5),0)</f>
        <v>180</v>
      </c>
      <c r="BM43" s="89">
        <f>IFERROR(VLOOKUP(AZ43,'Top WS'!$A$19:$E$28,5),0)</f>
        <v>180</v>
      </c>
      <c r="BN43" s="89">
        <f>IFERROR(VLOOKUP(BA43,'Top WS'!$A$19:$E$28,5),0)</f>
        <v>180</v>
      </c>
      <c r="BO43" s="89">
        <f>IFERROR(VLOOKUP(BB43,'Top WS'!$A$19:$E$28,5),0)</f>
        <v>180</v>
      </c>
      <c r="BP43" s="89">
        <f>IFERROR(VLOOKUP(BC43,'Top WS'!$A$19:$E$28,5),0)</f>
        <v>180</v>
      </c>
    </row>
    <row r="44" spans="1:68" x14ac:dyDescent="0.4">
      <c r="A44">
        <v>1190043701</v>
      </c>
      <c r="B44">
        <f>VLOOKUP(A44,'Aji Plus'!$A$2:$D$58,2,0)</f>
        <v>63286</v>
      </c>
      <c r="C44" t="str">
        <f>VLOOKUP(A44,'Aji Plus'!$A$2:$D$58,3,0)</f>
        <v>นายมานพ ประจวบสุข</v>
      </c>
      <c r="D44" t="str">
        <f>VLOOKUP(A44,'Aji Plus'!$A$2:$D$58,4,0)</f>
        <v>Surin</v>
      </c>
      <c r="E44" s="1">
        <v>475</v>
      </c>
      <c r="F44" s="1">
        <v>504</v>
      </c>
      <c r="G44" s="1">
        <v>489</v>
      </c>
      <c r="H44" s="1">
        <v>548</v>
      </c>
      <c r="I44" s="1">
        <v>487</v>
      </c>
      <c r="J44" s="1">
        <v>606</v>
      </c>
      <c r="K44" s="1">
        <v>664</v>
      </c>
      <c r="L44" s="1">
        <v>606</v>
      </c>
      <c r="M44" s="1">
        <v>438</v>
      </c>
      <c r="N44" s="1">
        <v>570</v>
      </c>
      <c r="O44" s="1">
        <v>504</v>
      </c>
      <c r="P44" s="1">
        <v>475</v>
      </c>
      <c r="R44" s="1">
        <f>VLOOKUP(A44,Actual_RDNS!$A$2:$H$62,3,0)</f>
        <v>420.65999999999997</v>
      </c>
      <c r="S44" s="1">
        <f>VLOOKUP(A44,Actual_RDNS!$A$2:$H$62,4,0)</f>
        <v>1166.04</v>
      </c>
      <c r="T44" s="1">
        <f>VLOOKUP(A44,Actual_RDNS!$A$2:$H$62,5,0)</f>
        <v>227.16</v>
      </c>
      <c r="U44" s="1">
        <f>VLOOKUP(A44,Actual_RDNS!$A$2:$H$62,6,0)</f>
        <v>456.29999999999995</v>
      </c>
      <c r="V44" s="1">
        <f>VLOOKUP(A44,Actual_RDNS!$A$2:$H$62,7,0)</f>
        <v>717.48</v>
      </c>
      <c r="W44" s="1">
        <f>VLOOKUP(A44,Actual_RDNS!$A$2:$H$62,8,0)</f>
        <v>175.86</v>
      </c>
      <c r="X44" s="102"/>
      <c r="Y44" s="102"/>
      <c r="Z44" s="102"/>
      <c r="AA44" s="102"/>
      <c r="AB44" s="102"/>
      <c r="AC44" s="102"/>
      <c r="AE44" s="88">
        <f t="shared" si="4"/>
        <v>0.88559999999999994</v>
      </c>
      <c r="AF44" s="88">
        <f t="shared" si="4"/>
        <v>2.3135714285714286</v>
      </c>
      <c r="AG44" s="88">
        <f t="shared" si="4"/>
        <v>0.46453987730061347</v>
      </c>
      <c r="AH44" s="88">
        <f t="shared" si="4"/>
        <v>0.83266423357664221</v>
      </c>
      <c r="AI44" s="88">
        <f t="shared" si="4"/>
        <v>1.4732648870636551</v>
      </c>
      <c r="AJ44" s="88">
        <f t="shared" si="4"/>
        <v>0.29019801980198023</v>
      </c>
      <c r="AK44" s="90">
        <f t="shared" si="4"/>
        <v>0</v>
      </c>
      <c r="AL44" s="90">
        <f t="shared" si="4"/>
        <v>0</v>
      </c>
      <c r="AM44" s="90">
        <f t="shared" si="4"/>
        <v>0</v>
      </c>
      <c r="AN44" s="90">
        <f t="shared" si="4"/>
        <v>0</v>
      </c>
      <c r="AO44" s="90">
        <f t="shared" si="4"/>
        <v>0</v>
      </c>
      <c r="AP44" s="90">
        <f t="shared" si="4"/>
        <v>0</v>
      </c>
      <c r="AQ44" s="88"/>
      <c r="AR44" s="90">
        <f t="shared" si="5"/>
        <v>0.88560000000000005</v>
      </c>
      <c r="AS44" s="90">
        <f t="shared" si="5"/>
        <v>2.3136000000000001</v>
      </c>
      <c r="AT44" s="90">
        <f t="shared" si="5"/>
        <v>0.46450000000000002</v>
      </c>
      <c r="AU44" s="90">
        <f t="shared" si="5"/>
        <v>0.8327</v>
      </c>
      <c r="AV44" s="90">
        <f t="shared" si="5"/>
        <v>1.4733000000000001</v>
      </c>
      <c r="AW44" s="90">
        <f t="shared" si="5"/>
        <v>0.29020000000000001</v>
      </c>
      <c r="AX44" s="90">
        <f t="shared" si="5"/>
        <v>0</v>
      </c>
      <c r="AY44" s="90">
        <f t="shared" si="5"/>
        <v>0</v>
      </c>
      <c r="AZ44" s="90">
        <f t="shared" si="5"/>
        <v>0</v>
      </c>
      <c r="BA44" s="90">
        <f t="shared" si="5"/>
        <v>0</v>
      </c>
      <c r="BB44" s="90">
        <f t="shared" si="5"/>
        <v>0</v>
      </c>
      <c r="BC44" s="90">
        <f t="shared" si="5"/>
        <v>0</v>
      </c>
      <c r="BD44" s="88"/>
      <c r="BE44" s="1">
        <f>IFERROR(VLOOKUP(AR44,'Top WS'!$A$19:$E$28,5),0)</f>
        <v>180</v>
      </c>
      <c r="BF44" s="1">
        <f>IFERROR(VLOOKUP(AS44,'Top WS'!$A$19:$E$28,5),0)</f>
        <v>260</v>
      </c>
      <c r="BG44" s="1">
        <f>IFERROR(VLOOKUP(AT44,'Top WS'!$A$19:$E$28,5),0)</f>
        <v>180</v>
      </c>
      <c r="BH44" s="1">
        <f>IFERROR(VLOOKUP(AU44,'Top WS'!$A$19:$E$28,5),0)</f>
        <v>180</v>
      </c>
      <c r="BI44" s="1">
        <f>IFERROR(VLOOKUP(AV44,'Top WS'!$A$19:$E$28,5),0)</f>
        <v>260</v>
      </c>
      <c r="BJ44" s="1">
        <f>IFERROR(VLOOKUP(AW44,'Top WS'!$A$19:$E$28,5),0)</f>
        <v>180</v>
      </c>
      <c r="BK44" s="89">
        <f>IFERROR(VLOOKUP(AX44,'Top WS'!$A$19:$E$28,5),0)</f>
        <v>180</v>
      </c>
      <c r="BL44" s="89">
        <f>IFERROR(VLOOKUP(AY44,'Top WS'!$A$19:$E$28,5),0)</f>
        <v>180</v>
      </c>
      <c r="BM44" s="89">
        <f>IFERROR(VLOOKUP(AZ44,'Top WS'!$A$19:$E$28,5),0)</f>
        <v>180</v>
      </c>
      <c r="BN44" s="89">
        <f>IFERROR(VLOOKUP(BA44,'Top WS'!$A$19:$E$28,5),0)</f>
        <v>180</v>
      </c>
      <c r="BO44" s="89">
        <f>IFERROR(VLOOKUP(BB44,'Top WS'!$A$19:$E$28,5),0)</f>
        <v>180</v>
      </c>
      <c r="BP44" s="89">
        <f>IFERROR(VLOOKUP(BC44,'Top WS'!$A$19:$E$28,5),0)</f>
        <v>180</v>
      </c>
    </row>
    <row r="45" spans="1:68" x14ac:dyDescent="0.4">
      <c r="A45">
        <v>1190043702</v>
      </c>
      <c r="B45">
        <f>VLOOKUP(A45,'Aji Plus'!$A$2:$D$58,2,0)</f>
        <v>70479</v>
      </c>
      <c r="C45" t="str">
        <f>VLOOKUP(A45,'Aji Plus'!$A$2:$D$58,3,0)</f>
        <v>นายภูริต มาตย์วิเศษ</v>
      </c>
      <c r="D45" t="str">
        <f>VLOOKUP(A45,'Aji Plus'!$A$2:$D$58,4,0)</f>
        <v>Surin</v>
      </c>
      <c r="E45" s="1">
        <v>316</v>
      </c>
      <c r="F45" s="1">
        <v>336</v>
      </c>
      <c r="G45" s="1">
        <v>326</v>
      </c>
      <c r="H45" s="1">
        <v>365</v>
      </c>
      <c r="I45" s="1">
        <v>326</v>
      </c>
      <c r="J45" s="1">
        <v>404</v>
      </c>
      <c r="K45" s="1">
        <v>443</v>
      </c>
      <c r="L45" s="1">
        <v>404</v>
      </c>
      <c r="M45" s="1">
        <v>292</v>
      </c>
      <c r="N45" s="1">
        <v>380</v>
      </c>
      <c r="O45" s="1">
        <v>336</v>
      </c>
      <c r="P45" s="1">
        <v>316</v>
      </c>
      <c r="R45" s="1">
        <f>VLOOKUP(A45,Actual_RDNS!$A$2:$H$62,3,0)</f>
        <v>250.74</v>
      </c>
      <c r="S45" s="1">
        <f>VLOOKUP(A45,Actual_RDNS!$A$2:$H$62,4,0)</f>
        <v>532.43999999999994</v>
      </c>
      <c r="T45" s="1">
        <f>VLOOKUP(A45,Actual_RDNS!$A$2:$H$62,5,0)</f>
        <v>371.69999999999993</v>
      </c>
      <c r="U45" s="1">
        <f>VLOOKUP(A45,Actual_RDNS!$A$2:$H$62,6,0)</f>
        <v>5.94</v>
      </c>
      <c r="V45" s="1">
        <f>VLOOKUP(A45,Actual_RDNS!$A$2:$H$62,7,0)</f>
        <v>42.300000000000004</v>
      </c>
      <c r="W45" s="1">
        <f>VLOOKUP(A45,Actual_RDNS!$A$2:$H$62,8,0)</f>
        <v>227.88</v>
      </c>
      <c r="X45" s="102"/>
      <c r="Y45" s="102"/>
      <c r="Z45" s="102"/>
      <c r="AA45" s="102"/>
      <c r="AB45" s="102"/>
      <c r="AC45" s="102"/>
      <c r="AE45" s="88">
        <f t="shared" si="4"/>
        <v>0.7934810126582279</v>
      </c>
      <c r="AF45" s="88">
        <f t="shared" si="4"/>
        <v>1.584642857142857</v>
      </c>
      <c r="AG45" s="88">
        <f t="shared" si="4"/>
        <v>1.1401840490797543</v>
      </c>
      <c r="AH45" s="88">
        <f t="shared" si="4"/>
        <v>1.6273972602739727E-2</v>
      </c>
      <c r="AI45" s="88">
        <f t="shared" si="4"/>
        <v>0.12975460122699387</v>
      </c>
      <c r="AJ45" s="88">
        <f t="shared" si="4"/>
        <v>0.56405940594059401</v>
      </c>
      <c r="AK45" s="90">
        <f t="shared" si="4"/>
        <v>0</v>
      </c>
      <c r="AL45" s="90">
        <f t="shared" si="4"/>
        <v>0</v>
      </c>
      <c r="AM45" s="90">
        <f t="shared" si="4"/>
        <v>0</v>
      </c>
      <c r="AN45" s="90">
        <f t="shared" si="4"/>
        <v>0</v>
      </c>
      <c r="AO45" s="90">
        <f t="shared" si="4"/>
        <v>0</v>
      </c>
      <c r="AP45" s="90">
        <f t="shared" si="4"/>
        <v>0</v>
      </c>
      <c r="AQ45" s="88"/>
      <c r="AR45" s="90">
        <f t="shared" si="5"/>
        <v>0.79349999999999998</v>
      </c>
      <c r="AS45" s="90">
        <f t="shared" si="5"/>
        <v>1.5846</v>
      </c>
      <c r="AT45" s="90">
        <f t="shared" si="5"/>
        <v>1.1402000000000001</v>
      </c>
      <c r="AU45" s="90">
        <f t="shared" si="5"/>
        <v>1.6299999999999999E-2</v>
      </c>
      <c r="AV45" s="90">
        <f t="shared" si="5"/>
        <v>0.1298</v>
      </c>
      <c r="AW45" s="90">
        <f t="shared" si="5"/>
        <v>0.56410000000000005</v>
      </c>
      <c r="AX45" s="90">
        <f t="shared" si="5"/>
        <v>0</v>
      </c>
      <c r="AY45" s="90">
        <f t="shared" si="5"/>
        <v>0</v>
      </c>
      <c r="AZ45" s="90">
        <f t="shared" si="5"/>
        <v>0</v>
      </c>
      <c r="BA45" s="90">
        <f t="shared" si="5"/>
        <v>0</v>
      </c>
      <c r="BB45" s="90">
        <f t="shared" si="5"/>
        <v>0</v>
      </c>
      <c r="BC45" s="90">
        <f t="shared" si="5"/>
        <v>0</v>
      </c>
      <c r="BD45" s="88"/>
      <c r="BE45" s="1">
        <f>IFERROR(VLOOKUP(AR45,'Top WS'!$A$19:$E$28,5),0)</f>
        <v>180</v>
      </c>
      <c r="BF45" s="1">
        <f>IFERROR(VLOOKUP(AS45,'Top WS'!$A$19:$E$28,5),0)</f>
        <v>260</v>
      </c>
      <c r="BG45" s="1">
        <f>IFERROR(VLOOKUP(AT45,'Top WS'!$A$19:$E$28,5),0)</f>
        <v>230</v>
      </c>
      <c r="BH45" s="1">
        <f>IFERROR(VLOOKUP(AU45,'Top WS'!$A$19:$E$28,5),0)</f>
        <v>180</v>
      </c>
      <c r="BI45" s="1">
        <f>IFERROR(VLOOKUP(AV45,'Top WS'!$A$19:$E$28,5),0)</f>
        <v>180</v>
      </c>
      <c r="BJ45" s="1">
        <f>IFERROR(VLOOKUP(AW45,'Top WS'!$A$19:$E$28,5),0)</f>
        <v>180</v>
      </c>
      <c r="BK45" s="89">
        <f>IFERROR(VLOOKUP(AX45,'Top WS'!$A$19:$E$28,5),0)</f>
        <v>180</v>
      </c>
      <c r="BL45" s="89">
        <f>IFERROR(VLOOKUP(AY45,'Top WS'!$A$19:$E$28,5),0)</f>
        <v>180</v>
      </c>
      <c r="BM45" s="89">
        <f>IFERROR(VLOOKUP(AZ45,'Top WS'!$A$19:$E$28,5),0)</f>
        <v>180</v>
      </c>
      <c r="BN45" s="89">
        <f>IFERROR(VLOOKUP(BA45,'Top WS'!$A$19:$E$28,5),0)</f>
        <v>180</v>
      </c>
      <c r="BO45" s="89">
        <f>IFERROR(VLOOKUP(BB45,'Top WS'!$A$19:$E$28,5),0)</f>
        <v>180</v>
      </c>
      <c r="BP45" s="89">
        <f>IFERROR(VLOOKUP(BC45,'Top WS'!$A$19:$E$28,5),0)</f>
        <v>180</v>
      </c>
    </row>
    <row r="46" spans="1:68" x14ac:dyDescent="0.4">
      <c r="A46">
        <v>1190043801</v>
      </c>
      <c r="B46">
        <f>VLOOKUP(A46,'Aji Plus'!$A$2:$D$58,2,0)</f>
        <v>75712</v>
      </c>
      <c r="C46" t="str">
        <f>VLOOKUP(A46,'Aji Plus'!$A$2:$D$58,3,0)</f>
        <v>นายวุฒิพงษ์ วงศ์วณิชชากร</v>
      </c>
      <c r="D46" t="str">
        <f>VLOOKUP(A46,'Aji Plus'!$A$2:$D$58,4,0)</f>
        <v>Khonkaen</v>
      </c>
      <c r="E46" s="1">
        <v>469.74705635392621</v>
      </c>
      <c r="F46" s="1">
        <v>470.44971688539573</v>
      </c>
      <c r="G46" s="1">
        <v>461.86986197482173</v>
      </c>
      <c r="H46" s="1">
        <v>457.65389878600513</v>
      </c>
      <c r="I46" s="1">
        <v>484.89493812707764</v>
      </c>
      <c r="J46" s="1">
        <v>465.56807529834492</v>
      </c>
      <c r="K46" s="1">
        <v>465.5163003118156</v>
      </c>
      <c r="L46" s="1">
        <v>474.42899442150673</v>
      </c>
      <c r="M46" s="1">
        <v>475.90088332426899</v>
      </c>
      <c r="N46" s="1">
        <v>483.63754559707968</v>
      </c>
      <c r="O46" s="1">
        <v>448.62286184996117</v>
      </c>
      <c r="P46" s="1">
        <v>464.47340415458206</v>
      </c>
      <c r="R46" s="1">
        <f>VLOOKUP(A46,Actual_RDNS!$A$2:$H$62,3,0)</f>
        <v>418.32</v>
      </c>
      <c r="S46" s="1">
        <f>VLOOKUP(A46,Actual_RDNS!$A$2:$H$62,4,0)</f>
        <v>1063.8</v>
      </c>
      <c r="T46" s="1">
        <f>VLOOKUP(A46,Actual_RDNS!$A$2:$H$62,5,0)</f>
        <v>127.62</v>
      </c>
      <c r="U46" s="1">
        <f>VLOOKUP(A46,Actual_RDNS!$A$2:$H$62,6,0)</f>
        <v>53.460000000000008</v>
      </c>
      <c r="V46" s="1">
        <f>VLOOKUP(A46,Actual_RDNS!$A$2:$H$62,7,0)</f>
        <v>304.2</v>
      </c>
      <c r="W46" s="1">
        <f>VLOOKUP(A46,Actual_RDNS!$A$2:$H$62,8,0)</f>
        <v>658.43999999999994</v>
      </c>
      <c r="X46" s="102"/>
      <c r="Y46" s="102"/>
      <c r="Z46" s="102"/>
      <c r="AA46" s="102"/>
      <c r="AB46" s="102"/>
      <c r="AC46" s="102"/>
      <c r="AE46" s="88">
        <f t="shared" si="4"/>
        <v>0.89052181241306383</v>
      </c>
      <c r="AF46" s="88">
        <f t="shared" si="4"/>
        <v>2.261240599830455</v>
      </c>
      <c r="AG46" s="88">
        <f t="shared" si="4"/>
        <v>0.27631159880043665</v>
      </c>
      <c r="AH46" s="88">
        <f t="shared" si="4"/>
        <v>0.11681316414393189</v>
      </c>
      <c r="AI46" s="88">
        <f t="shared" si="4"/>
        <v>0.6273523934380143</v>
      </c>
      <c r="AJ46" s="88">
        <f t="shared" si="4"/>
        <v>1.4142722298517978</v>
      </c>
      <c r="AK46" s="90">
        <f t="shared" si="4"/>
        <v>0</v>
      </c>
      <c r="AL46" s="90">
        <f t="shared" si="4"/>
        <v>0</v>
      </c>
      <c r="AM46" s="90">
        <f t="shared" si="4"/>
        <v>0</v>
      </c>
      <c r="AN46" s="90">
        <f t="shared" si="4"/>
        <v>0</v>
      </c>
      <c r="AO46" s="90">
        <f t="shared" si="4"/>
        <v>0</v>
      </c>
      <c r="AP46" s="90">
        <f t="shared" si="4"/>
        <v>0</v>
      </c>
      <c r="AQ46" s="88"/>
      <c r="AR46" s="90">
        <f t="shared" si="5"/>
        <v>0.89049999999999996</v>
      </c>
      <c r="AS46" s="90">
        <f t="shared" si="5"/>
        <v>2.2612000000000001</v>
      </c>
      <c r="AT46" s="90">
        <f t="shared" si="5"/>
        <v>0.27629999999999999</v>
      </c>
      <c r="AU46" s="90">
        <f t="shared" si="5"/>
        <v>0.1168</v>
      </c>
      <c r="AV46" s="90">
        <f t="shared" si="5"/>
        <v>0.62739999999999996</v>
      </c>
      <c r="AW46" s="90">
        <f t="shared" si="5"/>
        <v>1.4142999999999999</v>
      </c>
      <c r="AX46" s="90">
        <f t="shared" si="5"/>
        <v>0</v>
      </c>
      <c r="AY46" s="90">
        <f t="shared" si="5"/>
        <v>0</v>
      </c>
      <c r="AZ46" s="90">
        <f t="shared" si="5"/>
        <v>0</v>
      </c>
      <c r="BA46" s="90">
        <f t="shared" si="5"/>
        <v>0</v>
      </c>
      <c r="BB46" s="90">
        <f t="shared" si="5"/>
        <v>0</v>
      </c>
      <c r="BC46" s="90">
        <f t="shared" si="5"/>
        <v>0</v>
      </c>
      <c r="BD46" s="88"/>
      <c r="BE46" s="1">
        <f>IFERROR(VLOOKUP(AR46,'Top WS'!$A$19:$E$28,5),0)</f>
        <v>180</v>
      </c>
      <c r="BF46" s="1">
        <f>IFERROR(VLOOKUP(AS46,'Top WS'!$A$19:$E$28,5),0)</f>
        <v>260</v>
      </c>
      <c r="BG46" s="1">
        <f>IFERROR(VLOOKUP(AT46,'Top WS'!$A$19:$E$28,5),0)</f>
        <v>180</v>
      </c>
      <c r="BH46" s="1">
        <f>IFERROR(VLOOKUP(AU46,'Top WS'!$A$19:$E$28,5),0)</f>
        <v>180</v>
      </c>
      <c r="BI46" s="1">
        <f>IFERROR(VLOOKUP(AV46,'Top WS'!$A$19:$E$28,5),0)</f>
        <v>180</v>
      </c>
      <c r="BJ46" s="1">
        <f>IFERROR(VLOOKUP(AW46,'Top WS'!$A$19:$E$28,5),0)</f>
        <v>260</v>
      </c>
      <c r="BK46" s="89">
        <f>IFERROR(VLOOKUP(AX46,'Top WS'!$A$19:$E$28,5),0)</f>
        <v>180</v>
      </c>
      <c r="BL46" s="89">
        <f>IFERROR(VLOOKUP(AY46,'Top WS'!$A$19:$E$28,5),0)</f>
        <v>180</v>
      </c>
      <c r="BM46" s="89">
        <f>IFERROR(VLOOKUP(AZ46,'Top WS'!$A$19:$E$28,5),0)</f>
        <v>180</v>
      </c>
      <c r="BN46" s="89">
        <f>IFERROR(VLOOKUP(BA46,'Top WS'!$A$19:$E$28,5),0)</f>
        <v>180</v>
      </c>
      <c r="BO46" s="89">
        <f>IFERROR(VLOOKUP(BB46,'Top WS'!$A$19:$E$28,5),0)</f>
        <v>180</v>
      </c>
      <c r="BP46" s="89">
        <f>IFERROR(VLOOKUP(BC46,'Top WS'!$A$19:$E$28,5),0)</f>
        <v>180</v>
      </c>
    </row>
    <row r="47" spans="1:68" x14ac:dyDescent="0.4">
      <c r="A47">
        <v>1190043802</v>
      </c>
      <c r="B47">
        <f>VLOOKUP(A47,'Aji Plus'!$A$2:$D$58,2,0)</f>
        <v>62573</v>
      </c>
      <c r="C47" t="str">
        <f>VLOOKUP(A47,'Aji Plus'!$A$2:$D$58,3,0)</f>
        <v>นายวิฑูรย์ ระวันประโคน</v>
      </c>
      <c r="D47" t="str">
        <f>VLOOKUP(A47,'Aji Plus'!$A$2:$D$58,4,0)</f>
        <v>Khonkaen</v>
      </c>
      <c r="E47" s="1">
        <v>318.90645587969624</v>
      </c>
      <c r="F47" s="1">
        <v>319.38348490360704</v>
      </c>
      <c r="G47" s="1">
        <v>313.5587094537496</v>
      </c>
      <c r="H47" s="1">
        <v>310.69653531028507</v>
      </c>
      <c r="I47" s="1">
        <v>329.19019736358257</v>
      </c>
      <c r="J47" s="1">
        <v>316.06938852696396</v>
      </c>
      <c r="K47" s="1">
        <v>316.03423901993898</v>
      </c>
      <c r="L47" s="1">
        <v>322.08497558638578</v>
      </c>
      <c r="M47" s="1">
        <v>323.08422585752504</v>
      </c>
      <c r="N47" s="1">
        <v>328.33656647868963</v>
      </c>
      <c r="O47" s="1">
        <v>304.5654570134954</v>
      </c>
      <c r="P47" s="1">
        <v>315.32622752129248</v>
      </c>
      <c r="R47" s="1">
        <f>VLOOKUP(A47,Actual_RDNS!$A$2:$H$62,3,0)</f>
        <v>89.820000000000007</v>
      </c>
      <c r="S47" s="1">
        <f>VLOOKUP(A47,Actual_RDNS!$A$2:$H$62,4,0)</f>
        <v>593.28</v>
      </c>
      <c r="T47" s="1">
        <f>VLOOKUP(A47,Actual_RDNS!$A$2:$H$62,5,0)</f>
        <v>60.84</v>
      </c>
      <c r="U47" s="1">
        <f>VLOOKUP(A47,Actual_RDNS!$A$2:$H$62,6,0)</f>
        <v>29.700000000000003</v>
      </c>
      <c r="V47" s="1">
        <f>VLOOKUP(A47,Actual_RDNS!$A$2:$H$62,7,0)</f>
        <v>256.86</v>
      </c>
      <c r="W47" s="1">
        <f>VLOOKUP(A47,Actual_RDNS!$A$2:$H$62,8,0)</f>
        <v>180.89999999999998</v>
      </c>
      <c r="X47" s="102"/>
      <c r="Y47" s="102"/>
      <c r="Z47" s="102"/>
      <c r="AA47" s="102"/>
      <c r="AB47" s="102"/>
      <c r="AC47" s="102"/>
      <c r="AE47" s="88">
        <f t="shared" si="4"/>
        <v>0.28164998965679</v>
      </c>
      <c r="AF47" s="88">
        <f t="shared" si="4"/>
        <v>1.8575788293469762</v>
      </c>
      <c r="AG47" s="88">
        <f t="shared" si="4"/>
        <v>0.1940306493351415</v>
      </c>
      <c r="AH47" s="88">
        <f t="shared" si="4"/>
        <v>9.5591667832212346E-2</v>
      </c>
      <c r="AI47" s="88">
        <f t="shared" si="4"/>
        <v>0.78027839849770619</v>
      </c>
      <c r="AJ47" s="88">
        <f t="shared" si="4"/>
        <v>0.57234267716681253</v>
      </c>
      <c r="AK47" s="90">
        <f t="shared" si="4"/>
        <v>0</v>
      </c>
      <c r="AL47" s="90">
        <f t="shared" si="4"/>
        <v>0</v>
      </c>
      <c r="AM47" s="90">
        <f t="shared" si="4"/>
        <v>0</v>
      </c>
      <c r="AN47" s="90">
        <f t="shared" si="4"/>
        <v>0</v>
      </c>
      <c r="AO47" s="90">
        <f t="shared" si="4"/>
        <v>0</v>
      </c>
      <c r="AP47" s="90">
        <f t="shared" si="4"/>
        <v>0</v>
      </c>
      <c r="AQ47" s="88"/>
      <c r="AR47" s="90">
        <f t="shared" si="5"/>
        <v>0.28160000000000002</v>
      </c>
      <c r="AS47" s="90">
        <f t="shared" si="5"/>
        <v>1.8575999999999999</v>
      </c>
      <c r="AT47" s="90">
        <f t="shared" si="5"/>
        <v>0.19400000000000001</v>
      </c>
      <c r="AU47" s="90">
        <f t="shared" si="5"/>
        <v>9.5600000000000004E-2</v>
      </c>
      <c r="AV47" s="90">
        <f t="shared" si="5"/>
        <v>0.78029999999999999</v>
      </c>
      <c r="AW47" s="90">
        <f t="shared" si="5"/>
        <v>0.57230000000000003</v>
      </c>
      <c r="AX47" s="90">
        <f t="shared" si="5"/>
        <v>0</v>
      </c>
      <c r="AY47" s="90">
        <f t="shared" si="5"/>
        <v>0</v>
      </c>
      <c r="AZ47" s="90">
        <f t="shared" si="5"/>
        <v>0</v>
      </c>
      <c r="BA47" s="90">
        <f t="shared" si="5"/>
        <v>0</v>
      </c>
      <c r="BB47" s="90">
        <f t="shared" si="5"/>
        <v>0</v>
      </c>
      <c r="BC47" s="90">
        <f t="shared" si="5"/>
        <v>0</v>
      </c>
      <c r="BD47" s="88"/>
      <c r="BE47" s="1">
        <f>IFERROR(VLOOKUP(AR47,'Top WS'!$A$19:$E$28,5),0)</f>
        <v>180</v>
      </c>
      <c r="BF47" s="1">
        <f>IFERROR(VLOOKUP(AS47,'Top WS'!$A$19:$E$28,5),0)</f>
        <v>260</v>
      </c>
      <c r="BG47" s="1">
        <f>IFERROR(VLOOKUP(AT47,'Top WS'!$A$19:$E$28,5),0)</f>
        <v>180</v>
      </c>
      <c r="BH47" s="1">
        <f>IFERROR(VLOOKUP(AU47,'Top WS'!$A$19:$E$28,5),0)</f>
        <v>180</v>
      </c>
      <c r="BI47" s="1">
        <f>IFERROR(VLOOKUP(AV47,'Top WS'!$A$19:$E$28,5),0)</f>
        <v>180</v>
      </c>
      <c r="BJ47" s="1">
        <f>IFERROR(VLOOKUP(AW47,'Top WS'!$A$19:$E$28,5),0)</f>
        <v>180</v>
      </c>
      <c r="BK47" s="89">
        <f>IFERROR(VLOOKUP(AX47,'Top WS'!$A$19:$E$28,5),0)</f>
        <v>180</v>
      </c>
      <c r="BL47" s="89">
        <f>IFERROR(VLOOKUP(AY47,'Top WS'!$A$19:$E$28,5),0)</f>
        <v>180</v>
      </c>
      <c r="BM47" s="89">
        <f>IFERROR(VLOOKUP(AZ47,'Top WS'!$A$19:$E$28,5),0)</f>
        <v>180</v>
      </c>
      <c r="BN47" s="89">
        <f>IFERROR(VLOOKUP(BA47,'Top WS'!$A$19:$E$28,5),0)</f>
        <v>180</v>
      </c>
      <c r="BO47" s="89">
        <f>IFERROR(VLOOKUP(BB47,'Top WS'!$A$19:$E$28,5),0)</f>
        <v>180</v>
      </c>
      <c r="BP47" s="89">
        <f>IFERROR(VLOOKUP(BC47,'Top WS'!$A$19:$E$28,5),0)</f>
        <v>180</v>
      </c>
    </row>
    <row r="48" spans="1:68" x14ac:dyDescent="0.4">
      <c r="A48">
        <v>1190043901</v>
      </c>
      <c r="B48">
        <f>VLOOKUP(A48,'Aji Plus'!$A$2:$D$58,2,0)</f>
        <v>63244</v>
      </c>
      <c r="C48" t="str">
        <f>VLOOKUP(A48,'Aji Plus'!$A$2:$D$58,3,0)</f>
        <v>นายทรงเกียรติ กล้าหาญ</v>
      </c>
      <c r="D48" t="str">
        <f>VLOOKUP(A48,'Aji Plus'!$A$2:$D$58,4,0)</f>
        <v>Udonthani</v>
      </c>
      <c r="E48" s="1">
        <v>212.67152978604594</v>
      </c>
      <c r="F48" s="1">
        <v>212.98964969361447</v>
      </c>
      <c r="G48" s="1">
        <v>209.10523819067299</v>
      </c>
      <c r="H48" s="1">
        <v>207.19651874526207</v>
      </c>
      <c r="I48" s="1">
        <v>219.52952526710129</v>
      </c>
      <c r="J48" s="1">
        <v>210.77955349366496</v>
      </c>
      <c r="K48" s="1">
        <v>210.75611307942307</v>
      </c>
      <c r="L48" s="1">
        <v>214.79121295963387</v>
      </c>
      <c r="M48" s="1">
        <v>215.45759045022467</v>
      </c>
      <c r="N48" s="1">
        <v>218.96025806408397</v>
      </c>
      <c r="O48" s="1">
        <v>203.1078407753555</v>
      </c>
      <c r="P48" s="1">
        <v>210.28395616397935</v>
      </c>
      <c r="R48" s="1">
        <f>VLOOKUP(A48,Actual_RDNS!$A$2:$H$62,3,0)</f>
        <v>231.48</v>
      </c>
      <c r="S48" s="1">
        <f>VLOOKUP(A48,Actual_RDNS!$A$2:$H$62,4,0)</f>
        <v>1074.06</v>
      </c>
      <c r="T48" s="1">
        <f>VLOOKUP(A48,Actual_RDNS!$A$2:$H$62,5,0)</f>
        <v>1243.0800000000004</v>
      </c>
      <c r="U48" s="1">
        <f>VLOOKUP(A48,Actual_RDNS!$A$2:$H$62,6,0)</f>
        <v>378</v>
      </c>
      <c r="V48" s="1">
        <f>VLOOKUP(A48,Actual_RDNS!$A$2:$H$62,7,0)</f>
        <v>189</v>
      </c>
      <c r="W48" s="1">
        <f>VLOOKUP(A48,Actual_RDNS!$A$2:$H$62,8,0)</f>
        <v>11.88</v>
      </c>
      <c r="X48" s="102"/>
      <c r="Y48" s="102"/>
      <c r="Z48" s="102"/>
      <c r="AA48" s="102"/>
      <c r="AB48" s="102"/>
      <c r="AC48" s="102"/>
      <c r="AE48" s="88">
        <f t="shared" si="4"/>
        <v>1.0884390601453611</v>
      </c>
      <c r="AF48" s="88">
        <f t="shared" si="4"/>
        <v>5.0427802550266403</v>
      </c>
      <c r="AG48" s="88">
        <f t="shared" si="4"/>
        <v>5.9447578203014482</v>
      </c>
      <c r="AH48" s="88">
        <f t="shared" si="4"/>
        <v>1.8243549760830315</v>
      </c>
      <c r="AI48" s="88">
        <f t="shared" si="4"/>
        <v>0.86093203076007174</v>
      </c>
      <c r="AJ48" s="88">
        <f t="shared" si="4"/>
        <v>5.6362203084167069E-2</v>
      </c>
      <c r="AK48" s="90">
        <f t="shared" si="4"/>
        <v>0</v>
      </c>
      <c r="AL48" s="90">
        <f t="shared" si="4"/>
        <v>0</v>
      </c>
      <c r="AM48" s="90">
        <f t="shared" si="4"/>
        <v>0</v>
      </c>
      <c r="AN48" s="90">
        <f t="shared" si="4"/>
        <v>0</v>
      </c>
      <c r="AO48" s="90">
        <f t="shared" si="4"/>
        <v>0</v>
      </c>
      <c r="AP48" s="90">
        <f t="shared" si="4"/>
        <v>0</v>
      </c>
      <c r="AQ48" s="88"/>
      <c r="AR48" s="90">
        <f t="shared" si="5"/>
        <v>1.0884</v>
      </c>
      <c r="AS48" s="90">
        <f t="shared" si="5"/>
        <v>5.0427999999999997</v>
      </c>
      <c r="AT48" s="90">
        <f t="shared" si="5"/>
        <v>5.9447999999999999</v>
      </c>
      <c r="AU48" s="90">
        <f t="shared" si="5"/>
        <v>1.8244</v>
      </c>
      <c r="AV48" s="90">
        <f t="shared" si="5"/>
        <v>0.8609</v>
      </c>
      <c r="AW48" s="90">
        <f t="shared" si="5"/>
        <v>5.6399999999999999E-2</v>
      </c>
      <c r="AX48" s="90">
        <f t="shared" si="5"/>
        <v>0</v>
      </c>
      <c r="AY48" s="90">
        <f t="shared" si="5"/>
        <v>0</v>
      </c>
      <c r="AZ48" s="90">
        <f t="shared" si="5"/>
        <v>0</v>
      </c>
      <c r="BA48" s="90">
        <f t="shared" si="5"/>
        <v>0</v>
      </c>
      <c r="BB48" s="90">
        <f t="shared" si="5"/>
        <v>0</v>
      </c>
      <c r="BC48" s="90">
        <f t="shared" si="5"/>
        <v>0</v>
      </c>
      <c r="BD48" s="88"/>
      <c r="BE48" s="1">
        <f>IFERROR(VLOOKUP(AR48,'Top WS'!$A$19:$E$28,5),0)</f>
        <v>220</v>
      </c>
      <c r="BF48" s="1">
        <f>IFERROR(VLOOKUP(AS48,'Top WS'!$A$19:$E$28,5),0)</f>
        <v>260</v>
      </c>
      <c r="BG48" s="1">
        <f>IFERROR(VLOOKUP(AT48,'Top WS'!$A$19:$E$28,5),0)</f>
        <v>260</v>
      </c>
      <c r="BH48" s="1">
        <f>IFERROR(VLOOKUP(AU48,'Top WS'!$A$19:$E$28,5),0)</f>
        <v>260</v>
      </c>
      <c r="BI48" s="1">
        <f>IFERROR(VLOOKUP(AV48,'Top WS'!$A$19:$E$28,5),0)</f>
        <v>180</v>
      </c>
      <c r="BJ48" s="1">
        <f>IFERROR(VLOOKUP(AW48,'Top WS'!$A$19:$E$28,5),0)</f>
        <v>180</v>
      </c>
      <c r="BK48" s="89">
        <f>IFERROR(VLOOKUP(AX48,'Top WS'!$A$19:$E$28,5),0)</f>
        <v>180</v>
      </c>
      <c r="BL48" s="89">
        <f>IFERROR(VLOOKUP(AY48,'Top WS'!$A$19:$E$28,5),0)</f>
        <v>180</v>
      </c>
      <c r="BM48" s="89">
        <f>IFERROR(VLOOKUP(AZ48,'Top WS'!$A$19:$E$28,5),0)</f>
        <v>180</v>
      </c>
      <c r="BN48" s="89">
        <f>IFERROR(VLOOKUP(BA48,'Top WS'!$A$19:$E$28,5),0)</f>
        <v>180</v>
      </c>
      <c r="BO48" s="89">
        <f>IFERROR(VLOOKUP(BB48,'Top WS'!$A$19:$E$28,5),0)</f>
        <v>180</v>
      </c>
      <c r="BP48" s="89">
        <f>IFERROR(VLOOKUP(BC48,'Top WS'!$A$19:$E$28,5),0)</f>
        <v>180</v>
      </c>
    </row>
    <row r="49" spans="1:68" x14ac:dyDescent="0.4">
      <c r="A49">
        <v>1190043902</v>
      </c>
      <c r="B49">
        <f>VLOOKUP(A49,'Aji Plus'!$A$2:$D$58,2,0)</f>
        <v>63553</v>
      </c>
      <c r="C49" t="str">
        <f>VLOOKUP(A49,'Aji Plus'!$A$2:$D$58,3,0)</f>
        <v>นายภัทรพล สงฆ์เจริญ</v>
      </c>
      <c r="D49" t="str">
        <f>VLOOKUP(A49,'Aji Plus'!$A$2:$D$58,4,0)</f>
        <v>Udonthani</v>
      </c>
      <c r="E49" s="1">
        <v>654.51315845389104</v>
      </c>
      <c r="F49" s="1">
        <v>655.49219718878521</v>
      </c>
      <c r="G49" s="1">
        <v>643.53761895218452</v>
      </c>
      <c r="H49" s="1">
        <v>637.66338654282026</v>
      </c>
      <c r="I49" s="1">
        <v>675.61917244402775</v>
      </c>
      <c r="J49" s="1">
        <v>648.69045439899503</v>
      </c>
      <c r="K49" s="1">
        <v>648.61831470273978</v>
      </c>
      <c r="L49" s="1">
        <v>661.03664812955356</v>
      </c>
      <c r="M49" s="1">
        <v>663.08747663738404</v>
      </c>
      <c r="N49" s="1">
        <v>673.86720839211205</v>
      </c>
      <c r="O49" s="1">
        <v>625.08016238170842</v>
      </c>
      <c r="P49" s="1">
        <v>647.1652151067392</v>
      </c>
      <c r="R49" s="1">
        <f>VLOOKUP(A49,Actual_RDNS!$A$2:$H$62,3,0)</f>
        <v>548.66</v>
      </c>
      <c r="S49" s="1">
        <f>VLOOKUP(A49,Actual_RDNS!$A$2:$H$62,4,0)</f>
        <v>739.6400000000001</v>
      </c>
      <c r="T49" s="1">
        <f>VLOOKUP(A49,Actual_RDNS!$A$2:$H$62,5,0)</f>
        <v>5.94</v>
      </c>
      <c r="U49" s="1">
        <f>VLOOKUP(A49,Actual_RDNS!$A$2:$H$62,6,0)</f>
        <v>639.36000000000013</v>
      </c>
      <c r="V49" s="1">
        <f>VLOOKUP(A49,Actual_RDNS!$A$2:$H$62,7,0)</f>
        <v>356.4</v>
      </c>
      <c r="W49" s="1">
        <f>VLOOKUP(A49,Actual_RDNS!$A$2:$H$62,8,0)</f>
        <v>667.8</v>
      </c>
      <c r="X49" s="102"/>
      <c r="Y49" s="102"/>
      <c r="Z49" s="102"/>
      <c r="AA49" s="102"/>
      <c r="AB49" s="102"/>
      <c r="AC49" s="102"/>
      <c r="AE49" s="88">
        <f t="shared" si="4"/>
        <v>0.83827191694061531</v>
      </c>
      <c r="AF49" s="88">
        <f t="shared" si="4"/>
        <v>1.1283734622198407</v>
      </c>
      <c r="AG49" s="88">
        <f t="shared" si="4"/>
        <v>9.2302296323742167E-3</v>
      </c>
      <c r="AH49" s="88">
        <f t="shared" si="4"/>
        <v>1.0026606725319112</v>
      </c>
      <c r="AI49" s="88">
        <f t="shared" si="4"/>
        <v>0.52751611342042881</v>
      </c>
      <c r="AJ49" s="88">
        <f t="shared" si="4"/>
        <v>1.0294586508425034</v>
      </c>
      <c r="AK49" s="90">
        <f t="shared" si="4"/>
        <v>0</v>
      </c>
      <c r="AL49" s="90">
        <f t="shared" si="4"/>
        <v>0</v>
      </c>
      <c r="AM49" s="90">
        <f t="shared" si="4"/>
        <v>0</v>
      </c>
      <c r="AN49" s="90">
        <f t="shared" si="4"/>
        <v>0</v>
      </c>
      <c r="AO49" s="90">
        <f t="shared" si="4"/>
        <v>0</v>
      </c>
      <c r="AP49" s="90">
        <f t="shared" si="4"/>
        <v>0</v>
      </c>
      <c r="AQ49" s="88"/>
      <c r="AR49" s="90">
        <f t="shared" si="5"/>
        <v>0.83830000000000005</v>
      </c>
      <c r="AS49" s="90">
        <f t="shared" si="5"/>
        <v>1.1284000000000001</v>
      </c>
      <c r="AT49" s="90">
        <f t="shared" si="5"/>
        <v>9.1999999999999998E-3</v>
      </c>
      <c r="AU49" s="90">
        <f t="shared" si="5"/>
        <v>1.0026999999999999</v>
      </c>
      <c r="AV49" s="90">
        <f t="shared" si="5"/>
        <v>0.52749999999999997</v>
      </c>
      <c r="AW49" s="90">
        <f t="shared" si="5"/>
        <v>1.0295000000000001</v>
      </c>
      <c r="AX49" s="90">
        <f t="shared" si="5"/>
        <v>0</v>
      </c>
      <c r="AY49" s="90">
        <f t="shared" si="5"/>
        <v>0</v>
      </c>
      <c r="AZ49" s="90">
        <f t="shared" si="5"/>
        <v>0</v>
      </c>
      <c r="BA49" s="90">
        <f t="shared" si="5"/>
        <v>0</v>
      </c>
      <c r="BB49" s="90">
        <f t="shared" si="5"/>
        <v>0</v>
      </c>
      <c r="BC49" s="90">
        <f t="shared" si="5"/>
        <v>0</v>
      </c>
      <c r="BD49" s="88"/>
      <c r="BE49" s="1">
        <f>IFERROR(VLOOKUP(AR49,'Top WS'!$A$19:$E$28,5),0)</f>
        <v>180</v>
      </c>
      <c r="BF49" s="1">
        <f>IFERROR(VLOOKUP(AS49,'Top WS'!$A$19:$E$28,5),0)</f>
        <v>230</v>
      </c>
      <c r="BG49" s="1">
        <f>IFERROR(VLOOKUP(AT49,'Top WS'!$A$19:$E$28,5),0)</f>
        <v>180</v>
      </c>
      <c r="BH49" s="1">
        <f>IFERROR(VLOOKUP(AU49,'Top WS'!$A$19:$E$28,5),0)</f>
        <v>206</v>
      </c>
      <c r="BI49" s="1">
        <f>IFERROR(VLOOKUP(AV49,'Top WS'!$A$19:$E$28,5),0)</f>
        <v>180</v>
      </c>
      <c r="BJ49" s="1">
        <f>IFERROR(VLOOKUP(AW49,'Top WS'!$A$19:$E$28,5),0)</f>
        <v>206</v>
      </c>
      <c r="BK49" s="89">
        <f>IFERROR(VLOOKUP(AX49,'Top WS'!$A$19:$E$28,5),0)</f>
        <v>180</v>
      </c>
      <c r="BL49" s="89">
        <f>IFERROR(VLOOKUP(AY49,'Top WS'!$A$19:$E$28,5),0)</f>
        <v>180</v>
      </c>
      <c r="BM49" s="89">
        <f>IFERROR(VLOOKUP(AZ49,'Top WS'!$A$19:$E$28,5),0)</f>
        <v>180</v>
      </c>
      <c r="BN49" s="89">
        <f>IFERROR(VLOOKUP(BA49,'Top WS'!$A$19:$E$28,5),0)</f>
        <v>180</v>
      </c>
      <c r="BO49" s="89">
        <f>IFERROR(VLOOKUP(BB49,'Top WS'!$A$19:$E$28,5),0)</f>
        <v>180</v>
      </c>
      <c r="BP49" s="89">
        <f>IFERROR(VLOOKUP(BC49,'Top WS'!$A$19:$E$28,5),0)</f>
        <v>180</v>
      </c>
    </row>
    <row r="50" spans="1:68" x14ac:dyDescent="0.4">
      <c r="A50">
        <v>1190044001</v>
      </c>
      <c r="B50">
        <f>VLOOKUP(A50,'Aji Plus'!$A$2:$D$58,2,0)</f>
        <v>78443</v>
      </c>
      <c r="C50" t="str">
        <f>VLOOKUP(A50,'Aji Plus'!$A$2:$D$58,3,0)</f>
        <v>นายจิตติพงศ์ สุระสา</v>
      </c>
      <c r="D50" t="str">
        <f>VLOOKUP(A50,'Aji Plus'!$A$2:$D$58,4,0)</f>
        <v>S.Nakon</v>
      </c>
      <c r="E50" s="1">
        <v>857.80245256674982</v>
      </c>
      <c r="F50" s="1">
        <v>859.08557700374956</v>
      </c>
      <c r="G50" s="1">
        <v>843.41795229933416</v>
      </c>
      <c r="H50" s="1">
        <v>835.71920567733673</v>
      </c>
      <c r="I50" s="1">
        <v>885.46391411385605</v>
      </c>
      <c r="J50" s="1">
        <v>850.17123880985787</v>
      </c>
      <c r="K50" s="1">
        <v>850.07669279871061</v>
      </c>
      <c r="L50" s="1">
        <v>866.35211328907337</v>
      </c>
      <c r="M50" s="1">
        <v>869.03992132026178</v>
      </c>
      <c r="N50" s="1">
        <v>883.1677967002779</v>
      </c>
      <c r="O50" s="1">
        <v>819.2276800186371</v>
      </c>
      <c r="P50" s="1">
        <v>848.17226600274284</v>
      </c>
      <c r="R50" s="1">
        <f>VLOOKUP(A50,Actual_RDNS!$A$2:$H$62,3,0)</f>
        <v>218.96</v>
      </c>
      <c r="S50" s="1">
        <f>VLOOKUP(A50,Actual_RDNS!$A$2:$H$62,4,0)</f>
        <v>1363.32</v>
      </c>
      <c r="T50" s="1">
        <f>VLOOKUP(A50,Actual_RDNS!$A$2:$H$62,5,0)</f>
        <v>202.49999999999997</v>
      </c>
      <c r="U50" s="1">
        <f>VLOOKUP(A50,Actual_RDNS!$A$2:$H$62,6,0)</f>
        <v>277.56</v>
      </c>
      <c r="V50" s="1">
        <f>VLOOKUP(A50,Actual_RDNS!$A$2:$H$62,7,0)</f>
        <v>261.46000000000004</v>
      </c>
      <c r="W50" s="1">
        <f>VLOOKUP(A50,Actual_RDNS!$A$2:$H$62,8,0)</f>
        <v>947.34</v>
      </c>
      <c r="X50" s="102"/>
      <c r="Y50" s="102"/>
      <c r="Z50" s="102"/>
      <c r="AA50" s="102"/>
      <c r="AB50" s="102"/>
      <c r="AC50" s="102"/>
      <c r="AE50" s="88">
        <f t="shared" si="4"/>
        <v>0.25525690599836753</v>
      </c>
      <c r="AF50" s="88">
        <f t="shared" si="4"/>
        <v>1.5869431829537626</v>
      </c>
      <c r="AG50" s="88">
        <f t="shared" si="4"/>
        <v>0.24009448630769895</v>
      </c>
      <c r="AH50" s="88">
        <f t="shared" si="4"/>
        <v>0.33212112168110602</v>
      </c>
      <c r="AI50" s="88">
        <f t="shared" si="4"/>
        <v>0.29528024330800745</v>
      </c>
      <c r="AJ50" s="88">
        <f t="shared" si="4"/>
        <v>1.1142931644290477</v>
      </c>
      <c r="AK50" s="90">
        <f t="shared" si="4"/>
        <v>0</v>
      </c>
      <c r="AL50" s="90">
        <f t="shared" si="4"/>
        <v>0</v>
      </c>
      <c r="AM50" s="90">
        <f t="shared" si="4"/>
        <v>0</v>
      </c>
      <c r="AN50" s="90">
        <f t="shared" si="4"/>
        <v>0</v>
      </c>
      <c r="AO50" s="90">
        <f t="shared" si="4"/>
        <v>0</v>
      </c>
      <c r="AP50" s="90">
        <f t="shared" si="4"/>
        <v>0</v>
      </c>
      <c r="AQ50" s="88"/>
      <c r="AR50" s="90">
        <f t="shared" si="5"/>
        <v>0.25530000000000003</v>
      </c>
      <c r="AS50" s="90">
        <f t="shared" si="5"/>
        <v>1.5869</v>
      </c>
      <c r="AT50" s="90">
        <f t="shared" si="5"/>
        <v>0.24010000000000001</v>
      </c>
      <c r="AU50" s="90">
        <f t="shared" si="5"/>
        <v>0.33210000000000001</v>
      </c>
      <c r="AV50" s="90">
        <f t="shared" si="5"/>
        <v>0.29530000000000001</v>
      </c>
      <c r="AW50" s="90">
        <f t="shared" si="5"/>
        <v>1.1143000000000001</v>
      </c>
      <c r="AX50" s="90">
        <f t="shared" si="5"/>
        <v>0</v>
      </c>
      <c r="AY50" s="90">
        <f t="shared" si="5"/>
        <v>0</v>
      </c>
      <c r="AZ50" s="90">
        <f t="shared" si="5"/>
        <v>0</v>
      </c>
      <c r="BA50" s="90">
        <f t="shared" si="5"/>
        <v>0</v>
      </c>
      <c r="BB50" s="90">
        <f t="shared" si="5"/>
        <v>0</v>
      </c>
      <c r="BC50" s="90">
        <f t="shared" si="5"/>
        <v>0</v>
      </c>
      <c r="BD50" s="88"/>
      <c r="BE50" s="1">
        <f>IFERROR(VLOOKUP(AR50,'Top WS'!$A$19:$E$28,5),0)</f>
        <v>180</v>
      </c>
      <c r="BF50" s="1">
        <f>IFERROR(VLOOKUP(AS50,'Top WS'!$A$19:$E$28,5),0)</f>
        <v>260</v>
      </c>
      <c r="BG50" s="1">
        <f>IFERROR(VLOOKUP(AT50,'Top WS'!$A$19:$E$28,5),0)</f>
        <v>180</v>
      </c>
      <c r="BH50" s="1">
        <f>IFERROR(VLOOKUP(AU50,'Top WS'!$A$19:$E$28,5),0)</f>
        <v>180</v>
      </c>
      <c r="BI50" s="1">
        <f>IFERROR(VLOOKUP(AV50,'Top WS'!$A$19:$E$28,5),0)</f>
        <v>180</v>
      </c>
      <c r="BJ50" s="1">
        <f>IFERROR(VLOOKUP(AW50,'Top WS'!$A$19:$E$28,5),0)</f>
        <v>230</v>
      </c>
      <c r="BK50" s="89">
        <f>IFERROR(VLOOKUP(AX50,'Top WS'!$A$19:$E$28,5),0)</f>
        <v>180</v>
      </c>
      <c r="BL50" s="89">
        <f>IFERROR(VLOOKUP(AY50,'Top WS'!$A$19:$E$28,5),0)</f>
        <v>180</v>
      </c>
      <c r="BM50" s="89">
        <f>IFERROR(VLOOKUP(AZ50,'Top WS'!$A$19:$E$28,5),0)</f>
        <v>180</v>
      </c>
      <c r="BN50" s="89">
        <f>IFERROR(VLOOKUP(BA50,'Top WS'!$A$19:$E$28,5),0)</f>
        <v>180</v>
      </c>
      <c r="BO50" s="89">
        <f>IFERROR(VLOOKUP(BB50,'Top WS'!$A$19:$E$28,5),0)</f>
        <v>180</v>
      </c>
      <c r="BP50" s="89">
        <f>IFERROR(VLOOKUP(BC50,'Top WS'!$A$19:$E$28,5),0)</f>
        <v>180</v>
      </c>
    </row>
    <row r="51" spans="1:68" x14ac:dyDescent="0.4">
      <c r="A51">
        <v>1190044002</v>
      </c>
      <c r="B51">
        <f>VLOOKUP(A51,'Aji Plus'!$A$2:$D$58,2,0)</f>
        <v>62434</v>
      </c>
      <c r="C51" t="str">
        <f>VLOOKUP(A51,'Aji Plus'!$A$2:$D$58,3,0)</f>
        <v>นายธนาวัฒน์ กงลีมา</v>
      </c>
      <c r="D51" t="str">
        <f>VLOOKUP(A51,'Aji Plus'!$A$2:$D$58,4,0)</f>
        <v>S.Nakon</v>
      </c>
      <c r="E51" s="1">
        <v>126.34356164003817</v>
      </c>
      <c r="F51" s="1">
        <v>126.53254980498552</v>
      </c>
      <c r="G51" s="1">
        <v>124.22490484352365</v>
      </c>
      <c r="H51" s="1">
        <v>123.09097585383977</v>
      </c>
      <c r="I51" s="1">
        <v>130.41774860648127</v>
      </c>
      <c r="J51" s="1">
        <v>125.21957939587787</v>
      </c>
      <c r="K51" s="1">
        <v>125.20565395214491</v>
      </c>
      <c r="L51" s="1">
        <v>127.60281962331871</v>
      </c>
      <c r="M51" s="1">
        <v>127.99870009515568</v>
      </c>
      <c r="N51" s="1">
        <v>130.0795592586808</v>
      </c>
      <c r="O51" s="1">
        <v>120.66198059699063</v>
      </c>
      <c r="P51" s="1">
        <v>124.92515572838103</v>
      </c>
      <c r="R51" s="1">
        <f>VLOOKUP(A51,Actual_RDNS!$A$2:$H$62,3,0)</f>
        <v>43.02</v>
      </c>
      <c r="S51" s="1">
        <f>VLOOKUP(A51,Actual_RDNS!$A$2:$H$62,4,0)</f>
        <v>358.02</v>
      </c>
      <c r="T51" s="1">
        <f>VLOOKUP(A51,Actual_RDNS!$A$2:$H$62,5,0)</f>
        <v>42.300000000000004</v>
      </c>
      <c r="U51" s="1">
        <f>VLOOKUP(A51,Actual_RDNS!$A$2:$H$62,6,0)</f>
        <v>109.8</v>
      </c>
      <c r="V51" s="1">
        <f>VLOOKUP(A51,Actual_RDNS!$A$2:$H$62,7,0)</f>
        <v>37.799999999999997</v>
      </c>
      <c r="W51" s="1">
        <f>VLOOKUP(A51,Actual_RDNS!$A$2:$H$62,8,0)</f>
        <v>219.41999999999996</v>
      </c>
      <c r="X51" s="102"/>
      <c r="Y51" s="102"/>
      <c r="Z51" s="102"/>
      <c r="AA51" s="102"/>
      <c r="AB51" s="102"/>
      <c r="AC51" s="102"/>
      <c r="AE51" s="88">
        <f t="shared" si="4"/>
        <v>0.34050013662403356</v>
      </c>
      <c r="AF51" s="88">
        <f t="shared" si="4"/>
        <v>2.8294695756292554</v>
      </c>
      <c r="AG51" s="88">
        <f t="shared" si="4"/>
        <v>0.34051143008144774</v>
      </c>
      <c r="AH51" s="88">
        <f t="shared" si="4"/>
        <v>0.89202314985607323</v>
      </c>
      <c r="AI51" s="88">
        <f t="shared" si="4"/>
        <v>0.2898378510892457</v>
      </c>
      <c r="AJ51" s="88">
        <f t="shared" si="4"/>
        <v>1.752281880027007</v>
      </c>
      <c r="AK51" s="90">
        <f t="shared" si="4"/>
        <v>0</v>
      </c>
      <c r="AL51" s="90">
        <f t="shared" si="4"/>
        <v>0</v>
      </c>
      <c r="AM51" s="90">
        <f t="shared" si="4"/>
        <v>0</v>
      </c>
      <c r="AN51" s="90">
        <f t="shared" si="4"/>
        <v>0</v>
      </c>
      <c r="AO51" s="90">
        <f t="shared" si="4"/>
        <v>0</v>
      </c>
      <c r="AP51" s="90">
        <f t="shared" si="4"/>
        <v>0</v>
      </c>
      <c r="AQ51" s="88"/>
      <c r="AR51" s="90">
        <f t="shared" si="5"/>
        <v>0.34050000000000002</v>
      </c>
      <c r="AS51" s="90">
        <f t="shared" si="5"/>
        <v>2.8294999999999999</v>
      </c>
      <c r="AT51" s="90">
        <f t="shared" si="5"/>
        <v>0.34050000000000002</v>
      </c>
      <c r="AU51" s="90">
        <f t="shared" si="5"/>
        <v>0.89200000000000002</v>
      </c>
      <c r="AV51" s="90">
        <f t="shared" si="5"/>
        <v>0.2898</v>
      </c>
      <c r="AW51" s="90">
        <f t="shared" si="5"/>
        <v>1.7523</v>
      </c>
      <c r="AX51" s="90">
        <f t="shared" si="5"/>
        <v>0</v>
      </c>
      <c r="AY51" s="90">
        <f t="shared" si="5"/>
        <v>0</v>
      </c>
      <c r="AZ51" s="90">
        <f t="shared" si="5"/>
        <v>0</v>
      </c>
      <c r="BA51" s="90">
        <f t="shared" si="5"/>
        <v>0</v>
      </c>
      <c r="BB51" s="90">
        <f t="shared" si="5"/>
        <v>0</v>
      </c>
      <c r="BC51" s="90">
        <f t="shared" si="5"/>
        <v>0</v>
      </c>
      <c r="BD51" s="88"/>
      <c r="BE51" s="1">
        <f>IFERROR(VLOOKUP(AR51,'Top WS'!$A$19:$E$28,5),0)</f>
        <v>180</v>
      </c>
      <c r="BF51" s="1">
        <f>IFERROR(VLOOKUP(AS51,'Top WS'!$A$19:$E$28,5),0)</f>
        <v>260</v>
      </c>
      <c r="BG51" s="1">
        <f>IFERROR(VLOOKUP(AT51,'Top WS'!$A$19:$E$28,5),0)</f>
        <v>180</v>
      </c>
      <c r="BH51" s="1">
        <f>IFERROR(VLOOKUP(AU51,'Top WS'!$A$19:$E$28,5),0)</f>
        <v>180</v>
      </c>
      <c r="BI51" s="1">
        <f>IFERROR(VLOOKUP(AV51,'Top WS'!$A$19:$E$28,5),0)</f>
        <v>180</v>
      </c>
      <c r="BJ51" s="1">
        <f>IFERROR(VLOOKUP(AW51,'Top WS'!$A$19:$E$28,5),0)</f>
        <v>260</v>
      </c>
      <c r="BK51" s="89">
        <f>IFERROR(VLOOKUP(AX51,'Top WS'!$A$19:$E$28,5),0)</f>
        <v>180</v>
      </c>
      <c r="BL51" s="89">
        <f>IFERROR(VLOOKUP(AY51,'Top WS'!$A$19:$E$28,5),0)</f>
        <v>180</v>
      </c>
      <c r="BM51" s="89">
        <f>IFERROR(VLOOKUP(AZ51,'Top WS'!$A$19:$E$28,5),0)</f>
        <v>180</v>
      </c>
      <c r="BN51" s="89">
        <f>IFERROR(VLOOKUP(BA51,'Top WS'!$A$19:$E$28,5),0)</f>
        <v>180</v>
      </c>
      <c r="BO51" s="89">
        <f>IFERROR(VLOOKUP(BB51,'Top WS'!$A$19:$E$28,5),0)</f>
        <v>180</v>
      </c>
      <c r="BP51" s="89">
        <f>IFERROR(VLOOKUP(BC51,'Top WS'!$A$19:$E$28,5),0)</f>
        <v>180</v>
      </c>
    </row>
    <row r="52" spans="1:68" x14ac:dyDescent="0.4">
      <c r="A52">
        <v>1190044101</v>
      </c>
      <c r="B52">
        <f>VLOOKUP(A52,'Aji Plus'!$A$2:$D$58,2,0)</f>
        <v>61187</v>
      </c>
      <c r="C52" t="str">
        <f>VLOOKUP(A52,'Aji Plus'!$A$2:$D$58,3,0)</f>
        <v>นายสามารถ กิจกรองกาญ</v>
      </c>
      <c r="D52" t="str">
        <f>VLOOKUP(A52,'Aji Plus'!$A$2:$D$58,4,0)</f>
        <v>Chumphae</v>
      </c>
      <c r="E52" s="1">
        <v>1119</v>
      </c>
      <c r="F52" s="1">
        <v>1121</v>
      </c>
      <c r="G52" s="1">
        <v>1100</v>
      </c>
      <c r="H52" s="1">
        <v>1090</v>
      </c>
      <c r="I52" s="1">
        <v>1155</v>
      </c>
      <c r="J52" s="1">
        <v>1109</v>
      </c>
      <c r="K52" s="1">
        <v>1109</v>
      </c>
      <c r="L52" s="1">
        <v>1130</v>
      </c>
      <c r="M52" s="1">
        <v>1134</v>
      </c>
      <c r="N52" s="1">
        <v>1152</v>
      </c>
      <c r="O52" s="1">
        <v>1075</v>
      </c>
      <c r="P52" s="1">
        <v>1106</v>
      </c>
      <c r="R52" s="1">
        <f>VLOOKUP(A52,Actual_RDNS!$A$2:$H$62,3,0)</f>
        <v>871.92</v>
      </c>
      <c r="S52" s="1">
        <f>VLOOKUP(A52,Actual_RDNS!$A$2:$H$62,4,0)</f>
        <v>2148.48</v>
      </c>
      <c r="T52" s="1">
        <f>VLOOKUP(A52,Actual_RDNS!$A$2:$H$62,5,0)</f>
        <v>196.55999999999997</v>
      </c>
      <c r="U52" s="1">
        <f>VLOOKUP(A52,Actual_RDNS!$A$2:$H$62,6,0)</f>
        <v>59.400000000000006</v>
      </c>
      <c r="V52" s="1">
        <f>VLOOKUP(A52,Actual_RDNS!$A$2:$H$62,7,0)</f>
        <v>442.97999999999996</v>
      </c>
      <c r="W52" s="1">
        <f>VLOOKUP(A52,Actual_RDNS!$A$2:$H$62,8,0)</f>
        <v>836.64</v>
      </c>
      <c r="X52" s="102"/>
      <c r="Y52" s="102"/>
      <c r="Z52" s="102"/>
      <c r="AA52" s="102"/>
      <c r="AB52" s="102"/>
      <c r="AC52" s="102"/>
      <c r="AE52" s="88">
        <f t="shared" si="4"/>
        <v>0.77919571045576408</v>
      </c>
      <c r="AF52" s="88">
        <f t="shared" si="4"/>
        <v>1.9165744870651205</v>
      </c>
      <c r="AG52" s="88">
        <f t="shared" si="4"/>
        <v>0.17869090909090907</v>
      </c>
      <c r="AH52" s="88">
        <f t="shared" si="4"/>
        <v>5.4495412844036702E-2</v>
      </c>
      <c r="AI52" s="88">
        <f t="shared" si="4"/>
        <v>0.3835324675324675</v>
      </c>
      <c r="AJ52" s="88">
        <f t="shared" si="4"/>
        <v>0.75440937781785389</v>
      </c>
      <c r="AK52" s="90">
        <f t="shared" si="4"/>
        <v>0</v>
      </c>
      <c r="AL52" s="90">
        <f t="shared" si="4"/>
        <v>0</v>
      </c>
      <c r="AM52" s="90">
        <f t="shared" si="4"/>
        <v>0</v>
      </c>
      <c r="AN52" s="90">
        <f t="shared" si="4"/>
        <v>0</v>
      </c>
      <c r="AO52" s="90">
        <f t="shared" si="4"/>
        <v>0</v>
      </c>
      <c r="AP52" s="90">
        <f t="shared" si="4"/>
        <v>0</v>
      </c>
      <c r="AQ52" s="88"/>
      <c r="AR52" s="90">
        <f t="shared" si="5"/>
        <v>0.7792</v>
      </c>
      <c r="AS52" s="90">
        <f t="shared" si="5"/>
        <v>1.9166000000000001</v>
      </c>
      <c r="AT52" s="90">
        <f t="shared" si="5"/>
        <v>0.1787</v>
      </c>
      <c r="AU52" s="90">
        <f t="shared" si="5"/>
        <v>5.45E-2</v>
      </c>
      <c r="AV52" s="90">
        <f t="shared" si="5"/>
        <v>0.38350000000000001</v>
      </c>
      <c r="AW52" s="90">
        <f t="shared" si="5"/>
        <v>0.75439999999999996</v>
      </c>
      <c r="AX52" s="90">
        <f t="shared" si="5"/>
        <v>0</v>
      </c>
      <c r="AY52" s="90">
        <f t="shared" si="5"/>
        <v>0</v>
      </c>
      <c r="AZ52" s="90">
        <f t="shared" si="5"/>
        <v>0</v>
      </c>
      <c r="BA52" s="90">
        <f t="shared" si="5"/>
        <v>0</v>
      </c>
      <c r="BB52" s="90">
        <f t="shared" si="5"/>
        <v>0</v>
      </c>
      <c r="BC52" s="90">
        <f t="shared" si="5"/>
        <v>0</v>
      </c>
      <c r="BD52" s="88"/>
      <c r="BE52" s="1">
        <f>IFERROR(VLOOKUP(AR52,'Top WS'!$A$19:$E$28,5),0)</f>
        <v>180</v>
      </c>
      <c r="BF52" s="1">
        <f>IFERROR(VLOOKUP(AS52,'Top WS'!$A$19:$E$28,5),0)</f>
        <v>260</v>
      </c>
      <c r="BG52" s="1">
        <f>IFERROR(VLOOKUP(AT52,'Top WS'!$A$19:$E$28,5),0)</f>
        <v>180</v>
      </c>
      <c r="BH52" s="1">
        <f>IFERROR(VLOOKUP(AU52,'Top WS'!$A$19:$E$28,5),0)</f>
        <v>180</v>
      </c>
      <c r="BI52" s="1">
        <f>IFERROR(VLOOKUP(AV52,'Top WS'!$A$19:$E$28,5),0)</f>
        <v>180</v>
      </c>
      <c r="BJ52" s="1">
        <f>IFERROR(VLOOKUP(AW52,'Top WS'!$A$19:$E$28,5),0)</f>
        <v>180</v>
      </c>
      <c r="BK52" s="89">
        <f>IFERROR(VLOOKUP(AX52,'Top WS'!$A$19:$E$28,5),0)</f>
        <v>180</v>
      </c>
      <c r="BL52" s="89">
        <f>IFERROR(VLOOKUP(AY52,'Top WS'!$A$19:$E$28,5),0)</f>
        <v>180</v>
      </c>
      <c r="BM52" s="89">
        <f>IFERROR(VLOOKUP(AZ52,'Top WS'!$A$19:$E$28,5),0)</f>
        <v>180</v>
      </c>
      <c r="BN52" s="89">
        <f>IFERROR(VLOOKUP(BA52,'Top WS'!$A$19:$E$28,5),0)</f>
        <v>180</v>
      </c>
      <c r="BO52" s="89">
        <f>IFERROR(VLOOKUP(BB52,'Top WS'!$A$19:$E$28,5),0)</f>
        <v>180</v>
      </c>
      <c r="BP52" s="89">
        <f>IFERROR(VLOOKUP(BC52,'Top WS'!$A$19:$E$28,5),0)</f>
        <v>180</v>
      </c>
    </row>
    <row r="53" spans="1:68" x14ac:dyDescent="0.4">
      <c r="A53">
        <v>1190054201</v>
      </c>
      <c r="B53">
        <f>VLOOKUP(A53,'Aji Plus'!$A$2:$D$58,2,0)</f>
        <v>75411</v>
      </c>
      <c r="C53" t="str">
        <f>VLOOKUP(A53,'Aji Plus'!$A$2:$D$58,3,0)</f>
        <v>นายจักรภัทร เซ่งสวัสดิ์</v>
      </c>
      <c r="D53" t="str">
        <f>VLOOKUP(A53,'Aji Plus'!$A$2:$D$58,4,0)</f>
        <v>Hat-yai</v>
      </c>
      <c r="E53" s="1">
        <v>359.88380106066313</v>
      </c>
      <c r="F53" s="1">
        <v>372.19304160061859</v>
      </c>
      <c r="G53" s="1">
        <v>395.06731177962911</v>
      </c>
      <c r="H53" s="1">
        <v>385.97735407338763</v>
      </c>
      <c r="I53" s="1">
        <v>434.3018615725116</v>
      </c>
      <c r="J53" s="1">
        <v>326.74422664285061</v>
      </c>
      <c r="K53" s="1">
        <v>372.07291345589931</v>
      </c>
      <c r="L53" s="1">
        <v>364.97123610262815</v>
      </c>
      <c r="M53" s="1">
        <v>318.251934852479</v>
      </c>
      <c r="N53" s="1">
        <v>421.45318021699762</v>
      </c>
      <c r="O53" s="1">
        <v>353.61501578327159</v>
      </c>
      <c r="P53" s="1">
        <v>329.4681228590585</v>
      </c>
      <c r="R53" s="1">
        <f>VLOOKUP(A53,Actual_RDNS!$A$2:$H$62,3,0)</f>
        <v>185.39999999999998</v>
      </c>
      <c r="S53" s="1">
        <f>VLOOKUP(A53,Actual_RDNS!$A$2:$H$62,4,0)</f>
        <v>1238.04</v>
      </c>
      <c r="T53" s="1">
        <f>VLOOKUP(A53,Actual_RDNS!$A$2:$H$62,5,0)</f>
        <v>216.59999999999997</v>
      </c>
      <c r="U53" s="1">
        <f>VLOOKUP(A53,Actual_RDNS!$A$2:$H$62,6,0)</f>
        <v>101.9</v>
      </c>
      <c r="V53" s="1">
        <f>VLOOKUP(A53,Actual_RDNS!$A$2:$H$62,7,0)</f>
        <v>55.2</v>
      </c>
      <c r="W53" s="1">
        <f>VLOOKUP(A53,Actual_RDNS!$A$2:$H$62,8,0)</f>
        <v>164.9</v>
      </c>
      <c r="X53" s="102"/>
      <c r="Y53" s="102"/>
      <c r="Z53" s="102"/>
      <c r="AA53" s="102"/>
      <c r="AB53" s="102"/>
      <c r="AC53" s="102"/>
      <c r="AE53" s="88">
        <f t="shared" si="4"/>
        <v>0.51516628271009168</v>
      </c>
      <c r="AF53" s="88">
        <f t="shared" si="4"/>
        <v>3.3263383825656732</v>
      </c>
      <c r="AG53" s="88">
        <f t="shared" si="4"/>
        <v>0.54826100145896339</v>
      </c>
      <c r="AH53" s="88">
        <f t="shared" si="4"/>
        <v>0.26400512601219939</v>
      </c>
      <c r="AI53" s="88">
        <f t="shared" si="4"/>
        <v>0.12710053740072155</v>
      </c>
      <c r="AJ53" s="88">
        <f t="shared" si="4"/>
        <v>0.5046760938801369</v>
      </c>
      <c r="AK53" s="90">
        <f t="shared" si="4"/>
        <v>0</v>
      </c>
      <c r="AL53" s="90">
        <f t="shared" si="4"/>
        <v>0</v>
      </c>
      <c r="AM53" s="90">
        <f t="shared" si="4"/>
        <v>0</v>
      </c>
      <c r="AN53" s="90">
        <f t="shared" si="4"/>
        <v>0</v>
      </c>
      <c r="AO53" s="90">
        <f t="shared" si="4"/>
        <v>0</v>
      </c>
      <c r="AP53" s="90">
        <f t="shared" si="4"/>
        <v>0</v>
      </c>
      <c r="AQ53" s="88"/>
      <c r="AR53" s="90">
        <f t="shared" si="5"/>
        <v>0.51519999999999999</v>
      </c>
      <c r="AS53" s="90">
        <f t="shared" si="5"/>
        <v>3.3262999999999998</v>
      </c>
      <c r="AT53" s="90">
        <f t="shared" si="5"/>
        <v>0.54830000000000001</v>
      </c>
      <c r="AU53" s="90">
        <f t="shared" si="5"/>
        <v>0.26400000000000001</v>
      </c>
      <c r="AV53" s="90">
        <f t="shared" si="5"/>
        <v>0.12709999999999999</v>
      </c>
      <c r="AW53" s="90">
        <f t="shared" si="5"/>
        <v>0.50470000000000004</v>
      </c>
      <c r="AX53" s="90">
        <f t="shared" si="5"/>
        <v>0</v>
      </c>
      <c r="AY53" s="90">
        <f t="shared" si="5"/>
        <v>0</v>
      </c>
      <c r="AZ53" s="90">
        <f t="shared" si="5"/>
        <v>0</v>
      </c>
      <c r="BA53" s="90">
        <f t="shared" si="5"/>
        <v>0</v>
      </c>
      <c r="BB53" s="90">
        <f t="shared" si="5"/>
        <v>0</v>
      </c>
      <c r="BC53" s="90">
        <f t="shared" si="5"/>
        <v>0</v>
      </c>
      <c r="BD53" s="88"/>
      <c r="BE53" s="1">
        <f>IFERROR(VLOOKUP(AR53,'Top WS'!$A$19:$E$28,5),0)</f>
        <v>180</v>
      </c>
      <c r="BF53" s="1">
        <f>IFERROR(VLOOKUP(AS53,'Top WS'!$A$19:$E$28,5),0)</f>
        <v>260</v>
      </c>
      <c r="BG53" s="1">
        <f>IFERROR(VLOOKUP(AT53,'Top WS'!$A$19:$E$28,5),0)</f>
        <v>180</v>
      </c>
      <c r="BH53" s="1">
        <f>IFERROR(VLOOKUP(AU53,'Top WS'!$A$19:$E$28,5),0)</f>
        <v>180</v>
      </c>
      <c r="BI53" s="1">
        <f>IFERROR(VLOOKUP(AV53,'Top WS'!$A$19:$E$28,5),0)</f>
        <v>180</v>
      </c>
      <c r="BJ53" s="1">
        <f>IFERROR(VLOOKUP(AW53,'Top WS'!$A$19:$E$28,5),0)</f>
        <v>180</v>
      </c>
      <c r="BK53" s="89">
        <f>IFERROR(VLOOKUP(AX53,'Top WS'!$A$19:$E$28,5),0)</f>
        <v>180</v>
      </c>
      <c r="BL53" s="89">
        <f>IFERROR(VLOOKUP(AY53,'Top WS'!$A$19:$E$28,5),0)</f>
        <v>180</v>
      </c>
      <c r="BM53" s="89">
        <f>IFERROR(VLOOKUP(AZ53,'Top WS'!$A$19:$E$28,5),0)</f>
        <v>180</v>
      </c>
      <c r="BN53" s="89">
        <f>IFERROR(VLOOKUP(BA53,'Top WS'!$A$19:$E$28,5),0)</f>
        <v>180</v>
      </c>
      <c r="BO53" s="89">
        <f>IFERROR(VLOOKUP(BB53,'Top WS'!$A$19:$E$28,5),0)</f>
        <v>180</v>
      </c>
      <c r="BP53" s="89">
        <f>IFERROR(VLOOKUP(BC53,'Top WS'!$A$19:$E$28,5),0)</f>
        <v>180</v>
      </c>
    </row>
    <row r="54" spans="1:68" x14ac:dyDescent="0.4">
      <c r="A54">
        <v>1190054202</v>
      </c>
      <c r="B54">
        <f>VLOOKUP(A54,'Aji Plus'!$A$2:$D$58,2,0)</f>
        <v>65181</v>
      </c>
      <c r="C54" t="str">
        <f>VLOOKUP(A54,'Aji Plus'!$A$2:$D$58,3,0)</f>
        <v>นายอวิรุทธ์ บัวหลวง</v>
      </c>
      <c r="D54" t="str">
        <f>VLOOKUP(A54,'Aji Plus'!$A$2:$D$58,4,0)</f>
        <v>Hat-yai</v>
      </c>
      <c r="E54" s="1">
        <v>204.2101135472775</v>
      </c>
      <c r="F54" s="1">
        <v>211.19478860332802</v>
      </c>
      <c r="G54" s="1">
        <v>224.17441507387164</v>
      </c>
      <c r="H54" s="1">
        <v>219.01646884272512</v>
      </c>
      <c r="I54" s="1">
        <v>246.4374117538203</v>
      </c>
      <c r="J54" s="1">
        <v>185.40560988574924</v>
      </c>
      <c r="K54" s="1">
        <v>211.12662387348729</v>
      </c>
      <c r="L54" s="1">
        <v>207.09689445967803</v>
      </c>
      <c r="M54" s="1">
        <v>180.58679929833946</v>
      </c>
      <c r="N54" s="1">
        <v>239.14663992466529</v>
      </c>
      <c r="O54" s="1">
        <v>200.65299497309681</v>
      </c>
      <c r="P54" s="1">
        <v>186.95123976395831</v>
      </c>
      <c r="R54" s="1">
        <f>VLOOKUP(A54,Actual_RDNS!$A$2:$H$62,3,0)</f>
        <v>231.68</v>
      </c>
      <c r="S54" s="1">
        <f>VLOOKUP(A54,Actual_RDNS!$A$2:$H$62,4,0)</f>
        <v>835.57999999999993</v>
      </c>
      <c r="T54" s="1">
        <f>VLOOKUP(A54,Actual_RDNS!$A$2:$H$62,5,0)</f>
        <v>12.6</v>
      </c>
      <c r="U54" s="1">
        <f>VLOOKUP(A54,Actual_RDNS!$A$2:$H$62,6,0)</f>
        <v>140.92000000000002</v>
      </c>
      <c r="V54" s="1">
        <f>VLOOKUP(A54,Actual_RDNS!$A$2:$H$62,7,0)</f>
        <v>32.260000000000005</v>
      </c>
      <c r="W54" s="1">
        <f>VLOOKUP(A54,Actual_RDNS!$A$2:$H$62,8,0)</f>
        <v>511.85999999999996</v>
      </c>
      <c r="X54" s="102"/>
      <c r="Y54" s="102"/>
      <c r="Z54" s="102"/>
      <c r="AA54" s="102"/>
      <c r="AB54" s="102"/>
      <c r="AC54" s="102"/>
      <c r="AE54" s="88">
        <f t="shared" si="4"/>
        <v>1.1345177571059077</v>
      </c>
      <c r="AF54" s="88">
        <f t="shared" si="4"/>
        <v>3.9564423228709953</v>
      </c>
      <c r="AG54" s="88">
        <f t="shared" si="4"/>
        <v>5.6206235648470201E-2</v>
      </c>
      <c r="AH54" s="88">
        <f t="shared" si="4"/>
        <v>0.6434219341797266</v>
      </c>
      <c r="AI54" s="88">
        <f t="shared" si="4"/>
        <v>0.13090544885378957</v>
      </c>
      <c r="AJ54" s="88">
        <f t="shared" si="4"/>
        <v>2.7607578881535386</v>
      </c>
      <c r="AK54" s="90">
        <f t="shared" si="4"/>
        <v>0</v>
      </c>
      <c r="AL54" s="90">
        <f t="shared" si="4"/>
        <v>0</v>
      </c>
      <c r="AM54" s="90">
        <f t="shared" si="4"/>
        <v>0</v>
      </c>
      <c r="AN54" s="90">
        <f t="shared" si="4"/>
        <v>0</v>
      </c>
      <c r="AO54" s="90">
        <f t="shared" si="4"/>
        <v>0</v>
      </c>
      <c r="AP54" s="90">
        <f t="shared" si="4"/>
        <v>0</v>
      </c>
      <c r="AQ54" s="88"/>
      <c r="AR54" s="90">
        <f t="shared" si="5"/>
        <v>1.1345000000000001</v>
      </c>
      <c r="AS54" s="90">
        <f t="shared" si="5"/>
        <v>3.9563999999999999</v>
      </c>
      <c r="AT54" s="90">
        <f t="shared" si="5"/>
        <v>5.62E-2</v>
      </c>
      <c r="AU54" s="90">
        <f t="shared" si="5"/>
        <v>0.64339999999999997</v>
      </c>
      <c r="AV54" s="90">
        <f t="shared" si="5"/>
        <v>0.13089999999999999</v>
      </c>
      <c r="AW54" s="90">
        <f t="shared" si="5"/>
        <v>2.7608000000000001</v>
      </c>
      <c r="AX54" s="90">
        <f t="shared" si="5"/>
        <v>0</v>
      </c>
      <c r="AY54" s="90">
        <f t="shared" si="5"/>
        <v>0</v>
      </c>
      <c r="AZ54" s="90">
        <f t="shared" si="5"/>
        <v>0</v>
      </c>
      <c r="BA54" s="90">
        <f t="shared" si="5"/>
        <v>0</v>
      </c>
      <c r="BB54" s="90">
        <f t="shared" si="5"/>
        <v>0</v>
      </c>
      <c r="BC54" s="90">
        <f t="shared" si="5"/>
        <v>0</v>
      </c>
      <c r="BD54" s="88"/>
      <c r="BE54" s="1">
        <f>IFERROR(VLOOKUP(AR54,'Top WS'!$A$19:$E$28,5),0)</f>
        <v>230</v>
      </c>
      <c r="BF54" s="1">
        <f>IFERROR(VLOOKUP(AS54,'Top WS'!$A$19:$E$28,5),0)</f>
        <v>260</v>
      </c>
      <c r="BG54" s="1">
        <f>IFERROR(VLOOKUP(AT54,'Top WS'!$A$19:$E$28,5),0)</f>
        <v>180</v>
      </c>
      <c r="BH54" s="1">
        <f>IFERROR(VLOOKUP(AU54,'Top WS'!$A$19:$E$28,5),0)</f>
        <v>180</v>
      </c>
      <c r="BI54" s="1">
        <f>IFERROR(VLOOKUP(AV54,'Top WS'!$A$19:$E$28,5),0)</f>
        <v>180</v>
      </c>
      <c r="BJ54" s="1">
        <f>IFERROR(VLOOKUP(AW54,'Top WS'!$A$19:$E$28,5),0)</f>
        <v>260</v>
      </c>
      <c r="BK54" s="89">
        <f>IFERROR(VLOOKUP(AX54,'Top WS'!$A$19:$E$28,5),0)</f>
        <v>180</v>
      </c>
      <c r="BL54" s="89">
        <f>IFERROR(VLOOKUP(AY54,'Top WS'!$A$19:$E$28,5),0)</f>
        <v>180</v>
      </c>
      <c r="BM54" s="89">
        <f>IFERROR(VLOOKUP(AZ54,'Top WS'!$A$19:$E$28,5),0)</f>
        <v>180</v>
      </c>
      <c r="BN54" s="89">
        <f>IFERROR(VLOOKUP(BA54,'Top WS'!$A$19:$E$28,5),0)</f>
        <v>180</v>
      </c>
      <c r="BO54" s="89">
        <f>IFERROR(VLOOKUP(BB54,'Top WS'!$A$19:$E$28,5),0)</f>
        <v>180</v>
      </c>
      <c r="BP54" s="89">
        <f>IFERROR(VLOOKUP(BC54,'Top WS'!$A$19:$E$28,5),0)</f>
        <v>180</v>
      </c>
    </row>
    <row r="55" spans="1:68" x14ac:dyDescent="0.4">
      <c r="A55">
        <v>1190054301</v>
      </c>
      <c r="B55">
        <f>VLOOKUP(A55,'Aji Plus'!$A$2:$D$58,2,0)</f>
        <v>61802</v>
      </c>
      <c r="C55" t="str">
        <f>VLOOKUP(A55,'Aji Plus'!$A$2:$D$58,3,0)</f>
        <v>นายภาคภูมิ รักท้วม</v>
      </c>
      <c r="D55" t="str">
        <f>VLOOKUP(A55,'Aji Plus'!$A$2:$D$58,4,0)</f>
        <v>Suratthani</v>
      </c>
      <c r="E55" s="1">
        <v>70</v>
      </c>
      <c r="F55" s="1">
        <v>70</v>
      </c>
      <c r="G55" s="1">
        <v>60</v>
      </c>
      <c r="H55" s="1">
        <v>70</v>
      </c>
      <c r="I55" s="1">
        <v>70</v>
      </c>
      <c r="J55" s="1">
        <v>60</v>
      </c>
      <c r="K55" s="1">
        <v>70</v>
      </c>
      <c r="L55" s="1">
        <v>70</v>
      </c>
      <c r="M55" s="1">
        <v>60</v>
      </c>
      <c r="N55" s="1">
        <v>70</v>
      </c>
      <c r="O55" s="1">
        <v>60</v>
      </c>
      <c r="P55" s="1">
        <v>60</v>
      </c>
      <c r="R55" s="1">
        <f>VLOOKUP(A55,Actual_RDNS!$A$2:$H$62,3,0)</f>
        <v>155.69999999999999</v>
      </c>
      <c r="S55" s="1">
        <f>VLOOKUP(A55,Actual_RDNS!$A$2:$H$62,4,0)</f>
        <v>501.12</v>
      </c>
      <c r="T55" s="1">
        <f>VLOOKUP(A55,Actual_RDNS!$A$2:$H$62,5,0)</f>
        <v>155.69999999999999</v>
      </c>
      <c r="U55" s="1">
        <f>VLOOKUP(A55,Actual_RDNS!$A$2:$H$62,6,0)</f>
        <v>103.03999999999999</v>
      </c>
      <c r="V55" s="1">
        <f>VLOOKUP(A55,Actual_RDNS!$A$2:$H$62,7,0)</f>
        <v>74.88</v>
      </c>
      <c r="W55" s="1">
        <f>VLOOKUP(A55,Actual_RDNS!$A$2:$H$62,8,0)</f>
        <v>104.58</v>
      </c>
      <c r="X55" s="102"/>
      <c r="Y55" s="102"/>
      <c r="Z55" s="102"/>
      <c r="AA55" s="102"/>
      <c r="AB55" s="102"/>
      <c r="AC55" s="102"/>
      <c r="AE55" s="88">
        <f t="shared" si="4"/>
        <v>2.2242857142857142</v>
      </c>
      <c r="AF55" s="88">
        <f t="shared" si="4"/>
        <v>7.1588571428571433</v>
      </c>
      <c r="AG55" s="88">
        <f t="shared" si="4"/>
        <v>2.5949999999999998</v>
      </c>
      <c r="AH55" s="88">
        <f t="shared" si="4"/>
        <v>1.472</v>
      </c>
      <c r="AI55" s="88">
        <f t="shared" si="4"/>
        <v>1.0697142857142856</v>
      </c>
      <c r="AJ55" s="88">
        <f t="shared" si="4"/>
        <v>1.7429999999999999</v>
      </c>
      <c r="AK55" s="90">
        <f t="shared" si="4"/>
        <v>0</v>
      </c>
      <c r="AL55" s="90">
        <f t="shared" si="4"/>
        <v>0</v>
      </c>
      <c r="AM55" s="90">
        <f t="shared" si="4"/>
        <v>0</v>
      </c>
      <c r="AN55" s="90">
        <f t="shared" si="4"/>
        <v>0</v>
      </c>
      <c r="AO55" s="90">
        <f t="shared" si="4"/>
        <v>0</v>
      </c>
      <c r="AP55" s="90">
        <f t="shared" si="4"/>
        <v>0</v>
      </c>
      <c r="AQ55" s="88"/>
      <c r="AR55" s="90">
        <f t="shared" si="5"/>
        <v>2.2242999999999999</v>
      </c>
      <c r="AS55" s="90">
        <f t="shared" si="5"/>
        <v>7.1589</v>
      </c>
      <c r="AT55" s="90">
        <f t="shared" si="5"/>
        <v>2.5950000000000002</v>
      </c>
      <c r="AU55" s="90">
        <f t="shared" si="5"/>
        <v>1.472</v>
      </c>
      <c r="AV55" s="90">
        <f t="shared" si="5"/>
        <v>1.0697000000000001</v>
      </c>
      <c r="AW55" s="90">
        <f t="shared" si="5"/>
        <v>1.7430000000000001</v>
      </c>
      <c r="AX55" s="90">
        <f t="shared" si="5"/>
        <v>0</v>
      </c>
      <c r="AY55" s="90">
        <f t="shared" si="5"/>
        <v>0</v>
      </c>
      <c r="AZ55" s="90">
        <f t="shared" si="5"/>
        <v>0</v>
      </c>
      <c r="BA55" s="90">
        <f t="shared" si="5"/>
        <v>0</v>
      </c>
      <c r="BB55" s="90">
        <f t="shared" si="5"/>
        <v>0</v>
      </c>
      <c r="BC55" s="90">
        <f t="shared" si="5"/>
        <v>0</v>
      </c>
      <c r="BD55" s="88"/>
      <c r="BE55" s="1">
        <f>IFERROR(VLOOKUP(AR55,'Top WS'!$A$19:$E$28,5),0)</f>
        <v>260</v>
      </c>
      <c r="BF55" s="1">
        <f>IFERROR(VLOOKUP(AS55,'Top WS'!$A$19:$E$28,5),0)</f>
        <v>260</v>
      </c>
      <c r="BG55" s="1">
        <f>IFERROR(VLOOKUP(AT55,'Top WS'!$A$19:$E$28,5),0)</f>
        <v>260</v>
      </c>
      <c r="BH55" s="1">
        <f>IFERROR(VLOOKUP(AU55,'Top WS'!$A$19:$E$28,5),0)</f>
        <v>260</v>
      </c>
      <c r="BI55" s="1">
        <f>IFERROR(VLOOKUP(AV55,'Top WS'!$A$19:$E$28,5),0)</f>
        <v>220</v>
      </c>
      <c r="BJ55" s="1">
        <f>IFERROR(VLOOKUP(AW55,'Top WS'!$A$19:$E$28,5),0)</f>
        <v>260</v>
      </c>
      <c r="BK55" s="89">
        <f>IFERROR(VLOOKUP(AX55,'Top WS'!$A$19:$E$28,5),0)</f>
        <v>180</v>
      </c>
      <c r="BL55" s="89">
        <f>IFERROR(VLOOKUP(AY55,'Top WS'!$A$19:$E$28,5),0)</f>
        <v>180</v>
      </c>
      <c r="BM55" s="89">
        <f>IFERROR(VLOOKUP(AZ55,'Top WS'!$A$19:$E$28,5),0)</f>
        <v>180</v>
      </c>
      <c r="BN55" s="89">
        <f>IFERROR(VLOOKUP(BA55,'Top WS'!$A$19:$E$28,5),0)</f>
        <v>180</v>
      </c>
      <c r="BO55" s="89">
        <f>IFERROR(VLOOKUP(BB55,'Top WS'!$A$19:$E$28,5),0)</f>
        <v>180</v>
      </c>
      <c r="BP55" s="89">
        <f>IFERROR(VLOOKUP(BC55,'Top WS'!$A$19:$E$28,5),0)</f>
        <v>180</v>
      </c>
    </row>
    <row r="56" spans="1:68" x14ac:dyDescent="0.4">
      <c r="A56">
        <v>1190054401</v>
      </c>
      <c r="B56">
        <f>VLOOKUP(A56,'Aji Plus'!$A$2:$D$58,2,0)</f>
        <v>75194</v>
      </c>
      <c r="C56" t="str">
        <f>VLOOKUP(A56,'Aji Plus'!$A$2:$D$58,3,0)</f>
        <v>นายพรชัย แซ่อือ</v>
      </c>
      <c r="D56" t="str">
        <f>VLOOKUP(A56,'Aji Plus'!$A$2:$D$58,4,0)</f>
        <v>N.Thamarat</v>
      </c>
      <c r="E56" s="1">
        <v>80</v>
      </c>
      <c r="F56" s="1">
        <v>100</v>
      </c>
      <c r="G56" s="1">
        <v>80</v>
      </c>
      <c r="H56" s="1">
        <v>100</v>
      </c>
      <c r="I56" s="1">
        <v>80</v>
      </c>
      <c r="J56" s="1">
        <v>115</v>
      </c>
      <c r="K56" s="1">
        <v>100</v>
      </c>
      <c r="L56" s="1">
        <v>100</v>
      </c>
      <c r="M56" s="1">
        <v>80</v>
      </c>
      <c r="N56" s="1">
        <v>80</v>
      </c>
      <c r="O56" s="1">
        <v>100</v>
      </c>
      <c r="P56" s="1">
        <v>70</v>
      </c>
      <c r="R56" s="1">
        <f>VLOOKUP(A56,Actual_RDNS!$A$2:$H$62,3,0)</f>
        <v>159.47999999999999</v>
      </c>
      <c r="S56" s="1">
        <f>VLOOKUP(A56,Actual_RDNS!$A$2:$H$62,4,0)</f>
        <v>2170.9800000000009</v>
      </c>
      <c r="T56" s="1">
        <f>VLOOKUP(A56,Actual_RDNS!$A$2:$H$62,5,0)</f>
        <v>122.39999999999999</v>
      </c>
      <c r="U56" s="1">
        <f>VLOOKUP(A56,Actual_RDNS!$A$2:$H$62,6,0)</f>
        <v>62.999999999999993</v>
      </c>
      <c r="V56" s="1">
        <f>VLOOKUP(A56,Actual_RDNS!$A$2:$H$62,7,0)</f>
        <v>203.22</v>
      </c>
      <c r="W56" s="1">
        <f>VLOOKUP(A56,Actual_RDNS!$A$2:$H$62,8,0)</f>
        <v>228.41999999999996</v>
      </c>
      <c r="X56" s="102"/>
      <c r="Y56" s="102"/>
      <c r="Z56" s="102"/>
      <c r="AA56" s="102"/>
      <c r="AB56" s="102"/>
      <c r="AC56" s="102"/>
      <c r="AE56" s="88">
        <f t="shared" si="4"/>
        <v>1.9934999999999998</v>
      </c>
      <c r="AF56" s="88">
        <f t="shared" si="4"/>
        <v>21.709800000000008</v>
      </c>
      <c r="AG56" s="88">
        <f t="shared" si="4"/>
        <v>1.5299999999999998</v>
      </c>
      <c r="AH56" s="88">
        <f t="shared" si="4"/>
        <v>0.62999999999999989</v>
      </c>
      <c r="AI56" s="88">
        <f t="shared" si="4"/>
        <v>2.5402499999999999</v>
      </c>
      <c r="AJ56" s="88">
        <f t="shared" si="4"/>
        <v>1.9862608695652171</v>
      </c>
      <c r="AK56" s="90">
        <f t="shared" si="4"/>
        <v>0</v>
      </c>
      <c r="AL56" s="90">
        <f t="shared" si="4"/>
        <v>0</v>
      </c>
      <c r="AM56" s="90">
        <f t="shared" si="4"/>
        <v>0</v>
      </c>
      <c r="AN56" s="90">
        <f t="shared" si="4"/>
        <v>0</v>
      </c>
      <c r="AO56" s="90">
        <f t="shared" si="4"/>
        <v>0</v>
      </c>
      <c r="AP56" s="90">
        <f t="shared" si="4"/>
        <v>0</v>
      </c>
      <c r="AQ56" s="88"/>
      <c r="AR56" s="90">
        <f t="shared" si="5"/>
        <v>1.9935</v>
      </c>
      <c r="AS56" s="90">
        <f t="shared" si="5"/>
        <v>21.709800000000001</v>
      </c>
      <c r="AT56" s="90">
        <f t="shared" si="5"/>
        <v>1.53</v>
      </c>
      <c r="AU56" s="90">
        <f t="shared" si="5"/>
        <v>0.63</v>
      </c>
      <c r="AV56" s="90">
        <f t="shared" si="5"/>
        <v>2.5402999999999998</v>
      </c>
      <c r="AW56" s="90">
        <f t="shared" si="5"/>
        <v>1.9863</v>
      </c>
      <c r="AX56" s="90">
        <f t="shared" si="5"/>
        <v>0</v>
      </c>
      <c r="AY56" s="90">
        <f t="shared" si="5"/>
        <v>0</v>
      </c>
      <c r="AZ56" s="90">
        <f t="shared" si="5"/>
        <v>0</v>
      </c>
      <c r="BA56" s="90">
        <f t="shared" si="5"/>
        <v>0</v>
      </c>
      <c r="BB56" s="90">
        <f t="shared" si="5"/>
        <v>0</v>
      </c>
      <c r="BC56" s="90">
        <f t="shared" si="5"/>
        <v>0</v>
      </c>
      <c r="BD56" s="88"/>
      <c r="BE56" s="1">
        <f>IFERROR(VLOOKUP(AR56,'Top WS'!$A$19:$E$28,5),0)</f>
        <v>260</v>
      </c>
      <c r="BF56" s="1">
        <f>IFERROR(VLOOKUP(AS56,'Top WS'!$A$19:$E$28,5),0)</f>
        <v>260</v>
      </c>
      <c r="BG56" s="1">
        <f>IFERROR(VLOOKUP(AT56,'Top WS'!$A$19:$E$28,5),0)</f>
        <v>260</v>
      </c>
      <c r="BH56" s="1">
        <f>IFERROR(VLOOKUP(AU56,'Top WS'!$A$19:$E$28,5),0)</f>
        <v>180</v>
      </c>
      <c r="BI56" s="1">
        <f>IFERROR(VLOOKUP(AV56,'Top WS'!$A$19:$E$28,5),0)</f>
        <v>260</v>
      </c>
      <c r="BJ56" s="1">
        <f>IFERROR(VLOOKUP(AW56,'Top WS'!$A$19:$E$28,5),0)</f>
        <v>260</v>
      </c>
      <c r="BK56" s="89">
        <f>IFERROR(VLOOKUP(AX56,'Top WS'!$A$19:$E$28,5),0)</f>
        <v>180</v>
      </c>
      <c r="BL56" s="89">
        <f>IFERROR(VLOOKUP(AY56,'Top WS'!$A$19:$E$28,5),0)</f>
        <v>180</v>
      </c>
      <c r="BM56" s="89">
        <f>IFERROR(VLOOKUP(AZ56,'Top WS'!$A$19:$E$28,5),0)</f>
        <v>180</v>
      </c>
      <c r="BN56" s="89">
        <f>IFERROR(VLOOKUP(BA56,'Top WS'!$A$19:$E$28,5),0)</f>
        <v>180</v>
      </c>
      <c r="BO56" s="89">
        <f>IFERROR(VLOOKUP(BB56,'Top WS'!$A$19:$E$28,5),0)</f>
        <v>180</v>
      </c>
      <c r="BP56" s="89">
        <f>IFERROR(VLOOKUP(BC56,'Top WS'!$A$19:$E$28,5),0)</f>
        <v>180</v>
      </c>
    </row>
    <row r="57" spans="1:68" x14ac:dyDescent="0.4">
      <c r="A57">
        <v>1190054501</v>
      </c>
      <c r="B57">
        <f>VLOOKUP(A57,'Aji Plus'!$A$2:$D$58,2,0)</f>
        <v>70437</v>
      </c>
      <c r="C57" t="str">
        <f>VLOOKUP(A57,'Aji Plus'!$A$2:$D$58,3,0)</f>
        <v>นายมนตรี วัชรมานะกุล</v>
      </c>
      <c r="D57" t="str">
        <f>VLOOKUP(A57,'Aji Plus'!$A$2:$D$58,4,0)</f>
        <v>Trang</v>
      </c>
      <c r="E57" s="1">
        <v>45</v>
      </c>
      <c r="F57" s="1">
        <v>40</v>
      </c>
      <c r="G57" s="1">
        <v>40</v>
      </c>
      <c r="H57" s="1">
        <v>40</v>
      </c>
      <c r="I57" s="1">
        <v>40</v>
      </c>
      <c r="J57" s="1">
        <v>40</v>
      </c>
      <c r="K57" s="1">
        <v>40</v>
      </c>
      <c r="L57" s="1">
        <v>45</v>
      </c>
      <c r="M57" s="1">
        <v>40</v>
      </c>
      <c r="N57" s="1">
        <v>40</v>
      </c>
      <c r="O57" s="1">
        <v>40</v>
      </c>
      <c r="P57" s="1">
        <v>40</v>
      </c>
      <c r="R57" s="1">
        <f>VLOOKUP(A57,Actual_RDNS!$A$2:$H$62,3,0)</f>
        <v>128.34</v>
      </c>
      <c r="S57" s="1">
        <f>VLOOKUP(A57,Actual_RDNS!$A$2:$H$62,4,0)</f>
        <v>363.96000000000004</v>
      </c>
      <c r="T57" s="1">
        <f>VLOOKUP(A57,Actual_RDNS!$A$2:$H$62,5,0)</f>
        <v>55.62</v>
      </c>
      <c r="U57" s="1">
        <f>VLOOKUP(A57,Actual_RDNS!$A$2:$H$62,6,0)</f>
        <v>17.82</v>
      </c>
      <c r="V57" s="1">
        <f>VLOOKUP(A57,Actual_RDNS!$A$2:$H$62,7,0)</f>
        <v>37.799999999999997</v>
      </c>
      <c r="W57" s="1">
        <f>VLOOKUP(A57,Actual_RDNS!$A$2:$H$62,8,0)</f>
        <v>0</v>
      </c>
      <c r="X57" s="102"/>
      <c r="Y57" s="102"/>
      <c r="Z57" s="102"/>
      <c r="AA57" s="102"/>
      <c r="AB57" s="102"/>
      <c r="AC57" s="102"/>
      <c r="AE57" s="88">
        <f t="shared" si="4"/>
        <v>2.8519999999999999</v>
      </c>
      <c r="AF57" s="88">
        <f t="shared" si="4"/>
        <v>9.0990000000000002</v>
      </c>
      <c r="AG57" s="88">
        <f t="shared" si="4"/>
        <v>1.3904999999999998</v>
      </c>
      <c r="AH57" s="88">
        <f t="shared" si="4"/>
        <v>0.44550000000000001</v>
      </c>
      <c r="AI57" s="88">
        <f t="shared" si="4"/>
        <v>0.94499999999999995</v>
      </c>
      <c r="AJ57" s="88">
        <f t="shared" si="4"/>
        <v>0</v>
      </c>
      <c r="AK57" s="90">
        <f t="shared" si="4"/>
        <v>0</v>
      </c>
      <c r="AL57" s="90">
        <f t="shared" si="4"/>
        <v>0</v>
      </c>
      <c r="AM57" s="90">
        <f t="shared" si="4"/>
        <v>0</v>
      </c>
      <c r="AN57" s="90">
        <f t="shared" si="4"/>
        <v>0</v>
      </c>
      <c r="AO57" s="90">
        <f t="shared" si="4"/>
        <v>0</v>
      </c>
      <c r="AP57" s="90">
        <f t="shared" si="4"/>
        <v>0</v>
      </c>
      <c r="AQ57" s="88"/>
      <c r="AR57" s="90">
        <f t="shared" si="5"/>
        <v>2.8519999999999999</v>
      </c>
      <c r="AS57" s="90">
        <f t="shared" si="5"/>
        <v>9.0990000000000002</v>
      </c>
      <c r="AT57" s="90">
        <f t="shared" si="5"/>
        <v>1.3905000000000001</v>
      </c>
      <c r="AU57" s="90">
        <f t="shared" si="5"/>
        <v>0.44550000000000001</v>
      </c>
      <c r="AV57" s="90">
        <f t="shared" si="5"/>
        <v>0.94499999999999995</v>
      </c>
      <c r="AW57" s="90">
        <f t="shared" si="5"/>
        <v>0</v>
      </c>
      <c r="AX57" s="90">
        <f t="shared" si="5"/>
        <v>0</v>
      </c>
      <c r="AY57" s="90">
        <f t="shared" si="5"/>
        <v>0</v>
      </c>
      <c r="AZ57" s="90">
        <f t="shared" si="5"/>
        <v>0</v>
      </c>
      <c r="BA57" s="90">
        <f t="shared" si="5"/>
        <v>0</v>
      </c>
      <c r="BB57" s="90">
        <f t="shared" si="5"/>
        <v>0</v>
      </c>
      <c r="BC57" s="90">
        <f t="shared" si="5"/>
        <v>0</v>
      </c>
      <c r="BD57" s="88"/>
      <c r="BE57" s="1">
        <f>IFERROR(VLOOKUP(AR57,'Top WS'!$A$19:$E$28,5),0)</f>
        <v>260</v>
      </c>
      <c r="BF57" s="1">
        <f>IFERROR(VLOOKUP(AS57,'Top WS'!$A$19:$E$28,5),0)</f>
        <v>260</v>
      </c>
      <c r="BG57" s="1">
        <f>IFERROR(VLOOKUP(AT57,'Top WS'!$A$19:$E$28,5),0)</f>
        <v>260</v>
      </c>
      <c r="BH57" s="1">
        <f>IFERROR(VLOOKUP(AU57,'Top WS'!$A$19:$E$28,5),0)</f>
        <v>180</v>
      </c>
      <c r="BI57" s="1">
        <f>IFERROR(VLOOKUP(AV57,'Top WS'!$A$19:$E$28,5),0)</f>
        <v>190</v>
      </c>
      <c r="BJ57" s="1">
        <f>IFERROR(VLOOKUP(AW57,'Top WS'!$A$19:$E$28,5),0)</f>
        <v>180</v>
      </c>
      <c r="BK57" s="89">
        <f>IFERROR(VLOOKUP(AX57,'Top WS'!$A$19:$E$28,5),0)</f>
        <v>180</v>
      </c>
      <c r="BL57" s="89">
        <f>IFERROR(VLOOKUP(AY57,'Top WS'!$A$19:$E$28,5),0)</f>
        <v>180</v>
      </c>
      <c r="BM57" s="89">
        <f>IFERROR(VLOOKUP(AZ57,'Top WS'!$A$19:$E$28,5),0)</f>
        <v>180</v>
      </c>
      <c r="BN57" s="89">
        <f>IFERROR(VLOOKUP(BA57,'Top WS'!$A$19:$E$28,5),0)</f>
        <v>180</v>
      </c>
      <c r="BO57" s="89">
        <f>IFERROR(VLOOKUP(BB57,'Top WS'!$A$19:$E$28,5),0)</f>
        <v>180</v>
      </c>
      <c r="BP57" s="89">
        <f>IFERROR(VLOOKUP(BC57,'Top WS'!$A$19:$E$28,5),0)</f>
        <v>180</v>
      </c>
    </row>
    <row r="58" spans="1:68" x14ac:dyDescent="0.4">
      <c r="A58">
        <v>1190054601</v>
      </c>
      <c r="B58">
        <f>VLOOKUP(A58,'Aji Plus'!$A$2:$D$58,2,0)</f>
        <v>63804</v>
      </c>
      <c r="C58" t="str">
        <f>VLOOKUP(A58,'Aji Plus'!$A$2:$D$58,3,0)</f>
        <v>นายสมพงษ์ คงบุตร</v>
      </c>
      <c r="D58" t="str">
        <f>VLOOKUP(A58,'Aji Plus'!$A$2:$D$58,4,0)</f>
        <v>Phuket</v>
      </c>
      <c r="E58" s="1">
        <v>351.08378138097453</v>
      </c>
      <c r="F58" s="1">
        <v>466.1318318445451</v>
      </c>
      <c r="G58" s="1">
        <v>274.38508107192752</v>
      </c>
      <c r="H58" s="1">
        <v>19.174675077261757</v>
      </c>
      <c r="I58" s="1">
        <v>312.73443122645102</v>
      </c>
      <c r="J58" s="1">
        <v>153.39740061809405</v>
      </c>
      <c r="K58" s="1">
        <v>100</v>
      </c>
      <c r="L58" s="1">
        <v>274.38508107192752</v>
      </c>
      <c r="M58" s="1">
        <v>270</v>
      </c>
      <c r="N58" s="1">
        <v>274.38508107192752</v>
      </c>
      <c r="O58" s="1">
        <v>331.90910630371275</v>
      </c>
      <c r="P58" s="1">
        <v>222.15507387494179</v>
      </c>
      <c r="R58" s="1">
        <f>VLOOKUP(A58,Actual_RDNS!$A$2:$H$62,3,0)</f>
        <v>132.51999999999998</v>
      </c>
      <c r="S58" s="1">
        <f>VLOOKUP(A58,Actual_RDNS!$A$2:$H$62,4,0)</f>
        <v>548.37999999999988</v>
      </c>
      <c r="T58" s="1">
        <f>VLOOKUP(A58,Actual_RDNS!$A$2:$H$62,5,0)</f>
        <v>73.44</v>
      </c>
      <c r="U58" s="1">
        <f>VLOOKUP(A58,Actual_RDNS!$A$2:$H$62,6,0)</f>
        <v>180.04000000000002</v>
      </c>
      <c r="V58" s="1">
        <f>VLOOKUP(A58,Actual_RDNS!$A$2:$H$62,7,0)</f>
        <v>200.34</v>
      </c>
      <c r="W58" s="1">
        <f>VLOOKUP(A58,Actual_RDNS!$A$2:$H$62,8,0)</f>
        <v>464.07999999999993</v>
      </c>
      <c r="X58" s="102"/>
      <c r="Y58" s="102"/>
      <c r="Z58" s="102"/>
      <c r="AA58" s="102"/>
      <c r="AB58" s="102"/>
      <c r="AC58" s="102"/>
      <c r="AE58" s="88">
        <f t="shared" si="4"/>
        <v>0.37745976039889301</v>
      </c>
      <c r="AF58" s="88">
        <f t="shared" si="4"/>
        <v>1.1764482975341717</v>
      </c>
      <c r="AG58" s="88">
        <f t="shared" si="4"/>
        <v>0.26765303606557378</v>
      </c>
      <c r="AH58" s="88">
        <f t="shared" si="4"/>
        <v>9.3894681017828585</v>
      </c>
      <c r="AI58" s="88">
        <f t="shared" si="4"/>
        <v>0.64060742916706159</v>
      </c>
      <c r="AJ58" s="88">
        <f t="shared" si="4"/>
        <v>3.0253446155544514</v>
      </c>
      <c r="AK58" s="90">
        <f t="shared" si="4"/>
        <v>0</v>
      </c>
      <c r="AL58" s="90">
        <f t="shared" si="4"/>
        <v>0</v>
      </c>
      <c r="AM58" s="90">
        <f t="shared" si="4"/>
        <v>0</v>
      </c>
      <c r="AN58" s="90">
        <f t="shared" si="4"/>
        <v>0</v>
      </c>
      <c r="AO58" s="90">
        <f t="shared" si="4"/>
        <v>0</v>
      </c>
      <c r="AP58" s="90">
        <f t="shared" si="4"/>
        <v>0</v>
      </c>
      <c r="AQ58" s="88"/>
      <c r="AR58" s="90">
        <f t="shared" si="5"/>
        <v>0.3775</v>
      </c>
      <c r="AS58" s="90">
        <f t="shared" si="5"/>
        <v>1.1763999999999999</v>
      </c>
      <c r="AT58" s="90">
        <f t="shared" si="5"/>
        <v>0.26769999999999999</v>
      </c>
      <c r="AU58" s="90">
        <f t="shared" si="5"/>
        <v>9.3895</v>
      </c>
      <c r="AV58" s="90">
        <f t="shared" si="5"/>
        <v>0.64059999999999995</v>
      </c>
      <c r="AW58" s="90">
        <f t="shared" si="5"/>
        <v>3.0253000000000001</v>
      </c>
      <c r="AX58" s="90">
        <f t="shared" si="5"/>
        <v>0</v>
      </c>
      <c r="AY58" s="90">
        <f t="shared" si="5"/>
        <v>0</v>
      </c>
      <c r="AZ58" s="90">
        <f t="shared" si="5"/>
        <v>0</v>
      </c>
      <c r="BA58" s="90">
        <f t="shared" si="5"/>
        <v>0</v>
      </c>
      <c r="BB58" s="90">
        <f t="shared" si="5"/>
        <v>0</v>
      </c>
      <c r="BC58" s="90">
        <f t="shared" si="5"/>
        <v>0</v>
      </c>
      <c r="BD58" s="88"/>
      <c r="BE58" s="1">
        <f>IFERROR(VLOOKUP(AR58,'Top WS'!$A$19:$E$28,5),0)</f>
        <v>180</v>
      </c>
      <c r="BF58" s="1">
        <f>IFERROR(VLOOKUP(AS58,'Top WS'!$A$19:$E$28,5),0)</f>
        <v>240</v>
      </c>
      <c r="BG58" s="1">
        <f>IFERROR(VLOOKUP(AT58,'Top WS'!$A$19:$E$28,5),0)</f>
        <v>180</v>
      </c>
      <c r="BH58" s="1">
        <f>IFERROR(VLOOKUP(AU58,'Top WS'!$A$19:$E$28,5),0)</f>
        <v>260</v>
      </c>
      <c r="BI58" s="1">
        <f>IFERROR(VLOOKUP(AV58,'Top WS'!$A$19:$E$28,5),0)</f>
        <v>180</v>
      </c>
      <c r="BJ58" s="1">
        <f>IFERROR(VLOOKUP(AW58,'Top WS'!$A$19:$E$28,5),0)</f>
        <v>260</v>
      </c>
      <c r="BK58" s="89">
        <f>IFERROR(VLOOKUP(AX58,'Top WS'!$A$19:$E$28,5),0)</f>
        <v>180</v>
      </c>
      <c r="BL58" s="89">
        <f>IFERROR(VLOOKUP(AY58,'Top WS'!$A$19:$E$28,5),0)</f>
        <v>180</v>
      </c>
      <c r="BM58" s="89">
        <f>IFERROR(VLOOKUP(AZ58,'Top WS'!$A$19:$E$28,5),0)</f>
        <v>180</v>
      </c>
      <c r="BN58" s="89">
        <f>IFERROR(VLOOKUP(BA58,'Top WS'!$A$19:$E$28,5),0)</f>
        <v>180</v>
      </c>
      <c r="BO58" s="89">
        <f>IFERROR(VLOOKUP(BB58,'Top WS'!$A$19:$E$28,5),0)</f>
        <v>180</v>
      </c>
      <c r="BP58" s="89">
        <f>IFERROR(VLOOKUP(BC58,'Top WS'!$A$19:$E$28,5),0)</f>
        <v>180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A1D6-E736-42D1-AF77-098BA7EF39AC}">
  <sheetPr>
    <tabColor rgb="FFFFFF00"/>
  </sheetPr>
  <dimension ref="A1:H62"/>
  <sheetViews>
    <sheetView topLeftCell="A46" workbookViewId="0">
      <selection activeCell="BE11" sqref="BE11:BP11"/>
    </sheetView>
  </sheetViews>
  <sheetFormatPr defaultRowHeight="16.8" x14ac:dyDescent="0.4"/>
  <cols>
    <col min="1" max="1" width="12.09765625" customWidth="1"/>
  </cols>
  <sheetData>
    <row r="1" spans="1:8" x14ac:dyDescent="0.4">
      <c r="A1" t="s">
        <v>123</v>
      </c>
      <c r="B1" t="s">
        <v>124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1190011201</v>
      </c>
      <c r="B2" t="s">
        <v>79</v>
      </c>
      <c r="C2">
        <v>35.64</v>
      </c>
      <c r="D2">
        <v>757.61999999999989</v>
      </c>
      <c r="E2">
        <v>148.5</v>
      </c>
      <c r="G2">
        <v>122.39999999999999</v>
      </c>
      <c r="H2">
        <v>70.460000000000008</v>
      </c>
    </row>
    <row r="3" spans="1:8" x14ac:dyDescent="0.4">
      <c r="A3">
        <v>1190011203</v>
      </c>
      <c r="B3" t="s">
        <v>79</v>
      </c>
      <c r="D3">
        <v>3.15</v>
      </c>
    </row>
    <row r="4" spans="1:8" x14ac:dyDescent="0.4">
      <c r="A4">
        <v>1190011214</v>
      </c>
      <c r="B4" t="s">
        <v>79</v>
      </c>
      <c r="D4">
        <v>427.68</v>
      </c>
      <c r="E4">
        <v>8.5</v>
      </c>
      <c r="F4">
        <v>59.400000000000006</v>
      </c>
    </row>
    <row r="5" spans="1:8" x14ac:dyDescent="0.4">
      <c r="A5">
        <v>1190011401</v>
      </c>
      <c r="B5" t="s">
        <v>80</v>
      </c>
      <c r="C5">
        <v>92.699999999999989</v>
      </c>
      <c r="D5">
        <v>1504.6200000000001</v>
      </c>
      <c r="E5">
        <v>5.94</v>
      </c>
      <c r="F5">
        <v>29.700000000000003</v>
      </c>
      <c r="G5">
        <v>60.120000000000005</v>
      </c>
      <c r="H5">
        <v>383.93999999999994</v>
      </c>
    </row>
    <row r="6" spans="1:8" x14ac:dyDescent="0.4">
      <c r="A6">
        <v>1190011412</v>
      </c>
      <c r="B6" t="s">
        <v>80</v>
      </c>
      <c r="C6">
        <v>100.16000000000001</v>
      </c>
      <c r="D6">
        <v>256.88</v>
      </c>
      <c r="E6">
        <v>120.54</v>
      </c>
      <c r="F6">
        <v>118.80000000000001</v>
      </c>
      <c r="H6">
        <v>154.63999999999999</v>
      </c>
    </row>
    <row r="7" spans="1:8" x14ac:dyDescent="0.4">
      <c r="A7">
        <v>1190011501</v>
      </c>
      <c r="B7" t="s">
        <v>81</v>
      </c>
      <c r="C7">
        <v>191.91999999999996</v>
      </c>
      <c r="D7">
        <v>1993.0000000000002</v>
      </c>
      <c r="E7">
        <v>240.35999999999996</v>
      </c>
      <c r="F7">
        <v>186.89999999999998</v>
      </c>
      <c r="G7">
        <v>230.44</v>
      </c>
      <c r="H7">
        <v>414.21999999999991</v>
      </c>
    </row>
    <row r="8" spans="1:8" x14ac:dyDescent="0.4">
      <c r="A8">
        <v>1190011701</v>
      </c>
      <c r="B8" t="s">
        <v>82</v>
      </c>
      <c r="C8">
        <v>136.62</v>
      </c>
      <c r="D8">
        <v>935.12</v>
      </c>
      <c r="E8">
        <v>184.95999999999998</v>
      </c>
      <c r="F8">
        <v>231.76</v>
      </c>
      <c r="G8">
        <v>151.98000000000002</v>
      </c>
      <c r="H8">
        <v>215.47999999999996</v>
      </c>
    </row>
    <row r="9" spans="1:8" x14ac:dyDescent="0.4">
      <c r="A9">
        <v>1190011801</v>
      </c>
      <c r="B9" t="s">
        <v>83</v>
      </c>
      <c r="C9">
        <v>11.88</v>
      </c>
      <c r="D9">
        <v>1512</v>
      </c>
      <c r="E9">
        <v>23.76</v>
      </c>
      <c r="F9">
        <v>41.58</v>
      </c>
      <c r="H9">
        <v>17.82</v>
      </c>
    </row>
    <row r="10" spans="1:8" x14ac:dyDescent="0.4">
      <c r="A10">
        <v>1190017001</v>
      </c>
      <c r="B10" t="s">
        <v>84</v>
      </c>
      <c r="C10">
        <v>118.80000000000001</v>
      </c>
      <c r="D10">
        <v>1686.5800000000002</v>
      </c>
      <c r="E10">
        <v>89.100000000000009</v>
      </c>
      <c r="F10">
        <v>368.72</v>
      </c>
      <c r="G10">
        <v>250.39999999999998</v>
      </c>
      <c r="H10">
        <v>178.20000000000002</v>
      </c>
    </row>
    <row r="11" spans="1:8" x14ac:dyDescent="0.4">
      <c r="A11">
        <v>1190017013</v>
      </c>
      <c r="B11" t="s">
        <v>84</v>
      </c>
      <c r="C11">
        <v>43.32</v>
      </c>
      <c r="D11">
        <v>380.96</v>
      </c>
      <c r="F11">
        <v>91.46</v>
      </c>
      <c r="G11">
        <v>188.57999999999998</v>
      </c>
      <c r="H11">
        <v>163.79999999999998</v>
      </c>
    </row>
    <row r="12" spans="1:8" x14ac:dyDescent="0.4">
      <c r="A12">
        <v>1190017014</v>
      </c>
      <c r="B12" t="s">
        <v>84</v>
      </c>
      <c r="D12">
        <v>244.8</v>
      </c>
      <c r="E12">
        <v>118.80000000000001</v>
      </c>
      <c r="F12">
        <v>59.400000000000006</v>
      </c>
      <c r="H12">
        <v>148.5</v>
      </c>
    </row>
    <row r="13" spans="1:8" x14ac:dyDescent="0.4">
      <c r="A13">
        <v>1190021901</v>
      </c>
      <c r="B13" t="s">
        <v>85</v>
      </c>
      <c r="C13">
        <v>166.51999999999998</v>
      </c>
      <c r="D13">
        <v>1644.8000000000002</v>
      </c>
      <c r="E13">
        <v>1233.0399999999997</v>
      </c>
      <c r="F13">
        <v>576.93999999999994</v>
      </c>
      <c r="G13">
        <v>759.42000000000007</v>
      </c>
      <c r="H13">
        <v>668.04000000000008</v>
      </c>
    </row>
    <row r="14" spans="1:8" x14ac:dyDescent="0.4">
      <c r="A14">
        <v>1190021902</v>
      </c>
      <c r="B14" t="s">
        <v>85</v>
      </c>
      <c r="C14">
        <v>216</v>
      </c>
      <c r="D14">
        <v>714.59999999999991</v>
      </c>
      <c r="E14">
        <v>415.79999999999995</v>
      </c>
      <c r="F14">
        <v>50.4</v>
      </c>
      <c r="G14">
        <v>67.5</v>
      </c>
      <c r="H14">
        <v>281.7</v>
      </c>
    </row>
    <row r="15" spans="1:8" x14ac:dyDescent="0.4">
      <c r="A15">
        <v>1190022001</v>
      </c>
      <c r="B15" t="s">
        <v>86</v>
      </c>
      <c r="C15">
        <v>620.66</v>
      </c>
      <c r="D15">
        <v>1893.54</v>
      </c>
      <c r="E15">
        <v>1227.32</v>
      </c>
      <c r="F15">
        <v>730.59999999999991</v>
      </c>
      <c r="G15">
        <v>847.66</v>
      </c>
      <c r="H15">
        <v>1069.8799999999999</v>
      </c>
    </row>
    <row r="16" spans="1:8" x14ac:dyDescent="0.4">
      <c r="A16">
        <v>1190022101</v>
      </c>
      <c r="B16" t="s">
        <v>87</v>
      </c>
      <c r="C16">
        <v>623.54000000000019</v>
      </c>
      <c r="D16">
        <v>1326.72</v>
      </c>
      <c r="E16">
        <v>712.75999999999988</v>
      </c>
      <c r="F16">
        <v>397.32</v>
      </c>
      <c r="G16">
        <v>310.53999999999996</v>
      </c>
      <c r="H16">
        <v>563.01999999999987</v>
      </c>
    </row>
    <row r="17" spans="1:8" x14ac:dyDescent="0.4">
      <c r="A17">
        <v>1190022201</v>
      </c>
      <c r="B17" t="s">
        <v>88</v>
      </c>
      <c r="C17">
        <v>469.2</v>
      </c>
      <c r="D17">
        <v>1822.06</v>
      </c>
      <c r="E17">
        <v>670.68</v>
      </c>
      <c r="F17">
        <v>536.22</v>
      </c>
      <c r="G17">
        <v>865.81999999999982</v>
      </c>
      <c r="H17">
        <v>1280.74</v>
      </c>
    </row>
    <row r="18" spans="1:8" x14ac:dyDescent="0.4">
      <c r="A18">
        <v>1190022301</v>
      </c>
      <c r="B18" t="s">
        <v>89</v>
      </c>
      <c r="C18">
        <v>60.12</v>
      </c>
      <c r="D18">
        <v>771.14</v>
      </c>
      <c r="E18">
        <v>695.33999999999992</v>
      </c>
      <c r="F18">
        <v>161.32</v>
      </c>
      <c r="G18">
        <v>404.65999999999997</v>
      </c>
      <c r="H18">
        <v>226.16</v>
      </c>
    </row>
    <row r="19" spans="1:8" x14ac:dyDescent="0.4">
      <c r="A19">
        <v>1190022302</v>
      </c>
      <c r="B19" t="s">
        <v>89</v>
      </c>
      <c r="C19">
        <v>142.56</v>
      </c>
      <c r="D19">
        <v>1963.76</v>
      </c>
      <c r="E19">
        <v>97.2</v>
      </c>
      <c r="F19">
        <v>188.03999999999996</v>
      </c>
      <c r="G19">
        <v>254.6</v>
      </c>
      <c r="H19">
        <v>135</v>
      </c>
    </row>
    <row r="20" spans="1:8" x14ac:dyDescent="0.4">
      <c r="A20">
        <v>1190022401</v>
      </c>
      <c r="B20" t="s">
        <v>90</v>
      </c>
      <c r="C20">
        <v>1059.8399999999999</v>
      </c>
      <c r="D20">
        <v>938.88000000000011</v>
      </c>
      <c r="E20">
        <v>1164.6000000000001</v>
      </c>
      <c r="F20">
        <v>178.20000000000002</v>
      </c>
      <c r="G20">
        <v>1037.3400000000001</v>
      </c>
      <c r="H20">
        <v>1056.5999999999999</v>
      </c>
    </row>
    <row r="21" spans="1:8" x14ac:dyDescent="0.4">
      <c r="A21">
        <v>1190022402</v>
      </c>
      <c r="B21" t="s">
        <v>90</v>
      </c>
      <c r="C21">
        <v>53.46</v>
      </c>
      <c r="D21">
        <v>371.42</v>
      </c>
      <c r="E21">
        <v>60.120000000000005</v>
      </c>
      <c r="F21">
        <v>56.02</v>
      </c>
      <c r="G21">
        <v>94.939999999999984</v>
      </c>
      <c r="H21">
        <v>55.62</v>
      </c>
    </row>
    <row r="22" spans="1:8" x14ac:dyDescent="0.4">
      <c r="A22">
        <v>1190022510</v>
      </c>
      <c r="B22" t="s">
        <v>91</v>
      </c>
      <c r="C22">
        <v>241.20000000000002</v>
      </c>
      <c r="D22">
        <v>1946.7</v>
      </c>
      <c r="E22">
        <v>221.12</v>
      </c>
      <c r="F22">
        <v>89.820000000000007</v>
      </c>
      <c r="G22">
        <v>652.5</v>
      </c>
      <c r="H22">
        <v>968.44</v>
      </c>
    </row>
    <row r="23" spans="1:8" x14ac:dyDescent="0.4">
      <c r="A23">
        <v>1190027101</v>
      </c>
      <c r="B23" t="s">
        <v>92</v>
      </c>
      <c r="C23">
        <v>653.91999999999996</v>
      </c>
      <c r="D23">
        <v>2099.7800000000002</v>
      </c>
      <c r="E23">
        <v>170.94</v>
      </c>
      <c r="F23">
        <v>62.58</v>
      </c>
      <c r="G23">
        <v>186.89999999999998</v>
      </c>
      <c r="H23">
        <v>67.8</v>
      </c>
    </row>
    <row r="24" spans="1:8" x14ac:dyDescent="0.4">
      <c r="A24">
        <v>1190032602</v>
      </c>
      <c r="B24" t="s">
        <v>93</v>
      </c>
      <c r="C24">
        <v>475.19999999999993</v>
      </c>
      <c r="D24">
        <v>2758.4</v>
      </c>
      <c r="E24">
        <v>1856.7600000000002</v>
      </c>
      <c r="F24">
        <v>780.32</v>
      </c>
      <c r="G24">
        <v>460.45999999999992</v>
      </c>
      <c r="H24">
        <v>1471.3400000000001</v>
      </c>
    </row>
    <row r="25" spans="1:8" x14ac:dyDescent="0.4">
      <c r="A25">
        <v>1190032701</v>
      </c>
      <c r="B25" t="s">
        <v>94</v>
      </c>
      <c r="C25">
        <v>107.63999999999999</v>
      </c>
      <c r="D25">
        <v>2306.7000000000003</v>
      </c>
      <c r="E25">
        <v>833.21999999999991</v>
      </c>
      <c r="F25">
        <v>112.86</v>
      </c>
      <c r="G25">
        <v>95.04</v>
      </c>
      <c r="H25">
        <v>352.97999999999996</v>
      </c>
    </row>
    <row r="26" spans="1:8" x14ac:dyDescent="0.4">
      <c r="A26">
        <v>1190032801</v>
      </c>
      <c r="B26" t="s">
        <v>95</v>
      </c>
      <c r="C26">
        <v>264.11999999999995</v>
      </c>
      <c r="D26">
        <v>2264.5000000000005</v>
      </c>
      <c r="E26">
        <v>665.2399999999999</v>
      </c>
      <c r="F26">
        <v>301.82</v>
      </c>
      <c r="G26">
        <v>320.65999999999997</v>
      </c>
      <c r="H26">
        <v>562.81999999999994</v>
      </c>
    </row>
    <row r="27" spans="1:8" x14ac:dyDescent="0.4">
      <c r="A27">
        <v>1190032901</v>
      </c>
      <c r="B27" t="s">
        <v>96</v>
      </c>
      <c r="C27">
        <v>269.09999999999997</v>
      </c>
      <c r="D27">
        <v>887.40000000000009</v>
      </c>
      <c r="E27">
        <v>469.97999999999996</v>
      </c>
      <c r="F27">
        <v>191.33999999999997</v>
      </c>
      <c r="G27">
        <v>380.51999999999992</v>
      </c>
      <c r="H27">
        <v>248.39999999999998</v>
      </c>
    </row>
    <row r="28" spans="1:8" x14ac:dyDescent="0.4">
      <c r="A28">
        <v>1190032902</v>
      </c>
      <c r="B28" t="s">
        <v>96</v>
      </c>
      <c r="C28">
        <v>325.43999999999994</v>
      </c>
      <c r="D28">
        <v>1056.2199999999998</v>
      </c>
      <c r="E28">
        <v>298.27999999999997</v>
      </c>
      <c r="F28">
        <v>483.29999999999995</v>
      </c>
      <c r="G28">
        <v>329.94</v>
      </c>
      <c r="H28">
        <v>463.71999999999997</v>
      </c>
    </row>
    <row r="29" spans="1:8" x14ac:dyDescent="0.4">
      <c r="A29">
        <v>1190033001</v>
      </c>
      <c r="B29" t="s">
        <v>97</v>
      </c>
      <c r="C29">
        <v>749.69999999999993</v>
      </c>
      <c r="D29">
        <v>2470.0400000000004</v>
      </c>
      <c r="E29">
        <v>110.39999999999999</v>
      </c>
      <c r="F29">
        <v>287.79999999999995</v>
      </c>
      <c r="G29">
        <v>163.26</v>
      </c>
      <c r="H29">
        <v>156.18</v>
      </c>
    </row>
    <row r="30" spans="1:8" x14ac:dyDescent="0.4">
      <c r="A30">
        <v>1190033002</v>
      </c>
      <c r="B30" t="s">
        <v>97</v>
      </c>
      <c r="C30">
        <v>298.08</v>
      </c>
      <c r="D30">
        <v>576.90000000000009</v>
      </c>
      <c r="E30">
        <v>143.82</v>
      </c>
      <c r="F30">
        <v>114.69999999999999</v>
      </c>
      <c r="G30">
        <v>164.7</v>
      </c>
      <c r="H30">
        <v>67.5</v>
      </c>
    </row>
    <row r="31" spans="1:8" x14ac:dyDescent="0.4">
      <c r="A31">
        <v>1190033101</v>
      </c>
      <c r="B31" t="s">
        <v>98</v>
      </c>
      <c r="C31">
        <v>194.07999999999998</v>
      </c>
      <c r="D31">
        <v>847.16</v>
      </c>
      <c r="E31">
        <v>177.47999999999996</v>
      </c>
      <c r="F31">
        <v>101.19999999999999</v>
      </c>
      <c r="G31">
        <v>129.66</v>
      </c>
      <c r="H31">
        <v>160.07999999999998</v>
      </c>
    </row>
    <row r="32" spans="1:8" x14ac:dyDescent="0.4">
      <c r="A32">
        <v>1190033102</v>
      </c>
      <c r="B32" t="s">
        <v>98</v>
      </c>
      <c r="C32">
        <v>180.07999999999998</v>
      </c>
      <c r="D32">
        <v>885.78000000000009</v>
      </c>
      <c r="E32">
        <v>104.05999999999999</v>
      </c>
      <c r="F32">
        <v>89.32</v>
      </c>
      <c r="G32">
        <v>126.69999999999999</v>
      </c>
      <c r="H32">
        <v>421.29999999999995</v>
      </c>
    </row>
    <row r="33" spans="1:8" x14ac:dyDescent="0.4">
      <c r="A33">
        <v>1190033201</v>
      </c>
      <c r="B33" t="s">
        <v>99</v>
      </c>
      <c r="C33">
        <v>441.66</v>
      </c>
      <c r="D33">
        <v>864.3599999999999</v>
      </c>
      <c r="E33">
        <v>550.82000000000005</v>
      </c>
      <c r="F33">
        <v>289.43999999999994</v>
      </c>
      <c r="G33">
        <v>241.17999999999995</v>
      </c>
      <c r="H33">
        <v>244.07999999999993</v>
      </c>
    </row>
    <row r="34" spans="1:8" x14ac:dyDescent="0.4">
      <c r="A34">
        <v>1190033202</v>
      </c>
      <c r="B34" t="s">
        <v>99</v>
      </c>
      <c r="C34">
        <v>79.680000000000007</v>
      </c>
      <c r="D34">
        <v>814.18</v>
      </c>
      <c r="E34">
        <v>93.419999999999987</v>
      </c>
      <c r="F34">
        <v>55.62</v>
      </c>
      <c r="G34">
        <v>476.12</v>
      </c>
      <c r="H34">
        <v>429.82</v>
      </c>
    </row>
    <row r="35" spans="1:8" x14ac:dyDescent="0.4">
      <c r="A35">
        <v>1190033301</v>
      </c>
      <c r="B35" t="s">
        <v>100</v>
      </c>
      <c r="C35">
        <v>333.9</v>
      </c>
      <c r="D35">
        <v>2404.0400000000004</v>
      </c>
      <c r="E35">
        <v>840.83999999999992</v>
      </c>
      <c r="F35">
        <v>1208.3600000000004</v>
      </c>
      <c r="G35">
        <v>619.93999999999994</v>
      </c>
      <c r="H35">
        <v>324.76</v>
      </c>
    </row>
    <row r="36" spans="1:8" x14ac:dyDescent="0.4">
      <c r="A36">
        <v>1190033302</v>
      </c>
      <c r="B36" t="s">
        <v>100</v>
      </c>
      <c r="C36">
        <v>428.32</v>
      </c>
      <c r="D36">
        <v>535.21999999999991</v>
      </c>
      <c r="E36">
        <v>180.16</v>
      </c>
      <c r="F36">
        <v>441.84</v>
      </c>
      <c r="G36">
        <v>698.98</v>
      </c>
      <c r="H36">
        <v>359.93999999999994</v>
      </c>
    </row>
    <row r="37" spans="1:8" x14ac:dyDescent="0.4">
      <c r="A37">
        <v>1190037301</v>
      </c>
      <c r="B37" t="s">
        <v>101</v>
      </c>
      <c r="C37">
        <v>489.2399999999999</v>
      </c>
      <c r="D37">
        <v>2014.7399999999998</v>
      </c>
      <c r="E37">
        <v>260.97999999999996</v>
      </c>
      <c r="F37">
        <v>67.5</v>
      </c>
      <c r="G37">
        <v>65.34</v>
      </c>
      <c r="H37">
        <v>169.2</v>
      </c>
    </row>
    <row r="38" spans="1:8" x14ac:dyDescent="0.4">
      <c r="A38">
        <v>1190037302</v>
      </c>
      <c r="B38" t="s">
        <v>101</v>
      </c>
      <c r="F38">
        <v>356.4</v>
      </c>
      <c r="G38">
        <v>207.07999999999998</v>
      </c>
      <c r="H38">
        <v>722.42000000000007</v>
      </c>
    </row>
    <row r="39" spans="1:8" x14ac:dyDescent="0.4">
      <c r="A39">
        <v>1190037401</v>
      </c>
      <c r="B39" t="s">
        <v>102</v>
      </c>
      <c r="C39">
        <v>25.5</v>
      </c>
      <c r="D39">
        <v>2026.4399999999998</v>
      </c>
      <c r="E39">
        <v>1182.2399999999998</v>
      </c>
      <c r="F39">
        <v>-995.39999999999986</v>
      </c>
      <c r="G39">
        <v>96.78</v>
      </c>
      <c r="H39">
        <v>403.2</v>
      </c>
    </row>
    <row r="40" spans="1:8" x14ac:dyDescent="0.4">
      <c r="A40">
        <v>1190043401</v>
      </c>
      <c r="B40" t="s">
        <v>103</v>
      </c>
      <c r="C40">
        <v>432.54</v>
      </c>
      <c r="D40">
        <v>839.15999999999985</v>
      </c>
      <c r="E40">
        <v>254.33999999999997</v>
      </c>
      <c r="F40">
        <v>607.5</v>
      </c>
      <c r="G40">
        <v>370.79999999999995</v>
      </c>
      <c r="H40">
        <v>684.04</v>
      </c>
    </row>
    <row r="41" spans="1:8" x14ac:dyDescent="0.4">
      <c r="A41">
        <v>1190043402</v>
      </c>
      <c r="B41" t="s">
        <v>103</v>
      </c>
      <c r="C41">
        <v>495.78</v>
      </c>
      <c r="D41">
        <v>1168.0200000000002</v>
      </c>
      <c r="E41">
        <v>275.08</v>
      </c>
      <c r="F41">
        <v>383.76</v>
      </c>
      <c r="G41">
        <v>267.3</v>
      </c>
      <c r="H41">
        <v>526.5</v>
      </c>
    </row>
    <row r="42" spans="1:8" x14ac:dyDescent="0.4">
      <c r="A42">
        <v>1190043501</v>
      </c>
      <c r="B42" t="s">
        <v>104</v>
      </c>
      <c r="C42">
        <v>372.41999999999996</v>
      </c>
      <c r="D42">
        <v>764.64000000000021</v>
      </c>
      <c r="E42">
        <v>255.95999999999998</v>
      </c>
      <c r="F42">
        <v>484.37999999999994</v>
      </c>
      <c r="G42">
        <v>321.29999999999995</v>
      </c>
      <c r="H42">
        <v>395.46</v>
      </c>
    </row>
    <row r="43" spans="1:8" x14ac:dyDescent="0.4">
      <c r="A43">
        <v>1190043502</v>
      </c>
      <c r="B43" t="s">
        <v>104</v>
      </c>
      <c r="C43">
        <v>813.29000000000019</v>
      </c>
      <c r="D43">
        <v>1143.69</v>
      </c>
      <c r="E43">
        <v>389.81999999999994</v>
      </c>
      <c r="F43">
        <v>339.19999999999993</v>
      </c>
      <c r="G43">
        <v>367.36</v>
      </c>
      <c r="H43">
        <v>418.97999999999996</v>
      </c>
    </row>
    <row r="44" spans="1:8" x14ac:dyDescent="0.4">
      <c r="A44">
        <v>1190043601</v>
      </c>
      <c r="B44" t="s">
        <v>105</v>
      </c>
      <c r="C44">
        <v>161.09999999999997</v>
      </c>
      <c r="D44">
        <v>889.2</v>
      </c>
      <c r="E44">
        <v>219.6</v>
      </c>
      <c r="F44">
        <v>203.22</v>
      </c>
      <c r="G44">
        <v>146.16</v>
      </c>
      <c r="H44">
        <v>506.34</v>
      </c>
    </row>
    <row r="45" spans="1:8" x14ac:dyDescent="0.4">
      <c r="A45">
        <v>1190043602</v>
      </c>
      <c r="B45" t="s">
        <v>105</v>
      </c>
      <c r="C45">
        <v>352.43999999999994</v>
      </c>
      <c r="D45">
        <v>903.96000000000038</v>
      </c>
      <c r="E45">
        <v>245.51999999999998</v>
      </c>
      <c r="F45">
        <v>604.43999999999994</v>
      </c>
      <c r="G45">
        <v>504.35999999999996</v>
      </c>
      <c r="H45">
        <v>552.41999999999996</v>
      </c>
    </row>
    <row r="46" spans="1:8" x14ac:dyDescent="0.4">
      <c r="A46">
        <v>1190043701</v>
      </c>
      <c r="B46" t="s">
        <v>106</v>
      </c>
      <c r="C46">
        <v>420.65999999999997</v>
      </c>
      <c r="D46">
        <v>1166.04</v>
      </c>
      <c r="E46">
        <v>227.16</v>
      </c>
      <c r="F46">
        <v>456.29999999999995</v>
      </c>
      <c r="G46">
        <v>717.48</v>
      </c>
      <c r="H46">
        <v>175.86</v>
      </c>
    </row>
    <row r="47" spans="1:8" x14ac:dyDescent="0.4">
      <c r="A47">
        <v>1190043702</v>
      </c>
      <c r="B47" t="s">
        <v>106</v>
      </c>
      <c r="C47">
        <v>250.74</v>
      </c>
      <c r="D47">
        <v>532.43999999999994</v>
      </c>
      <c r="E47">
        <v>371.69999999999993</v>
      </c>
      <c r="F47">
        <v>5.94</v>
      </c>
      <c r="G47">
        <v>42.300000000000004</v>
      </c>
      <c r="H47">
        <v>227.88</v>
      </c>
    </row>
    <row r="48" spans="1:8" x14ac:dyDescent="0.4">
      <c r="A48">
        <v>1190043801</v>
      </c>
      <c r="B48" t="s">
        <v>107</v>
      </c>
      <c r="C48">
        <v>418.32</v>
      </c>
      <c r="D48">
        <v>1063.8</v>
      </c>
      <c r="E48">
        <v>127.62</v>
      </c>
      <c r="F48">
        <v>53.460000000000008</v>
      </c>
      <c r="G48">
        <v>304.2</v>
      </c>
      <c r="H48">
        <v>658.43999999999994</v>
      </c>
    </row>
    <row r="49" spans="1:8" x14ac:dyDescent="0.4">
      <c r="A49">
        <v>1190043802</v>
      </c>
      <c r="B49" t="s">
        <v>107</v>
      </c>
      <c r="C49">
        <v>89.820000000000007</v>
      </c>
      <c r="D49">
        <v>593.28</v>
      </c>
      <c r="E49">
        <v>60.84</v>
      </c>
      <c r="F49">
        <v>29.700000000000003</v>
      </c>
      <c r="G49">
        <v>256.86</v>
      </c>
      <c r="H49">
        <v>180.89999999999998</v>
      </c>
    </row>
    <row r="50" spans="1:8" x14ac:dyDescent="0.4">
      <c r="A50">
        <v>1190043811</v>
      </c>
      <c r="B50" t="s">
        <v>107</v>
      </c>
      <c r="E50">
        <v>1.0499999999999998</v>
      </c>
    </row>
    <row r="51" spans="1:8" x14ac:dyDescent="0.4">
      <c r="A51">
        <v>1190043901</v>
      </c>
      <c r="B51" t="s">
        <v>108</v>
      </c>
      <c r="C51">
        <v>231.48</v>
      </c>
      <c r="D51">
        <v>1074.06</v>
      </c>
      <c r="E51">
        <v>1243.0800000000004</v>
      </c>
      <c r="F51">
        <v>378</v>
      </c>
      <c r="G51">
        <v>189</v>
      </c>
      <c r="H51">
        <v>11.88</v>
      </c>
    </row>
    <row r="52" spans="1:8" x14ac:dyDescent="0.4">
      <c r="A52">
        <v>1190043902</v>
      </c>
      <c r="B52" t="s">
        <v>108</v>
      </c>
      <c r="C52">
        <v>548.66</v>
      </c>
      <c r="D52">
        <v>739.6400000000001</v>
      </c>
      <c r="E52">
        <v>5.94</v>
      </c>
      <c r="F52">
        <v>639.36000000000013</v>
      </c>
      <c r="G52">
        <v>356.4</v>
      </c>
      <c r="H52">
        <v>667.8</v>
      </c>
    </row>
    <row r="53" spans="1:8" x14ac:dyDescent="0.4">
      <c r="A53">
        <v>1190044001</v>
      </c>
      <c r="B53" t="s">
        <v>109</v>
      </c>
      <c r="C53">
        <v>218.96</v>
      </c>
      <c r="D53">
        <v>1363.32</v>
      </c>
      <c r="E53">
        <v>202.49999999999997</v>
      </c>
      <c r="F53">
        <v>277.56</v>
      </c>
      <c r="G53">
        <v>261.46000000000004</v>
      </c>
      <c r="H53">
        <v>947.34</v>
      </c>
    </row>
    <row r="54" spans="1:8" x14ac:dyDescent="0.4">
      <c r="A54">
        <v>1190044002</v>
      </c>
      <c r="B54" t="s">
        <v>109</v>
      </c>
      <c r="C54">
        <v>43.02</v>
      </c>
      <c r="D54">
        <v>358.02</v>
      </c>
      <c r="E54">
        <v>42.300000000000004</v>
      </c>
      <c r="F54">
        <v>109.8</v>
      </c>
      <c r="G54">
        <v>37.799999999999997</v>
      </c>
      <c r="H54">
        <v>219.41999999999996</v>
      </c>
    </row>
    <row r="55" spans="1:8" x14ac:dyDescent="0.4">
      <c r="A55">
        <v>1190044013</v>
      </c>
      <c r="B55" t="s">
        <v>109</v>
      </c>
      <c r="H55">
        <v>92.699999999999989</v>
      </c>
    </row>
    <row r="56" spans="1:8" x14ac:dyDescent="0.4">
      <c r="A56">
        <v>1190044101</v>
      </c>
      <c r="B56" t="s">
        <v>110</v>
      </c>
      <c r="C56">
        <v>871.92</v>
      </c>
      <c r="D56">
        <v>2148.48</v>
      </c>
      <c r="E56">
        <v>196.55999999999997</v>
      </c>
      <c r="F56">
        <v>59.400000000000006</v>
      </c>
      <c r="G56">
        <v>442.97999999999996</v>
      </c>
      <c r="H56">
        <v>836.64</v>
      </c>
    </row>
    <row r="57" spans="1:8" x14ac:dyDescent="0.4">
      <c r="A57">
        <v>1190054201</v>
      </c>
      <c r="B57" t="s">
        <v>111</v>
      </c>
      <c r="C57">
        <v>185.39999999999998</v>
      </c>
      <c r="D57">
        <v>1238.04</v>
      </c>
      <c r="E57">
        <v>216.59999999999997</v>
      </c>
      <c r="F57">
        <v>101.9</v>
      </c>
      <c r="G57">
        <v>55.2</v>
      </c>
      <c r="H57">
        <v>164.9</v>
      </c>
    </row>
    <row r="58" spans="1:8" x14ac:dyDescent="0.4">
      <c r="A58">
        <v>1190054202</v>
      </c>
      <c r="B58" t="s">
        <v>111</v>
      </c>
      <c r="C58">
        <v>231.68</v>
      </c>
      <c r="D58">
        <v>835.57999999999993</v>
      </c>
      <c r="E58">
        <v>12.6</v>
      </c>
      <c r="F58">
        <v>140.92000000000002</v>
      </c>
      <c r="G58">
        <v>32.260000000000005</v>
      </c>
      <c r="H58">
        <v>511.85999999999996</v>
      </c>
    </row>
    <row r="59" spans="1:8" x14ac:dyDescent="0.4">
      <c r="A59">
        <v>1190054301</v>
      </c>
      <c r="B59" t="s">
        <v>112</v>
      </c>
      <c r="C59">
        <v>155.69999999999999</v>
      </c>
      <c r="D59">
        <v>501.12</v>
      </c>
      <c r="E59">
        <v>155.69999999999999</v>
      </c>
      <c r="F59">
        <v>103.03999999999999</v>
      </c>
      <c r="G59">
        <v>74.88</v>
      </c>
      <c r="H59">
        <v>104.58</v>
      </c>
    </row>
    <row r="60" spans="1:8" x14ac:dyDescent="0.4">
      <c r="A60">
        <v>1190054401</v>
      </c>
      <c r="B60" t="s">
        <v>113</v>
      </c>
      <c r="C60">
        <v>159.47999999999999</v>
      </c>
      <c r="D60">
        <v>2170.9800000000009</v>
      </c>
      <c r="E60">
        <v>122.39999999999999</v>
      </c>
      <c r="F60">
        <v>62.999999999999993</v>
      </c>
      <c r="G60">
        <v>203.22</v>
      </c>
      <c r="H60">
        <v>228.41999999999996</v>
      </c>
    </row>
    <row r="61" spans="1:8" x14ac:dyDescent="0.4">
      <c r="A61">
        <v>1190054501</v>
      </c>
      <c r="B61" t="s">
        <v>114</v>
      </c>
      <c r="C61">
        <v>128.34</v>
      </c>
      <c r="D61">
        <v>363.96000000000004</v>
      </c>
      <c r="E61">
        <v>55.62</v>
      </c>
      <c r="F61">
        <v>17.82</v>
      </c>
      <c r="G61">
        <v>37.799999999999997</v>
      </c>
    </row>
    <row r="62" spans="1:8" x14ac:dyDescent="0.4">
      <c r="A62">
        <v>1190054601</v>
      </c>
      <c r="B62" t="s">
        <v>115</v>
      </c>
      <c r="C62">
        <v>132.51999999999998</v>
      </c>
      <c r="D62">
        <v>548.37999999999988</v>
      </c>
      <c r="E62">
        <v>73.44</v>
      </c>
      <c r="F62">
        <v>180.04000000000002</v>
      </c>
      <c r="G62">
        <v>200.34</v>
      </c>
      <c r="H62">
        <v>464.07999999999993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7F35-5A07-4C50-A411-02E58CF6A03A}">
  <sheetPr>
    <tabColor rgb="FFFFC000"/>
  </sheetPr>
  <dimension ref="A1"/>
  <sheetViews>
    <sheetView workbookViewId="0">
      <selection activeCell="BE11" sqref="BE11:BP11"/>
    </sheetView>
  </sheetViews>
  <sheetFormatPr defaultRowHeight="16.8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M_Month</vt:lpstr>
      <vt:lpstr>T_SectAbove</vt:lpstr>
      <vt:lpstr>Period</vt:lpstr>
      <vt:lpstr>ASTBase</vt:lpstr>
      <vt:lpstr>HR Rep</vt:lpstr>
      <vt:lpstr>Actual</vt:lpstr>
      <vt:lpstr>Top WS</vt:lpstr>
      <vt:lpstr> WS SF</vt:lpstr>
      <vt:lpstr>WS WH</vt:lpstr>
      <vt:lpstr>Test</vt:lpstr>
      <vt:lpstr>SF WH</vt:lpstr>
      <vt:lpstr>Product</vt:lpstr>
      <vt:lpstr>2) หลักการคำนวน Table</vt:lpstr>
      <vt:lpstr>3)Target &amp; Cal</vt:lpstr>
      <vt:lpstr>1) For HR</vt:lpstr>
      <vt:lpstr>1) For HR (AD)</vt:lpstr>
      <vt:lpstr>Shortage</vt:lpstr>
      <vt:lpstr>Aji Plus</vt:lpstr>
      <vt:lpstr>Actual_Aji Plus</vt:lpstr>
      <vt:lpstr>RDQ</vt:lpstr>
      <vt:lpstr>Actual_RDQ</vt:lpstr>
      <vt:lpstr>RDM</vt:lpstr>
      <vt:lpstr>Actual_RDM</vt:lpstr>
      <vt:lpstr>RDNS</vt:lpstr>
      <vt:lpstr>Actual_RDNS</vt:lpstr>
      <vt:lpstr>Sales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Nawara Sopak</dc:creator>
  <cp:lastModifiedBy>Wimut Chanklang</cp:lastModifiedBy>
  <dcterms:created xsi:type="dcterms:W3CDTF">2025-10-09T03:11:25Z</dcterms:created>
  <dcterms:modified xsi:type="dcterms:W3CDTF">2026-06-22T03:59:45Z</dcterms:modified>
</cp:coreProperties>
</file>